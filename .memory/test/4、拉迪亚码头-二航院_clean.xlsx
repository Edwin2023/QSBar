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externalLinks/externalLink296.xml" ContentType="application/vnd.openxmlformats-officedocument.spreadsheetml.externalLink+xml"/>
  <Override PartName="/xl/externalLinks/externalLink297.xml" ContentType="application/vnd.openxmlformats-officedocument.spreadsheetml.externalLink+xml"/>
  <Override PartName="/xl/externalLinks/externalLink298.xml" ContentType="application/vnd.openxmlformats-officedocument.spreadsheetml.externalLink+xml"/>
  <Override PartName="/xl/externalLinks/externalLink29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00.xml" ContentType="application/vnd.openxmlformats-officedocument.spreadsheetml.externalLink+xml"/>
  <Override PartName="/xl/externalLinks/externalLink301.xml" ContentType="application/vnd.openxmlformats-officedocument.spreadsheetml.externalLink+xml"/>
  <Override PartName="/xl/externalLinks/externalLink302.xml" ContentType="application/vnd.openxmlformats-officedocument.spreadsheetml.externalLink+xml"/>
  <Override PartName="/xl/externalLinks/externalLink303.xml" ContentType="application/vnd.openxmlformats-officedocument.spreadsheetml.externalLink+xml"/>
  <Override PartName="/xl/externalLinks/externalLink304.xml" ContentType="application/vnd.openxmlformats-officedocument.spreadsheetml.externalLink+xml"/>
  <Override PartName="/xl/externalLinks/externalLink305.xml" ContentType="application/vnd.openxmlformats-officedocument.spreadsheetml.externalLink+xml"/>
  <Override PartName="/xl/externalLinks/externalLink306.xml" ContentType="application/vnd.openxmlformats-officedocument.spreadsheetml.externalLink+xml"/>
  <Override PartName="/xl/externalLinks/externalLink307.xml" ContentType="application/vnd.openxmlformats-officedocument.spreadsheetml.externalLink+xml"/>
  <Override PartName="/xl/externalLinks/externalLink308.xml" ContentType="application/vnd.openxmlformats-officedocument.spreadsheetml.externalLink+xml"/>
  <Override PartName="/xl/externalLinks/externalLink309.xml" ContentType="application/vnd.openxmlformats-officedocument.spreadsheetml.externalLink+xml"/>
  <Override PartName="/xl/externalLinks/externalLink31.xml" ContentType="application/vnd.openxmlformats-officedocument.spreadsheetml.externalLink+xml"/>
  <Override PartName="/xl/externalLinks/externalLink310.xml" ContentType="application/vnd.openxmlformats-officedocument.spreadsheetml.externalLink+xml"/>
  <Override PartName="/xl/externalLinks/externalLink311.xml" ContentType="application/vnd.openxmlformats-officedocument.spreadsheetml.externalLink+xml"/>
  <Override PartName="/xl/externalLinks/externalLink312.xml" ContentType="application/vnd.openxmlformats-officedocument.spreadsheetml.externalLink+xml"/>
  <Override PartName="/xl/externalLinks/externalLink313.xml" ContentType="application/vnd.openxmlformats-officedocument.spreadsheetml.externalLink+xml"/>
  <Override PartName="/xl/externalLinks/externalLink314.xml" ContentType="application/vnd.openxmlformats-officedocument.spreadsheetml.externalLink+xml"/>
  <Override PartName="/xl/externalLinks/externalLink315.xml" ContentType="application/vnd.openxmlformats-officedocument.spreadsheetml.externalLink+xml"/>
  <Override PartName="/xl/externalLinks/externalLink316.xml" ContentType="application/vnd.openxmlformats-officedocument.spreadsheetml.externalLink+xml"/>
  <Override PartName="/xl/externalLinks/externalLink317.xml" ContentType="application/vnd.openxmlformats-officedocument.spreadsheetml.externalLink+xml"/>
  <Override PartName="/xl/externalLinks/externalLink318.xml" ContentType="application/vnd.openxmlformats-officedocument.spreadsheetml.externalLink+xml"/>
  <Override PartName="/xl/externalLinks/externalLink319.xml" ContentType="application/vnd.openxmlformats-officedocument.spreadsheetml.externalLink+xml"/>
  <Override PartName="/xl/externalLinks/externalLink32.xml" ContentType="application/vnd.openxmlformats-officedocument.spreadsheetml.externalLink+xml"/>
  <Override PartName="/xl/externalLinks/externalLink320.xml" ContentType="application/vnd.openxmlformats-officedocument.spreadsheetml.externalLink+xml"/>
  <Override PartName="/xl/externalLinks/externalLink321.xml" ContentType="application/vnd.openxmlformats-officedocument.spreadsheetml.externalLink+xml"/>
  <Override PartName="/xl/externalLinks/externalLink322.xml" ContentType="application/vnd.openxmlformats-officedocument.spreadsheetml.externalLink+xml"/>
  <Override PartName="/xl/externalLinks/externalLink323.xml" ContentType="application/vnd.openxmlformats-officedocument.spreadsheetml.externalLink+xml"/>
  <Override PartName="/xl/externalLinks/externalLink324.xml" ContentType="application/vnd.openxmlformats-officedocument.spreadsheetml.externalLink+xml"/>
  <Override PartName="/xl/externalLinks/externalLink325.xml" ContentType="application/vnd.openxmlformats-officedocument.spreadsheetml.externalLink+xml"/>
  <Override PartName="/xl/externalLinks/externalLink326.xml" ContentType="application/vnd.openxmlformats-officedocument.spreadsheetml.externalLink+xml"/>
  <Override PartName="/xl/externalLinks/externalLink327.xml" ContentType="application/vnd.openxmlformats-officedocument.spreadsheetml.externalLink+xml"/>
  <Override PartName="/xl/externalLinks/externalLink328.xml" ContentType="application/vnd.openxmlformats-officedocument.spreadsheetml.externalLink+xml"/>
  <Override PartName="/xl/externalLinks/externalLink329.xml" ContentType="application/vnd.openxmlformats-officedocument.spreadsheetml.externalLink+xml"/>
  <Override PartName="/xl/externalLinks/externalLink33.xml" ContentType="application/vnd.openxmlformats-officedocument.spreadsheetml.externalLink+xml"/>
  <Override PartName="/xl/externalLinks/externalLink330.xml" ContentType="application/vnd.openxmlformats-officedocument.spreadsheetml.externalLink+xml"/>
  <Override PartName="/xl/externalLinks/externalLink331.xml" ContentType="application/vnd.openxmlformats-officedocument.spreadsheetml.externalLink+xml"/>
  <Override PartName="/xl/externalLinks/externalLink332.xml" ContentType="application/vnd.openxmlformats-officedocument.spreadsheetml.externalLink+xml"/>
  <Override PartName="/xl/externalLinks/externalLink333.xml" ContentType="application/vnd.openxmlformats-officedocument.spreadsheetml.externalLink+xml"/>
  <Override PartName="/xl/externalLinks/externalLink334.xml" ContentType="application/vnd.openxmlformats-officedocument.spreadsheetml.externalLink+xml"/>
  <Override PartName="/xl/externalLinks/externalLink335.xml" ContentType="application/vnd.openxmlformats-officedocument.spreadsheetml.externalLink+xml"/>
  <Override PartName="/xl/externalLinks/externalLink336.xml" ContentType="application/vnd.openxmlformats-officedocument.spreadsheetml.externalLink+xml"/>
  <Override PartName="/xl/externalLinks/externalLink337.xml" ContentType="application/vnd.openxmlformats-officedocument.spreadsheetml.externalLink+xml"/>
  <Override PartName="/xl/externalLinks/externalLink338.xml" ContentType="application/vnd.openxmlformats-officedocument.spreadsheetml.externalLink+xml"/>
  <Override PartName="/xl/externalLinks/externalLink339.xml" ContentType="application/vnd.openxmlformats-officedocument.spreadsheetml.externalLink+xml"/>
  <Override PartName="/xl/externalLinks/externalLink34.xml" ContentType="application/vnd.openxmlformats-officedocument.spreadsheetml.externalLink+xml"/>
  <Override PartName="/xl/externalLinks/externalLink340.xml" ContentType="application/vnd.openxmlformats-officedocument.spreadsheetml.externalLink+xml"/>
  <Override PartName="/xl/externalLinks/externalLink341.xml" ContentType="application/vnd.openxmlformats-officedocument.spreadsheetml.externalLink+xml"/>
  <Override PartName="/xl/externalLinks/externalLink342.xml" ContentType="application/vnd.openxmlformats-officedocument.spreadsheetml.externalLink+xml"/>
  <Override PartName="/xl/externalLinks/externalLink343.xml" ContentType="application/vnd.openxmlformats-officedocument.spreadsheetml.externalLink+xml"/>
  <Override PartName="/xl/externalLinks/externalLink344.xml" ContentType="application/vnd.openxmlformats-officedocument.spreadsheetml.externalLink+xml"/>
  <Override PartName="/xl/externalLinks/externalLink345.xml" ContentType="application/vnd.openxmlformats-officedocument.spreadsheetml.externalLink+xml"/>
  <Override PartName="/xl/externalLinks/externalLink346.xml" ContentType="application/vnd.openxmlformats-officedocument.spreadsheetml.externalLink+xml"/>
  <Override PartName="/xl/externalLinks/externalLink347.xml" ContentType="application/vnd.openxmlformats-officedocument.spreadsheetml.externalLink+xml"/>
  <Override PartName="/xl/externalLinks/externalLink348.xml" ContentType="application/vnd.openxmlformats-officedocument.spreadsheetml.externalLink+xml"/>
  <Override PartName="/xl/externalLinks/externalLink349.xml" ContentType="application/vnd.openxmlformats-officedocument.spreadsheetml.externalLink+xml"/>
  <Override PartName="/xl/externalLinks/externalLink35.xml" ContentType="application/vnd.openxmlformats-officedocument.spreadsheetml.externalLink+xml"/>
  <Override PartName="/xl/externalLinks/externalLink350.xml" ContentType="application/vnd.openxmlformats-officedocument.spreadsheetml.externalLink+xml"/>
  <Override PartName="/xl/externalLinks/externalLink351.xml" ContentType="application/vnd.openxmlformats-officedocument.spreadsheetml.externalLink+xml"/>
  <Override PartName="/xl/externalLinks/externalLink352.xml" ContentType="application/vnd.openxmlformats-officedocument.spreadsheetml.externalLink+xml"/>
  <Override PartName="/xl/externalLinks/externalLink353.xml" ContentType="application/vnd.openxmlformats-officedocument.spreadsheetml.externalLink+xml"/>
  <Override PartName="/xl/externalLinks/externalLink354.xml" ContentType="application/vnd.openxmlformats-officedocument.spreadsheetml.externalLink+xml"/>
  <Override PartName="/xl/externalLinks/externalLink355.xml" ContentType="application/vnd.openxmlformats-officedocument.spreadsheetml.externalLink+xml"/>
  <Override PartName="/xl/externalLinks/externalLink356.xml" ContentType="application/vnd.openxmlformats-officedocument.spreadsheetml.externalLink+xml"/>
  <Override PartName="/xl/externalLinks/externalLink357.xml" ContentType="application/vnd.openxmlformats-officedocument.spreadsheetml.externalLink+xml"/>
  <Override PartName="/xl/externalLinks/externalLink358.xml" ContentType="application/vnd.openxmlformats-officedocument.spreadsheetml.externalLink+xml"/>
  <Override PartName="/xl/externalLinks/externalLink359.xml" ContentType="application/vnd.openxmlformats-officedocument.spreadsheetml.externalLink+xml"/>
  <Override PartName="/xl/externalLinks/externalLink36.xml" ContentType="application/vnd.openxmlformats-officedocument.spreadsheetml.externalLink+xml"/>
  <Override PartName="/xl/externalLinks/externalLink360.xml" ContentType="application/vnd.openxmlformats-officedocument.spreadsheetml.externalLink+xml"/>
  <Override PartName="/xl/externalLinks/externalLink361.xml" ContentType="application/vnd.openxmlformats-officedocument.spreadsheetml.externalLink+xml"/>
  <Override PartName="/xl/externalLinks/externalLink362.xml" ContentType="application/vnd.openxmlformats-officedocument.spreadsheetml.externalLink+xml"/>
  <Override PartName="/xl/externalLinks/externalLink363.xml" ContentType="application/vnd.openxmlformats-officedocument.spreadsheetml.externalLink+xml"/>
  <Override PartName="/xl/externalLinks/externalLink364.xml" ContentType="application/vnd.openxmlformats-officedocument.spreadsheetml.externalLink+xml"/>
  <Override PartName="/xl/externalLinks/externalLink365.xml" ContentType="application/vnd.openxmlformats-officedocument.spreadsheetml.externalLink+xml"/>
  <Override PartName="/xl/externalLinks/externalLink366.xml" ContentType="application/vnd.openxmlformats-officedocument.spreadsheetml.externalLink+xml"/>
  <Override PartName="/xl/externalLinks/externalLink367.xml" ContentType="application/vnd.openxmlformats-officedocument.spreadsheetml.externalLink+xml"/>
  <Override PartName="/xl/externalLinks/externalLink368.xml" ContentType="application/vnd.openxmlformats-officedocument.spreadsheetml.externalLink+xml"/>
  <Override PartName="/xl/externalLinks/externalLink369.xml" ContentType="application/vnd.openxmlformats-officedocument.spreadsheetml.externalLink+xml"/>
  <Override PartName="/xl/externalLinks/externalLink37.xml" ContentType="application/vnd.openxmlformats-officedocument.spreadsheetml.externalLink+xml"/>
  <Override PartName="/xl/externalLinks/externalLink370.xml" ContentType="application/vnd.openxmlformats-officedocument.spreadsheetml.externalLink+xml"/>
  <Override PartName="/xl/externalLinks/externalLink371.xml" ContentType="application/vnd.openxmlformats-officedocument.spreadsheetml.externalLink+xml"/>
  <Override PartName="/xl/externalLinks/externalLink372.xml" ContentType="application/vnd.openxmlformats-officedocument.spreadsheetml.externalLink+xml"/>
  <Override PartName="/xl/externalLinks/externalLink373.xml" ContentType="application/vnd.openxmlformats-officedocument.spreadsheetml.externalLink+xml"/>
  <Override PartName="/xl/externalLinks/externalLink374.xml" ContentType="application/vnd.openxmlformats-officedocument.spreadsheetml.externalLink+xml"/>
  <Override PartName="/xl/externalLinks/externalLink375.xml" ContentType="application/vnd.openxmlformats-officedocument.spreadsheetml.externalLink+xml"/>
  <Override PartName="/xl/externalLinks/externalLink376.xml" ContentType="application/vnd.openxmlformats-officedocument.spreadsheetml.externalLink+xml"/>
  <Override PartName="/xl/externalLinks/externalLink377.xml" ContentType="application/vnd.openxmlformats-officedocument.spreadsheetml.externalLink+xml"/>
  <Override PartName="/xl/externalLinks/externalLink378.xml" ContentType="application/vnd.openxmlformats-officedocument.spreadsheetml.externalLink+xml"/>
  <Override PartName="/xl/externalLinks/externalLink379.xml" ContentType="application/vnd.openxmlformats-officedocument.spreadsheetml.externalLink+xml"/>
  <Override PartName="/xl/externalLinks/externalLink38.xml" ContentType="application/vnd.openxmlformats-officedocument.spreadsheetml.externalLink+xml"/>
  <Override PartName="/xl/externalLinks/externalLink380.xml" ContentType="application/vnd.openxmlformats-officedocument.spreadsheetml.externalLink+xml"/>
  <Override PartName="/xl/externalLinks/externalLink381.xml" ContentType="application/vnd.openxmlformats-officedocument.spreadsheetml.externalLink+xml"/>
  <Override PartName="/xl/externalLinks/externalLink382.xml" ContentType="application/vnd.openxmlformats-officedocument.spreadsheetml.externalLink+xml"/>
  <Override PartName="/xl/externalLinks/externalLink383.xml" ContentType="application/vnd.openxmlformats-officedocument.spreadsheetml.externalLink+xml"/>
  <Override PartName="/xl/externalLinks/externalLink384.xml" ContentType="application/vnd.openxmlformats-officedocument.spreadsheetml.externalLink+xml"/>
  <Override PartName="/xl/externalLinks/externalLink385.xml" ContentType="application/vnd.openxmlformats-officedocument.spreadsheetml.externalLink+xml"/>
  <Override PartName="/xl/externalLinks/externalLink386.xml" ContentType="application/vnd.openxmlformats-officedocument.spreadsheetml.externalLink+xml"/>
  <Override PartName="/xl/externalLinks/externalLink387.xml" ContentType="application/vnd.openxmlformats-officedocument.spreadsheetml.externalLink+xml"/>
  <Override PartName="/xl/externalLinks/externalLink388.xml" ContentType="application/vnd.openxmlformats-officedocument.spreadsheetml.externalLink+xml"/>
  <Override PartName="/xl/externalLinks/externalLink389.xml" ContentType="application/vnd.openxmlformats-officedocument.spreadsheetml.externalLink+xml"/>
  <Override PartName="/xl/externalLinks/externalLink39.xml" ContentType="application/vnd.openxmlformats-officedocument.spreadsheetml.externalLink+xml"/>
  <Override PartName="/xl/externalLinks/externalLink390.xml" ContentType="application/vnd.openxmlformats-officedocument.spreadsheetml.externalLink+xml"/>
  <Override PartName="/xl/externalLinks/externalLink391.xml" ContentType="application/vnd.openxmlformats-officedocument.spreadsheetml.externalLink+xml"/>
  <Override PartName="/xl/externalLinks/externalLink392.xml" ContentType="application/vnd.openxmlformats-officedocument.spreadsheetml.externalLink+xml"/>
  <Override PartName="/xl/externalLinks/externalLink393.xml" ContentType="application/vnd.openxmlformats-officedocument.spreadsheetml.externalLink+xml"/>
  <Override PartName="/xl/externalLinks/externalLink394.xml" ContentType="application/vnd.openxmlformats-officedocument.spreadsheetml.externalLink+xml"/>
  <Override PartName="/xl/externalLinks/externalLink395.xml" ContentType="application/vnd.openxmlformats-officedocument.spreadsheetml.externalLink+xml"/>
  <Override PartName="/xl/externalLinks/externalLink396.xml" ContentType="application/vnd.openxmlformats-officedocument.spreadsheetml.externalLink+xml"/>
  <Override PartName="/xl/externalLinks/externalLink397.xml" ContentType="application/vnd.openxmlformats-officedocument.spreadsheetml.externalLink+xml"/>
  <Override PartName="/xl/externalLinks/externalLink398.xml" ContentType="application/vnd.openxmlformats-officedocument.spreadsheetml.externalLink+xml"/>
  <Override PartName="/xl/externalLinks/externalLink39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00.xml" ContentType="application/vnd.openxmlformats-officedocument.spreadsheetml.externalLink+xml"/>
  <Override PartName="/xl/externalLinks/externalLink401.xml" ContentType="application/vnd.openxmlformats-officedocument.spreadsheetml.externalLink+xml"/>
  <Override PartName="/xl/externalLinks/externalLink402.xml" ContentType="application/vnd.openxmlformats-officedocument.spreadsheetml.externalLink+xml"/>
  <Override PartName="/xl/externalLinks/externalLink403.xml" ContentType="application/vnd.openxmlformats-officedocument.spreadsheetml.externalLink+xml"/>
  <Override PartName="/xl/externalLinks/externalLink404.xml" ContentType="application/vnd.openxmlformats-officedocument.spreadsheetml.externalLink+xml"/>
  <Override PartName="/xl/externalLinks/externalLink405.xml" ContentType="application/vnd.openxmlformats-officedocument.spreadsheetml.externalLink+xml"/>
  <Override PartName="/xl/externalLinks/externalLink406.xml" ContentType="application/vnd.openxmlformats-officedocument.spreadsheetml.externalLink+xml"/>
  <Override PartName="/xl/externalLinks/externalLink407.xml" ContentType="application/vnd.openxmlformats-officedocument.spreadsheetml.externalLink+xml"/>
  <Override PartName="/xl/externalLinks/externalLink408.xml" ContentType="application/vnd.openxmlformats-officedocument.spreadsheetml.externalLink+xml"/>
  <Override PartName="/xl/externalLinks/externalLink409.xml" ContentType="application/vnd.openxmlformats-officedocument.spreadsheetml.externalLink+xml"/>
  <Override PartName="/xl/externalLinks/externalLink41.xml" ContentType="application/vnd.openxmlformats-officedocument.spreadsheetml.externalLink+xml"/>
  <Override PartName="/xl/externalLinks/externalLink410.xml" ContentType="application/vnd.openxmlformats-officedocument.spreadsheetml.externalLink+xml"/>
  <Override PartName="/xl/externalLinks/externalLink411.xml" ContentType="application/vnd.openxmlformats-officedocument.spreadsheetml.externalLink+xml"/>
  <Override PartName="/xl/externalLinks/externalLink412.xml" ContentType="application/vnd.openxmlformats-officedocument.spreadsheetml.externalLink+xml"/>
  <Override PartName="/xl/externalLinks/externalLink413.xml" ContentType="application/vnd.openxmlformats-officedocument.spreadsheetml.externalLink+xml"/>
  <Override PartName="/xl/externalLinks/externalLink414.xml" ContentType="application/vnd.openxmlformats-officedocument.spreadsheetml.externalLink+xml"/>
  <Override PartName="/xl/externalLinks/externalLink415.xml" ContentType="application/vnd.openxmlformats-officedocument.spreadsheetml.externalLink+xml"/>
  <Override PartName="/xl/externalLinks/externalLink416.xml" ContentType="application/vnd.openxmlformats-officedocument.spreadsheetml.externalLink+xml"/>
  <Override PartName="/xl/externalLinks/externalLink417.xml" ContentType="application/vnd.openxmlformats-officedocument.spreadsheetml.externalLink+xml"/>
  <Override PartName="/xl/externalLinks/externalLink418.xml" ContentType="application/vnd.openxmlformats-officedocument.spreadsheetml.externalLink+xml"/>
  <Override PartName="/xl/externalLinks/externalLink419.xml" ContentType="application/vnd.openxmlformats-officedocument.spreadsheetml.externalLink+xml"/>
  <Override PartName="/xl/externalLinks/externalLink42.xml" ContentType="application/vnd.openxmlformats-officedocument.spreadsheetml.externalLink+xml"/>
  <Override PartName="/xl/externalLinks/externalLink420.xml" ContentType="application/vnd.openxmlformats-officedocument.spreadsheetml.externalLink+xml"/>
  <Override PartName="/xl/externalLinks/externalLink421.xml" ContentType="application/vnd.openxmlformats-officedocument.spreadsheetml.externalLink+xml"/>
  <Override PartName="/xl/externalLinks/externalLink422.xml" ContentType="application/vnd.openxmlformats-officedocument.spreadsheetml.externalLink+xml"/>
  <Override PartName="/xl/externalLinks/externalLink423.xml" ContentType="application/vnd.openxmlformats-officedocument.spreadsheetml.externalLink+xml"/>
  <Override PartName="/xl/externalLinks/externalLink424.xml" ContentType="application/vnd.openxmlformats-officedocument.spreadsheetml.externalLink+xml"/>
  <Override PartName="/xl/externalLinks/externalLink425.xml" ContentType="application/vnd.openxmlformats-officedocument.spreadsheetml.externalLink+xml"/>
  <Override PartName="/xl/externalLinks/externalLink426.xml" ContentType="application/vnd.openxmlformats-officedocument.spreadsheetml.externalLink+xml"/>
  <Override PartName="/xl/externalLinks/externalLink427.xml" ContentType="application/vnd.openxmlformats-officedocument.spreadsheetml.externalLink+xml"/>
  <Override PartName="/xl/externalLinks/externalLink428.xml" ContentType="application/vnd.openxmlformats-officedocument.spreadsheetml.externalLink+xml"/>
  <Override PartName="/xl/externalLinks/externalLink429.xml" ContentType="application/vnd.openxmlformats-officedocument.spreadsheetml.externalLink+xml"/>
  <Override PartName="/xl/externalLinks/externalLink43.xml" ContentType="application/vnd.openxmlformats-officedocument.spreadsheetml.externalLink+xml"/>
  <Override PartName="/xl/externalLinks/externalLink430.xml" ContentType="application/vnd.openxmlformats-officedocument.spreadsheetml.externalLink+xml"/>
  <Override PartName="/xl/externalLinks/externalLink431.xml" ContentType="application/vnd.openxmlformats-officedocument.spreadsheetml.externalLink+xml"/>
  <Override PartName="/xl/externalLinks/externalLink432.xml" ContentType="application/vnd.openxmlformats-officedocument.spreadsheetml.externalLink+xml"/>
  <Override PartName="/xl/externalLinks/externalLink433.xml" ContentType="application/vnd.openxmlformats-officedocument.spreadsheetml.externalLink+xml"/>
  <Override PartName="/xl/externalLinks/externalLink434.xml" ContentType="application/vnd.openxmlformats-officedocument.spreadsheetml.externalLink+xml"/>
  <Override PartName="/xl/externalLinks/externalLink435.xml" ContentType="application/vnd.openxmlformats-officedocument.spreadsheetml.externalLink+xml"/>
  <Override PartName="/xl/externalLinks/externalLink436.xml" ContentType="application/vnd.openxmlformats-officedocument.spreadsheetml.externalLink+xml"/>
  <Override PartName="/xl/externalLinks/externalLink437.xml" ContentType="application/vnd.openxmlformats-officedocument.spreadsheetml.externalLink+xml"/>
  <Override PartName="/xl/externalLinks/externalLink438.xml" ContentType="application/vnd.openxmlformats-officedocument.spreadsheetml.externalLink+xml"/>
  <Override PartName="/xl/externalLinks/externalLink439.xml" ContentType="application/vnd.openxmlformats-officedocument.spreadsheetml.externalLink+xml"/>
  <Override PartName="/xl/externalLinks/externalLink44.xml" ContentType="application/vnd.openxmlformats-officedocument.spreadsheetml.externalLink+xml"/>
  <Override PartName="/xl/externalLinks/externalLink440.xml" ContentType="application/vnd.openxmlformats-officedocument.spreadsheetml.externalLink+xml"/>
  <Override PartName="/xl/externalLinks/externalLink441.xml" ContentType="application/vnd.openxmlformats-officedocument.spreadsheetml.externalLink+xml"/>
  <Override PartName="/xl/externalLinks/externalLink442.xml" ContentType="application/vnd.openxmlformats-officedocument.spreadsheetml.externalLink+xml"/>
  <Override PartName="/xl/externalLinks/externalLink443.xml" ContentType="application/vnd.openxmlformats-officedocument.spreadsheetml.externalLink+xml"/>
  <Override PartName="/xl/externalLinks/externalLink444.xml" ContentType="application/vnd.openxmlformats-officedocument.spreadsheetml.externalLink+xml"/>
  <Override PartName="/xl/externalLinks/externalLink445.xml" ContentType="application/vnd.openxmlformats-officedocument.spreadsheetml.externalLink+xml"/>
  <Override PartName="/xl/externalLinks/externalLink446.xml" ContentType="application/vnd.openxmlformats-officedocument.spreadsheetml.externalLink+xml"/>
  <Override PartName="/xl/externalLinks/externalLink447.xml" ContentType="application/vnd.openxmlformats-officedocument.spreadsheetml.externalLink+xml"/>
  <Override PartName="/xl/externalLinks/externalLink448.xml" ContentType="application/vnd.openxmlformats-officedocument.spreadsheetml.externalLink+xml"/>
  <Override PartName="/xl/externalLinks/externalLink449.xml" ContentType="application/vnd.openxmlformats-officedocument.spreadsheetml.externalLink+xml"/>
  <Override PartName="/xl/externalLinks/externalLink45.xml" ContentType="application/vnd.openxmlformats-officedocument.spreadsheetml.externalLink+xml"/>
  <Override PartName="/xl/externalLinks/externalLink450.xml" ContentType="application/vnd.openxmlformats-officedocument.spreadsheetml.externalLink+xml"/>
  <Override PartName="/xl/externalLinks/externalLink451.xml" ContentType="application/vnd.openxmlformats-officedocument.spreadsheetml.externalLink+xml"/>
  <Override PartName="/xl/externalLinks/externalLink452.xml" ContentType="application/vnd.openxmlformats-officedocument.spreadsheetml.externalLink+xml"/>
  <Override PartName="/xl/externalLinks/externalLink453.xml" ContentType="application/vnd.openxmlformats-officedocument.spreadsheetml.externalLink+xml"/>
  <Override PartName="/xl/externalLinks/externalLink454.xml" ContentType="application/vnd.openxmlformats-officedocument.spreadsheetml.externalLink+xml"/>
  <Override PartName="/xl/externalLinks/externalLink455.xml" ContentType="application/vnd.openxmlformats-officedocument.spreadsheetml.externalLink+xml"/>
  <Override PartName="/xl/externalLinks/externalLink456.xml" ContentType="application/vnd.openxmlformats-officedocument.spreadsheetml.externalLink+xml"/>
  <Override PartName="/xl/externalLinks/externalLink457.xml" ContentType="application/vnd.openxmlformats-officedocument.spreadsheetml.externalLink+xml"/>
  <Override PartName="/xl/externalLinks/externalLink458.xml" ContentType="application/vnd.openxmlformats-officedocument.spreadsheetml.externalLink+xml"/>
  <Override PartName="/xl/externalLinks/externalLink459.xml" ContentType="application/vnd.openxmlformats-officedocument.spreadsheetml.externalLink+xml"/>
  <Override PartName="/xl/externalLinks/externalLink46.xml" ContentType="application/vnd.openxmlformats-officedocument.spreadsheetml.externalLink+xml"/>
  <Override PartName="/xl/externalLinks/externalLink460.xml" ContentType="application/vnd.openxmlformats-officedocument.spreadsheetml.externalLink+xml"/>
  <Override PartName="/xl/externalLinks/externalLink461.xml" ContentType="application/vnd.openxmlformats-officedocument.spreadsheetml.externalLink+xml"/>
  <Override PartName="/xl/externalLinks/externalLink462.xml" ContentType="application/vnd.openxmlformats-officedocument.spreadsheetml.externalLink+xml"/>
  <Override PartName="/xl/externalLinks/externalLink463.xml" ContentType="application/vnd.openxmlformats-officedocument.spreadsheetml.externalLink+xml"/>
  <Override PartName="/xl/externalLinks/externalLink464.xml" ContentType="application/vnd.openxmlformats-officedocument.spreadsheetml.externalLink+xml"/>
  <Override PartName="/xl/externalLinks/externalLink465.xml" ContentType="application/vnd.openxmlformats-officedocument.spreadsheetml.externalLink+xml"/>
  <Override PartName="/xl/externalLinks/externalLink466.xml" ContentType="application/vnd.openxmlformats-officedocument.spreadsheetml.externalLink+xml"/>
  <Override PartName="/xl/externalLinks/externalLink467.xml" ContentType="application/vnd.openxmlformats-officedocument.spreadsheetml.externalLink+xml"/>
  <Override PartName="/xl/externalLinks/externalLink468.xml" ContentType="application/vnd.openxmlformats-officedocument.spreadsheetml.externalLink+xml"/>
  <Override PartName="/xl/externalLinks/externalLink469.xml" ContentType="application/vnd.openxmlformats-officedocument.spreadsheetml.externalLink+xml"/>
  <Override PartName="/xl/externalLinks/externalLink47.xml" ContentType="application/vnd.openxmlformats-officedocument.spreadsheetml.externalLink+xml"/>
  <Override PartName="/xl/externalLinks/externalLink470.xml" ContentType="application/vnd.openxmlformats-officedocument.spreadsheetml.externalLink+xml"/>
  <Override PartName="/xl/externalLinks/externalLink471.xml" ContentType="application/vnd.openxmlformats-officedocument.spreadsheetml.externalLink+xml"/>
  <Override PartName="/xl/externalLinks/externalLink472.xml" ContentType="application/vnd.openxmlformats-officedocument.spreadsheetml.externalLink+xml"/>
  <Override PartName="/xl/externalLinks/externalLink473.xml" ContentType="application/vnd.openxmlformats-officedocument.spreadsheetml.externalLink+xml"/>
  <Override PartName="/xl/externalLinks/externalLink474.xml" ContentType="application/vnd.openxmlformats-officedocument.spreadsheetml.externalLink+xml"/>
  <Override PartName="/xl/externalLinks/externalLink475.xml" ContentType="application/vnd.openxmlformats-officedocument.spreadsheetml.externalLink+xml"/>
  <Override PartName="/xl/externalLinks/externalLink476.xml" ContentType="application/vnd.openxmlformats-officedocument.spreadsheetml.externalLink+xml"/>
  <Override PartName="/xl/externalLinks/externalLink477.xml" ContentType="application/vnd.openxmlformats-officedocument.spreadsheetml.externalLink+xml"/>
  <Override PartName="/xl/externalLinks/externalLink478.xml" ContentType="application/vnd.openxmlformats-officedocument.spreadsheetml.externalLink+xml"/>
  <Override PartName="/xl/externalLinks/externalLink479.xml" ContentType="application/vnd.openxmlformats-officedocument.spreadsheetml.externalLink+xml"/>
  <Override PartName="/xl/externalLinks/externalLink48.xml" ContentType="application/vnd.openxmlformats-officedocument.spreadsheetml.externalLink+xml"/>
  <Override PartName="/xl/externalLinks/externalLink480.xml" ContentType="application/vnd.openxmlformats-officedocument.spreadsheetml.externalLink+xml"/>
  <Override PartName="/xl/externalLinks/externalLink481.xml" ContentType="application/vnd.openxmlformats-officedocument.spreadsheetml.externalLink+xml"/>
  <Override PartName="/xl/externalLinks/externalLink482.xml" ContentType="application/vnd.openxmlformats-officedocument.spreadsheetml.externalLink+xml"/>
  <Override PartName="/xl/externalLinks/externalLink483.xml" ContentType="application/vnd.openxmlformats-officedocument.spreadsheetml.externalLink+xml"/>
  <Override PartName="/xl/externalLinks/externalLink484.xml" ContentType="application/vnd.openxmlformats-officedocument.spreadsheetml.externalLink+xml"/>
  <Override PartName="/xl/externalLinks/externalLink485.xml" ContentType="application/vnd.openxmlformats-officedocument.spreadsheetml.externalLink+xml"/>
  <Override PartName="/xl/externalLinks/externalLink486.xml" ContentType="application/vnd.openxmlformats-officedocument.spreadsheetml.externalLink+xml"/>
  <Override PartName="/xl/externalLinks/externalLink487.xml" ContentType="application/vnd.openxmlformats-officedocument.spreadsheetml.externalLink+xml"/>
  <Override PartName="/xl/externalLinks/externalLink488.xml" ContentType="application/vnd.openxmlformats-officedocument.spreadsheetml.externalLink+xml"/>
  <Override PartName="/xl/externalLinks/externalLink489.xml" ContentType="application/vnd.openxmlformats-officedocument.spreadsheetml.externalLink+xml"/>
  <Override PartName="/xl/externalLinks/externalLink49.xml" ContentType="application/vnd.openxmlformats-officedocument.spreadsheetml.externalLink+xml"/>
  <Override PartName="/xl/externalLinks/externalLink490.xml" ContentType="application/vnd.openxmlformats-officedocument.spreadsheetml.externalLink+xml"/>
  <Override PartName="/xl/externalLinks/externalLink491.xml" ContentType="application/vnd.openxmlformats-officedocument.spreadsheetml.externalLink+xml"/>
  <Override PartName="/xl/externalLinks/externalLink492.xml" ContentType="application/vnd.openxmlformats-officedocument.spreadsheetml.externalLink+xml"/>
  <Override PartName="/xl/externalLinks/externalLink493.xml" ContentType="application/vnd.openxmlformats-officedocument.spreadsheetml.externalLink+xml"/>
  <Override PartName="/xl/externalLinks/externalLink494.xml" ContentType="application/vnd.openxmlformats-officedocument.spreadsheetml.externalLink+xml"/>
  <Override PartName="/xl/externalLinks/externalLink495.xml" ContentType="application/vnd.openxmlformats-officedocument.spreadsheetml.externalLink+xml"/>
  <Override PartName="/xl/externalLinks/externalLink496.xml" ContentType="application/vnd.openxmlformats-officedocument.spreadsheetml.externalLink+xml"/>
  <Override PartName="/xl/externalLinks/externalLink497.xml" ContentType="application/vnd.openxmlformats-officedocument.spreadsheetml.externalLink+xml"/>
  <Override PartName="/xl/externalLinks/externalLink498.xml" ContentType="application/vnd.openxmlformats-officedocument.spreadsheetml.externalLink+xml"/>
  <Override PartName="/xl/externalLinks/externalLink49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00.xml" ContentType="application/vnd.openxmlformats-officedocument.spreadsheetml.externalLink+xml"/>
  <Override PartName="/xl/externalLinks/externalLink501.xml" ContentType="application/vnd.openxmlformats-officedocument.spreadsheetml.externalLink+xml"/>
  <Override PartName="/xl/externalLinks/externalLink502.xml" ContentType="application/vnd.openxmlformats-officedocument.spreadsheetml.externalLink+xml"/>
  <Override PartName="/xl/externalLinks/externalLink503.xml" ContentType="application/vnd.openxmlformats-officedocument.spreadsheetml.externalLink+xml"/>
  <Override PartName="/xl/externalLinks/externalLink504.xml" ContentType="application/vnd.openxmlformats-officedocument.spreadsheetml.externalLink+xml"/>
  <Override PartName="/xl/externalLinks/externalLink505.xml" ContentType="application/vnd.openxmlformats-officedocument.spreadsheetml.externalLink+xml"/>
  <Override PartName="/xl/externalLinks/externalLink506.xml" ContentType="application/vnd.openxmlformats-officedocument.spreadsheetml.externalLink+xml"/>
  <Override PartName="/xl/externalLinks/externalLink507.xml" ContentType="application/vnd.openxmlformats-officedocument.spreadsheetml.externalLink+xml"/>
  <Override PartName="/xl/externalLinks/externalLink508.xml" ContentType="application/vnd.openxmlformats-officedocument.spreadsheetml.externalLink+xml"/>
  <Override PartName="/xl/externalLinks/externalLink509.xml" ContentType="application/vnd.openxmlformats-officedocument.spreadsheetml.externalLink+xml"/>
  <Override PartName="/xl/externalLinks/externalLink51.xml" ContentType="application/vnd.openxmlformats-officedocument.spreadsheetml.externalLink+xml"/>
  <Override PartName="/xl/externalLinks/externalLink510.xml" ContentType="application/vnd.openxmlformats-officedocument.spreadsheetml.externalLink+xml"/>
  <Override PartName="/xl/externalLinks/externalLink511.xml" ContentType="application/vnd.openxmlformats-officedocument.spreadsheetml.externalLink+xml"/>
  <Override PartName="/xl/externalLinks/externalLink512.xml" ContentType="application/vnd.openxmlformats-officedocument.spreadsheetml.externalLink+xml"/>
  <Override PartName="/xl/externalLinks/externalLink513.xml" ContentType="application/vnd.openxmlformats-officedocument.spreadsheetml.externalLink+xml"/>
  <Override PartName="/xl/externalLinks/externalLink514.xml" ContentType="application/vnd.openxmlformats-officedocument.spreadsheetml.externalLink+xml"/>
  <Override PartName="/xl/externalLinks/externalLink515.xml" ContentType="application/vnd.openxmlformats-officedocument.spreadsheetml.externalLink+xml"/>
  <Override PartName="/xl/externalLinks/externalLink516.xml" ContentType="application/vnd.openxmlformats-officedocument.spreadsheetml.externalLink+xml"/>
  <Override PartName="/xl/externalLinks/externalLink517.xml" ContentType="application/vnd.openxmlformats-officedocument.spreadsheetml.externalLink+xml"/>
  <Override PartName="/xl/externalLinks/externalLink518.xml" ContentType="application/vnd.openxmlformats-officedocument.spreadsheetml.externalLink+xml"/>
  <Override PartName="/xl/externalLinks/externalLink519.xml" ContentType="application/vnd.openxmlformats-officedocument.spreadsheetml.externalLink+xml"/>
  <Override PartName="/xl/externalLinks/externalLink52.xml" ContentType="application/vnd.openxmlformats-officedocument.spreadsheetml.externalLink+xml"/>
  <Override PartName="/xl/externalLinks/externalLink520.xml" ContentType="application/vnd.openxmlformats-officedocument.spreadsheetml.externalLink+xml"/>
  <Override PartName="/xl/externalLinks/externalLink521.xml" ContentType="application/vnd.openxmlformats-officedocument.spreadsheetml.externalLink+xml"/>
  <Override PartName="/xl/externalLinks/externalLink522.xml" ContentType="application/vnd.openxmlformats-officedocument.spreadsheetml.externalLink+xml"/>
  <Override PartName="/xl/externalLinks/externalLink523.xml" ContentType="application/vnd.openxmlformats-officedocument.spreadsheetml.externalLink+xml"/>
  <Override PartName="/xl/externalLinks/externalLink524.xml" ContentType="application/vnd.openxmlformats-officedocument.spreadsheetml.externalLink+xml"/>
  <Override PartName="/xl/externalLinks/externalLink525.xml" ContentType="application/vnd.openxmlformats-officedocument.spreadsheetml.externalLink+xml"/>
  <Override PartName="/xl/externalLinks/externalLink526.xml" ContentType="application/vnd.openxmlformats-officedocument.spreadsheetml.externalLink+xml"/>
  <Override PartName="/xl/externalLinks/externalLink527.xml" ContentType="application/vnd.openxmlformats-officedocument.spreadsheetml.externalLink+xml"/>
  <Override PartName="/xl/externalLinks/externalLink528.xml" ContentType="application/vnd.openxmlformats-officedocument.spreadsheetml.externalLink+xml"/>
  <Override PartName="/xl/externalLinks/externalLink529.xml" ContentType="application/vnd.openxmlformats-officedocument.spreadsheetml.externalLink+xml"/>
  <Override PartName="/xl/externalLinks/externalLink53.xml" ContentType="application/vnd.openxmlformats-officedocument.spreadsheetml.externalLink+xml"/>
  <Override PartName="/xl/externalLinks/externalLink530.xml" ContentType="application/vnd.openxmlformats-officedocument.spreadsheetml.externalLink+xml"/>
  <Override PartName="/xl/externalLinks/externalLink531.xml" ContentType="application/vnd.openxmlformats-officedocument.spreadsheetml.externalLink+xml"/>
  <Override PartName="/xl/externalLinks/externalLink532.xml" ContentType="application/vnd.openxmlformats-officedocument.spreadsheetml.externalLink+xml"/>
  <Override PartName="/xl/externalLinks/externalLink533.xml" ContentType="application/vnd.openxmlformats-officedocument.spreadsheetml.externalLink+xml"/>
  <Override PartName="/xl/externalLinks/externalLink534.xml" ContentType="application/vnd.openxmlformats-officedocument.spreadsheetml.externalLink+xml"/>
  <Override PartName="/xl/externalLinks/externalLink535.xml" ContentType="application/vnd.openxmlformats-officedocument.spreadsheetml.externalLink+xml"/>
  <Override PartName="/xl/externalLinks/externalLink536.xml" ContentType="application/vnd.openxmlformats-officedocument.spreadsheetml.externalLink+xml"/>
  <Override PartName="/xl/externalLinks/externalLink537.xml" ContentType="application/vnd.openxmlformats-officedocument.spreadsheetml.externalLink+xml"/>
  <Override PartName="/xl/externalLinks/externalLink538.xml" ContentType="application/vnd.openxmlformats-officedocument.spreadsheetml.externalLink+xml"/>
  <Override PartName="/xl/externalLinks/externalLink539.xml" ContentType="application/vnd.openxmlformats-officedocument.spreadsheetml.externalLink+xml"/>
  <Override PartName="/xl/externalLinks/externalLink54.xml" ContentType="application/vnd.openxmlformats-officedocument.spreadsheetml.externalLink+xml"/>
  <Override PartName="/xl/externalLinks/externalLink540.xml" ContentType="application/vnd.openxmlformats-officedocument.spreadsheetml.externalLink+xml"/>
  <Override PartName="/xl/externalLinks/externalLink541.xml" ContentType="application/vnd.openxmlformats-officedocument.spreadsheetml.externalLink+xml"/>
  <Override PartName="/xl/externalLinks/externalLink542.xml" ContentType="application/vnd.openxmlformats-officedocument.spreadsheetml.externalLink+xml"/>
  <Override PartName="/xl/externalLinks/externalLink543.xml" ContentType="application/vnd.openxmlformats-officedocument.spreadsheetml.externalLink+xml"/>
  <Override PartName="/xl/externalLinks/externalLink544.xml" ContentType="application/vnd.openxmlformats-officedocument.spreadsheetml.externalLink+xml"/>
  <Override PartName="/xl/externalLinks/externalLink545.xml" ContentType="application/vnd.openxmlformats-officedocument.spreadsheetml.externalLink+xml"/>
  <Override PartName="/xl/externalLinks/externalLink546.xml" ContentType="application/vnd.openxmlformats-officedocument.spreadsheetml.externalLink+xml"/>
  <Override PartName="/xl/externalLinks/externalLink547.xml" ContentType="application/vnd.openxmlformats-officedocument.spreadsheetml.externalLink+xml"/>
  <Override PartName="/xl/externalLinks/externalLink548.xml" ContentType="application/vnd.openxmlformats-officedocument.spreadsheetml.externalLink+xml"/>
  <Override PartName="/xl/externalLinks/externalLink549.xml" ContentType="application/vnd.openxmlformats-officedocument.spreadsheetml.externalLink+xml"/>
  <Override PartName="/xl/externalLinks/externalLink55.xml" ContentType="application/vnd.openxmlformats-officedocument.spreadsheetml.externalLink+xml"/>
  <Override PartName="/xl/externalLinks/externalLink550.xml" ContentType="application/vnd.openxmlformats-officedocument.spreadsheetml.externalLink+xml"/>
  <Override PartName="/xl/externalLinks/externalLink551.xml" ContentType="application/vnd.openxmlformats-officedocument.spreadsheetml.externalLink+xml"/>
  <Override PartName="/xl/externalLinks/externalLink552.xml" ContentType="application/vnd.openxmlformats-officedocument.spreadsheetml.externalLink+xml"/>
  <Override PartName="/xl/externalLinks/externalLink553.xml" ContentType="application/vnd.openxmlformats-officedocument.spreadsheetml.externalLink+xml"/>
  <Override PartName="/xl/externalLinks/externalLink554.xml" ContentType="application/vnd.openxmlformats-officedocument.spreadsheetml.externalLink+xml"/>
  <Override PartName="/xl/externalLinks/externalLink555.xml" ContentType="application/vnd.openxmlformats-officedocument.spreadsheetml.externalLink+xml"/>
  <Override PartName="/xl/externalLinks/externalLink556.xml" ContentType="application/vnd.openxmlformats-officedocument.spreadsheetml.externalLink+xml"/>
  <Override PartName="/xl/externalLinks/externalLink557.xml" ContentType="application/vnd.openxmlformats-officedocument.spreadsheetml.externalLink+xml"/>
  <Override PartName="/xl/externalLinks/externalLink558.xml" ContentType="application/vnd.openxmlformats-officedocument.spreadsheetml.externalLink+xml"/>
  <Override PartName="/xl/externalLinks/externalLink559.xml" ContentType="application/vnd.openxmlformats-officedocument.spreadsheetml.externalLink+xml"/>
  <Override PartName="/xl/externalLinks/externalLink56.xml" ContentType="application/vnd.openxmlformats-officedocument.spreadsheetml.externalLink+xml"/>
  <Override PartName="/xl/externalLinks/externalLink560.xml" ContentType="application/vnd.openxmlformats-officedocument.spreadsheetml.externalLink+xml"/>
  <Override PartName="/xl/externalLinks/externalLink561.xml" ContentType="application/vnd.openxmlformats-officedocument.spreadsheetml.externalLink+xml"/>
  <Override PartName="/xl/externalLinks/externalLink562.xml" ContentType="application/vnd.openxmlformats-officedocument.spreadsheetml.externalLink+xml"/>
  <Override PartName="/xl/externalLinks/externalLink563.xml" ContentType="application/vnd.openxmlformats-officedocument.spreadsheetml.externalLink+xml"/>
  <Override PartName="/xl/externalLinks/externalLink564.xml" ContentType="application/vnd.openxmlformats-officedocument.spreadsheetml.externalLink+xml"/>
  <Override PartName="/xl/externalLinks/externalLink565.xml" ContentType="application/vnd.openxmlformats-officedocument.spreadsheetml.externalLink+xml"/>
  <Override PartName="/xl/externalLinks/externalLink566.xml" ContentType="application/vnd.openxmlformats-officedocument.spreadsheetml.externalLink+xml"/>
  <Override PartName="/xl/externalLinks/externalLink567.xml" ContentType="application/vnd.openxmlformats-officedocument.spreadsheetml.externalLink+xml"/>
  <Override PartName="/xl/externalLinks/externalLink568.xml" ContentType="application/vnd.openxmlformats-officedocument.spreadsheetml.externalLink+xml"/>
  <Override PartName="/xl/externalLinks/externalLink569.xml" ContentType="application/vnd.openxmlformats-officedocument.spreadsheetml.externalLink+xml"/>
  <Override PartName="/xl/externalLinks/externalLink57.xml" ContentType="application/vnd.openxmlformats-officedocument.spreadsheetml.externalLink+xml"/>
  <Override PartName="/xl/externalLinks/externalLink570.xml" ContentType="application/vnd.openxmlformats-officedocument.spreadsheetml.externalLink+xml"/>
  <Override PartName="/xl/externalLinks/externalLink571.xml" ContentType="application/vnd.openxmlformats-officedocument.spreadsheetml.externalLink+xml"/>
  <Override PartName="/xl/externalLinks/externalLink572.xml" ContentType="application/vnd.openxmlformats-officedocument.spreadsheetml.externalLink+xml"/>
  <Override PartName="/xl/externalLinks/externalLink573.xml" ContentType="application/vnd.openxmlformats-officedocument.spreadsheetml.externalLink+xml"/>
  <Override PartName="/xl/externalLinks/externalLink574.xml" ContentType="application/vnd.openxmlformats-officedocument.spreadsheetml.externalLink+xml"/>
  <Override PartName="/xl/externalLinks/externalLink575.xml" ContentType="application/vnd.openxmlformats-officedocument.spreadsheetml.externalLink+xml"/>
  <Override PartName="/xl/externalLinks/externalLink576.xml" ContentType="application/vnd.openxmlformats-officedocument.spreadsheetml.externalLink+xml"/>
  <Override PartName="/xl/externalLinks/externalLink577.xml" ContentType="application/vnd.openxmlformats-officedocument.spreadsheetml.externalLink+xml"/>
  <Override PartName="/xl/externalLinks/externalLink578.xml" ContentType="application/vnd.openxmlformats-officedocument.spreadsheetml.externalLink+xml"/>
  <Override PartName="/xl/externalLinks/externalLink579.xml" ContentType="application/vnd.openxmlformats-officedocument.spreadsheetml.externalLink+xml"/>
  <Override PartName="/xl/externalLinks/externalLink58.xml" ContentType="application/vnd.openxmlformats-officedocument.spreadsheetml.externalLink+xml"/>
  <Override PartName="/xl/externalLinks/externalLink580.xml" ContentType="application/vnd.openxmlformats-officedocument.spreadsheetml.externalLink+xml"/>
  <Override PartName="/xl/externalLinks/externalLink581.xml" ContentType="application/vnd.openxmlformats-officedocument.spreadsheetml.externalLink+xml"/>
  <Override PartName="/xl/externalLinks/externalLink582.xml" ContentType="application/vnd.openxmlformats-officedocument.spreadsheetml.externalLink+xml"/>
  <Override PartName="/xl/externalLinks/externalLink583.xml" ContentType="application/vnd.openxmlformats-officedocument.spreadsheetml.externalLink+xml"/>
  <Override PartName="/xl/externalLinks/externalLink584.xml" ContentType="application/vnd.openxmlformats-officedocument.spreadsheetml.externalLink+xml"/>
  <Override PartName="/xl/externalLinks/externalLink585.xml" ContentType="application/vnd.openxmlformats-officedocument.spreadsheetml.externalLink+xml"/>
  <Override PartName="/xl/externalLinks/externalLink586.xml" ContentType="application/vnd.openxmlformats-officedocument.spreadsheetml.externalLink+xml"/>
  <Override PartName="/xl/externalLinks/externalLink587.xml" ContentType="application/vnd.openxmlformats-officedocument.spreadsheetml.externalLink+xml"/>
  <Override PartName="/xl/externalLinks/externalLink588.xml" ContentType="application/vnd.openxmlformats-officedocument.spreadsheetml.externalLink+xml"/>
  <Override PartName="/xl/externalLinks/externalLink589.xml" ContentType="application/vnd.openxmlformats-officedocument.spreadsheetml.externalLink+xml"/>
  <Override PartName="/xl/externalLinks/externalLink59.xml" ContentType="application/vnd.openxmlformats-officedocument.spreadsheetml.externalLink+xml"/>
  <Override PartName="/xl/externalLinks/externalLink590.xml" ContentType="application/vnd.openxmlformats-officedocument.spreadsheetml.externalLink+xml"/>
  <Override PartName="/xl/externalLinks/externalLink591.xml" ContentType="application/vnd.openxmlformats-officedocument.spreadsheetml.externalLink+xml"/>
  <Override PartName="/xl/externalLinks/externalLink592.xml" ContentType="application/vnd.openxmlformats-officedocument.spreadsheetml.externalLink+xml"/>
  <Override PartName="/xl/externalLinks/externalLink593.xml" ContentType="application/vnd.openxmlformats-officedocument.spreadsheetml.externalLink+xml"/>
  <Override PartName="/xl/externalLinks/externalLink594.xml" ContentType="application/vnd.openxmlformats-officedocument.spreadsheetml.externalLink+xml"/>
  <Override PartName="/xl/externalLinks/externalLink595.xml" ContentType="application/vnd.openxmlformats-officedocument.spreadsheetml.externalLink+xml"/>
  <Override PartName="/xl/externalLinks/externalLink596.xml" ContentType="application/vnd.openxmlformats-officedocument.spreadsheetml.externalLink+xml"/>
  <Override PartName="/xl/externalLinks/externalLink597.xml" ContentType="application/vnd.openxmlformats-officedocument.spreadsheetml.externalLink+xml"/>
  <Override PartName="/xl/externalLinks/externalLink6.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ns2="http://schemas.microsoft.com/office/spreadsheetml/2018/calcfeatures" xmlns:r="http://schemas.openxmlformats.org/officeDocument/2006/relationships">
  <fileVersion appName="xl" lastEdited="3" lowestEdited="5" rupBuild="9302"/>
  <workbookPr codeName="ThisWorkbook"/>
  <bookViews>
    <workbookView windowWidth="13515" windowHeight="11745" tabRatio="935" activeTab="1"/>
  </bookViews>
  <sheets>
    <sheet name="分项汇总表" sheetId="36" r:id="rId1"/>
    <sheet name="清单 " sheetId="38" r:id="rId2"/>
  </sheets>
  <definedNames>
    <definedName name="_xlnm._FilterDatabase" localSheetId="1" hidden="1">'清单 '!$A$1:$H$2148</definedName>
    <definedName name="HWSheet">1</definedName>
    <definedName name="\a">#N/A</definedName>
    <definedName name="\b">#N/A</definedName>
    <definedName name="_">"="</definedName>
    <definedName name="____________a11">{"'장비'!$A$3:$M$12"}</definedName>
    <definedName name="____________H3">{"'장비'!$A$3:$M$12"}</definedName>
    <definedName name="______a11">{"'장비'!$A$3:$M$12"}</definedName>
    <definedName name="______H3">{"'장비'!$A$3:$M$12"}</definedName>
    <definedName name="____a11">{"'장비'!$A$3:$M$12"}</definedName>
    <definedName name="____H3">{"'장비'!$A$3:$M$12"}</definedName>
    <definedName name="____xlfn.SUMIFS" hidden="1">#NAME?</definedName>
    <definedName name="___MCC3" hidden="1">{#N/A,#N/A,FALSE,"CCTV"}</definedName>
    <definedName name="___xlfn.SUMIFS" hidden="1">#NAME?</definedName>
    <definedName name="__a11">{"'장비'!$A$3:$M$12"}</definedName>
    <definedName name="__DemandLoad">TRUE</definedName>
    <definedName name="__H3">{"'장비'!$A$3:$M$12"}</definedName>
    <definedName name="__IntlFixup">TRUE</definedName>
    <definedName name="__MCC3" hidden="1">{#N/A,#N/A,FALSE,"CCTV"}</definedName>
    <definedName name="__P3" hidden="1">{#N/A,#N/A,FALSE,"배수1"}</definedName>
    <definedName name="__P4" hidden="1">{#N/A,#N/A,FALSE,"혼합골재"}</definedName>
    <definedName name="__P5" hidden="1">{#N/A,#N/A,FALSE,"배수1"}</definedName>
    <definedName name="__P6" hidden="1">{#N/A,#N/A,FALSE,"2~8번"}</definedName>
    <definedName name="__S3" hidden="1">{#N/A,#N/A,FALSE,"포장2"}</definedName>
    <definedName name="__tt1">"tt1"</definedName>
    <definedName name="__xlfn.SUMIFS" hidden="1">#NAME?</definedName>
    <definedName name="_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10A1_">{"Book1","civilbm.xls"}</definedName>
    <definedName name="_14A1_">{"Book1","civilbm.xls"}</definedName>
    <definedName name="_26P3_" hidden="1">{#N/A,#N/A,FALSE,"배수1"}</definedName>
    <definedName name="_28P4_" hidden="1">{#N/A,#N/A,FALSE,"혼합골재"}</definedName>
    <definedName name="_30P5_" hidden="1">{#N/A,#N/A,FALSE,"배수1"}</definedName>
    <definedName name="_32P6_" hidden="1">{#N/A,#N/A,FALSE,"2~8번"}</definedName>
    <definedName name="_34S3_" hidden="1">{#N/A,#N/A,FALSE,"포장2"}</definedName>
    <definedName name="_A1">{"Book1","civilbm.xls"}</definedName>
    <definedName name="_MCC3" hidden="1">{#N/A,#N/A,FALSE,"CCTV"}</definedName>
    <definedName name="_Order1" hidden="1">255</definedName>
    <definedName name="_Order2" hidden="1">255</definedName>
    <definedName name="_P3" hidden="1">{#N/A,#N/A,FALSE,"배수1"}</definedName>
    <definedName name="_P4" hidden="1">{#N/A,#N/A,FALSE,"혼합골재"}</definedName>
    <definedName name="_P5" hidden="1">{#N/A,#N/A,FALSE,"배수1"}</definedName>
    <definedName name="_P6" hidden="1">{#N/A,#N/A,FALSE,"2~8번"}</definedName>
    <definedName name="_Regression_Int">1</definedName>
    <definedName name="_S3" hidden="1">{#N/A,#N/A,FALSE,"포장2"}</definedName>
    <definedName name="_tl1" hidden="1">{"'现金流量表（全部投资）'!$B$4:$P$23"}</definedName>
    <definedName name="_tt1">"tt1"</definedName>
    <definedName name="√">"SQRT"</definedName>
    <definedName name="AAA">{"'장비'!$A$3:$M$12"}</definedName>
    <definedName name="aaaaaa" hidden="1">{#N/A,#N/A,FALSE,"속도"}</definedName>
    <definedName name="aaaaaaaaaa" hidden="1">{#N/A,#N/A,FALSE,"포장1";#N/A,#N/A,FALSE,"포장1"}</definedName>
    <definedName name="aaafff">{"'장비'!$A$3:$M$12"}</definedName>
    <definedName name="AccessDatabase" hidden="1">"D:\_genkou\excel97\sample\支店集計作業\本社合計2.mdb"</definedName>
    <definedName name="ADITION">{"'장비'!$A$3:$M$12"}</definedName>
    <definedName name="ads">BlankMacro1</definedName>
    <definedName name="afsdf">{"Book1","civilbm.xls"}</definedName>
    <definedName name="agfg">{"'장비'!$A$3:$M$12"}</definedName>
    <definedName name="ANC">"Edit Box 57"</definedName>
    <definedName name="anscount" hidden="1">1</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mor" hidden="1">{#N/A,#N/A,FALSE,"전체집계표";#N/A,#N/A,FALSE,"안벽30000";#N/A,#N/A,FALSE,"안벽20000";#N/A,#N/A,FALSE,"내호안";#N/A,#N/A,FALSE,"외호안";#N/A,#N/A,FALSE,"준설토A";#N/A,#N/A,FALSE,"준설토B";#N/A,#N/A,FALSE,"적출장"}</definedName>
    <definedName name="ASDD">{"Book1","attach.xls"}</definedName>
    <definedName name="basin">{"'장비'!$A$3:$M$12"}</definedName>
    <definedName name="BFDF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lockc" hidden="1">{#N/A,#N/A,FALSE,"전체집계표";#N/A,#N/A,FALSE,"안벽30000";#N/A,#N/A,FALSE,"안벽20000";#N/A,#N/A,FALSE,"내호안";#N/A,#N/A,FALSE,"외호안";#N/A,#N/A,FALSE,"준설토A";#N/A,#N/A,FALSE,"준설토B";#N/A,#N/A,FALSE,"적출장"}</definedName>
    <definedName name="Button_3">"vlvlist_vlvlist_List"</definedName>
    <definedName name="bvjdtr" hidden="1">{"'Sheet1'!$A$1:$L$49"}</definedName>
    <definedName name="CARL" hidden="1">{#N/A,#N/A,FALSE,"CCTV"}</definedName>
    <definedName name="CARL1" hidden="1">{#N/A,#N/A,FALSE,"CCTV"}</definedName>
    <definedName name="CARL2" hidden="1">{#N/A,#N/A,FALSE,"CCTV"}</definedName>
    <definedName name="casson3" hidden="1">{#N/A,#N/A,FALSE,"전체집계표";#N/A,#N/A,FALSE,"안벽30000";#N/A,#N/A,FALSE,"안벽20000";#N/A,#N/A,FALSE,"내호안";#N/A,#N/A,FALSE,"외호안";#N/A,#N/A,FALSE,"준설토A";#N/A,#N/A,FALSE,"준설토B";#N/A,#N/A,FALSE,"적출장"}</definedName>
    <definedName name="cbcv">{"Book1","civilbm.xls"}</definedName>
    <definedName name="CCC"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hemical" hidden="1">{#N/A,#N/A,FALSE,"CCTV"}</definedName>
    <definedName name="civil2">{"'장비'!$A$3:$M$12"}</definedName>
    <definedName name="coping">BLCH</definedName>
    <definedName name="CQ"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dddddd" hidden="1">{#N/A,#N/A,FALSE,"이정표"}</definedName>
    <definedName name="dddf">{"'장비'!$A$3:$M$12"}</definedName>
    <definedName name="Deck3">"Group 246"</definedName>
    <definedName name="DFASFD" hidden="1">{#N/A,#N/A,FALSE,"골재소요량";#N/A,#N/A,FALSE,"골재소요량"}</definedName>
    <definedName name="DFDASFGDASG" hidden="1">{#N/A,#N/A,FALSE,"단가표지"}</definedName>
    <definedName name="dfdf">{"'장비'!$A$3:$M$12"}</definedName>
    <definedName name="DFDFDF" hidden="1">{#N/A,#N/A,FALSE,"단가표지"}</definedName>
    <definedName name="DFDSADFADSF" hidden="1">{#N/A,#N/A,FALSE,"2~8번"}</definedName>
    <definedName name="DFDSAFDFD" hidden="1">{#N/A,#N/A,FALSE,"부대1"}</definedName>
    <definedName name="DFDSAFSFG" hidden="1">{#N/A,#N/A,FALSE,"구조2"}</definedName>
    <definedName name="DFDSAGFDSAG" hidden="1">{#N/A,#N/A,FALSE,"혼합골재"}</definedName>
    <definedName name="DFDSFD" hidden="1">{#N/A,#N/A,FALSE,"속도"}</definedName>
    <definedName name="DFDSFDFDFD" hidden="1">{#N/A,#N/A,FALSE,"구조1"}</definedName>
    <definedName name="DFDSFDS" hidden="1">{#N/A,#N/A,FALSE,"부대2"}</definedName>
    <definedName name="dfdsfsdaf">BlankMacro1</definedName>
    <definedName name="DFDSSF" hidden="1">{#N/A,#N/A,FALSE,"이정표"}</definedName>
    <definedName name="DFGADSGAFDG" hidden="1">{#N/A,#N/A,FALSE,"운반시간"}</definedName>
    <definedName name="dfgdf">{"Book1","civilbm.xls"}</definedName>
    <definedName name="DFGSDFGSDGSD">{"'장비'!$A$3:$M$12"}</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IAMOND">{"'장비'!$A$3:$M$12"}</definedName>
    <definedName name="DMKJUXF" hidden="1">{#N/A,#N/A,FALSE,"포장2"}</definedName>
    <definedName name="ds">{"Book1","civilbm.xls"}</definedName>
    <definedName name="DSFS">{"Book1","attach.xls"}</definedName>
    <definedName name="dsgqerq" hidden="1">{"'Sheet1'!$A$1:$L$49"}</definedName>
    <definedName name="ED" hidden="1">{#N/A,#N/A,FALSE,"CCTV"}</definedName>
    <definedName name="ELLEN1" hidden="1">{#N/A,#N/A,FALSE,"CCTV"}</definedName>
    <definedName name="ELLEN10" hidden="1">{#N/A,#N/A,FALSE,"CCTV"}</definedName>
    <definedName name="ELLEN11" hidden="1">{#N/A,#N/A,FALSE,"CCTV"}</definedName>
    <definedName name="ELLEN12" hidden="1">{#N/A,#N/A,FALSE,"CCTV"}</definedName>
    <definedName name="ELLEN13" hidden="1">{#N/A,#N/A,FALSE,"CCTV"}</definedName>
    <definedName name="ELLEN14" hidden="1">{#N/A,#N/A,FALSE,"CCTV"}</definedName>
    <definedName name="ELLEN15" hidden="1">{#N/A,#N/A,FALSE,"CCTV"}</definedName>
    <definedName name="ELLEN16" hidden="1">{#N/A,#N/A,FALSE,"CCTV"}</definedName>
    <definedName name="ELLEN17" hidden="1">{#N/A,#N/A,FALSE,"CCTV"}</definedName>
    <definedName name="ELLEN18" hidden="1">{#N/A,#N/A,FALSE,"CCTV"}</definedName>
    <definedName name="ELLEN19" hidden="1">{#N/A,#N/A,FALSE,"CCTV"}</definedName>
    <definedName name="ELLEN2" hidden="1">{#N/A,#N/A,FALSE,"CCTV"}</definedName>
    <definedName name="ELLEN3" hidden="1">{#N/A,#N/A,FALSE,"CCTV"}</definedName>
    <definedName name="ELLEN4" hidden="1">{#N/A,#N/A,FALSE,"CCTV"}</definedName>
    <definedName name="ELLEN5" hidden="1">{#N/A,#N/A,FALSE,"CCTV"}</definedName>
    <definedName name="ELLEN6" hidden="1">{#N/A,#N/A,FALSE,"CCTV"}</definedName>
    <definedName name="ELLEN7" hidden="1">{#N/A,#N/A,FALSE,"CCTV"}</definedName>
    <definedName name="ELLEN8" hidden="1">{#N/A,#N/A,FALSE,"CCTV"}</definedName>
    <definedName name="ELLEN9" hidden="1">{#N/A,#N/A,FALSE,"CCTV"}</definedName>
    <definedName name="ert">{"'장비'!$A$3:$M$12"}</definedName>
    <definedName name="erty">{"'장비'!$A$3:$M$12"}</definedName>
    <definedName name="ET" hidden="1">{#N/A,#N/A,FALSE,"CCTV"}</definedName>
    <definedName name="etyy" hidden="1">{#N/A,#N/A,FALSE,"조골재"}</definedName>
    <definedName name="EWQE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WE" hidden="1">{"'장비'!$A$3:$M$12"}</definedName>
    <definedName name="ewrweq">{"'장비'!$A$3:$M$12"}</definedName>
    <definedName name="fda">BlankMacro1</definedName>
    <definedName name="FD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GDFAGFD" hidden="1">{#N/A,#N/A,FALSE,"포장1";#N/A,#N/A,FALSE,"포장1"}</definedName>
    <definedName name="fdgfdg" hidden="1">{#N/A,#N/A,FALSE,"2~8번"}</definedName>
    <definedName name="fdgfgf" hidden="1">{#N/A,#N/A,FALSE,"운반시간"}</definedName>
    <definedName name="FDSA" hidden="1">{#N/A,#N/A,FALSE,"CCTV"}</definedName>
    <definedName name="FFDGF" hidden="1">{#N/A,#N/A,FALSE,"부대2"}</definedName>
    <definedName name="fff" hidden="1">{#N/A,#N/A,FALSE,"CCTV"}</definedName>
    <definedName name="ffff" hidden="1">{"CONCABL1.1",#N/A,FALSE,"1.1.1a1.1.3 ACSR";"AISL1.2",#N/A,FALSE,"1.1.1a1.1.3 ACSR";"torr1.1.3",#N/A,FALSE,"1.1.1a1.1.3 ACSR";"cm1.2",#N/A,FALSE,"1.2 ACSR";"cm2.2",#N/A,FALSE,"1.2 ACSR";#N/A,#N/A,FALSE,"1.3 ACSR";#N/A,#N/A,FALSE,"2.1.1A2.1.3 ACAR";"ac2.1",#N/A,FALSE,"1.2 ACAR";"ac2.2",#N/A,FALSE,"1.2 ACAR";#N/A,#N/A,FALSE,"2.3 ACAR"}</definedName>
    <definedName name="FFFFF" hidden="1">{#N/A,#N/A,FALSE,"CCTV"}</definedName>
    <definedName name="ffffff" hidden="1">{#N/A,#N/A,FALSE,"조골재"}</definedName>
    <definedName name="fffffffg">{"'장비'!$A$3:$M$12"}</definedName>
    <definedName name="ffgfg">{"'장비'!$A$3:$M$12"}</definedName>
    <definedName name="FGDAG" hidden="1">{#N/A,#N/A,FALSE,"포장2"}</definedName>
    <definedName name="FGDAGFG" hidden="1">{#N/A,#N/A,FALSE,"혼합골재"}</definedName>
    <definedName name="fgfadgf" hidden="1">{#N/A,#N/A,FALSE,"혼합골재"}</definedName>
    <definedName name="FGFDG" hidden="1">{#N/A,#N/A,FALSE,"표지목차"}</definedName>
    <definedName name="fgfdgffff" hidden="1">{#N/A,#N/A,FALSE,"부대2"}</definedName>
    <definedName name="fgfdsgdfg" hidden="1">{#N/A,#N/A,FALSE,"혼합골재"}</definedName>
    <definedName name="fgfj">{"Book1","civilbm.xls"}</definedName>
    <definedName name="fghfdagfd" hidden="1">{#N/A,#N/A,FALSE,"표지목차"}</definedName>
    <definedName name="fhddg" hidden="1">{#N/A,#N/A,FALSE,"부대1"}</definedName>
    <definedName name="FOR" hidden="1">{#N/A,#N/A,FALSE,"CCTV"}</definedName>
    <definedName name="FORMAT" hidden="1">{#N/A,#N/A,FALSE,"CCTV"}</definedName>
    <definedName name="F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BlankMacro1</definedName>
    <definedName name="gdd">{"Book1","civilbm.xls"}</definedName>
    <definedName name="G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S" hidden="1">{#N/A,#N/A,FALSE,"CCTV"}</definedName>
    <definedName name="G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FHGFHF" hidden="1">{#N/A,#N/A,FALSE,"토공2"}</definedName>
    <definedName name="gfhgh" hidden="1">{#N/A,#N/A,FALSE,"배수2"}</definedName>
    <definedName name="GFJHJFRTY" hidden="1">{"'Sheet1'!$A$1:$L$49"}</definedName>
    <definedName name="ggfhgfshgh" hidden="1">{#N/A,#N/A,FALSE,"포장2"}</definedName>
    <definedName name="ggg">BlankMacro1</definedName>
    <definedName name="gggg">{"'장비'!$A$3:$M$12"}</definedName>
    <definedName name="ggggg">{"'장비'!$A$3:$M$12"}</definedName>
    <definedName name="ghgfh" hidden="1">{#N/A,#N/A,FALSE,"포장2"}</definedName>
    <definedName name="GJHGLI" hidden="1">{#N/A,#N/A,FALSE,"포장1";#N/A,#N/A,FALSE,"포장1"}</definedName>
    <definedName name="half" hidden="1">{#N/A,#N/A,FALSE,"전체집계표";#N/A,#N/A,FALSE,"안벽30000";#N/A,#N/A,FALSE,"안벽20000";#N/A,#N/A,FALSE,"내호안";#N/A,#N/A,FALSE,"외호안";#N/A,#N/A,FALSE,"준설토A";#N/A,#N/A,FALSE,"준설토B";#N/A,#N/A,FALSE,"적출장"}</definedName>
    <definedName name="hgd" hidden="1">{#N/A,#N/A,FALSE,"배수2"}</definedName>
    <definedName name="HTJTY" hidden="1">{"'Sheet1'!$A$1:$L$49"}</definedName>
    <definedName name="HTML">{"'장비'!$A$3:$M$12"}</definedName>
    <definedName name="HTML_CodePage" hidden="1">936</definedName>
    <definedName name="HTML_Control" hidden="1">{"'现金流量表（全部投资）'!$B$4:$P$23"}</definedName>
    <definedName name="HTML_Description" hidden="1">"lin zijian"</definedName>
    <definedName name="HTML_Email" hidden="1">""</definedName>
    <definedName name="HTML_Header" hidden="1">"现金流量表（全部投资）"</definedName>
    <definedName name="HTML_LastUpdate" hidden="1">"96-12-2"</definedName>
    <definedName name="HTML_LineAfter" hidden="1">TRUE</definedName>
    <definedName name="HTML_LineBefore" hidden="1">TRUE</definedName>
    <definedName name="HTML_Name" hidden="1">"linzijia"</definedName>
    <definedName name="HTML_OBDlg2" hidden="1">TRUE</definedName>
    <definedName name="HTML_OBDlg4" hidden="1">TRUE</definedName>
    <definedName name="HTML_OS" hidden="1">0</definedName>
    <definedName name="HTML_PathFile" hidden="1">"C:\lin\bk\MyHTML.htm"</definedName>
    <definedName name="HTML_Title" hidden="1">"PROJECT11"</definedName>
    <definedName name="HTML1">{"'장비'!$A$3:$M$12"}</definedName>
    <definedName name="IOIOIOIO" hidden="1">{#N/A,#N/A,FALSE,"표지목차"}</definedName>
    <definedName name="iuii6r" hidden="1">{#N/A,#N/A,FALSE,"포장2"}</definedName>
    <definedName name="iuo" hidden="1">{#N/A,#N/A,FALSE,"이정표"}</definedName>
    <definedName name="iuoo" hidden="1">{#N/A,#N/A,FALSE,"구조1"}</definedName>
    <definedName name="jgjgjty" hidden="1">{#N/A,#N/A,FALSE,"2~8번"}</definedName>
    <definedName name="jhjjj" hidden="1">{#N/A,#N/A,FALSE,"속도"}</definedName>
    <definedName name="JKJKJKJK" hidden="1">{#N/A,#N/A,FALSE,"포장1";#N/A,#N/A,FALSE,"포장1"}</definedName>
    <definedName name="JMMFF" hidden="1">{#N/A,#N/A,FALSE,"포장1";#N/A,#N/A,FALSE,"포장1"}</definedName>
    <definedName name="JYDFF" hidden="1">{#N/A,#N/A,FALSE,"속도"}</definedName>
    <definedName name="khl" hidden="1">{#N/A,#N/A,FALSE,"2~8번"}</definedName>
    <definedName name="kjkgh">{"'장비'!$A$3:$M$12"}</definedName>
    <definedName name="KLLKLKLK" hidden="1">{#N/A,#N/A,FALSE,"포장2"}</definedName>
    <definedName name="kuky" hidden="1">{#N/A,#N/A,FALSE,"부대1"}</definedName>
    <definedName name="KUYGGDF" hidden="1">{#N/A,#N/A,FALSE,"표지목차"}</definedName>
    <definedName name="LCD">{"Book1","civilbm.xls"}</definedName>
    <definedName name="level">{"'장비'!$A$3:$M$12"}</definedName>
    <definedName name="level1">{"'장비'!$A$3:$M$12"}</definedName>
    <definedName name="light">"Picture 1"</definedName>
    <definedName name="LK" hidden="1">{#N/A,#N/A,FALSE,"CCTV"}</definedName>
    <definedName name="LLLL" hidden="1">{#N/A,#N/A,FALSE,"CCTV"}</definedName>
    <definedName name="M_to_Cm">100</definedName>
    <definedName name="MCCO" hidden="1">{#N/A,#N/A,FALSE,"CCTV"}</definedName>
    <definedName name="MCCO10" hidden="1">{#N/A,#N/A,FALSE,"CCTV"}</definedName>
    <definedName name="MCCO11" hidden="1">{#N/A,#N/A,FALSE,"CCTV"}</definedName>
    <definedName name="MCCO12" hidden="1">{#N/A,#N/A,FALSE,"CCTV"}</definedName>
    <definedName name="MCCO13" hidden="1">{#N/A,#N/A,FALSE,"CCTV"}</definedName>
    <definedName name="MCCO3" hidden="1">{#N/A,#N/A,FALSE,"CCTV"}</definedName>
    <definedName name="MCCO4" hidden="1">{#N/A,#N/A,FALSE,"CCTV"}</definedName>
    <definedName name="MCCO5" hidden="1">{#N/A,#N/A,FALSE,"CCTV"}</definedName>
    <definedName name="MCCO6" hidden="1">{#N/A,#N/A,FALSE,"CCTV"}</definedName>
    <definedName name="MCCO7" hidden="1">{#N/A,#N/A,FALSE,"CCTV"}</definedName>
    <definedName name="MCCO8" hidden="1">{#N/A,#N/A,FALSE,"CCTV"}</definedName>
    <definedName name="MCCO9" hidden="1">{#N/A,#N/A,FALSE,"CCTV"}</definedName>
    <definedName name="MCCOÙ" hidden="1">{#N/A,#N/A,FALSE,"CCTV"}</definedName>
    <definedName name="memo1">{"Book1","attach.xls"}</definedName>
    <definedName name="mm">{"'장비'!$A$3:$M$12"}</definedName>
    <definedName name="MM3_to_M3">0.000001</definedName>
    <definedName name="mmmm">{"'장비'!$A$3:$M$12"}</definedName>
    <definedName name="MN" hidden="1">{#N/A,#N/A,FALSE,"CCTV"}</definedName>
    <definedName name="NEWNAME" hidden="1">{#N/A,#N/A,FALSE,"CCTV"}</definedName>
    <definedName name="NFG" hidden="1">{#N/A,#N/A,FALSE,"배수2"}</definedName>
    <definedName name="NFYJD" hidden="1">{#N/A,#N/A,FALSE,"토공2"}</definedName>
    <definedName name="NGE" hidden="1">{#N/A,#N/A,FALSE,"혼합골재"}</definedName>
    <definedName name="NGFDFNS" hidden="1">{#N/A,#N/A,FALSE,"부대1"}</definedName>
    <definedName name="NRNCG" hidden="1">{#N/A,#N/A,FALSE,"2~8번"}</definedName>
    <definedName name="NTRD" hidden="1">{#N/A,#N/A,FALSE,"배수1"}</definedName>
    <definedName name="NUF" hidden="1">{#N/A,#N/A,FALSE,"운반시간"}</definedName>
    <definedName name="NYDDFG" hidden="1">{#N/A,#N/A,FALSE,"조골재"}</definedName>
    <definedName name="NYDTDS" hidden="1">{#N/A,#N/A,FALSE,"구조2"}</definedName>
    <definedName name="NYFD" hidden="1">{#N/A,#N/A,FALSE,"골재소요량";#N/A,#N/A,FALSE,"골재소요량"}</definedName>
    <definedName name="NYTDY" hidden="1">{#N/A,#N/A,FALSE,"단가표지"}</definedName>
    <definedName name="NYTND" hidden="1">{#N/A,#N/A,FALSE,"구조1"}</definedName>
    <definedName name="o9pr" hidden="1">{#N/A,#N/A,FALSE,"포장1";#N/A,#N/A,FALSE,"포장1"}</definedName>
    <definedName name="oipdu" hidden="1">{#N/A,#N/A,FALSE,"토공2"}</definedName>
    <definedName name="OSBL" hidden="1">{#N/A,#N/A,FALSE,"CCTV"}</definedName>
    <definedName name="ouioo" hidden="1">{#N/A,#N/A,FALSE,"혼합골재"}</definedName>
    <definedName name="peroxide" hidden="1">{#N/A,#N/A,FALSE,"CCTV"}</definedName>
    <definedName name="PP" hidden="1">{#N/A,#N/A,FALSE,"CCTV"}</definedName>
    <definedName name="PRAYER" hidden="1">{#N/A,#N/A,FALSE,"CCTV"}</definedName>
    <definedName name="_xlnm.Print_Titles">#N/A</definedName>
    <definedName name="pump">{"'장비'!$A$3:$M$12"}</definedName>
    <definedName name="qqqq">{"'장비'!$A$3:$M$12"}</definedName>
    <definedName name="QW" hidden="1">{#N/A,#N/A,FALSE,"배수2"}</definedName>
    <definedName name="RFV" hidden="1">{#N/A,#N/A,FALSE,"CCTV"}</definedName>
    <definedName name="rkd" hidden="1">{#N/A,#N/A,FALSE,"CCTV"}</definedName>
    <definedName name="RNAO">{"'장비'!$A$3:$M$12"}</definedName>
    <definedName name="R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RW" hidden="1">{#N/A,#N/A,FALSE,"CCTV"}</definedName>
    <definedName name="RRR" hidden="1">{#N/A,#N/A,FALSE,"포장2"}</definedName>
    <definedName name="R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tytry">{"'장비'!$A$3:$M$12"}</definedName>
    <definedName name="RUYTYUTY6" hidden="1">{"'Sheet1'!$A$1:$L$49"}</definedName>
    <definedName name="SADA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sa" hidden="1">{#N/A,#N/A,FALSE,"CCTV"}</definedName>
    <definedName name="SDCFG\" hidden="1">{#N/A,#N/A,FALSE,"운반시간"}</definedName>
    <definedName name="SDDFD" hidden="1">{#N/A,#N/A,FALSE,"배수1"}</definedName>
    <definedName name="SDF" hidden="1">{#N/A,#N/A,FALSE,"혼합골재"}</definedName>
    <definedName name="sdfdf">{"'장비'!$A$3:$M$12"}</definedName>
    <definedName name="SDFDFD" hidden="1">{#N/A,#N/A,FALSE,"운반시간"}</definedName>
    <definedName name="sdfg">{"Book1","civilbm.xls"}</definedName>
    <definedName name="SDFSF">{"Book1","attach.xls"}</definedName>
    <definedName name="sdfwer">{"Book1","attach.xls"}</definedName>
    <definedName name="sdsdddd" hidden="1">{#N/A,#N/A,FALSE,"토공2"}</definedName>
    <definedName name="sefse">{"'장비'!$A$3:$M$12"}</definedName>
    <definedName name="SEP">{"'장비'!$A$3:$M$12"}</definedName>
    <definedName name="sfd">{"Book1","civilbm.xls"}</definedName>
    <definedName name="sfggf" hidden="1">{#N/A,#N/A,FALSE,"배수1"}</definedName>
    <definedName name="sheet" hidden="1">{#N/A,#N/A,FALSE,"골재소요량";#N/A,#N/A,FALSE,"골재소요량"}</definedName>
    <definedName name="solver_drv" hidden="1">1</definedName>
    <definedName name="solver_est" hidden="1">1</definedName>
    <definedName name="solver_itr" hidden="1">100</definedName>
    <definedName name="solver_lin" hidden="1">0</definedName>
    <definedName name="solver_num" hidden="1">0</definedName>
    <definedName name="solver_nwt" hidden="1">1</definedName>
    <definedName name="solver_pre" hidden="1">0.000001</definedName>
    <definedName name="solver_scl" hidden="1">0</definedName>
    <definedName name="solver_sho" hidden="1">0</definedName>
    <definedName name="solver_tim" hidden="1">100</definedName>
    <definedName name="solver_tol" hidden="1">0.05</definedName>
    <definedName name="solver_typ" hidden="1">1</definedName>
    <definedName name="solver_val" hidden="1">0</definedName>
    <definedName name="SSS" hidden="1">{#N/A,#N/A,FALSE,"CCTV"}</definedName>
    <definedName name="sssss" hidden="1">{#N/A,#N/A,FALSE,"운반시간"}</definedName>
    <definedName name="STAIR">{"'장비'!$A$3:$M$12"}</definedName>
    <definedName name="Sum_Ins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X" hidden="1">{#N/A,#N/A,FALSE,"CCTV"}</definedName>
    <definedName name="temp">{"'장비'!$A$3:$M$12"}</definedName>
    <definedName name="TEWR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G" hidden="1">{#N/A,#N/A,FALSE,"CCTV"}</definedName>
    <definedName name="TNNR" hidden="1">{#N/A,#N/A,FALSE,"이정표"}</definedName>
    <definedName name="TRRR" hidden="1">{#N/A,#N/A,FALSE,"속도"}</definedName>
    <definedName name="trt5yu" hidden="1">{#N/A,#N/A,FALSE,"단가표지"}</definedName>
    <definedName name="trtrtrt" hidden="1">{#N/A,#N/A,FALSE,"골재소요량";#N/A,#N/A,FALSE,"골재소요량"}</definedName>
    <definedName name="TSUPPOT" hidden="1">{#N/A,#N/A,FALSE,"CCTV"}</definedName>
    <definedName name="ttt">{"'장비'!$A$3:$M$12"}</definedName>
    <definedName name="TTTTRFS" hidden="1">{#N/A,#N/A,FALSE,"운반시간"}</definedName>
    <definedName name="TUBE" hidden="1">{#N/A,#N/A,FALSE,"CCTV"}</definedName>
    <definedName name="tuyu" hidden="1">{#N/A,#N/A,FALSE,"운반시간"}</definedName>
    <definedName name="TV" hidden="1">{#N/A,#N/A,FALSE,"CCTV"}</definedName>
    <definedName name="ty">BlankMacro1</definedName>
    <definedName name="TYHFDGFD" hidden="1">{#N/A,#N/A,FALSE,"배수2"}</definedName>
    <definedName name="tyo">BlankMacro1</definedName>
    <definedName name="tyt">{"'장비'!$A$3:$M$12"}</definedName>
    <definedName name="TYUTI7" hidden="1">{"'Sheet1'!$A$1:$L$49"}</definedName>
    <definedName name="tyyuy">{"'장비'!$A$3:$M$12"}</definedName>
    <definedName name="UB" hidden="1">{#N/A,#N/A,FALSE,"CCTV"}</definedName>
    <definedName name="ui">{"'장비'!$A$3:$M$12"}</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k" hidden="1">{#N/A,#N/A,FALSE,"부대2"}</definedName>
    <definedName name="uiuol" hidden="1">{#N/A,#N/A,FALSE,"속도"}</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uuuuu">{"'장비'!$A$3:$M$12"}</definedName>
    <definedName name="uy">{"'장비'!$A$3:$M$12"}</definedName>
    <definedName name="VXCVXVXC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wlcla" hidden="1">{#N/A,#N/A,TRUE,"1";#N/A,#N/A,TRUE,"2";#N/A,#N/A,TRUE,"3";#N/A,#N/A,TRUE,"4";#N/A,#N/A,TRUE,"5";#N/A,#N/A,TRUE,"6";#N/A,#N/A,TRUE,"7"}</definedName>
    <definedName name="WE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ight" hidden="1">{#N/A,#N/A,FALSE,"CCTV"}</definedName>
    <definedName name="WEQ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js">{"'장비'!$A$3:$M$12"}</definedName>
    <definedName name="workshop" hidden="1">{#N/A,#N/A,FALSE,"CCTV"}</definedName>
    <definedName name="WR" hidden="1">{#N/A,#N/A,FALSE,"CCTV"}</definedName>
    <definedName name="WRITE" hidden="1">{#N/A,#N/A,FALSE,"CCTV"}</definedName>
    <definedName name="wrm.부대1" hidden="1">{#N/A,#N/A,FALSE,"부대1"}</definedName>
    <definedName name="wrm.표지" hidden="1">{#N/A,#N/A,FALSE,"표지"}</definedName>
    <definedName name="wrmm.이정표" hidden="1">{#N/A,#N/A,FALSE,"이정표"}</definedName>
    <definedName name="wrn" hidden="1">{#N/A,#N/A,FALSE,"전체집계표";#N/A,#N/A,FALSE,"안벽30000";#N/A,#N/A,FALSE,"안벽20000";#N/A,#N/A,FALSE,"내호안";#N/A,#N/A,FALSE,"외호안";#N/A,#N/A,FALSE,"준설토A";#N/A,#N/A,FALSE,"준설토B";#N/A,#N/A,FALSE,"적출장"}</definedName>
    <definedName name="WRN." hidden="1">{#N/A,#N/A,FALSE,"전체집계표";#N/A,#N/A,FALSE,"안벽30000";#N/A,#N/A,FALSE,"안벽20000";#N/A,#N/A,FALSE,"내호안";#N/A,#N/A,FALSE,"외호안";#N/A,#N/A,FALSE,"준설토A";#N/A,#N/A,FALSE,"준설토B";#N/A,#N/A,FALSE,"적출장"}</definedName>
    <definedName name="wrn.2번." hidden="1">{#N/A,#N/A,FALSE,"2~8번"}</definedName>
    <definedName name="wrn.97년._.사업계획._.및._.예산지침." hidden="1">{#N/A,#N/A,TRUE,"1";#N/A,#N/A,TRUE,"2";#N/A,#N/A,TRUE,"3";#N/A,#N/A,TRUE,"4";#N/A,#N/A,TRUE,"5";#N/A,#N/A,TRUE,"6";#N/A,#N/A,TRUE,"7"}</definedName>
    <definedName name="wrn.BM." hidden="1">{#N/A,#N/A,FALSE,"CCTV"}</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precios." hidden="1">{"CONCABL1.1",#N/A,FALSE,"1.1.1a1.1.3 ACSR";"AISL1.2",#N/A,FALSE,"1.1.1a1.1.3 ACSR";"torr1.1.3",#N/A,FALSE,"1.1.1a1.1.3 ACSR";"cm1.2",#N/A,FALSE,"1.2 ACSR";"cm2.2",#N/A,FALSE,"1.2 ACSR";#N/A,#N/A,FALSE,"1.3 ACSR";#N/A,#N/A,FALSE,"2.1.1A2.1.3 ACAR";"ac2.1",#N/A,FALSE,"1.2 ACAR";"ac2.2",#N/A,FALSE,"1.2 ACAR";#N/A,#N/A,FALSE,"2.3 ACAR"}</definedName>
    <definedName name="wrn.골재소요량." hidden="1">{#N/A,#N/A,FALSE,"골재소요량";#N/A,#N/A,FALSE,"골재소요량"}</definedName>
    <definedName name="wrn.구조2." hidden="1">{#N/A,#N/A,FALSE,"구조2"}</definedName>
    <definedName name="wrn.단가표지." hidden="1">{#N/A,#N/A,FALSE,"단가표지"}</definedName>
    <definedName name="wrn.배수1." hidden="1">{#N/A,#N/A,FALSE,"배수1"}</definedName>
    <definedName name="wrn.배수2." hidden="1">{#N/A,#N/A,FALSE,"배수2"}</definedName>
    <definedName name="wrn.부대1." hidden="1">{#N/A,#N/A,FALSE,"부대1"}</definedName>
    <definedName name="wrn.부대2." hidden="1">{#N/A,#N/A,FALSE,"부대2"}</definedName>
    <definedName name="wrn.속도." hidden="1">{#N/A,#N/A,FALSE,"속도"}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운반시간." hidden="1">{#N/A,#N/A,FALSE,"운반시간"}</definedName>
    <definedName name="wrn.이정표." hidden="1">{#N/A,#N/A,FALSE,"이정표"}</definedName>
    <definedName name="wrn.입적표." hidden="1">{#N/A,#N/A,FALSE,"전체집계표";#N/A,#N/A,FALSE,"안벽30000";#N/A,#N/A,FALSE,"안벽20000";#N/A,#N/A,FALSE,"내호안";#N/A,#N/A,FALSE,"외호안";#N/A,#N/A,FALSE,"준설토A";#N/A,#N/A,FALSE,"준설토B";#N/A,#N/A,FALSE,"적출장"}</definedName>
    <definedName name="wrn.조골재." hidden="1">{#N/A,#N/A,FALSE,"조골재"}</definedName>
    <definedName name="wrn.토공1." hidden="1">{#N/A,#N/A,FALSE,"구조1"}</definedName>
    <definedName name="wrn.토공2." hidden="1">{#N/A,#N/A,FALSE,"토공2"}</definedName>
    <definedName name="wrn.포장1." hidden="1">{#N/A,#N/A,FALSE,"포장1";#N/A,#N/A,FALSE,"포장1"}</definedName>
    <definedName name="wrn.포장2." hidden="1">{#N/A,#N/A,FALSE,"포장2"}</definedName>
    <definedName name="wrn.표지." hidden="1">{#N/A,#N/A,FALSE,"표지"}</definedName>
    <definedName name="wrn.표지목차." hidden="1">{#N/A,#N/A,FALSE,"표지목차"}</definedName>
    <definedName name="wrn.혼합골재." hidden="1">{#N/A,#N/A,FALSE,"혼합골재"}</definedName>
    <definedName name="wwater">{"Book1","civilbm.xls"}</definedName>
    <definedName name="wwww">BLCH</definedName>
    <definedName name="WZ" hidden="1">{#N/A,#N/A,FALSE,"CCTV"}</definedName>
    <definedName name="XC" hidden="1">{#N/A,#N/A,FALSE,"CCTV"}</definedName>
    <definedName name="xcvzsd" hidden="1">{"'Sheet1'!$A$1:$L$49"}</definedName>
    <definedName name="XCZCZ"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x">0.695180392</definedName>
    <definedName name="yiio" hidden="1">{#N/A,#N/A,FALSE,"운반시간"}</definedName>
    <definedName name="yiuouk" hidden="1">{#N/A,#N/A,FALSE,"표지목차"}</definedName>
    <definedName name="ytuu" hidden="1">{#N/A,#N/A,FALSE,"구조2"}</definedName>
    <definedName name="ytyikk" hidden="1">{#N/A,#N/A,FALSE,"배수2"}</definedName>
    <definedName name="ytyio" hidden="1">{#N/A,#N/A,FALSE,"배수1"}</definedName>
    <definedName name="yu">{"'장비'!$A$3:$M$12"}</definedName>
    <definedName name="yuyu">{"'장비'!$A$3:$M$12"}</definedName>
    <definedName name="YUYUY" hidden="1">{#N/A,#N/A,FALSE,"혼합골재"}</definedName>
    <definedName name="yuyuyu">{"'장비'!$A$3:$M$12"}</definedName>
    <definedName name="yyyyy">{"'장비'!$A$3:$M$12"}</definedName>
    <definedName name="zx">{"'장비'!$A$3:$M$12"}</definedName>
    <definedName name="π">PI()</definedName>
    <definedName name="가르">BlankMacro1</definedName>
    <definedName name="가설재" hidden="1">{#N/A,#N/A,FALSE,"혼합골재"}</definedName>
    <definedName name="감리">BlankMacro1</definedName>
    <definedName name="강재" hidden="1">{#N/A,#N/A,FALSE,"혼합골재"}</definedName>
    <definedName name="건호">{"Book1","survey report.xls"}</definedName>
    <definedName name="겡오" hidden="1">{#N/A,#N/A,FALSE,"CCTV"}</definedName>
    <definedName name="견적" hidden="1">{#N/A,#N/A,FALSE,"CCTV"}</definedName>
    <definedName name="견적2" hidden="1">{#N/A,#N/A,FALSE,"CCTV"}</definedName>
    <definedName name="견적SHEET" hidden="1">{#N/A,#N/A,FALSE,"CCTV"}</definedName>
    <definedName name="견적조건3">{"Book1","도곡1실행.xls"}</definedName>
    <definedName name="견적품의서">{"'장비'!$A$3:$M$12"}</definedName>
    <definedName name="경비2차분">{"'장비'!$A$3:$M$12"}</definedName>
    <definedName name="계장공사" hidden="1">{#N/A,#N/A,FALSE,"CCTV"}</definedName>
    <definedName name="고압분사주입공법A1" hidden="1">{#N/A,#N/A,FALSE,"배수1"}</definedName>
    <definedName name="교대펄근집계" hidden="1">{#N/A,#N/A,FALSE,"배수1"}</definedName>
    <definedName name="급여">BlankMacro1</definedName>
    <definedName name="기초교직">9</definedName>
    <definedName name="기초교축">9</definedName>
    <definedName name="김치원">BlankMacro1</definedName>
    <definedName name="达产年流贷利息">72</definedName>
    <definedName name="港作拖轮新">#N/A</definedName>
    <definedName name="工艺">#N/A</definedName>
    <definedName name="工艺3">#N/A</definedName>
    <definedName name="ㄳ">BLCH</definedName>
    <definedName name="ㄴㄴㄴ">BlankMacro1</definedName>
    <definedName name="ㄴㅁㅇ">{"Book1","attach.xls"}</definedName>
    <definedName name="ㄴㅇㄹ" hidden="1">{#N/A,#N/A,FALSE,"속도"}</definedName>
    <definedName name="ㄴㅇㄹㄴㅇㄻㄴ">BlankMacro1</definedName>
    <definedName name="ㄴㅇㄹㄹ">{"Book1","survey report.xls"}</definedName>
    <definedName name="ㄴㅇ로ㅠㅎ" hidden="1">{#N/A,#N/A,FALSE,"구조2"}</definedName>
    <definedName name="ㄴㅇㅀ" hidden="1">{#N/A,#N/A,FALSE,"토공2"}</definedName>
    <definedName name="ㄴㅇㅇㅇ" hidden="1">{#N/A,#N/A,FALSE,"부대1"}</definedName>
    <definedName name="ㄴ어리ㅏ" hidden="1">{#N/A,#N/A,FALSE,"혼합골재"}</definedName>
    <definedName name="ㄴ흂" hidden="1">{#N/A,#N/A,FALSE,"단가표지"}</definedName>
    <definedName name="宏1">#N/A</definedName>
    <definedName name="节能利率">0.1008</definedName>
    <definedName name="ㄷㄷ" hidden="1">{#N/A,#N/A,FALSE,"골재소요량";#N/A,#N/A,FALSE,"골재소요량"}</definedName>
    <definedName name="ㄷㄷㄷ">BLCH</definedName>
    <definedName name="ㄷㄹㄹ" hidden="1">{#N/A,#N/A,FALSE,"골재소요량";#N/A,#N/A,FALSE,"골재소요량"}</definedName>
    <definedName name="두호" hidden="1">{#N/A,#N/A,FALSE,"2~8번"}</definedName>
    <definedName name="美元与人民币比价">1/8.32</definedName>
    <definedName name="듀폰현장">{"Book1","attach.xls"}</definedName>
    <definedName name="企业自筹利率">0.1242</definedName>
    <definedName name="取费" hidden="1">{"'现金流量表（全部投资）'!$B$4:$P$23"}</definedName>
    <definedName name="ㄹㅇㄹ" hidden="1">{#N/A,#N/A,FALSE,"2~8번"}</definedName>
    <definedName name="ㄹㅇㅎ">BLCH</definedName>
    <definedName name="래그" hidden="1">{#N/A,#N/A,FALSE,"CCTV"}</definedName>
    <definedName name="人民币与美元比价">8.32</definedName>
    <definedName name="로ㅗㅗ" hidden="1">{#N/A,#N/A,FALSE,"토공2"}</definedName>
    <definedName name="省自筹利率">0.1242</definedName>
    <definedName name="市自筹利率">0.1242</definedName>
    <definedName name="售电单位成本外加价">230</definedName>
    <definedName name="售热单位成本外加价">10</definedName>
    <definedName name="ㅀㅀ" hidden="1">{#N/A,#N/A,FALSE,"구조1"}</definedName>
    <definedName name="ㅀㅀㅎㅎ" hidden="1">{#N/A,#N/A,FALSE,"혼합골재"}</definedName>
    <definedName name="ㅁㄴㅇ" hidden="1">{#N/A,#N/A,FALSE,"배수1"}</definedName>
    <definedName name="ㅁㄴㅇㄹ" hidden="1">{#N/A,#N/A,FALSE,"속도"}</definedName>
    <definedName name="ㅁㄴㅇㅁ">{"Book1","attach.xls"}</definedName>
    <definedName name="ㅁㄹ" hidden="1">{#N/A,#N/A,FALSE,"2~8번"}</definedName>
    <definedName name="ㅁㄹㄹ" hidden="1">{#N/A,#N/A,FALSE,"2~8번"}</definedName>
    <definedName name="ㅁㅀㅎ" hidden="1">{#N/A,#N/A,FALSE,"골재소요량";#N/A,#N/A,FALSE,"골재소요량"}</definedName>
    <definedName name="ㅁㅁㅁ">BLCH</definedName>
    <definedName name="ㅁㅁㅁㅁㅁㅁㅁㅁ" hidden="1">{#N/A,#N/A,FALSE,"배수1"}</definedName>
    <definedName name="ㅁㅍㅊ" hidden="1">{#N/A,#N/A,FALSE,"속도"}</definedName>
    <definedName name="만득이" hidden="1">{#N/A,#N/A,FALSE,"2~8번"}</definedName>
    <definedName name="投产年流贷利息">38</definedName>
    <definedName name="投产年流动资金贷款利息">75</definedName>
    <definedName name="脱硫表二" hidden="1">{"'现金流量表（全部投资）'!$B$4:$P$23"}</definedName>
    <definedName name="外贷利率">0.03</definedName>
    <definedName name="外汇额度">3500</definedName>
    <definedName name="物价指数">0.06</definedName>
    <definedName name="몰1">BlankMacro1</definedName>
    <definedName name="몰2">BlankMacro1</definedName>
    <definedName name="몰3">BlankMacro1</definedName>
    <definedName name="몰4">BlankMacro1</definedName>
    <definedName name="몰5">BlankMacro1</definedName>
    <definedName name="몰6">BlankMacro1</definedName>
    <definedName name="新封" hidden="1">{"'现金流量表（全部投资）'!$B$4:$P$23"}</definedName>
    <definedName name="压油贷款利率">0.1008</definedName>
    <definedName name="뭉">{"'장비'!$A$3:$M$12"}</definedName>
    <definedName name="ㅂㅈ">BLCH</definedName>
    <definedName name="배수공">BlankMacro1</definedName>
    <definedName name="벽체" hidden="1">{#N/A,#N/A,FALSE,"혼합골재"}</definedName>
    <definedName name="벽체1" hidden="1">{#N/A,#N/A,FALSE,"혼합골재"}</definedName>
    <definedName name="변경내역">BlankMacro1</definedName>
    <definedName name="보조기층">{"'장비'!$A$3:$M$12"}</definedName>
    <definedName name="보차도">BlankMacro1</definedName>
    <definedName name="보차도경계석">BlankMacro1</definedName>
    <definedName name="블록c" hidden="1">{#N/A,#N/A,FALSE,"전체집계표";#N/A,#N/A,FALSE,"안벽30000";#N/A,#N/A,FALSE,"안벽20000";#N/A,#N/A,FALSE,"내호안";#N/A,#N/A,FALSE,"외호안";#N/A,#N/A,FALSE,"준설토A";#N/A,#N/A,FALSE,"준설토B";#N/A,#N/A,FALSE,"적출장"}</definedName>
    <definedName name="블록k" hidden="1">{#N/A,#N/A,FALSE,"전체집계표";#N/A,#N/A,FALSE,"안벽30000";#N/A,#N/A,FALSE,"안벽20000";#N/A,#N/A,FALSE,"내호안";#N/A,#N/A,FALSE,"외호안";#N/A,#N/A,FALSE,"준설토A";#N/A,#N/A,FALSE,"준설토B";#N/A,#N/A,FALSE,"적출장"}</definedName>
    <definedName name="ㅅㄷㄹ오" hidden="1">{#N/A,#N/A,FALSE,"골재소요량";#N/A,#N/A,FALSE,"골재소요량"}</definedName>
    <definedName name="ㅅㅅㅅ">BLCH</definedName>
    <definedName name="사람" hidden="1">{#N/A,#N/A,FALSE,"속도"}</definedName>
    <definedName name="사업비최종" hidden="1">{#N/A,#N/A,FALSE,"손익표지";#N/A,#N/A,FALSE,"손익계산";#N/A,#N/A,FALSE,"일반관리비";#N/A,#N/A,FALSE,"영업외수익";#N/A,#N/A,FALSE,"영업외비용";#N/A,#N/A,FALSE,"매출액";#N/A,#N/A,FALSE,"요약손익";#N/A,#N/A,FALSE,"요약대차";#N/A,#N/A,FALSE,"매출채권현황";#N/A,#N/A,FALSE,"매출채권명세"}</definedName>
    <definedName name="살마음" hidden="1">{#N/A,#N/A,FALSE,"2~8번"}</definedName>
    <definedName name="샘풀카피" hidden="1">{#N/A,#N/A,FALSE,"CCTV"}</definedName>
    <definedName name="샘플카피2" hidden="1">{#N/A,#N/A,FALSE,"CCTV"}</definedName>
    <definedName name="샘플카피3" hidden="1">{#N/A,#N/A,FALSE,"CCTV"}</definedName>
    <definedName name="셔갸9">BlankMacro1</definedName>
    <definedName name="쇼">BlankMacro1</definedName>
    <definedName name="승용교" hidden="1">{#N/A,#N/A,FALSE,"2~8번"}</definedName>
    <definedName name="신고서">BlankMacro1</definedName>
    <definedName name="ㅇ">0.1</definedName>
    <definedName name="ㅇㄴㅇ" hidden="1">{#N/A,#N/A,FALSE,"속도"}</definedName>
    <definedName name="ㅇㄹㄹ" hidden="1">{#N/A,#N/A,FALSE,"배수1"}</definedName>
    <definedName name="오">BlankMacro1</definedName>
    <definedName name="오류" hidden="1">{#N/A,#N/A,FALSE,"단가표지"}</definedName>
    <definedName name="옥타" hidden="1">{#N/A,#N/A,FALSE,"2~8번"}</definedName>
    <definedName name="옹" hidden="1">{#N/A,#N/A,FALSE,"골재소요량";#N/A,#N/A,FALSE,"골재소요량"}</definedName>
    <definedName name="옹벽" hidden="1">{#N/A,#N/A,FALSE,"혼합골재"}</definedName>
    <definedName name="옹벽수량집계표" hidden="1">{#N/A,#N/A,FALSE,"2~8번"}</definedName>
    <definedName name="옹벽수량집계표총괄" hidden="1">{#N/A,#N/A,FALSE,"혼합골재"}</definedName>
    <definedName name="이승연" hidden="1">{#N/A,#N/A,FALSE,"부대1"}</definedName>
    <definedName name="이정" hidden="1">{#N/A,#N/A,FALSE,"2~8번"}</definedName>
    <definedName name="입" hidden="1">{#N/A,#N/A,FALSE,"전체집계표";#N/A,#N/A,FALSE,"안벽30000";#N/A,#N/A,FALSE,"안벽20000";#N/A,#N/A,FALSE,"내호안";#N/A,#N/A,FALSE,"외호안";#N/A,#N/A,FALSE,"준설토A";#N/A,#N/A,FALSE,"준설토B";#N/A,#N/A,FALSE,"적출장"}</definedName>
    <definedName name="ㅈ" hidden="1">{#N/A,#N/A,FALSE,"혼합골재"}</definedName>
    <definedName name="ㅈㄷ">BLCH</definedName>
    <definedName name="ㅈㅂㄷ" hidden="1">{#N/A,#N/A,FALSE,"전체집계표";#N/A,#N/A,FALSE,"안벽30000";#N/A,#N/A,FALSE,"안벽20000";#N/A,#N/A,FALSE,"내호안";#N/A,#N/A,FALSE,"외호안";#N/A,#N/A,FALSE,"준설토A";#N/A,#N/A,FALSE,"준설토B";#N/A,#N/A,FALSE,"적출장"}</definedName>
    <definedName name="ㅈㅈ">{"'장비'!$A$3:$M$12"}</definedName>
    <definedName name="ㅈㅈㅈ">{"'장비'!$A$3:$M$12"}</definedName>
    <definedName name="ㅈㅈㅈㅈㅈ">{"'장비'!$A$3:$M$12"}</definedName>
    <definedName name="적표" hidden="1">{#N/A,#N/A,FALSE,"전체집계표";#N/A,#N/A,FALSE,"안벽30000";#N/A,#N/A,FALSE,"안벽20000";#N/A,#N/A,FALSE,"내호안";#N/A,#N/A,FALSE,"외호안";#N/A,#N/A,FALSE,"준설토A";#N/A,#N/A,FALSE,"준설토B";#N/A,#N/A,FALSE,"적출장"}</definedName>
    <definedName name="전기">{"'장비'!$A$3:$M$12"}</definedName>
    <definedName name="전기공사비교" hidden="1">{#N/A,#N/A,FALSE,"손익표지";#N/A,#N/A,FALSE,"손익계산";#N/A,#N/A,FALSE,"일반관리비";#N/A,#N/A,FALSE,"영업외수익";#N/A,#N/A,FALSE,"영업외비용";#N/A,#N/A,FALSE,"매출액";#N/A,#N/A,FALSE,"요약손익";#N/A,#N/A,FALSE,"요약대차";#N/A,#N/A,FALSE,"매출채권현황";#N/A,#N/A,FALSE,"매출채권명세"}</definedName>
    <definedName name="전기구">{"'장비'!$A$3:$M$12"}</definedName>
    <definedName name="전기기기">{"'장비'!$A$3:$M$12"}</definedName>
    <definedName name="제비">BlankMacro1</definedName>
    <definedName name="진" hidden="1">{#N/A,#N/A,FALSE,"2~8번"}</definedName>
    <definedName name="철거수량">BlankMacro1</definedName>
    <definedName name="철재" hidden="1">{#N/A,#N/A,FALSE,"혼합골재"}</definedName>
    <definedName name="추가분">{"'장비'!$A$3:$M$12"}</definedName>
    <definedName name="취수구" hidden="1">{#N/A,#N/A,TRUE,"1";#N/A,#N/A,TRUE,"2";#N/A,#N/A,TRUE,"3";#N/A,#N/A,TRUE,"4";#N/A,#N/A,TRUE,"5";#N/A,#N/A,TRUE,"6";#N/A,#N/A,TRUE,"7"}</definedName>
    <definedName name="ㅋㅌ" hidden="1">{#N/A,#N/A,FALSE,"부대1"}</definedName>
    <definedName name="케이슨3" hidden="1">{#N/A,#N/A,FALSE,"전체집계표";#N/A,#N/A,FALSE,"안벽30000";#N/A,#N/A,FALSE,"안벽20000";#N/A,#N/A,FALSE,"내호안";#N/A,#N/A,FALSE,"외호안";#N/A,#N/A,FALSE,"준설토A";#N/A,#N/A,FALSE,"준설토B";#N/A,#N/A,FALSE,"적출장"}</definedName>
    <definedName name="케이슨33" hidden="1">{#N/A,#N/A,FALSE,"전체집계표";#N/A,#N/A,FALSE,"안벽30000";#N/A,#N/A,FALSE,"안벽20000";#N/A,#N/A,FALSE,"내호안";#N/A,#N/A,FALSE,"외호안";#N/A,#N/A,FALSE,"준설토A";#N/A,#N/A,FALSE,"준설토B";#N/A,#N/A,FALSE,"적출장"}</definedName>
    <definedName name="코핑높이1">1.6</definedName>
    <definedName name="콘강도">240</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토건">{"'장비'!$A$3:$M$12"}</definedName>
    <definedName name="토건공사비대비r">{"'장비'!$A$3:$M$12"}</definedName>
    <definedName name="토건업체">{"'장비'!$A$3:$M$12"}</definedName>
    <definedName name="토건집계표r">{"'장비'!$A$3:$M$12"}</definedName>
    <definedName name="토목변경">{"'장비'!$A$3:$M$12"}</definedName>
    <definedName name="토목실행예산">{"'장비'!$A$3:$M$12"}</definedName>
    <definedName name="토목조정분">{"'장비'!$A$3:$M$12"}</definedName>
    <definedName name="토사자중">156.143</definedName>
    <definedName name="통장2">BlankMacro1</definedName>
    <definedName name="투찰예정가50">{"'장비'!$A$3:$M$12"}</definedName>
    <definedName name="투찰예정본부장">{"'장비'!$A$3:$M$12"}</definedName>
    <definedName name="파일1간격">0.6</definedName>
    <definedName name="파일간격">1.5</definedName>
    <definedName name="파일간격교직">1.4</definedName>
    <definedName name="파일간격교축">1.4</definedName>
    <definedName name="포장공">BlankMacro1</definedName>
    <definedName name="피복">0.15</definedName>
    <definedName name="피복석" hidden="1">{#N/A,#N/A,FALSE,"전체집계표";#N/A,#N/A,FALSE,"안벽30000";#N/A,#N/A,FALSE,"안벽20000";#N/A,#N/A,FALSE,"내호안";#N/A,#N/A,FALSE,"외호안";#N/A,#N/A,FALSE,"준설토A";#N/A,#N/A,FALSE,"준설토B";#N/A,#N/A,FALSE,"적출장"}</definedName>
    <definedName name="ㅎ노ㅠ" hidden="1">{#N/A,#N/A,FALSE,"배수1"}</definedName>
    <definedName name="ㅎㄶ" hidden="1">{#N/A,#N/A,FALSE,"속도"}</definedName>
    <definedName name="ㅎ도ㅓㄷ" hidden="1">{#N/A,#N/A,FALSE,"2~8번"}</definedName>
    <definedName name="ㅎㄹㄴ" hidden="1">{#N/A,#N/A,FALSE,"혼합골재"}</definedName>
    <definedName name="ㅎㄹ호ㅓㅓ" hidden="1">{#N/A,#N/A,FALSE,"운반시간"}</definedName>
    <definedName name="ㅎㅀㅀ" hidden="1">{#N/A,#N/A,FALSE,"속도"}</definedName>
    <definedName name="ㅎㅎ" hidden="1">{#N/A,#N/A,FALSE,"2~8번"}</definedName>
    <definedName name="하부우각부">BLCH</definedName>
    <definedName name="하프" hidden="1">{#N/A,#N/A,FALSE,"전체집계표";#N/A,#N/A,FALSE,"안벽30000";#N/A,#N/A,FALSE,"안벽20000";#N/A,#N/A,FALSE,"내호안";#N/A,#N/A,FALSE,"외호안";#N/A,#N/A,FALSE,"준설토A";#N/A,#N/A,FALSE,"준설토B";#N/A,#N/A,FALSE,"적출장"}</definedName>
    <definedName name="하프1" hidden="1">{#N/A,#N/A,FALSE,"전체집계표";#N/A,#N/A,FALSE,"안벽30000";#N/A,#N/A,FALSE,"안벽20000";#N/A,#N/A,FALSE,"내호안";#N/A,#N/A,FALSE,"외호안";#N/A,#N/A,FALSE,"준설토A";#N/A,#N/A,FALSE,"준설토B";#N/A,#N/A,FALSE,"적출장"}</definedName>
    <definedName name="한" hidden="1">{#N/A,#N/A,FALSE,"조골재"}</definedName>
    <definedName name="한동" hidden="1">{#N/A,#N/A,FALSE,"단가표지"}</definedName>
    <definedName name="허">BLCH</definedName>
    <definedName name="현장지도">{"'장비'!$A$3:$M$12"}</definedName>
    <definedName name="현지공사비">{"'장비'!$A$3:$M$12"}</definedName>
    <definedName name="현지공사비총괄">{"'장비'!$A$3:$M$12"}</definedName>
    <definedName name="호호" hidden="1">{#N/A,#N/A,FALSE,"배수1"}</definedName>
    <definedName name="호ㅓㅗ">BLCH</definedName>
    <definedName name="호ㅗㅗㅗ" hidden="1">{#N/A,#N/A,FALSE,"부대1"}</definedName>
    <definedName name="홀엄ㄴㄱ" hidden="1">{#N/A,#N/A,FALSE,"2~8번"}</definedName>
    <definedName name="홓">BLCH</definedName>
    <definedName name="ㅑㅐㅑ">BLCH</definedName>
    <definedName name="ㅓㄱㄹ" hidden="1">{#N/A,#N/A,FALSE,"2~8번"}</definedName>
    <definedName name="ㅓㅏㅏㅏㅏㅏ" hidden="1">{#N/A,#N/A,FALSE,"조골재"}</definedName>
    <definedName name="ㅓㅓ" hidden="1">{#N/A,#N/A,FALSE,"단가표지"}</definedName>
    <definedName name="ㅓㅓㅓㅎ" hidden="1">{#N/A,#N/A,FALSE,"포장1";#N/A,#N/A,FALSE,"포장1"}</definedName>
    <definedName name="ㅓㅗㅗㅎ" hidden="1">{#N/A,#N/A,FALSE,"포장2"}</definedName>
    <definedName name="ㅓㅛㅓㅛㅕㅓ" hidden="1">{#N/A,#N/A,FALSE,"이정표"}</definedName>
    <definedName name="ㅓㅡㅠㅡ" hidden="1">{#N/A,#N/A,FALSE,"표지목차"}</definedName>
    <definedName name="ㅔ3" hidden="1">{#N/A,#N/A,FALSE,"배수1"}</definedName>
    <definedName name="ㅕ4234" hidden="1">{#N/A,#N/A,FALSE,"배수1"}</definedName>
    <definedName name="ㅗㄷㅇㄴ" hidden="1">{#N/A,#N/A,FALSE,"혼합골재"}</definedName>
    <definedName name="ㅗㅓㅗ호" hidden="1">{#N/A,#N/A,FALSE,"운반시간"}</definedName>
    <definedName name="ㅗㅗㅗ">{"'장비'!$A$3:$M$12"}</definedName>
    <definedName name="ㅛ">BLCH</definedName>
    <definedName name="ㅛ샤ㅛ">BLCH</definedName>
    <definedName name="ㅛ쇼" hidden="1">{#N/A,#N/A,FALSE,"배수2"}</definedName>
    <definedName name="ㅛㅛㅛ">BLCH</definedName>
    <definedName name="ㅛㅛㅛㅛ">BLCH</definedName>
    <definedName name="ㅜㅜㅜㅜㅜㅜㅜㅜㅜㅜㅜㅜㅜㅜㅜㅜㅜ" hidden="1">{#N/A,#N/A,FALSE,"배수1"}</definedName>
    <definedName name="ㅝㄱㅇ너" hidden="1">{#N/A,#N/A,FALSE,"골재소요량";#N/A,#N/A,FALSE,"골재소요량"}</definedName>
    <definedName name="ㅠㅎㅇㅈ" hidden="1">{#N/A,#N/A,FALSE,"2~8번"}</definedName>
    <definedName name="ㅠㅠㅠ"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ㅣㅣ" hidden="1">{#N/A,#N/A,FALSE,"골재소요량";#N/A,#N/A,FALSE,"골재소요량"}</definedName>
    <definedName name="ㅣㅣㅣ">BlankMacro1</definedName>
    <definedName name="aaaaaaa" hidden="1">{#N/A,#N/A,FALSE,"type1";#N/A,#N/A,FALSE,"지지력";#N/A,#N/A,FALSE,"PILE계산";#N/A,#N/A,FALSE,"PILE ";#N/A,#N/A,FALSE,"철근량";#N/A,#N/A,FALSE,"균열검토";#N/A,#N/A,FALSE,"날개벽";#N/A,#N/A,FALSE,"주철근조립도";#N/A,#N/A,FALSE,"교좌"}</definedName>
    <definedName name="afdasgh" hidden="1">{#N/A,#N/A,FALSE,"CCTV"}</definedName>
    <definedName name="afdsfdg" hidden="1">{#N/A,#N/A,FALSE,"CCTV"}</definedName>
    <definedName name="afffgff" hidden="1">{#N/A,#N/A,FALSE,"CCTV"}</definedName>
    <definedName name="ARPASEVAN" hidden="1">{#N/A,#N/A,FALSE,"CCTV"}</definedName>
    <definedName name="asd">{"Book1","DOC&amp;DWG.xls"}</definedName>
    <definedName name="bfbfdhfdhdfgh" hidden="1">{#N/A,#N/A,FALSE,"CCTV"}</definedName>
    <definedName name="BM" hidden="1">{#N/A,#N/A,FALSE,"CCTV"}</definedName>
    <definedName name="cxgd">{"Book1","DOC&amp;DWG.xls"}</definedName>
    <definedName name="DDFD" hidden="1">{#N/A,#N/A,FALSE,"CCTV"}</definedName>
    <definedName name="dfgdfg" hidden="1">{#N/A,#N/A,FALSE,"CCTV"}</definedName>
    <definedName name="dgfgjgj" hidden="1">{#N/A,#N/A,FALSE,"CCTV"}</definedName>
    <definedName name="DOCUMENT">{"Book1","my ddc.xls"}</definedName>
    <definedName name="Document_array">{"Book1","DOC&amp;DWG.xls"}</definedName>
    <definedName name="eyteyt" hidden="1">{#N/A,#N/A,FALSE,"CCTV"}</definedName>
    <definedName name="fasdf">{"Book1","DOC&amp;DWG.xls"}</definedName>
    <definedName name="fddfhdfhdgh" hidden="1">{#N/A,#N/A,FALSE,"CCTV"}</definedName>
    <definedName name="fdf" hidden="1">{#N/A,#N/A,FALSE,"CCTV"}</definedName>
    <definedName name="FDFDF" hidden="1">{#N/A,#N/A,FALSE,"CCTV"}</definedName>
    <definedName name="FGF" hidden="1">{#N/A,#N/A,FALSE,"CCTV"}</definedName>
    <definedName name="fhgjfghfghgf" hidden="1">{#N/A,#N/A,FALSE,"CCTV"}</definedName>
    <definedName name="gfjgfh" hidden="1">{#N/A,#N/A,FALSE,"CCTV"}</definedName>
    <definedName name="gfjgfhfg" hidden="1">{#N/A,#N/A,FALSE,"CCTV"}</definedName>
    <definedName name="hfdgfdg" hidden="1">{#N/A,#N/A,FALSE,"CCTV"}</definedName>
    <definedName name="hfjhhjj" hidden="1">{#N/A,#N/A,FALSE,"CCTV"}</definedName>
    <definedName name="hgjfgh" hidden="1">{#N/A,#N/A,FALSE,"CCTV"}</definedName>
    <definedName name="hgjgfhgh" hidden="1">{#N/A,#N/A,FALSE,"CCTV"}</definedName>
    <definedName name="iiouolkll" hidden="1">{#N/A,#N/A,FALSE,"CCTV"}</definedName>
    <definedName name="jhhhh" hidden="1">{#N/A,#N/A,FALSE,"CCTV"}</definedName>
    <definedName name="kghlgh" hidden="1">{#N/A,#N/A,FALSE,"CCTV"}</definedName>
    <definedName name="kiulil" hidden="1">{#N/A,#N/A,FALSE,"CCTV"}</definedName>
    <definedName name="kjhlh" hidden="1">{#N/A,#N/A,FALSE,"CCTV"}</definedName>
    <definedName name="kjhljhk" hidden="1">{#N/A,#N/A,FALSE,"CCTV"}</definedName>
    <definedName name="lklhlkjl" hidden="1">{#N/A,#N/A,FALSE,"CCTV"}</definedName>
    <definedName name="mmmmm" hidden="1">{#N/A,#N/A,FALSE,"CCTV"}</definedName>
    <definedName name="nkknk" hidden="1">{#N/A,#N/A,FALSE,"CCTV"}</definedName>
    <definedName name="oililui" hidden="1">{#N/A,#N/A,FALSE,"CCTV"}</definedName>
    <definedName name="PO">{"Book1","DOC&amp;DWG.xls"}</definedName>
    <definedName name="PPP" hidden="1">{#N/A,#N/A,FALSE,"CCTV"}</definedName>
    <definedName name="rarewt" hidden="1">{#N/A,#N/A,FALSE,"CCTV"}</definedName>
    <definedName name="saf">{"Book1","my ddc.xls"}</definedName>
    <definedName name="sfsdfsdf">{"Book1","my ddc.xls"}</definedName>
    <definedName name="UUU" hidden="1">{#N/A,#N/A,FALSE,"CCTV"}</definedName>
    <definedName name="wrn.PrintAll." hidden="1">{#N/A,#N/A,FALSE,"Sheet1";#N/A,#N/A,FALSE,"Sheet2";#N/A,#N/A,FALSE,"Sheet3";#N/A,#N/A,FALSE,"Sheet4";#N/A,#N/A,FALSE,"Sheet5";#N/A,#N/A,FALSE,"Sheet6";#N/A,#N/A,FALSE,"Sheet7";#N/A,#N/A,FALSE,"Sheet8";#N/A,#N/A,FALSE,"Sheet9"}</definedName>
    <definedName name="wrn.PrintCurr." hidden="1">{#N/A,#N/A,FALSE,"Sheet1";#N/A,#N/A,FALSE,"Sheet2";#N/A,#N/A,FALSE,"Sheet3"}</definedName>
    <definedName name="wrn.PrintPrev1." hidden="1">{#N/A,#N/A,FALSE,"Sheet4";#N/A,#N/A,FALSE,"Sheet5";#N/A,#N/A,FALSE,"Sheet6"}</definedName>
    <definedName name="wrn.PrintPrev2." hidden="1">{#N/A,#N/A,FALSE,"Sheet7";#N/A,#N/A,FALSE,"Sheet8";#N/A,#N/A,FALSE,"Sheet9"}</definedName>
    <definedName name="wrn.교대." hidden="1">{#N/A,#N/A,FALSE,"type1";#N/A,#N/A,FALSE,"지지력";#N/A,#N/A,FALSE,"PILE계산";#N/A,#N/A,FALSE,"PILE ";#N/A,#N/A,FALSE,"철근량";#N/A,#N/A,FALSE,"균열검토";#N/A,#N/A,FALSE,"날개벽";#N/A,#N/A,FALSE,"주철근조립도";#N/A,#N/A,FALSE,"교좌"}</definedName>
    <definedName name="WWW" hidden="1">{#N/A,#N/A,FALSE,"CCTV"}</definedName>
    <definedName name="yrdtytyt" hidden="1">{#N/A,#N/A,FALSE,"CCTV"}</definedName>
    <definedName name="ㄴㅁㅇㄹ" hidden="1">{#N/A,#N/A,FALSE,"CCTV"}</definedName>
    <definedName name="이름" hidden="1">{#N/A,#N/A,FALSE,"CCTV"}</definedName>
    <definedName name="_8a1_" hidden="1">{"'Sheet1'!$L$16"}</definedName>
    <definedName name="_Goi8" hidden="1">{"'Sheet1'!$L$16"}</definedName>
    <definedName name="Access_Button" hidden="1">"ESY6001E_MRS_List"</definedName>
    <definedName name="AS2DocOpenMode" hidden="1">"AS2DocumentEdit"</definedName>
    <definedName name="ErrName301948010" hidden="1">{0,0,0,0;0,0,0,0;0,0,0,0;0,0,0,0;0,0,0,0;0,0,0,0}</definedName>
    <definedName name="huy" hidden="1">{"'Sheet1'!$L$16"}</definedName>
    <definedName name="moi" hidden="1">{"'Sheet1'!$L$16"}</definedName>
    <definedName name="sencount" hidden="1">1</definedName>
    <definedName name="solver_rel10" hidden="1">2</definedName>
    <definedName name="solver_rel11" hidden="1">2</definedName>
    <definedName name="solver_rel5" hidden="1">2</definedName>
    <definedName name="solver_rel6" hidden="1">2</definedName>
    <definedName name="solver_rel7" hidden="1">2</definedName>
    <definedName name="solver_rel8" hidden="1">2</definedName>
    <definedName name="solver_rel9" hidden="1">2</definedName>
    <definedName name="solver_rhs10" hidden="1">315430</definedName>
    <definedName name="solver_rhs11" hidden="1">284920</definedName>
    <definedName name="tha" hidden="1">{"'Sheet1'!$L$16"}</definedName>
    <definedName name="YUI" hidden="1">{"'장비'!$A$3:$M$12"}</definedName>
    <definedName name="yyy" hidden="1">{"'장비'!$A$3:$M$12"}</definedName>
    <definedName name="수당" hidden="1">#N/A</definedName>
    <definedName name="__a1" hidden="1">{"'Sheet1'!$L$16"}</definedName>
    <definedName name="__a129"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h1" hidden="1">{"'Sheet1'!$L$16"}</definedName>
    <definedName name="__hu1" hidden="1">{"'Sheet1'!$L$16"}</definedName>
    <definedName name="__hu2" hidden="1">{"'Sheet1'!$L$16"}</definedName>
    <definedName name="__hu5" hidden="1">{"'Sheet1'!$L$16"}</definedName>
    <definedName name="__hu6" hidden="1">{"'Sheet1'!$L$16"}</definedName>
    <definedName name="__hu7" hidden="1">{"'Sheet1'!$L$16"}</definedName>
    <definedName name="__T10" hidden="1">{"'Sheet1'!$L$16"}</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ER1" hidden="1">{"ES_Medicoes_pt",#N/A,TRUE,"A - Estrutura";"AG_Medicoes_pt",#N/A,TRUE,"C - Rede de Agua";"EG_Medicoes_pt",#N/A,TRUE,"D - Rede de Drenagem"}</definedName>
    <definedName name="_AtRisk_SimSetting_AutomaticallyGenerateReports">FALSE</definedName>
    <definedName name="_AtRisk_SimSetting_AutomaticResultsDisplayMode">0</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LiveUpdate">TRUE</definedName>
    <definedName name="_AtRisk_SimSetting_LiveUpdatePeriod">-1</definedName>
    <definedName name="_AtRisk_SimSetting_RandomNumberGenerator">0</definedName>
    <definedName name="_AtRisk_SimSetting_ReportsList">1</definedName>
    <definedName name="_AtRisk_SimSetting_SimNameCount">0</definedName>
    <definedName name="_AtRisk_SimSetting_SmartSensitivityAnalysisEnabled">TRUE</definedName>
    <definedName name="_AtRisk_SimSetting_StatisticFunctionUpdating">1</definedName>
    <definedName name="_AtRisk_SimSetting_StdRecalcBehavior">0</definedName>
    <definedName name="_AtRisk_SimSetting_StdRecalcWithoutRiskStatic">0</definedName>
    <definedName name="_AtRisk_SimSetting_StdRecalcWithoutRiskStaticPercentile">0.5</definedName>
    <definedName name="_Convergence">1000000</definedName>
    <definedName name="_h1" hidden="1">{"'Sheet1'!$L$16"}</definedName>
    <definedName name="_hu1" hidden="1">{"'Sheet1'!$L$16"}</definedName>
    <definedName name="_hu2" hidden="1">{"'Sheet1'!$L$16"}</definedName>
    <definedName name="_hu5" hidden="1">{"'Sheet1'!$L$16"}</definedName>
    <definedName name="_hu6" hidden="1">{"'Sheet1'!$L$16"}</definedName>
    <definedName name="_hu7" hidden="1">{"'Sheet1'!$L$16"}</definedName>
    <definedName name="_IterationCount">0</definedName>
    <definedName name="_OH1">0.4</definedName>
    <definedName name="_OH2">0.85</definedName>
    <definedName name="_T10" hidden="1">{"'Sheet1'!$L$16"}</definedName>
    <definedName name="_WorstStream">" "</definedName>
    <definedName name="_YO1">#N/A</definedName>
    <definedName name="A315yoo1">#N/A</definedName>
    <definedName name="ash" hidden="1">{"'现金流量表（全部投资）'!$B$4:$P$23"}</definedName>
    <definedName name="BNE">50</definedName>
    <definedName name="book1" hidden="1">{"'现金流量表（全部投资）'!$B$4:$P$23"}</definedName>
    <definedName name="LACOR">26.2</definedName>
    <definedName name="LAFWR">27.84</definedName>
    <definedName name="LAR">26.2</definedName>
    <definedName name="LASFR">26.81</definedName>
    <definedName name="limcount">2</definedName>
    <definedName name="OPCNR">27.84</definedName>
    <definedName name="OPR">27.84</definedName>
    <definedName name="OPTRR">26.81</definedName>
    <definedName name="Pal_Workbook_GUID">"WVKRI7JQLZ2X2A6ZKR9Z97NW"</definedName>
    <definedName name="R_">#N/A</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6</definedName>
    <definedName name="RiskMinimizeOnStart">FALSE</definedName>
    <definedName name="RiskMonitorConvergence">FALSE</definedName>
    <definedName name="RiskMultipleCPUSupportEnabled">TRUE</definedName>
    <definedName name="RiskNumIterations">10000</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tandardRecalc">1</definedName>
    <definedName name="RiskUpdateDisplay">FALSE</definedName>
    <definedName name="RiskUseDifferentSeedForEachSim">FALSE</definedName>
    <definedName name="RiskUseFixedSeed">FALSE</definedName>
    <definedName name="RiskUseMultipleCPUs">TRUE</definedName>
    <definedName name="ssssss" hidden="1">{"'现金流量表（全部投资）'!$B$4:$P$23"}</definedName>
    <definedName name="Total_Payment">Scheduled_Payment+Extra_Payment</definedName>
    <definedName name="tr" hidden="1">{"'现金流量表（全部投资）'!$B$4:$P$23"}</definedName>
    <definedName name="tran" hidden="1">{"'现金流量表（全部投资）'!$B$4:$P$23"}</definedName>
    <definedName name="wrn.Dash._.Board." hidden="1">{#N/A,#N/A,FALSE,"Dashboard";#N/A,#N/A,FALSE,"BULK Dashboard";#N/A,#N/A,FALSE,"Pnue. &amp; Env. Dashboard";#N/A,#N/A,FALSE,"Spes. Equip. Dashboard";#N/A,#N/A,FALSE,"IST Dashboard";#N/A,#N/A,FALSE,"ASS Dashboard"}</definedName>
    <definedName name="wrn.med" hidden="1">{"ES_Medicoes_pt",#N/A,TRUE,"A - Estrutura";"AG_Medicoes_pt",#N/A,TRUE,"C - Rede de Agua";"EG_Medicoes_pt",#N/A,TRUE,"D - Rede de Drenagem"}</definedName>
    <definedName name="wrn.Medicoes." hidden="1">{"ES_Medicoes_pt",#N/A,TRUE,"A - Estrutura";"AG_Medicoes_pt",#N/A,TRUE,"C - Rede de Agua";"EG_Medicoes_pt",#N/A,TRUE,"D - Rede de Drenagem"}</definedName>
    <definedName name="YOO">#N/A</definedName>
    <definedName name="yoo10">#N/A</definedName>
    <definedName name="yoo2">#N/A</definedName>
    <definedName name="yoo3">#N/A</definedName>
    <definedName name="yoo4">#N/A</definedName>
    <definedName name="YOO5">#N/A</definedName>
    <definedName name="YOO6">#N/A</definedName>
    <definedName name="YOO7">#N/A</definedName>
    <definedName name="yoo8">#N/A</definedName>
    <definedName name="YOO9">#N/A</definedName>
    <definedName name="YOON">#N/A</definedName>
    <definedName name="YOON2">#N/A</definedName>
    <definedName name="YOON3">#N/A</definedName>
    <definedName name="YOON4">#N/A</definedName>
    <definedName name="地基处理" hidden="1">{"'现金流量表（全部投资）'!$B$4:$P$23"}</definedName>
    <definedName name="汇总哦" hidden="1">{"'现金流量表（全部投资）'!$B$4:$P$23"}</definedName>
    <definedName name="土建差2" hidden="1">{"'现金流量表（全部投资）'!$B$4:$P$23"}</definedName>
    <definedName name="影响力" hidden="1">{"'现金流量表（全部投资）'!$B$4:$P$23"}</definedName>
    <definedName name="\0">#N/A</definedName>
    <definedName name="____xlfn.BAHTTEXT" hidden="1">#NAME?</definedName>
    <definedName name="___xlfn.BAHTTEXT" hidden="1">#NAME?</definedName>
    <definedName name="__FDS_HYPERLINK_TOGGLE_STATE__" hidden="1">"ON"</definedName>
    <definedName name="__xlfn.BAHTTEXT" hidden="1">#NAME?</definedName>
    <definedName name="__xlfn.RTD" hidden="1">#NAME?</definedName>
    <definedName name="_6mm">"1,0"</definedName>
    <definedName name="Acc">0.1</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ed">3.673</definedName>
    <definedName name="arrow.down">"â"</definedName>
    <definedName name="arrow.left">"ß"</definedName>
    <definedName name="arrow.right">"à"</definedName>
    <definedName name="arrow.up">"á"</definedName>
    <definedName name="AS2ReportLS" hidden="1">1</definedName>
    <definedName name="AS2SyncStepLS" hidden="1">0</definedName>
    <definedName name="AS2VersionLS" hidden="1">300</definedName>
    <definedName name="atosf">43560</definedName>
    <definedName name="BG_Del" hidden="1">15</definedName>
    <definedName name="BG_Ins" hidden="1">4</definedName>
    <definedName name="BG_Mod" hidden="1">6</definedName>
    <definedName name="BSIWhichPageSetup" hidden="1">1</definedName>
    <definedName name="BSIWhichPageSetup_0" hidden="1">"0þ"</definedName>
    <definedName name="BuiltIn_Print_Titles___0">NA()</definedName>
    <definedName name="BuiltIn_Print_Titles___0___0">NA()</definedName>
    <definedName name="Button_118">"D4914__5_tsk_List"</definedName>
    <definedName name="Button_2">"Submittals_Status_Drawing__2__List"</definedName>
    <definedName name="camdisc">0.9</definedName>
    <definedName name="cb_Add_CalloutChart_24_opts" hidden="1">"1, 9, 1, False, 2, False, False, , 0, False, False, 1, 1"</definedName>
    <definedName name="cb_Add_CalloutChart_25_opts" hidden="1">"1, 10, 1, False, 2, False, False, , 0, False, True, 1, 1"</definedName>
    <definedName name="cb_Add_CalloutChart_26_opts" hidden="1">"1, 9, 1, False, 2, False, False, , 0, False, True, 1, 1"</definedName>
    <definedName name="cb_ALT_STACKED_COLUMNChart_22_opts" hidden="1">"1, 3, 1, False, 2, True, False, , 0, False, True, 1, 2"</definedName>
    <definedName name="cb_ALT_STACKED_COLUMNChart_23_opts" hidden="1">"1, 3, 1, False, 2, True, False, , 0, False, True, 1, 2"</definedName>
    <definedName name="cb_bChart595EC34_opts" hidden="1">"1, 9, 1, False, 2, False, False, , 0, False, True, 1, 1"</definedName>
    <definedName name="cb_bChart9876793_opts" hidden="1">"1, 2, 1, False, 2, False, False, , 0, False, False, 2, 2"</definedName>
    <definedName name="cb_Chart_1_opts" hidden="1">"1, 6, 1, False, 2, False, False, , 0, False, True, 1, 2"</definedName>
    <definedName name="cb_Chart_10_opts" hidden="1">"1, 8, 1, False, 2, False, False, , 0, False, False, 2, 2"</definedName>
    <definedName name="cb_Chart_100032_opts" hidden="1">"1, 10, 1, False, 2, True, False, , 0, False, False, 2, 2"</definedName>
    <definedName name="cb_Chart_10104_opts" hidden="1">"1, 5, 1, False, 2, True, False, , 0, True, False, 2, 1"</definedName>
    <definedName name="cb_Chart_10401_opts" hidden="1">"1, 5, 1, False, 2, False, False, , 0, True, False, 2, 1"</definedName>
    <definedName name="cb_Chart_10736_opts" hidden="1">"1, 10, 1, False, 2, False, False, , 0, False, False, 2, 2"</definedName>
    <definedName name="cb_Chart_11_opts" hidden="1">"1, 1, 1, False, 2, False, False, , 0, False, False, 2, 2"</definedName>
    <definedName name="cb_Chart_12_opts" hidden="1">"1, 8, 1, False, 2, False, False, , 0, False, False, 2, 2"</definedName>
    <definedName name="cb_Chart_13_opts" hidden="1">"1, 8, 1, False, 2, False, False, , 0, False, False, 2, 2"</definedName>
    <definedName name="cb_Chart_14_opts" hidden="1">"1, 8, 1, False, 2, False, False, , 0, False, False, 2, 2"</definedName>
    <definedName name="cb_Chart_15_opts" hidden="1">"2, 1, 2, True, 2, False, False, , 0, False, True, 1, 2"</definedName>
    <definedName name="cb_Chart_1501_opts" hidden="1">"1, 10, 1, False, 2, True, False, , 0, False, False, 2, 2"</definedName>
    <definedName name="cb_Chart_16_opts" hidden="1">"1, 8, 1, False, 2, False, False, , 0, False, False, 2, 2"</definedName>
    <definedName name="cb_Chart_1670_opts" hidden="1">"1, 5, 1, False, 2, True, False, , 0, False, False, 2, 1"</definedName>
    <definedName name="cb_Chart_17_opts" hidden="1">"1, 6, 1, False, 2, False, False, , 0, False, True, 2, 2"</definedName>
    <definedName name="cb_Chart_18_opts" hidden="1">"1, 9, 1, False, 2, False, False, , 0, False, False, 1, 1"</definedName>
    <definedName name="cb_Chart_19_opts" hidden="1">"1, 2, 1, False, 2, True, False, , 0, True, False, 2, 1"</definedName>
    <definedName name="cb_Chart_1opts1" hidden="1">"1, 9, 1, False, 2, False, True, , 1, False, True, 1, 1"</definedName>
    <definedName name="cb_Chart_2_opts" hidden="1">"1, 6, 1, False, 2, False, False, , 0, False, False, 1, 2"</definedName>
    <definedName name="cb_Chart_20_opts" hidden="1">"1, 9, 1, False, 2, False, False, , 0, False, False, 1, 1"</definedName>
    <definedName name="cb_Chart_21_opts" hidden="1">"1, 2, 1, False, 2, False, False, , 0, False, False, 2, 1"</definedName>
    <definedName name="cb_Chart_22_opts" hidden="1">"1, 2, 1, False, 2, True, False, , 0, False, False, 2, 1"</definedName>
    <definedName name="cb_Chart_22784_opts" hidden="1">"1, 9, 1, False, 2, False, False, , 0, False, True, 1, 2"</definedName>
    <definedName name="cb_Chart_23_opts" hidden="1">"1, 9, 1, False, 2, False, False, , 0, False, False, 1, 1"</definedName>
    <definedName name="cb_Chart_24_opts" hidden="1">"1, 2, 1, False, 2, False, False, , 0, False, False, 2, 1"</definedName>
    <definedName name="cb_Chart_24490_opts" hidden="1">"1, 10, 1, False, 2, True, False, , 0, False, False, 2, 2"</definedName>
    <definedName name="cb_Chart_25_opts" hidden="1">"1, 3, 1, False, 2, False, False, , 0, True, True, 1, 2"</definedName>
    <definedName name="cb_Chart_26_opts" hidden="1">"1, 8, 1, False, 2, False, False, , 0, False, False, 2, 2"</definedName>
    <definedName name="cb_Chart_26476_opts" hidden="1">"1, 1, 1, False, 2, True, False, , 0, False, False, 1, 2"</definedName>
    <definedName name="cb_Chart_27_opts" hidden="1">"1, 1, 1, False, 2, True, False, , 0, False, True, 1, 2"</definedName>
    <definedName name="cb_Chart_28_opts" hidden="1">"1, 3, 1, False, 2, True, False, , 0, False, True, 1, 2"</definedName>
    <definedName name="cb_Chart_28031_opts" hidden="1">"1, 1, 1, False, 2, True, False, , 0, False, False, 1, 2"</definedName>
    <definedName name="cb_Chart_28545_opts" hidden="1">"1, 5, 1, False, 2, True, False, , 0, False, True, 2, 1"</definedName>
    <definedName name="cb_Chart_29_opts" hidden="1">"1, 3, 1, False, 2, False, False, , 0, False, False, 1, 1"</definedName>
    <definedName name="cb_Chart_29053_opts" hidden="1">"1, 10, 1, False, 2, True, False, , 0, False, False, 2, 2"</definedName>
    <definedName name="cb_Chart_29913_opts" hidden="1">"1, 1, 1, False, 2, False, False, , 0, False, False, 1, 1"</definedName>
    <definedName name="cb_Chart_3_opts" hidden="1">"1, 1, 1, False, 2, True, False, , 0, False, False, 2, 2"</definedName>
    <definedName name="cb_Chart_30_opts" hidden="1">"1, 3, 1, False, 2, True, False, , 0, False, True, 1, 2"</definedName>
    <definedName name="cb_Chart_30292_opts" hidden="1">"1, 1, 1, False, 2, False, False, , 0, False, False, 1, 2"</definedName>
    <definedName name="cb_Chart_31_opts" hidden="1">"1, 1, 1, False, 2, True, False, , 0, True, True, 2, 2"</definedName>
    <definedName name="cb_Chart_32_opts" hidden="1">"1, 1, 1, False, 2, True, False, , 0, False, False, 2, 2"</definedName>
    <definedName name="cb_Chart_33_opts" hidden="1">"1, 1, 1, False, 2, True, False, , 0, False, True, 3, 2"</definedName>
    <definedName name="cb_Chart_34_opts" hidden="1">"1, 3, 1, False, 2, True, False, , 0, False, True, 2, 1"</definedName>
    <definedName name="cb_Chart_36498_opts" hidden="1">"1, 1, 1, False, 2, True, False, , 0, False, False, 1, 2"</definedName>
    <definedName name="cb_Chart_37450_opts" hidden="1">"1, 10, 1, False, 2, True, False, , 0, False, False, 2, 2"</definedName>
    <definedName name="cb_Chart_4_opts" hidden="1">"1, 7, 1, False, 2, False, False, , 0, False, True, 1, 2"</definedName>
    <definedName name="cb_Chart_40_opts" hidden="1">"1, 1, 1, False, 2, False, False, , 0, False, False, 3, 2"</definedName>
    <definedName name="cb_Chart_41_opts" hidden="1">"1, 10, 1, False, 2, True, False, , 0, False, False, 2, 1"</definedName>
    <definedName name="cb_Chart_41499_opts" hidden="1">"1, 10, 1, False, 2, True, False, , 0, False, False, 2, 2"</definedName>
    <definedName name="cb_Chart_42_opts" hidden="1">"1, 3, 1, False, 2, True, False, , 0, False, True, 1, 2"</definedName>
    <definedName name="cb_Chart_43_opts" hidden="1">"1, 10, 1, False, 2, True, False, , 0, False, False, 2, 1"</definedName>
    <definedName name="cb_Chart_4634_opts" hidden="1">"1, 10, 1, False, 2, True, False, , 0, False, False, 2, 2"</definedName>
    <definedName name="cb_Chart_4664_opts" hidden="1">"1, 5, 1, False, 2, True, False, , 0, False, True, 1, 2"</definedName>
    <definedName name="cb_Chart_46965_opts" hidden="1">"1, 1, 1, False, 2, False, False, , 0, False, False, 1, 1"</definedName>
    <definedName name="cb_Chart_48_opts" hidden="1">"2, 1, 2, True, 2, False, False, , 0, False, True, 1, 1"</definedName>
    <definedName name="cb_Chart_49_opts" hidden="1">"2, 1, 2, True, 2, False, False, , 0, False, True, 1, 1"</definedName>
    <definedName name="cb_Chart_5_opts" hidden="1">"1, 8, 1, False, 2, False, False, , 0, False, False, 1, 2"</definedName>
    <definedName name="cb_Chart_50_opts" hidden="1">"2, 1, 2, True, 2, False, False, , 0, False, True, 1, 1"</definedName>
    <definedName name="cb_Chart_51_opts" hidden="1">"1, 2, 1, False, 2, False, False, , 0, False, False, 2, 1"</definedName>
    <definedName name="cb_Chart_52_opts" hidden="1">"1, 2, 1, False, 2, False, False, , 0, False, False, 2, 1"</definedName>
    <definedName name="cb_Chart_52582_opts" hidden="1">"1, 1, 1, False, 2, False, False, , 0, False, False, 1, 2"</definedName>
    <definedName name="cb_Chart_53_opts" hidden="1">"1, 9, 1, False, 2, False, True, , 3, False, False, 1, 1"</definedName>
    <definedName name="cb_Chart_53437_opts" hidden="1">"1, 10, 1, False, 2, True, False, , 0, False, False, 2, 2"</definedName>
    <definedName name="cb_Chart_53482_opts" hidden="1">"1, 10, 1, False, 2, True, False, , 0, False, False, 2, 2"</definedName>
    <definedName name="cb_Chart_54_opts" hidden="1">"1, 2, 1, False, 2, False, False, , 0, False, False, 2, 1"</definedName>
    <definedName name="cb_Chart_5449_opts" hidden="1">"1, 1, 1, False, 2, False, False, , 0, False, False, 1, 1"</definedName>
    <definedName name="cb_Chart_55_opts" hidden="1">"1, 7, 1, False, 2, False, False, , 0, False, True, 2, 2"</definedName>
    <definedName name="cb_Chart_5723_opts" hidden="1">"1, 1, 1, False, 2, True, False, , 0, False, True, 1, 2"</definedName>
    <definedName name="cb_Chart_57613_opts" hidden="1">"1, 5, 1, False, 2, True, False, , 0, False, True, 2, 1"</definedName>
    <definedName name="cb_Chart_58046_opts" hidden="1">"1, 10, 1, False, 2, True, False, , 0, False, False, 2, 2"</definedName>
    <definedName name="cb_Chart_59010_opts" hidden="1">"1, 2, 1, False, 2, False, False, , 0, False, False, 2, 1"</definedName>
    <definedName name="cb_Chart_59340_opts" hidden="1">"1, 1, 1, False, 2, False, False, , 0, False, False, 1, 1"</definedName>
    <definedName name="cb_Chart_6_opts" hidden="1">"1, 10, 1, False, 2, True, False, , 0, False, False, 2, 2"</definedName>
    <definedName name="cb_Chart_62364_opts" hidden="1">"1, 1, 1, False, 2, True, False, , 0, False, False, 1, 2"</definedName>
    <definedName name="cb_Chart_64876_opts" hidden="1">"1, 1, 1, False, 2, True, False, , 0, False, False, 1, 2"</definedName>
    <definedName name="cb_Chart_66_opts" hidden="1">"1, 1, 1, False, 2, False, False, , 0, False, False, 1, 1"</definedName>
    <definedName name="cb_Chart_67711_opts" hidden="1">"1, 10, 1, False, 2, True, False, , 0, False, False, 2, 2"</definedName>
    <definedName name="cb_Chart_69605_opts" hidden="1">"1, 2, 1, False, 2, False, False, , 0, False, False, 2, 1"</definedName>
    <definedName name="cb_Chart_7_opts" hidden="1">"2, 1, 2, True, 2, False, False, , 0, False, True, 1, 2"</definedName>
    <definedName name="cb_Chart_70_opts" hidden="1">"1, 10, 1, False, 2, True, False, , 0, False, False, 1, 1"</definedName>
    <definedName name="cb_Chart_70648_opts" hidden="1">"1, 1, 1, False, 2, True, False, , 0, False, False, 2, 2"</definedName>
    <definedName name="cb_Chart_70997_opts" hidden="1">"1, 10, 1, False, 2, False, False, , 0, False, False, 1, 1"</definedName>
    <definedName name="cb_Chart_71_opts" hidden="1">"1, 10, 1, False, 2, False, False, , 0, False, False, 1, 1"</definedName>
    <definedName name="cb_Chart_72_opts" hidden="1">"1, 10, 1, False, 2, True, False, , 0, False, False, 1, 1"</definedName>
    <definedName name="cb_Chart_73_opts" hidden="1">"1, 10, 1, False, 2, False, False, , 0, False, False, 1, 1"</definedName>
    <definedName name="cb_Chart_76165_opts" hidden="1">"1, 10, 1, False, 2, True, False, , 0, False, False, 2, 2"</definedName>
    <definedName name="cb_Chart_76804_opts" hidden="1">"1, 1, 1, False, 2, False, False, , 0, False, False, 1, 1"</definedName>
    <definedName name="cb_Chart_77567_opts" hidden="1">"1, 10, 1, False, 2, False, False, , 0, False, False, 1, 1"</definedName>
    <definedName name="cb_Chart_79140_opts" hidden="1">"1, 10, 1, False, 2, True, False, , 0, False, False, 2, 2"</definedName>
    <definedName name="cb_Chart_79981_opts" hidden="1">"1, 5, 1, False, 2, True, False, , 0, True, False, 2, 1"</definedName>
    <definedName name="cb_Chart_8_opts" hidden="1">"1, 7, 1, False, 2, False, False, , 0, False, True, 2, 2"</definedName>
    <definedName name="cb_Chart_81541_opts" hidden="1">"1, 10, 1, False, 2, True, False, , 0, False, False, 2, 2"</definedName>
    <definedName name="cb_Chart_82552_opts" hidden="1">"1, 1, 1, False, 2, True, False, , 0, False, False, 1, 2"</definedName>
    <definedName name="cb_Chart_83072_opts" hidden="1">"1, 1, 1, False, 2, True, False, , 0, False, False, 1, 2"</definedName>
    <definedName name="cb_Chart_86354_opts" hidden="1">"1, 10, 1, False, 2, False, False, , 0, False, False, 1, 1"</definedName>
    <definedName name="cb_Chart_87236_opts" hidden="1">"1, 1, 1, False, 2, True, False, , 0, False, False, 1, 2"</definedName>
    <definedName name="cb_Chart_9_opts" hidden="1">"1, 8, 1, False, 2, False, False, , 0, False, False, 1, 1"</definedName>
    <definedName name="cb_Chart_91188_opts" hidden="1">"1, 8, 1, False, 2, False, False, , 0, False, False, 1, 2"</definedName>
    <definedName name="cb_Chart_95047_opts" hidden="1">"1, 1, 1, False, 2, False, False, , 0, False, False, 1, 2"</definedName>
    <definedName name="cb_Chart_96286_opts" hidden="1">"1, 10, 1, False, 2, True, False, , 0, False, False, 2, 2"</definedName>
    <definedName name="cb_Chart_98091_opts" hidden="1">"1, 2, 1, False, 2, False, False, , 0, False, False, 2, 1"</definedName>
    <definedName name="cb_Chart_98700_opts" hidden="1">"1, 8, 1, False, 2, False, False, , 0, False, False, 1, 2"</definedName>
    <definedName name="cb_Copy_Chart_w_New_DataChart_10_opts" hidden="1">"2, 1, 1, True, 4, False, False, , 0, False, False, 2, 2"</definedName>
    <definedName name="cb_Copy_Chart_w_New_DataChart_7_opts" hidden="1">"2, 1, 1, True, 4, False, False, , 0, False, False, 2, 2"</definedName>
    <definedName name="cb_Copy_Chart_w_New_DataChart_8_opts" hidden="1">"2, 1, 1, True, 4, False, False, , 0, False, False, 2, 2"</definedName>
    <definedName name="cb_Copy_Chart_w_New_DataChart_9_opts" hidden="1">"2, 1, 1, True, 4, False, False, , 0, False, False, 2, 2"</definedName>
    <definedName name="cb_Dimension_Pie_ChartsChart_1_opts" hidden="1">"1, 1, 1, False, 2, True, False, , 0, False, False, 2, 2"</definedName>
    <definedName name="cb_Dimension_Pie_ChartsChart_2_opts" hidden="1">"1, 10, 1, False, 2, True, False, , 0, False, False, 2, 2"</definedName>
    <definedName name="cb_Export_LegendChart_14_opts" hidden="1">"1, 10, 1, False, 2, True, False, , 0, False, False, 2, 2"</definedName>
    <definedName name="cb_Export_LegendChart_15_opts" hidden="1">"1, 10, 1, False, 2, True, False, , 0, False, False, 2, 2"</definedName>
    <definedName name="cb_PieChart_16_opts" hidden="1">"1, 10, 1, False, 2, True, False, , 0, False, False, 2, 2"</definedName>
    <definedName name="cb_sChart_1501_opts" hidden="1">"1, 1, 1, False, 2, True, False, , 0, False, False, 1, 2"</definedName>
    <definedName name="cb_sChart_26476_opts" hidden="1">"1, 4, 1, False, 2, True, False, , 0, False, False, 1, 2"</definedName>
    <definedName name="cb_sChart_28031_opts" hidden="1">"1, 4, 1, False, 2, True, False, , 0, False, False, 1, 1"</definedName>
    <definedName name="cb_sChart_29053_opts" hidden="1">"1, 2, 1, False, 2, False, False, , 0, False, False, 2, 1"</definedName>
    <definedName name="cb_sChart_29913_opts" hidden="1">"1, 3, 1, False, 2, False, False, , 0, False, True, 2, 2"</definedName>
    <definedName name="cb_sChart_30292_opts" hidden="1">"1, 1, 1, False, 2, True, False, , 0, False, False, 1, 2"</definedName>
    <definedName name="cb_sChart_36498_opts" hidden="1">"1, 3, 1, False, 2, False, False, , 0, False, False, 1, 2"</definedName>
    <definedName name="cb_sChart_37450_opts" hidden="1">"1, 5, 1, False, 2, True, False, , 0, False, True, 2, 1"</definedName>
    <definedName name="cb_sChart_41499_opts" hidden="1">"1, 2, 1, False, 2, False, False, , 0, False, False, 2, 1"</definedName>
    <definedName name="cb_sChart_4634_opts" hidden="1">"1, 2, 1, False, 2, False, False, , 0, False, False, 2, 1"</definedName>
    <definedName name="cb_sChart_46965_opts" hidden="1">"1, 1, 1, False, 2, False, False, , 0, False, False, 1, 1"</definedName>
    <definedName name="cb_sChart_52582_opts" hidden="1">"1, 5, 1, False, 2, False, False, , 0, False, True, 1, 2"</definedName>
    <definedName name="cb_sChart_53437_opts" hidden="1">"1, 9, 1, False, 2, False, False, , 0, False, True, 2, 2"</definedName>
    <definedName name="cb_sChart_5449_opts" hidden="1">"1, 3, 1, False, 2, False, False, , 0, False, True, 2, 2"</definedName>
    <definedName name="cb_sChart_5723_opts" hidden="1">"1, 3, 1, False, 2, False, False, , 0, False, True, 2, 2"</definedName>
    <definedName name="cb_sChart_58046_opts" hidden="1">"1, 9, 1, False, 2, False, False, , 0, False, True, 2, 2"</definedName>
    <definedName name="cb_sChart_59010_opts" hidden="1">"1, 5, 1, False, 2, True, False, , 0, False, False, 2, 1"</definedName>
    <definedName name="cb_sChart_59340_opts" hidden="1">"1, 3, 1, False, 2, False, False, , 0, False, True, 2, 2"</definedName>
    <definedName name="cb_sChart_62364_opts" hidden="1">"1, 3, 1, False, 2, False, False, , 0, False, True, 2, 2"</definedName>
    <definedName name="cb_sChart_64876_opts" hidden="1">"1, 5, 1, False, 2, True, False, , 0, False, False, 2, 2"</definedName>
    <definedName name="cb_sChart_70648_opts" hidden="1">"1, 8, 1, False, 2, False, False, , 0, False, False, 2, 2"</definedName>
    <definedName name="cb_sChart_70997_opts" hidden="1">"1, 2, 1, False, 2, False, False, , 0, False, False, 2, 1"</definedName>
    <definedName name="cb_sChart_76165_opts" hidden="1">"1, 2, 1, False, 2, False, False, , 0, False, False, 2, 1"</definedName>
    <definedName name="cb_sChart_76804_opts" hidden="1">"1, 3, 1, False, 2, False, False, , 0, False, True, 2, 2"</definedName>
    <definedName name="cb_sChart_77567_opts" hidden="1">"1, 1, 1, False, 2, True, False, , 0, False, False, 1, 2"</definedName>
    <definedName name="cb_sChart_79140_opts" hidden="1">"1, 5, 1, False, 2, False, False, , 0, False, True, 2, 1"</definedName>
    <definedName name="cb_sChart_81541_opts" hidden="1">"1, 2, 1, False, 2, False, False, , 0, False, False, 2, 1"</definedName>
    <definedName name="cb_sChart_82552_opts" hidden="1">"1, 4, 1, False, 2, True, False, , 0, False, False, 2, 1"</definedName>
    <definedName name="cb_sChart_83072_opts" hidden="1">"1, 4, 1, False, 2, True, False, , 0, False, False, 2, 1"</definedName>
    <definedName name="cb_sChart_86354_opts" hidden="1">"1, 4, 1, False, 2, True, False, , 0, False, False, 1, 1"</definedName>
    <definedName name="cb_sChart_87236_opts" hidden="1">"1, 1, 1, False, 2, False, False, , 0, False, False, 1, 1"</definedName>
    <definedName name="cb_sChart_95047_opts" hidden="1">"1, 6, 1, False, 2, False, False, , 0, False, True, 2, 2"</definedName>
    <definedName name="cb_sChart_96286_opts" hidden="1">"1, 2, 1, False, 2, False, False, , 0, False, False, 2, 1"</definedName>
    <definedName name="cb_sChart105F0196_opts" hidden="1">"1, 2, 1, False, 2, False, False, , 1, False, False, 2, 1"</definedName>
    <definedName name="cb_sChart12D83A2_opts" hidden="1">"1, 1, 1, False, 2, False, False, , 0, False, True, 2, 2"</definedName>
    <definedName name="cb_sChart12D852C_opts" hidden="1">"1, 1, 1, False, 2, False, False, , 0, False, True, 2, 2"</definedName>
    <definedName name="cb_sChart12D89EB_opts" hidden="1">"1, 1, 1, False, 2, False, False, , 0, False, True, 2, 2"</definedName>
    <definedName name="cb_sChart12DAD51_opts" hidden="1">"1, 1, 1, False, 2, False, False, , 0, False, True, 2, 2"</definedName>
    <definedName name="cb_sChart12E7B7B_opts" hidden="1">"1, 1, 1, False, 2, True, False, , 0, False, True, 2, 2"</definedName>
    <definedName name="cb_sChart12E83C1_opts" hidden="1">"1, 1, 1, False, 2, False, False, , 0, False, True, 2, 1"</definedName>
    <definedName name="cb_sChart12E85B3_opts" hidden="1">"1, 1, 1, False, 2, False, False, , 0, False, True, 2, 2"</definedName>
    <definedName name="cb_sChart12E8C9E_opts" hidden="1">"1, 2, 1, False, 2, False, False, , 0, False, False, 2, 1"</definedName>
    <definedName name="cb_sChart12EA8E0_opts" hidden="1">"1, 1, 1, False, 2, True, False, , 0, False, False, 2, 2"</definedName>
    <definedName name="cb_sChart12EB078_opts" hidden="1">"1, 1, 1, False, 2, False, False, , 0, False, False, 2, 2"</definedName>
    <definedName name="cb_sChart12EBD15_opts" hidden="1">"1, 1, 1, False, 2, False, False, , 0, False, False, 2, 2"</definedName>
    <definedName name="cb_sChart12FE48A_opts" hidden="1">"1, 2, 1, False, 2, False, False, , 0, False, False, 2, 1"</definedName>
    <definedName name="cb_sChart12FE9EB_opts" hidden="1">"1, 1, 1, False, 2, False, False, , 0, False, False, 1, 2"</definedName>
    <definedName name="cb_sChart12FEDFD_opts" hidden="1">"1, 1, 1, False, 2, False, False, , 0, False, False, 1, 2"</definedName>
    <definedName name="cb_sChart12FF231_opts" hidden="1">"1, 1, 1, False, 2, False, False, , 0, False, False, 1, 2"</definedName>
    <definedName name="cb_sChart12FF8BF_opts" hidden="1">"1, 1, 1, False, 2, False, False, , 0, False, False, 1, 2"</definedName>
    <definedName name="cb_sChart12FF933_opts" hidden="1">"1, 3, 1, False, 2, False, False, , 0, False, False, 1, 2"</definedName>
    <definedName name="cb_sChart12FFC46_opts" hidden="1">"1, 1, 1, False, 2, False, False, , 0, False, False, 1, 2"</definedName>
    <definedName name="cb_sChart181DCCD8_opts" hidden="1">"1, 9, 1, False, 2, False, False, , 0, False, True, 1, 2"</definedName>
    <definedName name="cb_sChart181DCFF7_opts" hidden="1">"1, 3, 1, False, 2, True, False, , 0, True, True, 2, 1"</definedName>
    <definedName name="cb_sChart181DDD93_opts" hidden="1">"1, 3, 1, False, 2, True, False, , 0, True, True, 2, 1"</definedName>
    <definedName name="cb_sChart181DDEEE_opts" hidden="1">"1, 3, 1, False, 2, True, False, , 0, True, True, 2, 1"</definedName>
    <definedName name="cb_sChart181DE1C7_opts" hidden="1">"1, 10, 1, False, 2, True, False, , 0, False, True, 2, 1"</definedName>
    <definedName name="cb_sChart181E8791_opts" hidden="1">"2, 1, 2, True, 2, True, False, , 0, False, True, 1, 2"</definedName>
    <definedName name="cb_sChart181E96D9_opts" hidden="1">"1, 9, 1, False, 2, False, False, , 0, False, True, 1, 2"</definedName>
    <definedName name="cb_sChart1B7AB11_opts" hidden="1">"1, 7, 1, False, 2, False, False, , 0, False, True, 1, 1"</definedName>
    <definedName name="cb_sChart1B7ECF0_opts" hidden="1">"1, 9, 1, False, 2, False, False, , 0, False, False, 1, 1"</definedName>
    <definedName name="cb_sChart1B8AF1F_opts" hidden="1">"1, 9, 1, False, 2, False, True, , 0, False, False, 1, 1"</definedName>
    <definedName name="cb_sChart1B99DE1_opts" hidden="1">"1, 7, 1, False, 2, False, False, , 0, False, True, 1, 2"</definedName>
    <definedName name="cb_sChart1BA8AA_opts" hidden="1">"1, 1, 1, False, 2, False, False, , 0, False, False, 1, 2"</definedName>
    <definedName name="cb_sChart1BADD1_opts" hidden="1">"1, 1, 1, False, 2, False, False, , 0, False, False, 2, 2"</definedName>
    <definedName name="cb_sChart1CAAAF_opts" hidden="1">"1, 1, 1, False, 2, False, False, , 0, False, False, 3, 2"</definedName>
    <definedName name="cb_sChart1D05BD_opts" hidden="1">"1, 4, 1, False, 2, True, False, , 0, False, False, 2, 1"</definedName>
    <definedName name="cb_sChart1D0E49_opts" hidden="1">"1, 1, 1, False, 2, True, False, , 0, False, True, 2, 1"</definedName>
    <definedName name="cb_sChart1D0EF7_opts" hidden="1">"1, 5, 1, False, 2, True, False, , 0, False, True, 2, 1"</definedName>
    <definedName name="cb_sChart1D3AE8_opts" hidden="1">"1, 6, 1, False, 2, False, False, , 0, False, True, 2, 2"</definedName>
    <definedName name="cb_sChart1D3EEF_opts" hidden="1">"1, 7, 1, False, 2, False, False, , 0, False, True, 2, 2"</definedName>
    <definedName name="cb_sChart1D41EA_opts" hidden="1">"1, 8, 1, False, 2, False, False, , 0, False, False, 2, 2"</definedName>
    <definedName name="cb_sChart1D5891_opts" hidden="1">"1, 9, 1, False, 2, False, False, , 0, False, True, 2, 2"</definedName>
    <definedName name="cb_sChart1D9CE2_opts" hidden="1">"1, 10, 1, False, 2, True, False, , 0, False, False, 2, 2"</definedName>
    <definedName name="cb_sChart1DA03A_opts" hidden="1">"2, 1, 1, True, 3, False, False, , 0, False, True, 1, 2"</definedName>
    <definedName name="cb_sChart1DA590_opts" hidden="1">"2, 1, 1, True, 3, False, False, , 0, False, True, 2, 2"</definedName>
    <definedName name="cb_sChart1DBAAD_opts" hidden="1">"2, 1, 2, True, 2, False, False, , 0, False, True, 1, 2"</definedName>
    <definedName name="cb_sChart1DBB89_opts" hidden="1">"2, 1, 2, True, 2, False, False, , 0, False, True, 1, 1"</definedName>
    <definedName name="cb_sChart1DCA97_opts" hidden="1">"2, 1, 1, True, 2, False, False, , 0, False, True, 2, 1"</definedName>
    <definedName name="cb_sChart1DCCF1_opts" hidden="1">"2, 1, 1, True, 2, False, False, , 0, False, True, 1, 2"</definedName>
    <definedName name="cb_sChart1E1206_opts" hidden="1">"2, 1, 3, False, 2, False, False, , 0, False, True, 2, 2"</definedName>
    <definedName name="cb_sChart1E17F2_opts" hidden="1">"1, 9, 1, False, 2, False, False, , 0, False, True, 1, 1"</definedName>
    <definedName name="cb_sChart1E2D49_opts" hidden="1">"1, 10, 1, False, 2, True, False, , 0, False, False, 3, 2"</definedName>
    <definedName name="cb_sChart1E2DEB_opts" hidden="1">"1, 10, 1, False, 2, True, False, , 0, False, False, 2, 2"</definedName>
    <definedName name="cb_sChart1E3944_opts" hidden="1">"1, 10, 1, False, 2, True, False, , 0, False, False, 2, 2"</definedName>
    <definedName name="cb_sChart1E3BE4_opts" hidden="1">"1, 10, 1, False, 2, True, False, , 0, False, False, 2, 2"</definedName>
    <definedName name="cb_sChart1E3E3D_opts" hidden="1">"1, 10, 1, False, 2, True, False, , 0, False, False, 1, 2"</definedName>
    <definedName name="cb_sChart1E4314_opts" hidden="1">"1, 10, 1, False, 2, True, False, , 0, False, False, 2, 2"</definedName>
    <definedName name="cb_sChart1E4E56_opts" hidden="1">"1, 1, 1, False, 2, False, False, , 0, False, False, 2, 2"</definedName>
    <definedName name="cb_sChart1E5372_opts" hidden="1">"1, 1, 1, False, 2, True, False, , 0, False, True, 2, 2"</definedName>
    <definedName name="cb_sChart1E5975_opts" hidden="1">"2, 1, 2, True, 2, False, False, , 0, False, True, 1, 2"</definedName>
    <definedName name="cb_sChart1E5C43_opts" hidden="1">"2, 1, 2, True, 2, False, False, , 0, False, True, 2, 2"</definedName>
    <definedName name="cb_sChart1E5F4A_opts" hidden="1">"2, 1, 2, True, 2, False, False, , 0, False, True, 1, 2"</definedName>
    <definedName name="cb_sChart23F891A_opts" hidden="1">"1, 9, 1, False, 2, False, False, , 0, False, True, 1, 1"</definedName>
    <definedName name="cb_sChart24ED245_opts" hidden="1">"1, 9, 1, False, 2, False, False, , 0, False, True, 1, 1"</definedName>
    <definedName name="cb_sChart24ED930_opts" hidden="1">"1, 9, 1, False, 2, False, False, , 0, False, False, 1, 1"</definedName>
    <definedName name="cb_sChart26CA498_opts" hidden="1">"1, 9, 1, False, 2, False, False, , 0, False, False, 1, 1"</definedName>
    <definedName name="cb_sChart27D31D5_opts" hidden="1">"1, 9, 1, False, 2, False, False, , 0, False, True, 1, 1"</definedName>
    <definedName name="cb_sChart27D3990_opts" hidden="1">"1, 9, 1, False, 2, False, False, , 0, False, True, 1, 1"</definedName>
    <definedName name="cb_sChart2A64D8F_opts" hidden="1">"1, 8, 1, False, 2, False, False, , 0, False, True, 1, 1"</definedName>
    <definedName name="cb_sChart2A65748_opts" hidden="1">"1, 8, 1, False, 2, False, False, , 0, False, True, 1, 1"</definedName>
    <definedName name="cb_sChart2A667D4_opts" hidden="1">"1, 8, 1, False, 2, False, False, , 0, False, True, 1, 1"</definedName>
    <definedName name="cb_sChart2A66D9D_opts" hidden="1">"1, 8, 1, False, 2, False, False, , 0, False, True, 1, 1"</definedName>
    <definedName name="cb_sChart2A67124_opts" hidden="1">"2, 1, 3, False, 2, False, False, , 0, False, True, 1, 1"</definedName>
    <definedName name="cb_sChart2A673A1_opts" hidden="1">"1, 8, 1, False, 2, False, False, , 0, False, True, 1, 1"</definedName>
    <definedName name="cb_sChart2A67A0C_opts" hidden="1">"1, 8, 1, False, 2, False, False, , 0, False, True, 1, 1"</definedName>
    <definedName name="cb_sChart2A68670_opts" hidden="1">"1, 8, 1, False, 2, False, False, , 0, False, True, 1, 1"</definedName>
    <definedName name="cb_sChart2A6C43D_opts" hidden="1">"1, 9, 1, False, 2, False, False, , 0, False, True, 1, 1"</definedName>
    <definedName name="cb_sChart2A74E8A_opts" hidden="1">"1, 9, 1, False, 2, False, False, , 0, False, True, 1, 1"</definedName>
    <definedName name="cb_sChart2A76BA8_opts" hidden="1">"1, 9, 1, False, 2, False, False, , 0, False, True, 1, 1"</definedName>
    <definedName name="cb_sChart2D6F93B_opts" hidden="1">"1, 9, 1, False, 2, False, False, , 0, False, True, 1, 1"</definedName>
    <definedName name="cb_sChart2D714FE_opts" hidden="1">"1, 9, 1, False, 2, False, False, , 0, False, True, 1, 2"</definedName>
    <definedName name="cb_sChart2D737E5_opts" hidden="1">"1, 9, 1, False, 2, False, False, , 0, False, False, 1, 2"</definedName>
    <definedName name="cb_sChart2D73A28_opts" hidden="1">"1, 9, 1, False, 2, False, False, , 0, False, True, 1, 1"</definedName>
    <definedName name="cb_sChart2D759D9_opts" hidden="1">"1, 10, 1, False, 2, False, False, , 0, False, False, 1, 2"</definedName>
    <definedName name="cb_sChart2D76823_opts" hidden="1">"1, 9, 1, False, 2, False, False, , 0, False, True, 1, 2"</definedName>
    <definedName name="cb_sChart2D76BFA_opts" hidden="1">"1, 9, 1, False, 2, False, False, , 0, False, True, 1, 2"</definedName>
    <definedName name="cb_sChart2D9FB96_opts" hidden="1">"1, 9, 1, False, 2, False, False, , 0, False, True, 1, 2"</definedName>
    <definedName name="cb_sChart2D9FE6F_opts" hidden="1">"1, 9, 1, False, 2, False, False, , 0, False, True, 1, 2"</definedName>
    <definedName name="cb_sChart2DA6F48_opts" hidden="1">"1, 9, 1, False, 2, False, False, , 0, False, True, 1, 2"</definedName>
    <definedName name="cb_sChart2DAB5B8_opts" hidden="1">"1, 7, 1, False, 2, False, False, , 0, False, True, 1, 1"</definedName>
    <definedName name="cb_sChart2DAC2D5_opts" hidden="1">"1, 7, 1, False, 2, False, False, , 0, False, True, 1, 1"</definedName>
    <definedName name="cb_sChart2DADDDE_opts" hidden="1">"1, 7, 1, False, 2, False, False, , 0, False, False, 1, 1"</definedName>
    <definedName name="cb_sChart2DADE5D_opts" hidden="1">"1, 7, 1, False, 2, False, False, , 0, False, True, 1, 1"</definedName>
    <definedName name="cb_sChart2DAF358_opts" hidden="1">"1, 7, 1, False, 2, False, False, , 0, False, True, 1, 1"</definedName>
    <definedName name="cb_sChart2DB05D6_opts" hidden="1">"1, 7, 1, False, 2, False, False, , 0, False, True, 1, 1"</definedName>
    <definedName name="cb_sChart2DBCB46_opts" hidden="1">"1, 7, 1, False, 2, False, False, , 0, False, True, 1, 1"</definedName>
    <definedName name="cb_sChart2E6278B_opts" hidden="1">"1, 9, 1, False, 2, False, False, , 0, False, True, 1, 1"</definedName>
    <definedName name="cb_sChart2EB0678_opts" hidden="1">"1, 1, 1, False, 2, True, False, , 0, False, True, 2, 2"</definedName>
    <definedName name="cb_sChart2F3EBCE_opts" hidden="1">"2, 1, 1, False, 2, False, False, , 0, False, True, 2, 2"</definedName>
    <definedName name="cb_sChart2F3F63F_opts" hidden="1">"1, 5, 1, False, 2, True, False, , 0, False, False, 1, 1"</definedName>
    <definedName name="cb_sChart2F3F90D_opts" hidden="1">"1, 5, 1, False, 2, True, False, , 0, False, False, 2, 2"</definedName>
    <definedName name="cb_sChart2F46DBE_opts" hidden="1">"2, 1, 1, True, 2, False, False, , 0, False, True, 1, 2"</definedName>
    <definedName name="cb_sChart2F470D1_opts" hidden="1">"2, 1, 1, False, 2, True, False, , 0, False, True, 1, 2"</definedName>
    <definedName name="cb_sChart2F4952A_opts" hidden="1">"1, 5, 1, False, 2, False, False, , 0, False, False, 1, 1"</definedName>
    <definedName name="cb_sChart2F49CDA_opts" hidden="1">"1, 5, 1, False, 2, False, False, , 0, False, False, 1, 1"</definedName>
    <definedName name="cb_sChart2F4A3D0_opts" hidden="1">"1, 5, 1, False, 2, False, False, , 0, False, False, 1, 1"</definedName>
    <definedName name="cb_sChart2F4A9B1_opts" hidden="1">"1, 5, 1, False, 2, False, False, , 0, False, False, 1, 1"</definedName>
    <definedName name="cb_sChart2F65E86_opts" hidden="1">"1, 1, 1, False, 2, True, False, , 0, False, False, 2, 2"</definedName>
    <definedName name="cb_sChart2F6A8C2_opts" hidden="1">"1, 1, 1, False, 2, True, False, , 0, False, False, 1, 2"</definedName>
    <definedName name="cb_sChart2F6AAB4_opts" hidden="1">"1, 1, 1, False, 2, True, False, , 0, False, True, 1, 2"</definedName>
    <definedName name="cb_sChart2F6B601_opts" hidden="1">"1, 1, 1, False, 2, False, False, , 0, False, False, 1, 1"</definedName>
    <definedName name="cb_sChart2F730C1_opts" hidden="1">"1, 4, 1, False, 2, False, False, , 0, False, False, 1, 1"</definedName>
    <definedName name="cb_sChart2FA9A3C_opts" hidden="1">"1, 3, 1, False, 2, False, False, , 0, False, True, 1, 2"</definedName>
    <definedName name="cb_sChart2FA9CC4_opts" hidden="1">"1, 3, 1, False, 2, False, False, , 0, False, True, 1, 2"</definedName>
    <definedName name="cb_sChart33FC2FF_opts" hidden="1">"1, 5, 1, False, 2, False, False, , 0, False, False, 1, 2"</definedName>
    <definedName name="cb_sChart33FC8D4_opts" hidden="1">"1, 5, 1, False, 2, False, False, , 0, False, False, 1, 2"</definedName>
    <definedName name="cb_sChart33FE8BF_opts" hidden="1">"1, 5, 1, False, 2, False, False, , 0, False, False, 1, 2"</definedName>
    <definedName name="cb_sChart34010F1_opts" hidden="1">"1, 5, 1, False, 2, False, False, , 0, False, False, 1, 2"</definedName>
    <definedName name="cb_sChart3401AFA_opts" hidden="1">"1, 5, 1, False, 2, False, False, , 0, False, False, 1, 2"</definedName>
    <definedName name="cb_sChart3409186_opts" hidden="1">"1, 5, 1, False, 2, False, False, , 0, False, False, 1, 2"</definedName>
    <definedName name="cb_sChart340A263_opts" hidden="1">"1, 5, 1, False, 2, False, False, , 0, False, False, 1, 1"</definedName>
    <definedName name="cb_sChart340F629_opts" hidden="1">"1, 8, 1, False, 2, False, False, , 0, False, False, 1, 2"</definedName>
    <definedName name="cb_sChart340FD14_opts" hidden="1">"1, 8, 1, False, 2, False, False, , 0, False, False, 1, 2"</definedName>
    <definedName name="cb_sChart34107E2_opts" hidden="1">"1, 8, 1, False, 2, False, False, , 0, False, False, 1, 1"</definedName>
    <definedName name="cb_sChart3434ED7_opts" hidden="1">"1, 5, 1, False, 2, False, False, , 0, False, False, 1, 2"</definedName>
    <definedName name="cb_sChart343DEED_opts" hidden="1">"2, 1, 2, True, 2, False, False, , 0, False, True, 1, 2"</definedName>
    <definedName name="cb_sChart344EE9A_opts" hidden="1">"1, 9, 1, False, 2, False, False, , 0, False, True, 1, 1"</definedName>
    <definedName name="cb_sChart344F24F_opts" hidden="1">"1, 9, 1, False, 2, False, False, , 0, False, True, 1, 2"</definedName>
    <definedName name="cb_sChart3450777_opts" hidden="1">"1, 9, 1, False, 2, False, True, 13, 2, False, False, 1, 1"</definedName>
    <definedName name="cb_sChart3450E85_opts" hidden="1">"1, 9, 1, False, 2, False, False, , 0, False, True, 1, 2"</definedName>
    <definedName name="cb_sChart3452C22_opts" hidden="1">"1, 3, 1, False, 2, False, False, , 0, False, True, 1, 2"</definedName>
    <definedName name="cb_sChart345311B_opts" hidden="1">"1, 3, 1, False, 2, False, False, , 0, False, True, 1, 2"</definedName>
    <definedName name="cb_sChart3453B0D_opts" hidden="1">"2, 1, 1, True, 2, False, False, , 0, False, True, 1, 2"</definedName>
    <definedName name="cb_sChart34647CA_opts" hidden="1">"1, 8, 1, False, 2, False, False, , 0, False, False, 2, 2"</definedName>
    <definedName name="cb_sChart346520D_opts" hidden="1">"1, 8, 1, False, 2, False, False, , 0, False, False, 1, 2"</definedName>
    <definedName name="cb_sChart34654DB_opts" hidden="1">"1, 8, 1, False, 2, False, False, , 0, False, False, 1, 2"</definedName>
    <definedName name="cb_sChart346953C_opts" hidden="1">"2, 1, 1, False, 2, False, False, , 0, False, False, 2, 2"</definedName>
    <definedName name="cb_sChart346A27B_opts" hidden="1">"1, 3, 1, False, 2, False, False, , 0, False, True, 2, 2"</definedName>
    <definedName name="cb_sChart347102A_opts" hidden="1">"2, 1, 1, False, 2, False, False, , 0, False, True, 2, 2"</definedName>
    <definedName name="cb_sChart34E448E_opts" hidden="1">"1, 1, 1, False, 2, False, False, , 0, False, False, 1, 1"</definedName>
    <definedName name="cb_sChart34F5376_opts" hidden="1">"2, 1, 2, True, 2, False, False, , 0, False, True, 1, 2"</definedName>
    <definedName name="cb_sChart34F577C_opts" hidden="1">"2, 1, 2, True, 2, False, False, , 0, False, True, 1, 2"</definedName>
    <definedName name="cb_sChart34F5A05_opts" hidden="1">"2, 1, 2, True, 2, False, False, , 0, False, True, 1, 2"</definedName>
    <definedName name="cb_sChart34F5F2C_opts" hidden="1">"2, 1, 2, True, 2, False, False, , 0, False, True, 1, 2"</definedName>
    <definedName name="cb_sChart34F92FC_opts" hidden="1">"1, 1, 1, False, 2, True, False, , 0, False, False, 1, 2"</definedName>
    <definedName name="cb_sChart34F9B08_opts" hidden="1">"1, 4, 1, False, 2, False, False, , 0, False, False, 1, 1"</definedName>
    <definedName name="cb_sChart34FAEB3_opts" hidden="1">"1, 3, 1, False, 2, False, False, , 0, False, True, 1, 1"</definedName>
    <definedName name="cb_sChart34FB053_opts" hidden="1">"1, 3, 1, False, 2, True, False, , 0, False, False, 1, 1"</definedName>
    <definedName name="cb_sChart352F02B_opts" hidden="1">"1, 5, 1, False, 2, True, False, , 0, False, False, 1, 2"</definedName>
    <definedName name="cb_sChart3532FF6_opts" hidden="1">"2, 1, 1, False, 2, False, False, , 0, False, True, 1, 2"</definedName>
    <definedName name="cb_sChart355BCAD_opts" hidden="1">"2, 1, 1, False, 2, False, False, , 0, False, True, 1, 2"</definedName>
    <definedName name="cb_sChart35FF6A2_opts" hidden="1">"1, 8, 1, False, 2, False, False, , 0, False, False, 1, 2"</definedName>
    <definedName name="cb_sChart3624091_opts" hidden="1">"1, 8, 1, False, 2, False, False, , 0, False, False, 1, 2"</definedName>
    <definedName name="cb_sChart36406CE_opts" hidden="1">"1, 3, 1, False, 2, True, False, , 0, False, True, 1, 1"</definedName>
    <definedName name="cb_sChart3AB73A1_opts" hidden="1">"2, 1, 1, False, 2, True, False, , 0, False, True, 2, 2"</definedName>
    <definedName name="cb_sChart3ABAD51_opts" hidden="1">"1, 5, 1, False, 2, True, False, , 0, False, False, 2, 2"</definedName>
    <definedName name="cb_sChart3AE4A4F_opts" hidden="1">"2, 1, 1, True, 2, False, False, , 0, False, True, 2, 2"</definedName>
    <definedName name="cb_sChart3AEA7B7_opts" hidden="1">"2, 1, 1, True, 2, False, False, , 0, False, True, 1, 1"</definedName>
    <definedName name="cb_sChart3AEAB83_opts" hidden="1">"2, 1, 1, True, 2, False, False, , 0, False, True, 2, 2"</definedName>
    <definedName name="cb_sChart3AF2834_opts" hidden="1">"1, 3, 1, False, 2, False, False, , 0, False, False, 2, 2"</definedName>
    <definedName name="cb_sChart3AF5310_opts" hidden="1">"1, 1, 1, False, 2, False, False, , 0, False, False, 1, 2"</definedName>
    <definedName name="cb_sChart3AF68AD_opts" hidden="1">"1, 1, 1, False, 2, False, False, , 0, False, False, 2, 2"</definedName>
    <definedName name="cb_sChart3AF71DA_opts" hidden="1">"1, 1, 1, False, 2, False, False, , 0, False, False, 1, 1"</definedName>
    <definedName name="cb_sChart3AF76D4_opts" hidden="1">"1, 1, 1, False, 2, False, False, , 0, False, False, 2, 2"</definedName>
    <definedName name="cb_sChart3AF8492_opts" hidden="1">"1, 1, 1, False, 2, False, False, , 0, False, False, 1, 1"</definedName>
    <definedName name="cb_sChart3AFF994_opts" hidden="1">"1, 1, 1, False, 2, False, False, , 0, False, False, 2, 2"</definedName>
    <definedName name="cb_sChart3B004D6_opts" hidden="1">"1, 1, 1, False, 2, False, False, , 0, False, False, 1, 1"</definedName>
    <definedName name="cb_sChart3B03C44_opts" hidden="1">"1, 1, 1, False, 2, False, False, , 0, False, False, 1, 1"</definedName>
    <definedName name="cb_sChart3B08D31_opts" hidden="1">"1, 8, 1, False, 2, False, False, , 0, False, False, 2, 2"</definedName>
    <definedName name="cb_sChart3B09A9F_opts" hidden="1">"1, 8, 1, False, 2, False, False, , 0, False, False, 2, 2"</definedName>
    <definedName name="cb_sChart3B09F8C_opts" hidden="1">"1, 8, 1, False, 2, False, False, , 0, False, False, 2, 2"</definedName>
    <definedName name="cb_sChart3B0ABD8_opts" hidden="1">"1, 8, 1, False, 2, False, False, , 0, False, False, 2, 2"</definedName>
    <definedName name="cb_sChart3B12357_opts" hidden="1">"1, 8, 1, False, 2, False, False, , 0, False, False, 2, 2"</definedName>
    <definedName name="cb_sChart3B12816_opts" hidden="1">"1, 8, 1, False, 2, False, False, , 0, False, False, 2, 2"</definedName>
    <definedName name="cb_sChart3B12D0F_opts" hidden="1">"1, 8, 1, False, 2, False, False, , 0, False, False, 2, 2"</definedName>
    <definedName name="cb_sChart3BA9EF5_opts" hidden="1">"1, 9, 1, False, 2, False, False, , 0, False, True, 1, 1"</definedName>
    <definedName name="cb_sChart3BAA0A1_opts" hidden="1">"1, 9, 1, False, 2, False, False, , 0, False, True, 1, 1"</definedName>
    <definedName name="cb_sChart3BAA29E_opts" hidden="1">"1, 9, 1, False, 2, False, False, , 0, False, True, 1, 1"</definedName>
    <definedName name="cb_sChart3BAACED_opts" hidden="1">"1, 9, 1, False, 2, False, False, , 0, False, True, 1, 1"</definedName>
    <definedName name="cb_sChart3BAD7A6_opts" hidden="1">"2, 1, 2, True, 2, False, False, , 0, False, True, 1, 2"</definedName>
    <definedName name="cb_sChart3BBD972_opts" hidden="1">"1, 1, 1, False, 2, False, False, , 0, False, False, 1, 1"</definedName>
    <definedName name="cb_sChart3BC0E91_opts" hidden="1">"2, 1, 1, False, 2, True, False, , 0, False, True, 1, 1"</definedName>
    <definedName name="cb_sChart3BFC30E_opts" hidden="1">"1, 4, 1, False, 2, False, False, , 0, False, False, 1, 1"</definedName>
    <definedName name="cb_sChart3BFD9FA_opts" hidden="1">"2, 1, 1, True, 2, False, False, , 0, False, True, 2, 2"</definedName>
    <definedName name="cb_sChart3BFEF23_opts" hidden="1">"1, 4, 1, False, 2, False, False, , 0, False, False, 1, 1"</definedName>
    <definedName name="cb_sChart3BFF2E3_opts" hidden="1">"1, 1, 1, False, 2, False, False, , 0, False, False, 1, 1"</definedName>
    <definedName name="cb_sChart463330_opts" hidden="1">"2, 1, 2, True, 2, False, False, , 0, False, True, 1, 2"</definedName>
    <definedName name="cb_sChart4665D3_opts" hidden="1">"1, 9, 1, False, 2, False, False, , 0, False, True, 2, 2"</definedName>
    <definedName name="cb_sChart4680DD_opts" hidden="1">"1, 10, 1, False, 2, True, False, , 0, False, False, 2, 2"</definedName>
    <definedName name="cb_sChart468801_opts" hidden="1">"1, 10, 1, False, 2, True, False, , 0, False, False, 2, 2"</definedName>
    <definedName name="cb_sChart46BC0B_opts" hidden="1">"2, 1, 2, True, 2, False, False, , 0, False, True, 1, 2"</definedName>
    <definedName name="cb_sChart4828C3_opts" hidden="1">"1, 1, 1, False, 2, False, False, , 0, False, False, 1, 2"</definedName>
    <definedName name="cb_sChart482D03_opts" hidden="1">"1, 1, 1, False, 2, False, False, , 0, False, False, 1, 2"</definedName>
    <definedName name="cb_sChart595EE0E_opts" hidden="1">"1, 9, 1, False, 2, False, True, , 3, False, True, 1, 1"</definedName>
    <definedName name="cb_sChart5D0C805_opts" hidden="1">"1, 4, 1, False, 2, False, False, , 0, False, False, 1, 1"</definedName>
    <definedName name="cb_sChart5D375C8_opts" hidden="1">"1, 9, 1, False, 2, False, False, , 0, False, True, 1, 1"</definedName>
    <definedName name="cb_sChart6A2ED7_opts" hidden="1">"1, 10, 1, False, 2, True, False, , 0, False, False, 1, 1"</definedName>
    <definedName name="cb_sChart6A6617_opts" hidden="1">"1, 10, 1, False, 2, True, False, , 0, False, False, 1, 1"</definedName>
    <definedName name="cb_sChart6A66F3_opts" hidden="1">"1, 10, 1, False, 2, True, False, , 0, False, False, 1, 1"</definedName>
    <definedName name="cb_sChart6A7DF6_opts" hidden="1">"1, 3, 1, False, 2, True, False, , 0, False, True, 2, 1"</definedName>
    <definedName name="cb_sChart74E984_opts" hidden="1">"1, 1, 1, False, 2, False, False, , 0, False, False, 2, 2"</definedName>
    <definedName name="cb_sChart8CD287E_opts" hidden="1">"1, 1, 1, False, 2, False, False, , 0, False, False, 1, 1"</definedName>
    <definedName name="cb_sChartD086F3E_opts" hidden="1">"1, 1, 1, False, 2, False, False, , 1, False, True, 2, 2"</definedName>
    <definedName name="cb_sChartD0876B3_opts" hidden="1">"2, 2, 2, True, 2, False, False, , 1, False, True, 2, 2"</definedName>
    <definedName name="cb_sChartEB337E1_opts" hidden="1">"1, 10, 1, False, 2, False, False, , 1, False, True, 2, 2"</definedName>
    <definedName name="cb_sChartEB33A80_opts" hidden="1">"1, 10, 1, False, 2, False, False, , 1, False, True, 2, 2"</definedName>
    <definedName name="cb_sChartEB33EA9_opts" hidden="1">"1, 10, 1, False, 2, False, False, , 1, False, True, 2, 2"</definedName>
    <definedName name="cb_sChartEB340BD_opts" hidden="1">"1, 10, 1, False, 2, False, False, , 1, False, True, 2, 2"</definedName>
    <definedName name="cb_sChartEB344DA_opts" hidden="1">"1, 10, 1, False, 2, False, False, , 1, False, False, 2, 2"</definedName>
    <definedName name="cb_sChartEB3479C_opts" hidden="1">"1, 1, 1, False, 2, False, False, , 1, False, True, 2, 1"</definedName>
    <definedName name="cb_sChartEB34833_opts" hidden="1">"1, 10, 1, False, 2, False, False, , 1, False, True, 2, 1"</definedName>
    <definedName name="cb_sChartEB34DCE_opts" hidden="1">"1, 10, 1, False, 2, False, False, , 1, False, True, 2, 1"</definedName>
    <definedName name="cb_sChartEB36CAF_opts" hidden="1">"1, 9, 1, False, 2, False, False, , 1, False, True, 1, 2"</definedName>
    <definedName name="cb_sChartEB38838_opts" hidden="1">"1, 9, 1, False, 2, False, False, , 1, False, True, 2, 2"</definedName>
    <definedName name="cb_sChartEB38E8C_opts" hidden="1">"1, 10, 1, False, 2, False, False, , 1, False, True, 2, 2"</definedName>
    <definedName name="cb_sChartEB3980B_opts" hidden="1">"1, 2, 1, False, 2, False, False, , 1, False, False, 2, 1"</definedName>
    <definedName name="cb_sChartEB39C1C_opts" hidden="1">"1, 2, 1, False, 2, False, False, , 1, False, False, 2, 1"</definedName>
    <definedName name="cb_sChartF0FF3D7_opts" hidden="1">"1, 8, 1, False, 2, False, False, , 1, False, True, 1, 2"</definedName>
    <definedName name="cb_sChartF1BF8C8_opts" hidden="1">"1, 8, 1, False, 2, False, False, , 1, False, True, 1, 2"</definedName>
    <definedName name="cb_sChartF1C057C_opts" hidden="1">"1, 2, 1, False, 2, False, False, , 1, False, False, 2, 1"</definedName>
    <definedName name="cb_sChartF1C0A0D_opts" hidden="1">"1, 8, 1, False, 2, False, False, , 1, False, True, 1, 1"</definedName>
    <definedName name="cb_sChartF1C9DF0_opts" hidden="1">"1, 8, 1, False, 2, False, False, , 1, False, True, 1, 2"</definedName>
    <definedName name="cb_sChartF1F24F5_opts" hidden="1">"1, 8, 1, False, 2, False, False, , 1, False, True, 1, 2"</definedName>
    <definedName name="cb_Size_by_height_and_widthChart_16_opts" hidden="1">"1, 4, 1, False, 2, False, False, , 0, False, False, 1, 1"</definedName>
    <definedName name="cb_Size_by_height_and_widthChart_7_opts" hidden="1">"1, 4, 1, False, 2, False, False, , 0, False, False, 1, 1"</definedName>
    <definedName name="cb_Size_by_height_and_widthChart_8_opts" hidden="1">"1, 4, 1, False, 2, False, False, , 0, False, False, 1, 1"</definedName>
    <definedName name="Comp1Seg1">"Check Box 1"</definedName>
    <definedName name="Conveuro">4.5</definedName>
    <definedName name="cross">"û"</definedName>
    <definedName name="dialog_open">"Dialog Frame 1"</definedName>
    <definedName name="DiscAUD">1</definedName>
    <definedName name="DiscAV">1</definedName>
    <definedName name="DiscBMS">1</definedName>
    <definedName name="DiscDEV">1</definedName>
    <definedName name="DiscFA">1</definedName>
    <definedName name="DiscGEN">1</definedName>
    <definedName name="DiscLITE">1</definedName>
    <definedName name="DiscLVcab">1</definedName>
    <definedName name="DiscMVcab">1</definedName>
    <definedName name="DiscPA">1</definedName>
    <definedName name="DiscPNL">1</definedName>
    <definedName name="DiscSEC">1</definedName>
    <definedName name="DiscSUB">1</definedName>
    <definedName name="DiscSWGR">1</definedName>
    <definedName name="DiscTEL">0.79</definedName>
    <definedName name="DiscTRAFO">1</definedName>
    <definedName name="DiscTV">1</definedName>
    <definedName name="dm">0.8</definedName>
    <definedName name="Error.message.01">"Item not found in bill"</definedName>
    <definedName name="Error.message.02">"Item not defined"</definedName>
    <definedName name="ev.Calculation" hidden="1">-4135</definedName>
    <definedName name="ev.Initialized" hidden="1">FALSE</definedName>
    <definedName name="EV__LASTREFTIME__" hidden="1">40308.5960763889</definedName>
    <definedName name="FirstFreeInterfaceDropDown">"Drop Down 527"</definedName>
    <definedName name="GROUP" hidden="1">"bissql"</definedName>
    <definedName name="HD">100</definedName>
    <definedName name="Hedge">6.7754</definedName>
    <definedName name="Hedge_rate">6.7754</definedName>
    <definedName name="hn.ExtDb" hidden="1">FALSE</definedName>
    <definedName name="hn.ModelType" hidden="1">"DEAL"</definedName>
    <definedName name="hn.ModelVersion" hidden="1">1</definedName>
    <definedName name="hn.NoUpload" hidden="1">0</definedName>
    <definedName name="HTML1_10" hidden="1">"charles_l_blake@ccm.rr.intel.com"</definedName>
    <definedName name="HTML1_11" hidden="1">1</definedName>
    <definedName name="HTML1_12" hidden="1">"C:\CWeb\P858VFCPA\9712\timeline.htm"</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Count" hidden="1">1</definedName>
    <definedName name="Ind">1</definedName>
    <definedName name="int_ext_sel">1</definedName>
    <definedName name="IQ_ACCOUNT_CHANGE" hidden="1">"c1449"</definedName>
    <definedName name="IQ_ACCOUNTING_STANDARD" hidden="1">"c4539"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EMPLOYEES" hidden="1">"c6019"</definedName>
    <definedName name="IQ_AVG_INDUSTRY_REC" hidden="1">"c4455"</definedName>
    <definedName name="IQ_AVG_INDUSTRY_REC_NO" hidden="1">"c4454"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MP_EMPLOYEES" hidden="1">"c6020"</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 hidden="1">"c87"</definedName>
    <definedName name="IQ_BASIC_WEIGHT_EST" hidden="1">"c4140"</definedName>
    <definedName name="IQ_BASIC_WEIGHT_GUIDANCE" hidden="1">"c4141"</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EST" hidden="1">"c5624"</definedName>
    <definedName name="IQ_BV_HIGH_EST" hidden="1">"c5626"</definedName>
    <definedName name="IQ_BV_LOW_EST" hidden="1">"c5627"</definedName>
    <definedName name="IQ_BV_MEDIAN_EST" hidden="1">"c5625"</definedName>
    <definedName name="IQ_BV_NUM_EST" hidden="1">"c5628"</definedName>
    <definedName name="IQ_BV_OVER_SHARES" hidden="1">"c1349"</definedName>
    <definedName name="IQ_BV_SHARE" hidden="1">"c100"</definedName>
    <definedName name="IQ_BV_SHARE_ACT_OR_EST" hidden="1">"c3587"</definedName>
    <definedName name="IQ_BV_SHARE_ACT_OR_EST_REUT" hidden="1">"c5477"</definedName>
    <definedName name="IQ_BV_SHARE_EST" hidden="1">"c3541"</definedName>
    <definedName name="IQ_BV_SHARE_EST_REUT" hidden="1">"c5439"</definedName>
    <definedName name="IQ_BV_SHARE_HIGH_EST" hidden="1">"c3542"</definedName>
    <definedName name="IQ_BV_SHARE_HIGH_EST_REUT" hidden="1">"c5441"</definedName>
    <definedName name="IQ_BV_SHARE_LOW_EST" hidden="1">"c3543"</definedName>
    <definedName name="IQ_BV_SHARE_LOW_EST_REUT" hidden="1">"c5442"</definedName>
    <definedName name="IQ_BV_SHARE_MEDIAN_EST" hidden="1">"c3544"</definedName>
    <definedName name="IQ_BV_SHARE_MEDIAN_EST_REUT" hidden="1">"c5440"</definedName>
    <definedName name="IQ_BV_SHARE_NUM_EST" hidden="1">"c3539"</definedName>
    <definedName name="IQ_BV_SHARE_NUM_EST_REUT" hidden="1">"c5443"</definedName>
    <definedName name="IQ_BV_SHARE_STDDEV_EST" hidden="1">"c3540"</definedName>
    <definedName name="IQ_BV_SHARE_STDDEV_EST_REUT" hidden="1">"c5444"</definedName>
    <definedName name="IQ_BV_STDDEV_EST" hidden="1">"c5629"</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REUT" hidden="1">"c5474"</definedName>
    <definedName name="IQ_CAPEX_BNK" hidden="1">"c110"</definedName>
    <definedName name="IQ_CAPEX_BR" hidden="1">"c111"</definedName>
    <definedName name="IQ_CAPEX_EST" hidden="1">"c3523"</definedName>
    <definedName name="IQ_CAPEX_EST_REUT" hidden="1">"c3969"</definedName>
    <definedName name="IQ_CAPEX_FIN" hidden="1">"c112"</definedName>
    <definedName name="IQ_CAPEX_GUIDANCE" hidden="1">"c4150"</definedName>
    <definedName name="IQ_CAPEX_HIGH_EST" hidden="1">"c3524"</definedName>
    <definedName name="IQ_CAPEX_HIGH_EST_REUT" hidden="1">"c3971"</definedName>
    <definedName name="IQ_CAPEX_HIGH_GUIDANCE" hidden="1">"c4180"</definedName>
    <definedName name="IQ_CAPEX_INS" hidden="1">"c113"</definedName>
    <definedName name="IQ_CAPEX_LOW_EST" hidden="1">"c3525"</definedName>
    <definedName name="IQ_CAPEX_LOW_EST_REUT" hidden="1">"c3972"</definedName>
    <definedName name="IQ_CAPEX_LOW_GUIDANCE" hidden="1">"c4220"</definedName>
    <definedName name="IQ_CAPEX_MEDIAN_EST" hidden="1">"c3526"</definedName>
    <definedName name="IQ_CAPEX_MEDIAN_EST_REUT" hidden="1">"c3970"</definedName>
    <definedName name="IQ_CAPEX_NUM_EST" hidden="1">"c3521"</definedName>
    <definedName name="IQ_CAPEX_NUM_EST_REUT" hidden="1">"c3973"</definedName>
    <definedName name="IQ_CAPEX_STDDEV_EST" hidden="1">"c3522"</definedName>
    <definedName name="IQ_CAPEX_STDDEV_EST_REUT" hidden="1">"c3974"</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PS_ACT_OR_EST" hidden="1">"c5638"</definedName>
    <definedName name="IQ_CASH_EPS_EST" hidden="1">"c5631"</definedName>
    <definedName name="IQ_CASH_EPS_HIGH_EST" hidden="1">"c5633"</definedName>
    <definedName name="IQ_CASH_EPS_LOW_EST" hidden="1">"c5634"</definedName>
    <definedName name="IQ_CASH_EPS_MEDIAN_EST" hidden="1">"c5632"</definedName>
    <definedName name="IQ_CASH_EPS_NUM_EST" hidden="1">"c5635"</definedName>
    <definedName name="IQ_CASH_EPS_STDDEV_EST" hidden="1">"c5636"</definedName>
    <definedName name="IQ_CASH_EQUIV" hidden="1">"c118"</definedName>
    <definedName name="IQ_CASH_FINAN" hidden="1">"c119"</definedName>
    <definedName name="IQ_CASH_FLOW_ACT_OR_EST" hidden="1">"c4154"</definedName>
    <definedName name="IQ_CASH_FLOW_EST" hidden="1">"c4153"</definedName>
    <definedName name="IQ_CASH_FLOW_GUIDANCE" hidden="1">"c4155"</definedName>
    <definedName name="IQ_CASH_FLOW_HIGH_EST" hidden="1">"c4156"</definedName>
    <definedName name="IQ_CASH_FLOW_HIGH_GUIDANCE" hidden="1">"c4201"</definedName>
    <definedName name="IQ_CASH_FLOW_LOW_EST" hidden="1">"c4157"</definedName>
    <definedName name="IQ_CASH_FLOW_LOW_GUIDANCE" hidden="1">"c4241"</definedName>
    <definedName name="IQ_CASH_FLOW_MEDIAN_EST" hidden="1">"c4158"</definedName>
    <definedName name="IQ_CASH_FLOW_NUM_EST" hidden="1">"c4159"</definedName>
    <definedName name="IQ_CASH_FLOW_STDDEV_EST" hidden="1">"c4160"</definedName>
    <definedName name="IQ_CASH_INTEREST" hidden="1">"c120"</definedName>
    <definedName name="IQ_CASH_INVEST" hidden="1">"c121"</definedName>
    <definedName name="IQ_CASH_OPER" hidden="1">"c122"</definedName>
    <definedName name="IQ_CASH_OPER_ACT_OR_EST" hidden="1">"c4164"</definedName>
    <definedName name="IQ_CASH_OPER_EST" hidden="1">"c4163"</definedName>
    <definedName name="IQ_CASH_OPER_GUIDANCE" hidden="1">"c4165"</definedName>
    <definedName name="IQ_CASH_OPER_HIGH_EST" hidden="1">"c4166"</definedName>
    <definedName name="IQ_CASH_OPER_HIGH_GUIDANCE" hidden="1">"c4185"</definedName>
    <definedName name="IQ_CASH_OPER_LOW_EST" hidden="1">"c4244"</definedName>
    <definedName name="IQ_CASH_OPER_LOW_GUIDANCE" hidden="1">"c4225"</definedName>
    <definedName name="IQ_CASH_OPER_MEDIAN_EST" hidden="1">"c4245"</definedName>
    <definedName name="IQ_CASH_OPER_NUM_EST" hidden="1">"c4246"</definedName>
    <definedName name="IQ_CASH_OPER_STDDEV_EST" hidden="1">"c4247"</definedName>
    <definedName name="IQ_CASH_SEGREG" hidden="1">"c123"</definedName>
    <definedName name="IQ_CASH_SHARE" hidden="1">"c1911"</definedName>
    <definedName name="IQ_CASH_ST" hidden="1">"c1355"</definedName>
    <definedName name="IQ_CASH_ST_INVEST" hidden="1">"c124"</definedName>
    <definedName name="IQ_CASH_ST_INVEST_EST" hidden="1">"c4249"</definedName>
    <definedName name="IQ_CASH_ST_INVEST_GUIDANCE" hidden="1">"c4250"</definedName>
    <definedName name="IQ_CASH_ST_INVEST_HIGH_EST" hidden="1">"c4251"</definedName>
    <definedName name="IQ_CASH_ST_INVEST_HIGH_GUIDANCE" hidden="1">"c4195"</definedName>
    <definedName name="IQ_CASH_ST_INVEST_LOW_EST" hidden="1">"c4252"</definedName>
    <definedName name="IQ_CASH_ST_INVEST_LOW_GUIDANCE" hidden="1">"c4235"</definedName>
    <definedName name="IQ_CASH_ST_INVEST_MEDIAN_EST" hidden="1">"c4253"</definedName>
    <definedName name="IQ_CASH_ST_INVEST_NUM_EST" hidden="1">"c4254"</definedName>
    <definedName name="IQ_CASH_ST_INVEST_STDDEV_EST" hidden="1">"c4255"</definedName>
    <definedName name="IQ_CASH_TAXES" hidden="1">"c125"</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 hidden="1">"c2217"</definedName>
    <definedName name="IQ_CFPS_ACT_OR_EST_REUT" hidden="1">"c5463"</definedName>
    <definedName name="IQ_CFPS_EST" hidden="1">"c1667"</definedName>
    <definedName name="IQ_CFPS_EST_REUT" hidden="1">"c3844"</definedName>
    <definedName name="IQ_CFPS_GUIDANCE" hidden="1">"c4256"</definedName>
    <definedName name="IQ_CFPS_HIGH_EST" hidden="1">"c1669"</definedName>
    <definedName name="IQ_CFPS_HIGH_EST_REUT" hidden="1">"c3846"</definedName>
    <definedName name="IQ_CFPS_HIGH_GUIDANCE" hidden="1">"c4167"</definedName>
    <definedName name="IQ_CFPS_LOW_EST" hidden="1">"c1670"</definedName>
    <definedName name="IQ_CFPS_LOW_EST_REUT" hidden="1">"c3847"</definedName>
    <definedName name="IQ_CFPS_LOW_GUIDANCE" hidden="1">"c4207"</definedName>
    <definedName name="IQ_CFPS_MEDIAN_EST" hidden="1">"c1668"</definedName>
    <definedName name="IQ_CFPS_MEDIAN_EST_REUT" hidden="1">"c3845"</definedName>
    <definedName name="IQ_CFPS_NUM_EST" hidden="1">"c1671"</definedName>
    <definedName name="IQ_CFPS_NUM_EST_REUT" hidden="1">"c3848"</definedName>
    <definedName name="IQ_CFPS_STDDEV_EST" hidden="1">"c1672"</definedName>
    <definedName name="IQ_CFPS_STDDEV_EST_REUT" hidden="1">"c3849"</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TY_EST" hidden="1">"c4257"</definedName>
    <definedName name="IQ_DEBT_EQUITY_HIGH_EST" hidden="1">"c4258"</definedName>
    <definedName name="IQ_DEBT_EQUITY_LOW_EST" hidden="1">"c4259"</definedName>
    <definedName name="IQ_DEBT_EQUITY_MEDIAN_EST" hidden="1">"c4260"</definedName>
    <definedName name="IQ_DEBT_EQUITY_NUM_EST" hidden="1">"c4261"</definedName>
    <definedName name="IQ_DEBT_EQUITY_STDDEV_EST" hidden="1">"c4262"</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OSITS_INTEREST_SECURITIES" hidden="1">"c5509"</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FF_LASTCLOSE_TARGET_PRICE_REUT" hidden="1">"c5436"</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HIGH_EST" hidden="1">"c4264"</definedName>
    <definedName name="IQ_DILUT_OUTSTANDING_CURRENT_LOW_EST" hidden="1">"c4265"</definedName>
    <definedName name="IQ_DILUT_OUTSTANDING_CURRENT_MEDIAN_EST" hidden="1">"c4266"</definedName>
    <definedName name="IQ_DILUT_OUTSTANDING_CURRENT_NUM_EST" hidden="1">"c4267"</definedName>
    <definedName name="IQ_DILUT_OUTSTANDING_CURRENT_STDDEV_EST" hidden="1">"c4268"</definedName>
    <definedName name="IQ_DILUT_WEIGHT" hidden="1">"c326"</definedName>
    <definedName name="IQ_DILUT_WEIGHT_EST" hidden="1">"c4269"</definedName>
    <definedName name="IQ_DILUT_WEIGHT_GUIDANCE" hidden="1">"c4270"</definedName>
    <definedName name="IQ_DILUT_WEIGHT_HIGH_EST" hidden="1">"c4271"</definedName>
    <definedName name="IQ_DILUT_WEIGHT_LOW_EST" hidden="1">"c4272"</definedName>
    <definedName name="IQ_DILUT_WEIGHT_MEDIAN_EST" hidden="1">"c4273"</definedName>
    <definedName name="IQ_DILUT_WEIGHT_NUM_EST" hidden="1">"c4274"</definedName>
    <definedName name="IQ_DILUT_WEIGHT_STDDEV_EST" hidden="1">"c4275"</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EST" hidden="1">"c4277"</definedName>
    <definedName name="IQ_DISTRIBUTABLE_CASH_GUIDANCE" hidden="1">"c4279"</definedName>
    <definedName name="IQ_DISTRIBUTABLE_CASH_HIGH_EST" hidden="1">"c4280"</definedName>
    <definedName name="IQ_DISTRIBUTABLE_CASH_HIGH_GUIDANCE" hidden="1">"c4198"</definedName>
    <definedName name="IQ_DISTRIBUTABLE_CASH_LOW_EST" hidden="1">"c4281"</definedName>
    <definedName name="IQ_DISTRIBUTABLE_CASH_LOW_GUIDANCE" hidden="1">"c4238"</definedName>
    <definedName name="IQ_DISTRIBUTABLE_CASH_MEDIAN_EST" hidden="1">"c4282"</definedName>
    <definedName name="IQ_DISTRIBUTABLE_CASH_NUM_EST" hidden="1">"c4283"</definedName>
    <definedName name="IQ_DISTRIBUTABLE_CASH_PAYOUT" hidden="1">"c3005"</definedName>
    <definedName name="IQ_DISTRIBUTABLE_CASH_SHARE" hidden="1">"c3003"</definedName>
    <definedName name="IQ_DISTRIBUTABLE_CASH_SHARE_ACT_OR_EST" hidden="1">"c4286"</definedName>
    <definedName name="IQ_DISTRIBUTABLE_CASH_SHARE_EST" hidden="1">"c4285"</definedName>
    <definedName name="IQ_DISTRIBUTABLE_CASH_SHARE_GUIDANCE" hidden="1">"c4287"</definedName>
    <definedName name="IQ_DISTRIBUTABLE_CASH_SHARE_HIGH_EST" hidden="1">"c4288"</definedName>
    <definedName name="IQ_DISTRIBUTABLE_CASH_SHARE_HIGH_GUIDANCE" hidden="1">"c4199"</definedName>
    <definedName name="IQ_DISTRIBUTABLE_CASH_SHARE_LOW_EST" hidden="1">"c4289"</definedName>
    <definedName name="IQ_DISTRIBUTABLE_CASH_SHARE_LOW_GUIDANCE" hidden="1">"c4239"</definedName>
    <definedName name="IQ_DISTRIBUTABLE_CASH_SHARE_MEDIAN_EST" hidden="1">"c4290"</definedName>
    <definedName name="IQ_DISTRIBUTABLE_CASH_SHARE_NUM_EST" hidden="1">"c4291"</definedName>
    <definedName name="IQ_DISTRIBUTABLE_CASH_SHARE_STDDEV_EST" hidden="1">"c4292"</definedName>
    <definedName name="IQ_DISTRIBUTABLE_CASH_STDDEV_EST" hidden="1">"c4294"</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EST" hidden="1">"c4296"</definedName>
    <definedName name="IQ_DIVIDEND_HIGH_EST" hidden="1">"c4297"</definedName>
    <definedName name="IQ_DIVIDEND_LOW_EST" hidden="1">"c4298"</definedName>
    <definedName name="IQ_DIVIDEND_MEDIAN_EST" hidden="1">"c4299"</definedName>
    <definedName name="IQ_DIVIDEND_NUM_EST" hidden="1">"c4300"</definedName>
    <definedName name="IQ_DIVIDEND_STDDEV_EST" hidden="1">"c4301"</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REUT" hidden="1">"c5464"</definedName>
    <definedName name="IQ_DPS_EST" hidden="1">"c1674"</definedName>
    <definedName name="IQ_DPS_EST_BOTTOM_UP" hidden="1">"c5493"</definedName>
    <definedName name="IQ_DPS_EST_BOTTOM_UP_REUT" hidden="1">"c5501"</definedName>
    <definedName name="IQ_DPS_EST_REUT" hidden="1">"c3851"</definedName>
    <definedName name="IQ_DPS_GUIDANCE" hidden="1">"c4302"</definedName>
    <definedName name="IQ_DPS_HIGH_EST" hidden="1">"c1676"</definedName>
    <definedName name="IQ_DPS_HIGH_EST_REUT" hidden="1">"c3853"</definedName>
    <definedName name="IQ_DPS_HIGH_GUIDANCE" hidden="1">"c4168"</definedName>
    <definedName name="IQ_DPS_LOW_EST" hidden="1">"c1677"</definedName>
    <definedName name="IQ_DPS_LOW_EST_REUT" hidden="1">"c3854"</definedName>
    <definedName name="IQ_DPS_LOW_GUIDANCE" hidden="1">"c4208"</definedName>
    <definedName name="IQ_DPS_MEDIAN_EST" hidden="1">"c1675"</definedName>
    <definedName name="IQ_DPS_MEDIAN_EST_REUT" hidden="1">"c3852"</definedName>
    <definedName name="IQ_DPS_NUM_EST" hidden="1">"c1678"</definedName>
    <definedName name="IQ_DPS_NUM_EST_REUT" hidden="1">"c3855"</definedName>
    <definedName name="IQ_DPS_STDDEV_EST" hidden="1">"c1679"</definedName>
    <definedName name="IQ_DPS_STDDEV_EST_REUT" hidden="1">"c3856"</definedName>
    <definedName name="IQ_DURATION" hidden="1">"c2181"</definedName>
    <definedName name="IQ_EARNING_ASSET_YIELD" hidden="1">"c343"</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REUT" hidden="1">"c5465"</definedName>
    <definedName name="IQ_EBIT_EQ_INC" hidden="1">"c3498"</definedName>
    <definedName name="IQ_EBIT_EQ_INC_EXCL_SBC" hidden="1">"c3502"</definedName>
    <definedName name="IQ_EBIT_EST" hidden="1">"c1681"</definedName>
    <definedName name="IQ_EBIT_EST_REUT" hidden="1">"c5333"</definedName>
    <definedName name="IQ_EBIT_EXCL_SBC" hidden="1">"c3082"</definedName>
    <definedName name="IQ_EBIT_GUIDANCE" hidden="1">"c4303"</definedName>
    <definedName name="IQ_EBIT_GW_ACT_OR_EST" hidden="1">"c4306"</definedName>
    <definedName name="IQ_EBIT_GW_EST" hidden="1">"c4305"</definedName>
    <definedName name="IQ_EBIT_GW_GUIDANCE" hidden="1">"c4307"</definedName>
    <definedName name="IQ_EBIT_GW_HIGH_EST" hidden="1">"c4308"</definedName>
    <definedName name="IQ_EBIT_GW_HIGH_GUIDANCE" hidden="1">"c4171"</definedName>
    <definedName name="IQ_EBIT_GW_LOW_EST" hidden="1">"c4309"</definedName>
    <definedName name="IQ_EBIT_GW_LOW_GUIDANCE" hidden="1">"c4211"</definedName>
    <definedName name="IQ_EBIT_GW_MEDIAN_EST" hidden="1">"c4310"</definedName>
    <definedName name="IQ_EBIT_GW_NUM_EST" hidden="1">"c4311"</definedName>
    <definedName name="IQ_EBIT_GW_STDDEV_EST" hidden="1">"c4312"</definedName>
    <definedName name="IQ_EBIT_HIGH_EST" hidden="1">"c1683"</definedName>
    <definedName name="IQ_EBIT_HIGH_EST_REUT" hidden="1">"c5335"</definedName>
    <definedName name="IQ_EBIT_HIGH_GUIDANCE" hidden="1">"c4172"</definedName>
    <definedName name="IQ_EBIT_INT" hidden="1">"c360"</definedName>
    <definedName name="IQ_EBIT_LOW_EST" hidden="1">"c1684"</definedName>
    <definedName name="IQ_EBIT_LOW_EST_REUT" hidden="1">"c5336"</definedName>
    <definedName name="IQ_EBIT_LOW_GUIDANCE" hidden="1">"c4212"</definedName>
    <definedName name="IQ_EBIT_MARGIN" hidden="1">"c359"</definedName>
    <definedName name="IQ_EBIT_MEDIAN_EST" hidden="1">"c1682"</definedName>
    <definedName name="IQ_EBIT_MEDIAN_EST_REUT" hidden="1">"c5334"</definedName>
    <definedName name="IQ_EBIT_NUM_EST" hidden="1">"c1685"</definedName>
    <definedName name="IQ_EBIT_NUM_EST_REUT" hidden="1">"c5337"</definedName>
    <definedName name="IQ_EBIT_OVER_IE" hidden="1">"c1369"</definedName>
    <definedName name="IQ_EBIT_SBC_ACT_OR_EST" hidden="1">"c4316"</definedName>
    <definedName name="IQ_EBIT_SBC_EST" hidden="1">"c4315"</definedName>
    <definedName name="IQ_EBIT_SBC_GUIDANCE" hidden="1">"c4317"</definedName>
    <definedName name="IQ_EBIT_SBC_GW_ACT_OR_EST" hidden="1">"c4320"</definedName>
    <definedName name="IQ_EBIT_SBC_GW_EST" hidden="1">"c4319"</definedName>
    <definedName name="IQ_EBIT_SBC_GW_GUIDANCE" hidden="1">"c4321"</definedName>
    <definedName name="IQ_EBIT_SBC_GW_HIGH_EST" hidden="1">"c4322"</definedName>
    <definedName name="IQ_EBIT_SBC_GW_HIGH_GUIDANCE" hidden="1">"c4193"</definedName>
    <definedName name="IQ_EBIT_SBC_GW_LOW_EST" hidden="1">"c4323"</definedName>
    <definedName name="IQ_EBIT_SBC_GW_LOW_GUIDANCE" hidden="1">"c4233"</definedName>
    <definedName name="IQ_EBIT_SBC_GW_MEDIAN_EST" hidden="1">"c4324"</definedName>
    <definedName name="IQ_EBIT_SBC_GW_NUM_EST" hidden="1">"c4325"</definedName>
    <definedName name="IQ_EBIT_SBC_GW_STDDEV_EST" hidden="1">"c4326"</definedName>
    <definedName name="IQ_EBIT_SBC_HIGH_EST" hidden="1">"c4328"</definedName>
    <definedName name="IQ_EBIT_SBC_HIGH_GUIDANCE" hidden="1">"c4192"</definedName>
    <definedName name="IQ_EBIT_SBC_LOW_EST" hidden="1">"c4329"</definedName>
    <definedName name="IQ_EBIT_SBC_LOW_GUIDANCE" hidden="1">"c4232"</definedName>
    <definedName name="IQ_EBIT_SBC_MEDIAN_EST" hidden="1">"c4330"</definedName>
    <definedName name="IQ_EBIT_SBC_NUM_EST" hidden="1">"c4331"</definedName>
    <definedName name="IQ_EBIT_SBC_STDDEV_EST" hidden="1">"c4332"</definedName>
    <definedName name="IQ_EBIT_STDDEV_EST" hidden="1">"c1686"</definedName>
    <definedName name="IQ_EBIT_STDDEV_EST_REUT" hidden="1">"c5338"</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REUT" hidden="1">"c5462"</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GUIDANCE" hidden="1">"c4334"</definedName>
    <definedName name="IQ_EBITDA_HIGH_EST" hidden="1">"c370"</definedName>
    <definedName name="IQ_EBITDA_HIGH_EST_REUT" hidden="1">"c3642"</definedName>
    <definedName name="IQ_EBITDA_HIGH_GUIDANCE" hidden="1">"c4170"</definedName>
    <definedName name="IQ_EBITDA_INT" hidden="1">"c373"</definedName>
    <definedName name="IQ_EBITDA_LOW_EST" hidden="1">"c371"</definedName>
    <definedName name="IQ_EBITDA_LOW_EST_REUT" hidden="1">"c3643"</definedName>
    <definedName name="IQ_EBITDA_LOW_GUIDANCE" hidden="1">"c4210"</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BC_EST" hidden="1">"c4336"</definedName>
    <definedName name="IQ_EBITDA_SBC_GUIDANCE" hidden="1">"c4338"</definedName>
    <definedName name="IQ_EBITDA_SBC_HIGH_EST" hidden="1">"c4339"</definedName>
    <definedName name="IQ_EBITDA_SBC_HIGH_GUIDANCE" hidden="1">"c4194"</definedName>
    <definedName name="IQ_EBITDA_SBC_LOW_EST" hidden="1">"c4340"</definedName>
    <definedName name="IQ_EBITDA_SBC_LOW_GUIDANCE" hidden="1">"c4234"</definedName>
    <definedName name="IQ_EBITDA_SBC_MEDIAN_EST" hidden="1">"c4341"</definedName>
    <definedName name="IQ_EBITDA_SBC_NUM_EST" hidden="1">"c4342"</definedName>
    <definedName name="IQ_EBITDA_SBC_STDDEV_EST" hidden="1">"c4343"</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GAAP_GUIDANCE" hidden="1">"c4345"</definedName>
    <definedName name="IQ_EBT_GAAP_HIGH_GUIDANCE" hidden="1">"c4174"</definedName>
    <definedName name="IQ_EBT_GAAP_LOW_GUIDANCE" hidden="1">"c4214"</definedName>
    <definedName name="IQ_EBT_GUIDANCE" hidden="1">"c4346"</definedName>
    <definedName name="IQ_EBT_GW_GUIDANCE" hidden="1">"c4347"</definedName>
    <definedName name="IQ_EBT_GW_HIGH_GUIDANCE" hidden="1">"c4175"</definedName>
    <definedName name="IQ_EBT_GW_LOW_GUIDANCE" hidden="1">"c4215"</definedName>
    <definedName name="IQ_EBT_HIGH_GUIDANCE" hidden="1">"c4173"</definedName>
    <definedName name="IQ_EBT_INCL_MARGIN" hidden="1">"c387"</definedName>
    <definedName name="IQ_EBT_INS" hidden="1">"c388"</definedName>
    <definedName name="IQ_EBT_LOW_GUIDANCE" hidden="1">"c4213"</definedName>
    <definedName name="IQ_EBT_RE" hidden="1">"c6215"</definedName>
    <definedName name="IQ_EBT_REIT" hidden="1">"c389"</definedName>
    <definedName name="IQ_EBT_SBC_ACT_OR_EST" hidden="1">"c4350"</definedName>
    <definedName name="IQ_EBT_SBC_EST" hidden="1">"c4349"</definedName>
    <definedName name="IQ_EBT_SBC_GUIDANCE" hidden="1">"c4351"</definedName>
    <definedName name="IQ_EBT_SBC_GW_ACT_OR_EST" hidden="1">"c4354"</definedName>
    <definedName name="IQ_EBT_SBC_GW_EST" hidden="1">"c4353"</definedName>
    <definedName name="IQ_EBT_SBC_GW_GUIDANCE" hidden="1">"c4355"</definedName>
    <definedName name="IQ_EBT_SBC_GW_HIGH_EST" hidden="1">"c4356"</definedName>
    <definedName name="IQ_EBT_SBC_GW_HIGH_GUIDANCE" hidden="1">"c4191"</definedName>
    <definedName name="IQ_EBT_SBC_GW_LOW_EST" hidden="1">"c4357"</definedName>
    <definedName name="IQ_EBT_SBC_GW_LOW_GUIDANCE" hidden="1">"c4231"</definedName>
    <definedName name="IQ_EBT_SBC_GW_MEDIAN_EST" hidden="1">"c4358"</definedName>
    <definedName name="IQ_EBT_SBC_GW_NUM_EST" hidden="1">"c4359"</definedName>
    <definedName name="IQ_EBT_SBC_GW_STDDEV_EST" hidden="1">"c4360"</definedName>
    <definedName name="IQ_EBT_SBC_HIGH_EST" hidden="1">"c4362"</definedName>
    <definedName name="IQ_EBT_SBC_HIGH_GUIDANCE" hidden="1">"c4190"</definedName>
    <definedName name="IQ_EBT_SBC_LOW_EST" hidden="1">"c4363"</definedName>
    <definedName name="IQ_EBT_SBC_LOW_GUIDANCE" hidden="1">"c4230"</definedName>
    <definedName name="IQ_EBT_SBC_MEDIAN_EST" hidden="1">"c4364"</definedName>
    <definedName name="IQ_EBT_SBC_NUM_EST" hidden="1">"c4365"</definedName>
    <definedName name="IQ_EBT_SBC_STDDEV_EST" hidden="1">"c4366"</definedName>
    <definedName name="IQ_EBT_UTI" hidden="1">"c390"</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REUT" hidden="1">"c5460"</definedName>
    <definedName name="IQ_EPS_EST" hidden="1">"c399"</definedName>
    <definedName name="IQ_EPS_EST_BOTTOM_UP" hidden="1">"c5489"</definedName>
    <definedName name="IQ_EPS_EST_BOTTOM_UP_REUT" hidden="1">"c5497"</definedName>
    <definedName name="IQ_EPS_EST_REUT" hidden="1">"c5453"</definedName>
    <definedName name="IQ_EPS_EXCL_GUIDANCE" hidden="1">"c4368"</definedName>
    <definedName name="IQ_EPS_EXCL_HIGH_GUIDANCE" hidden="1">"c4369"</definedName>
    <definedName name="IQ_EPS_EXCL_LOW_GUIDANCE" hidden="1">"c4204"</definedName>
    <definedName name="IQ_EPS_GAAP_GUIDANCE" hidden="1">"c4370"</definedName>
    <definedName name="IQ_EPS_GAAP_HIGH_GUIDANCE" hidden="1">"c4371"</definedName>
    <definedName name="IQ_EPS_GAAP_LOW_GUIDANCE" hidden="1">"c4205"</definedName>
    <definedName name="IQ_EPS_GW_ACT_OR_EST" hidden="1">"c2223"</definedName>
    <definedName name="IQ_EPS_GW_ACT_OR_EST_REUT" hidden="1">"c5469"</definedName>
    <definedName name="IQ_EPS_GW_EST" hidden="1">"c1737"</definedName>
    <definedName name="IQ_EPS_GW_EST_BOTTOM_UP" hidden="1">"c5491"</definedName>
    <definedName name="IQ_EPS_GW_EST_BOTTOM_UP_REUT" hidden="1">"c5499"</definedName>
    <definedName name="IQ_EPS_GW_EST_REUT" hidden="1">"c5389"</definedName>
    <definedName name="IQ_EPS_GW_GUIDANCE" hidden="1">"c4372"</definedName>
    <definedName name="IQ_EPS_GW_HIGH_EST" hidden="1">"c1739"</definedName>
    <definedName name="IQ_EPS_GW_HIGH_EST_REUT" hidden="1">"c5391"</definedName>
    <definedName name="IQ_EPS_GW_HIGH_GUIDANCE" hidden="1">"c4373"</definedName>
    <definedName name="IQ_EPS_GW_LOW_EST" hidden="1">"c1740"</definedName>
    <definedName name="IQ_EPS_GW_LOW_EST_REUT" hidden="1">"c5392"</definedName>
    <definedName name="IQ_EPS_GW_LOW_GUIDANCE" hidden="1">"c4206"</definedName>
    <definedName name="IQ_EPS_GW_MEDIAN_EST" hidden="1">"c1738"</definedName>
    <definedName name="IQ_EPS_GW_MEDIAN_EST_REUT" hidden="1">"c5390"</definedName>
    <definedName name="IQ_EPS_GW_NUM_EST" hidden="1">"c1741"</definedName>
    <definedName name="IQ_EPS_GW_NUM_EST_REUT" hidden="1">"c5393"</definedName>
    <definedName name="IQ_EPS_GW_STDDEV_EST" hidden="1">"c1742"</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ORM_EST" hidden="1">"c2226"</definedName>
    <definedName name="IQ_EPS_NORM_EST_BOTTOM_UP" hidden="1">"c5490"</definedName>
    <definedName name="IQ_EPS_NORM_EST_BOTTOM_UP_REUT" hidden="1">"c5498"</definedName>
    <definedName name="IQ_EPS_NORM_EST_REUT" hidden="1">"c5326"</definedName>
    <definedName name="IQ_EPS_NORM_HIGH_EST" hidden="1">"c2228"</definedName>
    <definedName name="IQ_EPS_NORM_HIGH_EST_REUT" hidden="1">"c5328"</definedName>
    <definedName name="IQ_EPS_NORM_LOW_EST" hidden="1">"c2229"</definedName>
    <definedName name="IQ_EPS_NORM_LOW_EST_REUT" hidden="1">"c5329"</definedName>
    <definedName name="IQ_EPS_NORM_MEDIAN_EST" hidden="1">"c2227"</definedName>
    <definedName name="IQ_EPS_NORM_MEDIAN_EST_REUT" hidden="1">"c5327"</definedName>
    <definedName name="IQ_EPS_NORM_NUM_EST" hidden="1">"c2230"</definedName>
    <definedName name="IQ_EPS_NORM_NUM_EST_REUT" hidden="1">"c5330"</definedName>
    <definedName name="IQ_EPS_NORM_STDDEV_EST" hidden="1">"c2231"</definedName>
    <definedName name="IQ_EPS_NORM_STDDEV_EST_REUT" hidden="1">"c5331"</definedName>
    <definedName name="IQ_EPS_NUM_EST" hidden="1">"c402"</definedName>
    <definedName name="IQ_EPS_NUM_EST_REUT" hidden="1">"c5451"</definedName>
    <definedName name="IQ_EPS_REPORT_ACT_OR_EST" hidden="1">"c2224"</definedName>
    <definedName name="IQ_EPS_REPORT_ACT_OR_EST_REUT" hidden="1">"c5470"</definedName>
    <definedName name="IQ_EPS_REPORTED_EST" hidden="1">"c1744"</definedName>
    <definedName name="IQ_EPS_REPORTED_EST_BOTTOM_UP" hidden="1">"c5492"</definedName>
    <definedName name="IQ_EPS_REPORTED_EST_BOTTOM_UP_REUT" hidden="1">"c5500"</definedName>
    <definedName name="IQ_EPS_REPORTED_EST_REUT" hidden="1">"c5396"</definedName>
    <definedName name="IQ_EPS_REPORTED_HIGH_EST" hidden="1">"c1746"</definedName>
    <definedName name="IQ_EPS_REPORTED_HIGH_EST_REUT" hidden="1">"c5398"</definedName>
    <definedName name="IQ_EPS_REPORTED_LOW_EST" hidden="1">"c1747"</definedName>
    <definedName name="IQ_EPS_REPORTED_LOW_EST_REUT" hidden="1">"c5399"</definedName>
    <definedName name="IQ_EPS_REPORTED_MEDIAN_EST" hidden="1">"c1745"</definedName>
    <definedName name="IQ_EPS_REPORTED_MEDIAN_EST_REUT" hidden="1">"c5397"</definedName>
    <definedName name="IQ_EPS_REPORTED_NUM_EST" hidden="1">"c1748"</definedName>
    <definedName name="IQ_EPS_REPORTED_NUM_EST_REUT" hidden="1">"c5400"</definedName>
    <definedName name="IQ_EPS_REPORTED_STDDEV_EST" hidden="1">"c1749"</definedName>
    <definedName name="IQ_EPS_REPORTED_STDDEV_EST_REUT" hidden="1">"c5401"</definedName>
    <definedName name="IQ_EPS_SBC_ACT_OR_EST" hidden="1">"c4376"</definedName>
    <definedName name="IQ_EPS_SBC_EST" hidden="1">"c4375"</definedName>
    <definedName name="IQ_EPS_SBC_GUIDANCE" hidden="1">"c4377"</definedName>
    <definedName name="IQ_EPS_SBC_GW_ACT_OR_EST" hidden="1">"c4380"</definedName>
    <definedName name="IQ_EPS_SBC_GW_EST" hidden="1">"c4379"</definedName>
    <definedName name="IQ_EPS_SBC_GW_GUIDANCE" hidden="1">"c4381"</definedName>
    <definedName name="IQ_EPS_SBC_GW_HIGH_EST" hidden="1">"c4382"</definedName>
    <definedName name="IQ_EPS_SBC_GW_HIGH_GUIDANCE" hidden="1">"c4189"</definedName>
    <definedName name="IQ_EPS_SBC_GW_LOW_EST" hidden="1">"c4383"</definedName>
    <definedName name="IQ_EPS_SBC_GW_LOW_GUIDANCE" hidden="1">"c4229"</definedName>
    <definedName name="IQ_EPS_SBC_GW_MEDIAN_EST" hidden="1">"c4384"</definedName>
    <definedName name="IQ_EPS_SBC_GW_NUM_EST" hidden="1">"c4385"</definedName>
    <definedName name="IQ_EPS_SBC_GW_STDDEV_EST" hidden="1">"c4386"</definedName>
    <definedName name="IQ_EPS_SBC_HIGH_EST" hidden="1">"c4388"</definedName>
    <definedName name="IQ_EPS_SBC_HIGH_GUIDANCE" hidden="1">"c4188"</definedName>
    <definedName name="IQ_EPS_SBC_LOW_EST" hidden="1">"c4389"</definedName>
    <definedName name="IQ_EPS_SBC_LOW_GUIDANCE" hidden="1">"c4228"</definedName>
    <definedName name="IQ_EPS_SBC_MEDIAN_EST" hidden="1">"c4390"</definedName>
    <definedName name="IQ_EPS_SBC_NUM_EST" hidden="1">"c4391"</definedName>
    <definedName name="IQ_EPS_SBC_STDDEV_EST" hidden="1">"c4392"</definedName>
    <definedName name="IQ_EPS_STDDEV_EST" hidden="1">"c403"</definedName>
    <definedName name="IQ_EPS_STDDEV_EST_REUT" hidden="1">"c5452"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BV" hidden="1">"c5630"</definedName>
    <definedName name="IQ_EST_ACT_BV_SHARE" hidden="1">"c3549"</definedName>
    <definedName name="IQ_EST_ACT_BV_SHARE_REUT" hidden="1">"c5445"</definedName>
    <definedName name="IQ_EST_ACT_CAPEX" hidden="1">"c3546"</definedName>
    <definedName name="IQ_EST_ACT_CAPEX_REUT" hidden="1">"c3975"</definedName>
    <definedName name="IQ_EST_ACT_CASH_EPS" hidden="1">"c5637"</definedName>
    <definedName name="IQ_EST_ACT_CASH_FLOW" hidden="1">"c4394"</definedName>
    <definedName name="IQ_EST_ACT_CASH_OPER" hidden="1">"c4395"</definedName>
    <definedName name="IQ_EST_ACT_CFPS" hidden="1">"c1673"</definedName>
    <definedName name="IQ_EST_ACT_CFPS_REUT" hidden="1">"c3850"</definedName>
    <definedName name="IQ_EST_ACT_DISTRIBUTABLE_CASH" hidden="1">"c4396"</definedName>
    <definedName name="IQ_EST_ACT_DISTRIBUTABLE_CASH_SHARE" hidden="1">"c4397"</definedName>
    <definedName name="IQ_EST_ACT_DPS" hidden="1">"c1680"</definedName>
    <definedName name="IQ_EST_ACT_DPS_REUT" hidden="1">"c3857"</definedName>
    <definedName name="IQ_EST_ACT_EBIT" hidden="1">"c1687"</definedName>
    <definedName name="IQ_EST_ACT_EBIT_GW" hidden="1">"c4398"</definedName>
    <definedName name="IQ_EST_ACT_EBIT_REUT" hidden="1">"c5339"</definedName>
    <definedName name="IQ_EST_ACT_EBIT_SBC" hidden="1">"c4399"</definedName>
    <definedName name="IQ_EST_ACT_EBIT_SBC_GW" hidden="1">"c4400"</definedName>
    <definedName name="IQ_EST_ACT_EBITDA" hidden="1">"c1664"</definedName>
    <definedName name="IQ_EST_ACT_EBITDA_REUT" hidden="1">"c3836"</definedName>
    <definedName name="IQ_EST_ACT_EBITDA_SBC" hidden="1">"c4401"</definedName>
    <definedName name="IQ_EST_ACT_EBT_SBC" hidden="1">"c4402"</definedName>
    <definedName name="IQ_EST_ACT_EBT_SBC_GW" hidden="1">"c4403"</definedName>
    <definedName name="IQ_EST_ACT_EPS" hidden="1">"c1648"</definedName>
    <definedName name="IQ_EST_ACT_EPS_GW" hidden="1">"c1743"</definedName>
    <definedName name="IQ_EST_ACT_EPS_GW_REUT" hidden="1">"c5395"</definedName>
    <definedName name="IQ_EST_ACT_EPS_NORM" hidden="1">"c2232"</definedName>
    <definedName name="IQ_EST_ACT_EPS_NORM_REUT" hidden="1">"c5332"</definedName>
    <definedName name="IQ_EST_ACT_EPS_REPORTED" hidden="1">"c1750"</definedName>
    <definedName name="IQ_EST_ACT_EPS_REPORTED_REUT" hidden="1">"c5402"</definedName>
    <definedName name="IQ_EST_ACT_EPS_REUT" hidden="1">"c5457"</definedName>
    <definedName name="IQ_EST_ACT_EPS_SBC" hidden="1">"c4404"</definedName>
    <definedName name="IQ_EST_ACT_EPS_SBC_GW" hidden="1">"c4405"</definedName>
    <definedName name="IQ_EST_ACT_FFO" hidden="1">"c1666"</definedName>
    <definedName name="IQ_EST_ACT_FFO_ADJ" hidden="1">"c4406"</definedName>
    <definedName name="IQ_EST_ACT_FFO_REUT" hidden="1">"c3843"</definedName>
    <definedName name="IQ_EST_ACT_FFO_SHARE" hidden="1">"c4407"</definedName>
    <definedName name="IQ_EST_ACT_GROSS_MARGIN" hidden="1">"c5553"</definedName>
    <definedName name="IQ_EST_ACT_MAINT_CAPEX" hidden="1">"c4408"</definedName>
    <definedName name="IQ_EST_ACT_NAV" hidden="1">"c1757"</definedName>
    <definedName name="IQ_EST_ACT_NAV_SHARE" hidden="1">"c5608"</definedName>
    <definedName name="IQ_EST_ACT_NAV_SHARE_REUT" hidden="1">"c5616"</definedName>
    <definedName name="IQ_EST_ACT_NET_DEBT" hidden="1">"c3545"</definedName>
    <definedName name="IQ_EST_ACT_NET_DEBT_REUT" hidden="1">"c5446"</definedName>
    <definedName name="IQ_EST_ACT_NI" hidden="1">"c1722"</definedName>
    <definedName name="IQ_EST_ACT_NI_GW_REUT" hidden="1">"c5381"</definedName>
    <definedName name="IQ_EST_ACT_NI_REPORTED" hidden="1">"c1736"</definedName>
    <definedName name="IQ_EST_ACT_NI_REPORTED_REUT" hidden="1">"c5388"</definedName>
    <definedName name="IQ_EST_ACT_NI_REUT" hidden="1">"c5374"</definedName>
    <definedName name="IQ_EST_ACT_NI_SBC" hidden="1">"c4409"</definedName>
    <definedName name="IQ_EST_ACT_NI_SBC_GW" hidden="1">"c4410"</definedName>
    <definedName name="IQ_EST_ACT_OPER_INC" hidden="1">"c1694"</definedName>
    <definedName name="IQ_EST_ACT_OPER_INC_REUT" hidden="1">"c5346"</definedName>
    <definedName name="IQ_EST_ACT_PRETAX_GW_INC" hidden="1">"c1708"</definedName>
    <definedName name="IQ_EST_ACT_PRETAX_GW_INC_REUT" hidden="1">"c5360"</definedName>
    <definedName name="IQ_EST_ACT_PRETAX_INC" hidden="1">"c1701"</definedName>
    <definedName name="IQ_EST_ACT_PRETAX_INC_REUT" hidden="1">"c5353"</definedName>
    <definedName name="IQ_EST_ACT_PRETAX_REPORT_INC" hidden="1">"c1715"</definedName>
    <definedName name="IQ_EST_ACT_PRETAX_REPORT_INC_REUT" hidden="1">"c5367"</definedName>
    <definedName name="IQ_EST_ACT_RECURRING_PROFIT" hidden="1">"c4411"</definedName>
    <definedName name="IQ_EST_ACT_RECURRING_PROFIT_SHARE" hidden="1">"c4412"</definedName>
    <definedName name="IQ_EST_ACT_RETURN_ASSETS" hidden="1">"c3547"</definedName>
    <definedName name="IQ_EST_ACT_RETURN_ASSETS_REUT" hidden="1">"c3996"</definedName>
    <definedName name="IQ_EST_ACT_RETURN_EQUITY" hidden="1">"c3548"</definedName>
    <definedName name="IQ_EST_ACT_RETURN_EQUITY_REUT" hidden="1">"c3989"</definedName>
    <definedName name="IQ_EST_ACT_REV" hidden="1">"c2113"</definedName>
    <definedName name="IQ_EST_ACT_REV_REUT" hidden="1">"c3835"</definedName>
    <definedName name="IQ_EST_BV_SHARE_DIFF" hidden="1">"c4147"</definedName>
    <definedName name="IQ_EST_BV_SHARE_SURPRISE_PERCENT" hidden="1">"c4148"</definedName>
    <definedName name="IQ_EST_CAPEX_DIFF" hidden="1">"c4149"</definedName>
    <definedName name="IQ_EST_CAPEX_GROWTH_1YR" hidden="1">"c3588"</definedName>
    <definedName name="IQ_EST_CAPEX_GROWTH_1YR_REUT" hidden="1">"c5447"</definedName>
    <definedName name="IQ_EST_CAPEX_GROWTH_2YR" hidden="1">"c3589"</definedName>
    <definedName name="IQ_EST_CAPEX_GROWTH_2YR_REUT" hidden="1">"c5448"</definedName>
    <definedName name="IQ_EST_CAPEX_GROWTH_Q_1YR" hidden="1">"c3590"</definedName>
    <definedName name="IQ_EST_CAPEX_GROWTH_Q_1YR_REUT" hidden="1">"c5449"</definedName>
    <definedName name="IQ_EST_CAPEX_SEQ_GROWTH_Q" hidden="1">"c3591"</definedName>
    <definedName name="IQ_EST_CAPEX_SEQ_GROWTH_Q_REUT" hidden="1">"c5450"</definedName>
    <definedName name="IQ_EST_CAPEX_SURPRISE_PERCENT" hidden="1">"c4151"</definedName>
    <definedName name="IQ_EST_CASH_FLOW_DIFF" hidden="1">"c4152"</definedName>
    <definedName name="IQ_EST_CASH_FLOW_SURPRISE_PERCENT" hidden="1">"c4161"</definedName>
    <definedName name="IQ_EST_CASH_OPER_DIFF" hidden="1">"c4162"</definedName>
    <definedName name="IQ_EST_CASH_OPER_SURPRISE_PERCENT" hidden="1">"c4248"</definedName>
    <definedName name="IQ_EST_CFPS_DIFF" hidden="1">"c1871"</definedName>
    <definedName name="IQ_EST_CFPS_DIFF_REUT" hidden="1">"c3892"</definedName>
    <definedName name="IQ_EST_CFPS_GROWTH_1YR" hidden="1">"c1774"</definedName>
    <definedName name="IQ_EST_CFPS_GROWTH_1YR_REUT" hidden="1">"c3878"</definedName>
    <definedName name="IQ_EST_CFPS_GROWTH_2YR" hidden="1">"c1775"</definedName>
    <definedName name="IQ_EST_CFPS_GROWTH_2YR_REUT" hidden="1">"c3879"</definedName>
    <definedName name="IQ_EST_CFPS_GROWTH_Q_1YR" hidden="1">"c1776"</definedName>
    <definedName name="IQ_EST_CFPS_GROWTH_Q_1YR_REUT" hidden="1">"c3880"</definedName>
    <definedName name="IQ_EST_CFPS_SEQ_GROWTH_Q" hidden="1">"c1777"</definedName>
    <definedName name="IQ_EST_CFPS_SEQ_GROWTH_Q_REUT" hidden="1">"c3881"</definedName>
    <definedName name="IQ_EST_CFPS_SURPRISE_PERCENT" hidden="1">"c1872"</definedName>
    <definedName name="IQ_EST_CFPS_SURPRISE_PERCENT_REUT" hidden="1">"c3893"</definedName>
    <definedName name="IQ_EST_CURRENCY" hidden="1">"c2140"</definedName>
    <definedName name="IQ_EST_CURRENCY_REUT" hidden="1">"c5437"</definedName>
    <definedName name="IQ_EST_DATE" hidden="1">"c1634"</definedName>
    <definedName name="IQ_EST_DATE_REUT" hidden="1">"c5438"</definedName>
    <definedName name="IQ_EST_DISTRIBUTABLE_CASH_DIFF" hidden="1">"c4276"</definedName>
    <definedName name="IQ_EST_DISTRIBUTABLE_CASH_GROWTH_1YR" hidden="1">"c4413"</definedName>
    <definedName name="IQ_EST_DISTRIBUTABLE_CASH_GROWTH_2YR" hidden="1">"c4414"</definedName>
    <definedName name="IQ_EST_DISTRIBUTABLE_CASH_GROWTH_Q_1YR" hidden="1">"c4415"</definedName>
    <definedName name="IQ_EST_DISTRIBUTABLE_CASH_SEQ_GROWTH_Q" hidden="1">"c4416"</definedName>
    <definedName name="IQ_EST_DISTRIBUTABLE_CASH_SHARE_DIFF" hidden="1">"c4284"</definedName>
    <definedName name="IQ_EST_DISTRIBUTABLE_CASH_SHARE_GROWTH_1YR" hidden="1">"c4417"</definedName>
    <definedName name="IQ_EST_DISTRIBUTABLE_CASH_SHARE_GROWTH_2YR" hidden="1">"c4418"</definedName>
    <definedName name="IQ_EST_DISTRIBUTABLE_CASH_SHARE_GROWTH_Q_1YR" hidden="1">"c4419"</definedName>
    <definedName name="IQ_EST_DISTRIBUTABLE_CASH_SHARE_SEQ_GROWTH_Q" hidden="1">"c4420"</definedName>
    <definedName name="IQ_EST_DISTRIBUTABLE_CASH_SHARE_SURPRISE_PERCENT" hidden="1">"c4293"</definedName>
    <definedName name="IQ_EST_DISTRIBUTABLE_CASH_SURPRISE_PERCENT" hidden="1">"c4295"</definedName>
    <definedName name="IQ_EST_DPS_DIFF" hidden="1">"c1873"</definedName>
    <definedName name="IQ_EST_DPS_DIFF_REUT" hidden="1">"c3894"</definedName>
    <definedName name="IQ_EST_DPS_GROWTH_1YR" hidden="1">"c1778"</definedName>
    <definedName name="IQ_EST_DPS_GROWTH_1YR_REUT" hidden="1">"c3882"</definedName>
    <definedName name="IQ_EST_DPS_GROWTH_2YR" hidden="1">"c1779"</definedName>
    <definedName name="IQ_EST_DPS_GROWTH_2YR_REUT" hidden="1">"c3883"</definedName>
    <definedName name="IQ_EST_DPS_GROWTH_Q_1YR" hidden="1">"c1780"</definedName>
    <definedName name="IQ_EST_DPS_GROWTH_Q_1YR_REUT" hidden="1">"c3884"</definedName>
    <definedName name="IQ_EST_DPS_SEQ_GROWTH_Q" hidden="1">"c1781"</definedName>
    <definedName name="IQ_EST_DPS_SEQ_GROWTH_Q_REUT" hidden="1">"c3885"</definedName>
    <definedName name="IQ_EST_DPS_SURPRISE_PERCENT" hidden="1">"c1874"</definedName>
    <definedName name="IQ_EST_DPS_SURPRISE_PERCENT_REUT" hidden="1">"c3895"</definedName>
    <definedName name="IQ_EST_EBIT_DIFF" hidden="1">"c1875"</definedName>
    <definedName name="IQ_EST_EBIT_DIFF_REUT" hidden="1">"c5413"</definedName>
    <definedName name="IQ_EST_EBIT_GW_DIFF" hidden="1">"c4304"</definedName>
    <definedName name="IQ_EST_EBIT_GW_SURPRISE_PERCENT" hidden="1">"c4313"</definedName>
    <definedName name="IQ_EST_EBIT_SBC_DIFF" hidden="1">"c4314"</definedName>
    <definedName name="IQ_EST_EBIT_SBC_GW_DIFF" hidden="1">"c4318"</definedName>
    <definedName name="IQ_EST_EBIT_SBC_GW_SURPRISE_PERCENT" hidden="1">"c4327"</definedName>
    <definedName name="IQ_EST_EBIT_SBC_SURPRISE_PERCENT" hidden="1">"c4333"</definedName>
    <definedName name="IQ_EST_EBIT_SURPRISE_PERCENT" hidden="1">"c1876"</definedName>
    <definedName name="IQ_EST_EBIT_SURPRISE_PERCENT_REUT" hidden="1">"c5414"</definedName>
    <definedName name="IQ_EST_EBITDA_DIFF" hidden="1">"c1867"</definedName>
    <definedName name="IQ_EST_EBITDA_DIFF_REUT" hidden="1">"c3888"</definedName>
    <definedName name="IQ_EST_EBITDA_GROWTH_1YR" hidden="1">"c1766"</definedName>
    <definedName name="IQ_EST_EBITDA_GROWTH_1YR_REUT" hidden="1">"c3864"</definedName>
    <definedName name="IQ_EST_EBITDA_GROWTH_2YR" hidden="1">"c1767"</definedName>
    <definedName name="IQ_EST_EBITDA_GROWTH_2YR_REUT" hidden="1">"c3865"</definedName>
    <definedName name="IQ_EST_EBITDA_GROWTH_Q_1YR" hidden="1">"c1768"</definedName>
    <definedName name="IQ_EST_EBITDA_GROWTH_Q_1YR_REUT" hidden="1">"c3866"</definedName>
    <definedName name="IQ_EST_EBITDA_SBC_DIFF" hidden="1">"c4335"</definedName>
    <definedName name="IQ_EST_EBITDA_SBC_SURPRISE_PERCENT" hidden="1">"c4344"</definedName>
    <definedName name="IQ_EST_EBITDA_SEQ_GROWTH_Q" hidden="1">"c1769"</definedName>
    <definedName name="IQ_EST_EBITDA_SEQ_GROWTH_Q_REUT" hidden="1">"c3867"</definedName>
    <definedName name="IQ_EST_EBITDA_SURPRISE_PERCENT" hidden="1">"c1868"</definedName>
    <definedName name="IQ_EST_EBITDA_SURPRISE_PERCENT_REUT" hidden="1">"c3889"</definedName>
    <definedName name="IQ_EST_EBT_SBC_DIFF" hidden="1">"c4348"</definedName>
    <definedName name="IQ_EST_EBT_SBC_GW_DIFF" hidden="1">"c4352"</definedName>
    <definedName name="IQ_EST_EBT_SBC_GW_SURPRISE_PERCENT" hidden="1">"c4361"</definedName>
    <definedName name="IQ_EST_EBT_SBC_SURPRISE_PERCENT" hidden="1">"c4367"</definedName>
    <definedName name="IQ_EST_EPS_DIFF" hidden="1">"c1864"</definedName>
    <definedName name="IQ_EST_EPS_DIFF_REUT" hidden="1">"c5458"</definedName>
    <definedName name="IQ_EST_EPS_GROWTH_1YR" hidden="1">"c1636"</definedName>
    <definedName name="IQ_EST_EPS_GROWTH_1YR_REUT" hidden="1">"c3646"</definedName>
    <definedName name="IQ_EST_EPS_GROWTH_2YR" hidden="1">"c1637"</definedName>
    <definedName name="IQ_EST_EPS_GROWTH_2YR_REUT" hidden="1">"c3858"</definedName>
    <definedName name="IQ_EST_EPS_GROWTH_5YR" hidden="1">"c1655"</definedName>
    <definedName name="IQ_EST_EPS_GROWTH_5YR_BOTTOM_UP" hidden="1">"c5487"</definedName>
    <definedName name="IQ_EST_EPS_GROWTH_5YR_BOTTOM_UP_REUT" hidden="1">"c5495"</definedName>
    <definedName name="IQ_EST_EPS_GROWTH_5YR_HIGH" hidden="1">"c1657"</definedName>
    <definedName name="IQ_EST_EPS_GROWTH_5YR_HIGH_REUT" hidden="1">"c5322"</definedName>
    <definedName name="IQ_EST_EPS_GROWTH_5YR_LOW" hidden="1">"c1658"</definedName>
    <definedName name="IQ_EST_EPS_GROWTH_5YR_LOW_REUT" hidden="1">"c5323"</definedName>
    <definedName name="IQ_EST_EPS_GROWTH_5YR_MEDIAN" hidden="1">"c1656"</definedName>
    <definedName name="IQ_EST_EPS_GROWTH_5YR_MEDIAN_REUT" hidden="1">"c5321"</definedName>
    <definedName name="IQ_EST_EPS_GROWTH_5YR_NUM" hidden="1">"c1659"</definedName>
    <definedName name="IQ_EST_EPS_GROWTH_5YR_NUM_REUT" hidden="1">"c5324"</definedName>
    <definedName name="IQ_EST_EPS_GROWTH_5YR_REUT" hidden="1">"c3633"</definedName>
    <definedName name="IQ_EST_EPS_GROWTH_5YR_STDDEV" hidden="1">"c1660"</definedName>
    <definedName name="IQ_EST_EPS_GROWTH_5YR_STDDEV_REUT" hidden="1">"c5325"</definedName>
    <definedName name="IQ_EST_EPS_GROWTH_Q_1YR" hidden="1">"c1641"</definedName>
    <definedName name="IQ_EST_EPS_GROWTH_Q_1YR_REUT" hidden="1">"c5410"</definedName>
    <definedName name="IQ_EST_EPS_GW_DIFF" hidden="1">"c1891"</definedName>
    <definedName name="IQ_EST_EPS_GW_DIFF_REUT" hidden="1">"c5429"</definedName>
    <definedName name="IQ_EST_EPS_GW_SURPRISE_PERCENT" hidden="1">"c1892"</definedName>
    <definedName name="IQ_EST_EPS_GW_SURPRISE_PERCENT_REUT" hidden="1">"c5430"</definedName>
    <definedName name="IQ_EST_EPS_NORM_DIFF" hidden="1">"c2247"</definedName>
    <definedName name="IQ_EST_EPS_NORM_DIFF_REUT" hidden="1">"c5411"</definedName>
    <definedName name="IQ_EST_EPS_NORM_SURPRISE_PERCENT" hidden="1">"c2248"</definedName>
    <definedName name="IQ_EST_EPS_NORM_SURPRISE_PERCENT_REUT" hidden="1">"c5412"</definedName>
    <definedName name="IQ_EST_EPS_REPORT_DIFF" hidden="1">"c1893"</definedName>
    <definedName name="IQ_EST_EPS_REPORT_DIFF_REUT" hidden="1">"c5431"</definedName>
    <definedName name="IQ_EST_EPS_REPORT_SURPRISE_PERCENT" hidden="1">"c1894"</definedName>
    <definedName name="IQ_EST_EPS_REPORT_SURPRISE_PERCENT_REUT" hidden="1">"c5432"</definedName>
    <definedName name="IQ_EST_EPS_SBC_DIFF" hidden="1">"c4374"</definedName>
    <definedName name="IQ_EST_EPS_SBC_GW_DIFF" hidden="1">"c4378"</definedName>
    <definedName name="IQ_EST_EPS_SBC_GW_SURPRISE_PERCENT" hidden="1">"c4387"</definedName>
    <definedName name="IQ_EST_EPS_SBC_SURPRISE_PERCENT" hidden="1">"c4393"</definedName>
    <definedName name="IQ_EST_EPS_SEQ_GROWTH_Q" hidden="1">"c1764"</definedName>
    <definedName name="IQ_EST_EPS_SEQ_GROWTH_Q_REUT" hidden="1">"c3859"</definedName>
    <definedName name="IQ_EST_EPS_SURPRISE_PERCENT" hidden="1">"c1635"</definedName>
    <definedName name="IQ_EST_EPS_SURPRISE_PERCENT_REUT" hidden="1">"c5459"</definedName>
    <definedName name="IQ_EST_FFO_ADJ_DIFF" hidden="1">"c4433"</definedName>
    <definedName name="IQ_EST_FFO_ADJ_GROWTH_1YR" hidden="1">"c4421"</definedName>
    <definedName name="IQ_EST_FFO_ADJ_GROWTH_2YR" hidden="1">"c4422"</definedName>
    <definedName name="IQ_EST_FFO_ADJ_GROWTH_Q_1YR" hidden="1">"c4423"</definedName>
    <definedName name="IQ_EST_FFO_ADJ_SEQ_GROWTH_Q" hidden="1">"c4424"</definedName>
    <definedName name="IQ_EST_FFO_ADJ_SURPRISE_PERCENT" hidden="1">"c4442"</definedName>
    <definedName name="IQ_EST_FFO_DIFF" hidden="1">"c1869"</definedName>
    <definedName name="IQ_EST_FFO_DIFF_REUT" hidden="1">"c3890"</definedName>
    <definedName name="IQ_EST_FFO_GROWTH_1YR" hidden="1">"c1770"</definedName>
    <definedName name="IQ_EST_FFO_GROWTH_1YR_REUT" hidden="1">"c3874"</definedName>
    <definedName name="IQ_EST_FFO_GROWTH_2YR" hidden="1">"c1771"</definedName>
    <definedName name="IQ_EST_FFO_GROWTH_2YR_REUT" hidden="1">"c3875"</definedName>
    <definedName name="IQ_EST_FFO_GROWTH_Q_1YR" hidden="1">"c1772"</definedName>
    <definedName name="IQ_EST_FFO_GROWTH_Q_1YR_REUT" hidden="1">"c3876"</definedName>
    <definedName name="IQ_EST_FFO_SEQ_GROWTH_Q" hidden="1">"c1773"</definedName>
    <definedName name="IQ_EST_FFO_SEQ_GROWTH_Q_REUT" hidden="1">"c3877"</definedName>
    <definedName name="IQ_EST_FFO_SHARE_DIFF" hidden="1">"c4444"</definedName>
    <definedName name="IQ_EST_FFO_SHARE_GROWTH_1YR" hidden="1">"c4425"</definedName>
    <definedName name="IQ_EST_FFO_SHARE_GROWTH_2YR" hidden="1">"c4426"</definedName>
    <definedName name="IQ_EST_FFO_SHARE_GROWTH_Q_1YR" hidden="1">"c4427"</definedName>
    <definedName name="IQ_EST_FFO_SHARE_SEQ_GROWTH_Q" hidden="1">"c4428"</definedName>
    <definedName name="IQ_EST_FFO_SHARE_SURPRISE_PERCENT" hidden="1">"c4453"</definedName>
    <definedName name="IQ_EST_FFO_SURPRISE_PERCENT" hidden="1">"c1870"</definedName>
    <definedName name="IQ_EST_FFO_SURPRISE_PERCENT_REUT" hidden="1">"c3891"</definedName>
    <definedName name="IQ_EST_FOOTNOTE" hidden="1">"c4540"</definedName>
    <definedName name="IQ_EST_FOOTNOTE_REUT" hidden="1">"c5478"</definedName>
    <definedName name="IQ_EST_MAINT_CAPEX_DIFF" hidden="1">"c4456"</definedName>
    <definedName name="IQ_EST_MAINT_CAPEX_GROWTH_1YR" hidden="1">"c4429"</definedName>
    <definedName name="IQ_EST_MAINT_CAPEX_GROWTH_2YR" hidden="1">"c4430"</definedName>
    <definedName name="IQ_EST_MAINT_CAPEX_GROWTH_Q_1YR" hidden="1">"c4431"</definedName>
    <definedName name="IQ_EST_MAINT_CAPEX_SEQ_GROWTH_Q" hidden="1">"c4432"</definedName>
    <definedName name="IQ_EST_MAINT_CAPEX_SURPRISE_PERCENT" hidden="1">"c4465"</definedName>
    <definedName name="IQ_EST_NAV_DIFF" hidden="1">"c1895"</definedName>
    <definedName name="IQ_EST_NAV_SHARE_SURPRISE_PERCENT" hidden="1">"c1896"</definedName>
    <definedName name="IQ_EST_NET_DEBT_DIFF" hidden="1">"c4466"</definedName>
    <definedName name="IQ_EST_NET_DEBT_SURPRISE_PERCENT" hidden="1">"c4468"</definedName>
    <definedName name="IQ_EST_NI_DIFF" hidden="1">"c1885"</definedName>
    <definedName name="IQ_EST_NI_DIFF_REUT" hidden="1">"c5423"</definedName>
    <definedName name="IQ_EST_NI_GW_DIFF_REUT" hidden="1">"c5425"</definedName>
    <definedName name="IQ_EST_NI_GW_SURPRISE_PERCENT_REUT" hidden="1">"c5426"</definedName>
    <definedName name="IQ_EST_NI_REPORT_DIFF" hidden="1">"c1889"</definedName>
    <definedName name="IQ_EST_NI_REPORT_DIFF_REUT" hidden="1">"c5427"</definedName>
    <definedName name="IQ_EST_NI_REPORT_SURPRISE_PERCENT" hidden="1">"c1890"</definedName>
    <definedName name="IQ_EST_NI_REPORT_SURPRISE_PERCENT_REUT" hidden="1">"c5428"</definedName>
    <definedName name="IQ_EST_NI_SBC_DIFF" hidden="1">"c4472"</definedName>
    <definedName name="IQ_EST_NI_SBC_GW_DIFF" hidden="1">"c4476"</definedName>
    <definedName name="IQ_EST_NI_SBC_GW_SURPRISE_PERCENT" hidden="1">"c4485"</definedName>
    <definedName name="IQ_EST_NI_SBC_SURPRISE_PERCENT" hidden="1">"c4491"</definedName>
    <definedName name="IQ_EST_NI_SURPRISE_PERCENT" hidden="1">"c1886"</definedName>
    <definedName name="IQ_EST_NI_SURPRISE_PERCENT_REUT" hidden="1">"c5424"</definedName>
    <definedName name="IQ_EST_NUM_BUY" hidden="1">"c1759"</definedName>
    <definedName name="IQ_EST_NUM_HIGH_REC" hidden="1">"c5649"</definedName>
    <definedName name="IQ_EST_NUM_HIGH_REC_REUT" hidden="1">"c3870"</definedName>
    <definedName name="IQ_EST_NUM_HIGHEST_REC" hidden="1">"c5648"</definedName>
    <definedName name="IQ_EST_NUM_HIGHEST_REC_REUT" hidden="1">"c3869"</definedName>
    <definedName name="IQ_EST_NUM_HOLD" hidden="1">"c1761"</definedName>
    <definedName name="IQ_EST_NUM_LOW_REC" hidden="1">"c5651"</definedName>
    <definedName name="IQ_EST_NUM_LOW_REC_REUT" hidden="1">"c3872"</definedName>
    <definedName name="IQ_EST_NUM_LOWEST_REC" hidden="1">"c5652"</definedName>
    <definedName name="IQ_EST_NUM_LOWEST_REC_REUT" hidden="1">"c3873"</definedName>
    <definedName name="IQ_EST_NUM_NEUTRAL_REC" hidden="1">"c5650"</definedName>
    <definedName name="IQ_EST_NUM_NEUTRAL_REC_REUT" hidden="1">"c3871"</definedName>
    <definedName name="IQ_EST_NUM_NO_OPINION" hidden="1">"c1758"</definedName>
    <definedName name="IQ_EST_NUM_NO_OPINION_REUT" hidden="1">"c3868"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DIFF_REUT" hidden="1">"c5415"</definedName>
    <definedName name="IQ_EST_OPER_INC_SURPRISE_PERCENT" hidden="1">"c1878"</definedName>
    <definedName name="IQ_EST_OPER_INC_SURPRISE_PERCENT_REUT" hidden="1">"c5416"</definedName>
    <definedName name="IQ_EST_PRE_TAX_DIFF" hidden="1">"c1879"</definedName>
    <definedName name="IQ_EST_PRE_TAX_DIFF_REUT" hidden="1">"c5417"</definedName>
    <definedName name="IQ_EST_PRE_TAX_GW_DIFF" hidden="1">"c1881"</definedName>
    <definedName name="IQ_EST_PRE_TAX_GW_DIFF_REUT" hidden="1">"c5419"</definedName>
    <definedName name="IQ_EST_PRE_TAX_GW_SURPRISE_PERCENT" hidden="1">"c1882"</definedName>
    <definedName name="IQ_EST_PRE_TAX_GW_SURPRISE_PERCENT_REUT" hidden="1">"c5420"</definedName>
    <definedName name="IQ_EST_PRE_TAX_REPORT_DIFF" hidden="1">"c1883"</definedName>
    <definedName name="IQ_EST_PRE_TAX_REPORT_DIFF_REUT" hidden="1">"c5421"</definedName>
    <definedName name="IQ_EST_PRE_TAX_REPORT_SURPRISE_PERCENT" hidden="1">"c1884"</definedName>
    <definedName name="IQ_EST_PRE_TAX_REPORT_SURPRISE_PERCENT_REUT" hidden="1">"c5422"</definedName>
    <definedName name="IQ_EST_PRE_TAX_SURPRISE_PERCENT" hidden="1">"c1880"</definedName>
    <definedName name="IQ_EST_PRE_TAX_SURPRISE_PERCENT_REUT" hidden="1">"c5418"</definedName>
    <definedName name="IQ_EST_RECURRING_PROFIT_SHARE_DIFF" hidden="1">"c4505"</definedName>
    <definedName name="IQ_EST_RECURRING_PROFIT_SHARE_SURPRISE_PERCENT" hidden="1">"c4515"</definedName>
    <definedName name="IQ_EST_REV_DIFF" hidden="1">"c1865"</definedName>
    <definedName name="IQ_EST_REV_DIFF_REUT" hidden="1">"c3886"</definedName>
    <definedName name="IQ_EST_REV_GROWTH_1YR" hidden="1">"c1638"</definedName>
    <definedName name="IQ_EST_REV_GROWTH_1YR_REUT" hidden="1">"c3860"</definedName>
    <definedName name="IQ_EST_REV_GROWTH_2YR" hidden="1">"c1639"</definedName>
    <definedName name="IQ_EST_REV_GROWTH_2YR_REUT" hidden="1">"c3861"</definedName>
    <definedName name="IQ_EST_REV_GROWTH_Q_1YR" hidden="1">"c1640"</definedName>
    <definedName name="IQ_EST_REV_GROWTH_Q_1YR_REUT" hidden="1">"c3862"</definedName>
    <definedName name="IQ_EST_REV_SEQ_GROWTH_Q" hidden="1">"c1765"</definedName>
    <definedName name="IQ_EST_REV_SEQ_GROWTH_Q_REUT" hidden="1">"c3863"</definedName>
    <definedName name="IQ_EST_REV_SURPRISE_PERCENT" hidden="1">"c1866"</definedName>
    <definedName name="IQ_EST_REV_SURPRISE_PERCENT_REUT" hidden="1">"c3887"</definedName>
    <definedName name="IQ_EST_VENDOR" hidden="1">"c5564"</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ADJ_ACT_OR_EST" hidden="1">"c4435"</definedName>
    <definedName name="IQ_FFO_ADJ_EST" hidden="1">"c4434"</definedName>
    <definedName name="IQ_FFO_ADJ_GUIDANCE" hidden="1">"c4436"</definedName>
    <definedName name="IQ_FFO_ADJ_HIGH_EST" hidden="1">"c4437"</definedName>
    <definedName name="IQ_FFO_ADJ_HIGH_GUIDANCE" hidden="1">"c4202"</definedName>
    <definedName name="IQ_FFO_ADJ_LOW_EST" hidden="1">"c4438"</definedName>
    <definedName name="IQ_FFO_ADJ_LOW_GUIDANCE" hidden="1">"c4242"</definedName>
    <definedName name="IQ_FFO_ADJ_MEDIAN_EST" hidden="1">"c4439"</definedName>
    <definedName name="IQ_FFO_ADJ_NUM_EST" hidden="1">"c4440"</definedName>
    <definedName name="IQ_FFO_ADJ_STDDEV_EST" hidden="1">"c4441"</definedName>
    <definedName name="IQ_FFO_EST" hidden="1">"c418"</definedName>
    <definedName name="IQ_FFO_EST_REUT" hidden="1">"c3837"</definedName>
    <definedName name="IQ_FFO_GUIDANCE" hidden="1">"c4443"</definedName>
    <definedName name="IQ_FFO_HIGH_EST" hidden="1">"c419"</definedName>
    <definedName name="IQ_FFO_HIGH_EST_REUT" hidden="1">"c3839"</definedName>
    <definedName name="IQ_FFO_HIGH_GUIDANCE" hidden="1">"c4184"</definedName>
    <definedName name="IQ_FFO_LOW_EST" hidden="1">"c420"</definedName>
    <definedName name="IQ_FFO_LOW_EST_REUT" hidden="1">"c3840"</definedName>
    <definedName name="IQ_FFO_LOW_GUIDANCE" hidden="1">"c4224"</definedName>
    <definedName name="IQ_FFO_MEDIAN_EST" hidden="1">"c1665"</definedName>
    <definedName name="IQ_FFO_MEDIAN_EST_REUT" hidden="1">"c3838"</definedName>
    <definedName name="IQ_FFO_NUM_EST" hidden="1">"c421"</definedName>
    <definedName name="IQ_FFO_NUM_EST_REUT" hidden="1">"c3841"</definedName>
    <definedName name="IQ_FFO_PAYOUT_RATIO" hidden="1">"c3492"</definedName>
    <definedName name="IQ_FFO_SHARE_ACT_OR_EST" hidden="1">"c4446"</definedName>
    <definedName name="IQ_FFO_SHARE_EST" hidden="1">"c4445"</definedName>
    <definedName name="IQ_FFO_SHARE_GUIDANCE" hidden="1">"c4447"</definedName>
    <definedName name="IQ_FFO_SHARE_HIGH_EST" hidden="1">"c4448"</definedName>
    <definedName name="IQ_FFO_SHARE_HIGH_GUIDANCE" hidden="1">"c4203"</definedName>
    <definedName name="IQ_FFO_SHARE_LOW_EST" hidden="1">"c4449"</definedName>
    <definedName name="IQ_FFO_SHARE_LOW_GUIDANCE" hidden="1">"c4243"</definedName>
    <definedName name="IQ_FFO_SHARE_MEDIAN_EST" hidden="1">"c4450"</definedName>
    <definedName name="IQ_FFO_SHARE_NUM_EST" hidden="1">"c4451"</definedName>
    <definedName name="IQ_FFO_SHARE_STDDEV_EST" hidden="1">"c4452"</definedName>
    <definedName name="IQ_FFO_STDDEV_EST" hidden="1">"c422"</definedName>
    <definedName name="IQ_FFO_STDDEV_EST_REUT" hidden="1">"c3842"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DEBT_TOTAL" hidden="1">"c5656"</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REV" hidden="1">"c437"</definedName>
    <definedName name="IQ_FIN_DIV_ST_DEBT_TOTAL" hidden="1">"c5527"</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OODWILL_NET" hidden="1">"c1380"</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MARGIN_ACT_OR_EST" hidden="1">"c5554"</definedName>
    <definedName name="IQ_GROSS_MARGIN_EST" hidden="1">"c5547"</definedName>
    <definedName name="IQ_GROSS_MARGIN_HIGH_EST" hidden="1">"c5549"</definedName>
    <definedName name="IQ_GROSS_MARGIN_LOW_EST" hidden="1">"c5550"</definedName>
    <definedName name="IQ_GROSS_MARGIN_MEDIAN_EST" hidden="1">"c5548"</definedName>
    <definedName name="IQ_GROSS_MARGIN_NUM_EST" hidden="1">"c5551"</definedName>
    <definedName name="IQ_GROSS_MARGIN_STDDEV_EST" hidden="1">"c5552"</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DAYS_REV_OUT" hidden="1">"c5993"</definedName>
    <definedName name="IQ_HC_EQUIV_ADMISSIONS_GROWTH" hidden="1">"c5998"</definedName>
    <definedName name="IQ_HC_EQUIVALENT_ADMISSIONS" hidden="1">"c5958"</definedName>
    <definedName name="IQ_HC_EQUIVALENT_ADMISSIONS_SF" hidden="1">"c6007"</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SALARIES_PCT_REV" hidden="1">"c5970"</definedName>
    <definedName name="IQ_HC_SUPPLIES_PCT_REV" hidden="1">"c5971"</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IGH_TARGET_PRICE" hidden="1">"c1651"</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 hidden="1">"c6225"</definedName>
    <definedName name="IQ_INT_INC_REIT" hidden="1">"c597"</definedName>
    <definedName name="IQ_INT_INC_TOTAL" hidden="1">"c598"</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CAPEX_ACT_OR_EST" hidden="1">"c4458"</definedName>
    <definedName name="IQ_MAINT_CAPEX_EST" hidden="1">"c4457"</definedName>
    <definedName name="IQ_MAINT_CAPEX_GUIDANCE" hidden="1">"c4459"</definedName>
    <definedName name="IQ_MAINT_CAPEX_HIGH_EST" hidden="1">"c4460"</definedName>
    <definedName name="IQ_MAINT_CAPEX_HIGH_GUIDANCE" hidden="1">"c4197"</definedName>
    <definedName name="IQ_MAINT_CAPEX_LOW_EST" hidden="1">"c4461"</definedName>
    <definedName name="IQ_MAINT_CAPEX_LOW_GUIDANCE" hidden="1">"c4237"</definedName>
    <definedName name="IQ_MAINT_CAPEX_MEDIAN_EST" hidden="1">"c4462"</definedName>
    <definedName name="IQ_MAINT_CAPEX_NUM_EST" hidden="1">"c4463"</definedName>
    <definedName name="IQ_MAINT_CAPEX_STDDEV_EST" hidden="1">"c4464"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43137.3959143519</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HARE_ACT_OR_EST" hidden="1">"c2225"</definedName>
    <definedName name="IQ_NAV_SHARE_ACT_OR_EST_REUT" hidden="1">"c5623"</definedName>
    <definedName name="IQ_NAV_SHARE_EST" hidden="1">"c5609"</definedName>
    <definedName name="IQ_NAV_SHARE_EST_REUT" hidden="1">"c5617"</definedName>
    <definedName name="IQ_NAV_SHARE_HIGH_EST" hidden="1">"c5612"</definedName>
    <definedName name="IQ_NAV_SHARE_HIGH_EST_REUT" hidden="1">"c5620"</definedName>
    <definedName name="IQ_NAV_SHARE_LOW_EST" hidden="1">"c5613"</definedName>
    <definedName name="IQ_NAV_SHARE_LOW_EST_REUT" hidden="1">"c5621"</definedName>
    <definedName name="IQ_NAV_SHARE_MEDIAN_EST" hidden="1">"c5610"</definedName>
    <definedName name="IQ_NAV_SHARE_MEDIAN_EST_REUT" hidden="1">"c5618"</definedName>
    <definedName name="IQ_NAV_SHARE_NUM_EST" hidden="1">"c5614"</definedName>
    <definedName name="IQ_NAV_SHARE_NUM_EST_REUT" hidden="1">"c5622"</definedName>
    <definedName name="IQ_NAV_SHARE_STDDEV_EST" hidden="1">"c5611"</definedName>
    <definedName name="IQ_NAV_SHARE_STDDEV_EST_REUT" hidden="1">"c5619"</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REUT" hidden="1">"c5473"</definedName>
    <definedName name="IQ_NET_DEBT_EBITDA" hidden="1">"c750"</definedName>
    <definedName name="IQ_NET_DEBT_EBITDA_CAPEX" hidden="1">"c2949"</definedName>
    <definedName name="IQ_NET_DEBT_EST" hidden="1">"c3517"</definedName>
    <definedName name="IQ_NET_DEBT_EST_REUT" hidden="1">"c3976"</definedName>
    <definedName name="IQ_NET_DEBT_GUIDANCE" hidden="1">"c4467"</definedName>
    <definedName name="IQ_NET_DEBT_HIGH_EST" hidden="1">"c3518"</definedName>
    <definedName name="IQ_NET_DEBT_HIGH_EST_REUT" hidden="1">"c3978"</definedName>
    <definedName name="IQ_NET_DEBT_HIGH_GUIDANCE" hidden="1">"c4181"</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REUT" hidden="1">"c3979"</definedName>
    <definedName name="IQ_NET_DEBT_LOW_GUIDANCE" hidden="1">"c4221"</definedName>
    <definedName name="IQ_NET_DEBT_MEDIAN_EST" hidden="1">"c3520"</definedName>
    <definedName name="IQ_NET_DEBT_MEDIAN_EST_REUT" hidden="1">"c3977"</definedName>
    <definedName name="IQ_NET_DEBT_NUM_EST" hidden="1">"c3515"</definedName>
    <definedName name="IQ_NET_DEBT_NUM_EST_REUT" hidden="1">"c3980"</definedName>
    <definedName name="IQ_NET_DEBT_STDDEV_EST" hidden="1">"c3516"</definedName>
    <definedName name="IQ_NET_DEBT_STDDEV_EST_REUT" hidden="1">"c3981"</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REUT" hidden="1">"c5468"</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EST_REUT" hidden="1">"c5368"</definedName>
    <definedName name="IQ_NI_GAAP_GUIDANCE" hidden="1">"c4470"</definedName>
    <definedName name="IQ_NI_GAAP_HIGH_GUIDANCE" hidden="1">"c4177"</definedName>
    <definedName name="IQ_NI_GAAP_LOW_GUIDANCE" hidden="1">"c4217"</definedName>
    <definedName name="IQ_NI_GUIDANCE" hidden="1">"c4469"</definedName>
    <definedName name="IQ_NI_GW_EST_REUT" hidden="1">"c5375"</definedName>
    <definedName name="IQ_NI_GW_GUIDANCE" hidden="1">"c4471"</definedName>
    <definedName name="IQ_NI_GW_HIGH_EST_REUT" hidden="1">"c5377"</definedName>
    <definedName name="IQ_NI_GW_HIGH_GUIDANCE" hidden="1">"c4178"</definedName>
    <definedName name="IQ_NI_GW_LOW_EST_REUT" hidden="1">"c5378"</definedName>
    <definedName name="IQ_NI_GW_LOW_GUIDANCE" hidden="1">"c4218"</definedName>
    <definedName name="IQ_NI_GW_MEDIAN_EST_REUT" hidden="1">"c5376"</definedName>
    <definedName name="IQ_NI_GW_NUM_EST_REUT" hidden="1">"c5379"</definedName>
    <definedName name="IQ_NI_GW_STDDEV_EST_REUT" hidden="1">"c5380"</definedName>
    <definedName name="IQ_NI_HIGH_EST" hidden="1">"c1718"</definedName>
    <definedName name="IQ_NI_HIGH_EST_REUT" hidden="1">"c5370"</definedName>
    <definedName name="IQ_NI_HIGH_GUIDANCE" hidden="1">"c4176"</definedName>
    <definedName name="IQ_NI_LOW_EST" hidden="1">"c1719"</definedName>
    <definedName name="IQ_NI_LOW_EST_REUT" hidden="1">"c5371"</definedName>
    <definedName name="IQ_NI_LOW_GUIDANCE" hidden="1">"c4216"</definedName>
    <definedName name="IQ_NI_MARGIN" hidden="1">"c794"</definedName>
    <definedName name="IQ_NI_MEDIAN_EST" hidden="1">"c1717"</definedName>
    <definedName name="IQ_NI_MEDIAN_EST_REUT" hidden="1">"c5369"</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REUT" hidden="1">"c5372"</definedName>
    <definedName name="IQ_NI_REPORTED_EST" hidden="1">"c1730"</definedName>
    <definedName name="IQ_NI_REPORTED_EST_REUT" hidden="1">"c5382"</definedName>
    <definedName name="IQ_NI_REPORTED_HIGH_EST" hidden="1">"c1732"</definedName>
    <definedName name="IQ_NI_REPORTED_HIGH_EST_REUT" hidden="1">"c5384"</definedName>
    <definedName name="IQ_NI_REPORTED_LOW_EST" hidden="1">"c1733"</definedName>
    <definedName name="IQ_NI_REPORTED_LOW_EST_REUT" hidden="1">"c5385"</definedName>
    <definedName name="IQ_NI_REPORTED_MEDIAN_EST" hidden="1">"c1731"</definedName>
    <definedName name="IQ_NI_REPORTED_MEDIAN_EST_REUT" hidden="1">"c5383"</definedName>
    <definedName name="IQ_NI_REPORTED_NUM_EST" hidden="1">"c1734"</definedName>
    <definedName name="IQ_NI_REPORTED_NUM_EST_REUT" hidden="1">"c5386"</definedName>
    <definedName name="IQ_NI_REPORTED_STDDEV_EST" hidden="1">"c1735"</definedName>
    <definedName name="IQ_NI_REPORTED_STDDEV_EST_REUT" hidden="1">"c5387"</definedName>
    <definedName name="IQ_NI_SBC_ACT_OR_EST" hidden="1">"c4474"</definedName>
    <definedName name="IQ_NI_SBC_EST" hidden="1">"c4473"</definedName>
    <definedName name="IQ_NI_SBC_GUIDANCE" hidden="1">"c4475"</definedName>
    <definedName name="IQ_NI_SBC_GW_ACT_OR_EST" hidden="1">"c4478"</definedName>
    <definedName name="IQ_NI_SBC_GW_EST" hidden="1">"c4477"</definedName>
    <definedName name="IQ_NI_SBC_GW_GUIDANCE" hidden="1">"c4479"</definedName>
    <definedName name="IQ_NI_SBC_GW_HIGH_EST" hidden="1">"c4480"</definedName>
    <definedName name="IQ_NI_SBC_GW_HIGH_GUIDANCE" hidden="1">"c4187"</definedName>
    <definedName name="IQ_NI_SBC_GW_LOW_EST" hidden="1">"c4481"</definedName>
    <definedName name="IQ_NI_SBC_GW_LOW_GUIDANCE" hidden="1">"c4227"</definedName>
    <definedName name="IQ_NI_SBC_GW_MEDIAN_EST" hidden="1">"c4482"</definedName>
    <definedName name="IQ_NI_SBC_GW_NUM_EST" hidden="1">"c4483"</definedName>
    <definedName name="IQ_NI_SBC_GW_STDDEV_EST" hidden="1">"c4484"</definedName>
    <definedName name="IQ_NI_SBC_HIGH_EST" hidden="1">"c4486"</definedName>
    <definedName name="IQ_NI_SBC_HIGH_GUIDANCE" hidden="1">"c4186"</definedName>
    <definedName name="IQ_NI_SBC_LOW_EST" hidden="1">"c4487"</definedName>
    <definedName name="IQ_NI_SBC_LOW_GUIDANCE" hidden="1">"c4226"</definedName>
    <definedName name="IQ_NI_SBC_MEDIAN_EST" hidden="1">"c4488"</definedName>
    <definedName name="IQ_NI_SBC_NUM_EST" hidden="1">"c4489"</definedName>
    <definedName name="IQ_NI_SBC_STDDEV_EST" hidden="1">"c4490"</definedName>
    <definedName name="IQ_NI_SFAS" hidden="1">"c795"</definedName>
    <definedName name="IQ_NI_STDDEV_EST" hidden="1">"c1721"</definedName>
    <definedName name="IQ_NI_STDDEV_EST_REUT" hidden="1">"c5373"</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AVG_DAILY_SALES_VOL_EQ_INC_GAS" hidden="1">"c5797"</definedName>
    <definedName name="IQ_OG_AVG_DAILY_SALES_VOL_EQ_INC_NGL" hidden="1">"c5798"</definedName>
    <definedName name="IQ_OG_AVG_DAILY_SALES_VOL_EQ_INC_OIL" hidden="1">"c5796"</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ACRE_GROSS_EQ_INC" hidden="1">"c5800"</definedName>
    <definedName name="IQ_OG_UNDEVELOPED_ACRE_NET_EQ_INC" hidden="1">"c5801"</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ACT_OR_EST" hidden="1">"c2220"</definedName>
    <definedName name="IQ_OPER_INC_ACT_OR_EST_REUT" hidden="1">"c5466"</definedName>
    <definedName name="IQ_OPER_INC_BR" hidden="1">"c850"</definedName>
    <definedName name="IQ_OPER_INC_EST" hidden="1">"c1688"</definedName>
    <definedName name="IQ_OPER_INC_EST_REUT" hidden="1">"c5340"</definedName>
    <definedName name="IQ_OPER_INC_FIN" hidden="1">"c851"</definedName>
    <definedName name="IQ_OPER_INC_HIGH_EST" hidden="1">"c1690"</definedName>
    <definedName name="IQ_OPER_INC_HIGH_EST_REUT" hidden="1">"c5342"</definedName>
    <definedName name="IQ_OPER_INC_INS" hidden="1">"c852"</definedName>
    <definedName name="IQ_OPER_INC_LOW_EST" hidden="1">"c1691"</definedName>
    <definedName name="IQ_OPER_INC_LOW_EST_REUT" hidden="1">"c5343"</definedName>
    <definedName name="IQ_OPER_INC_MARGIN" hidden="1">"c1448"</definedName>
    <definedName name="IQ_OPER_INC_MEDIAN_EST" hidden="1">"c1689"</definedName>
    <definedName name="IQ_OPER_INC_MEDIAN_EST_REUT" hidden="1">"c5341"</definedName>
    <definedName name="IQ_OPER_INC_NUM_EST" hidden="1">"c1692"</definedName>
    <definedName name="IQ_OPER_INC_NUM_EST_REUT" hidden="1">"c5344"</definedName>
    <definedName name="IQ_OPER_INC_RE" hidden="1">"c6240"</definedName>
    <definedName name="IQ_OPER_INC_REIT" hidden="1">"c853"</definedName>
    <definedName name="IQ_OPER_INC_STDDEV_EST" hidden="1">"c1693"</definedName>
    <definedName name="IQ_OPER_INC_STDDEV_EST_REUT" hidden="1">"c5345"</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REUT" hidden="1">"c3959"</definedName>
    <definedName name="IQ_PERCENT_CHANGE_EST_5YR_GROWTH_RATE_18MONTHS" hidden="1">"c1853"</definedName>
    <definedName name="IQ_PERCENT_CHANGE_EST_5YR_GROWTH_RATE_18MONTHS_REUT" hidden="1">"c3960"</definedName>
    <definedName name="IQ_PERCENT_CHANGE_EST_5YR_GROWTH_RATE_3MONTHS" hidden="1">"c1849"</definedName>
    <definedName name="IQ_PERCENT_CHANGE_EST_5YR_GROWTH_RATE_3MONTHS_REUT" hidden="1">"c3956"</definedName>
    <definedName name="IQ_PERCENT_CHANGE_EST_5YR_GROWTH_RATE_6MONTHS" hidden="1">"c1850"</definedName>
    <definedName name="IQ_PERCENT_CHANGE_EST_5YR_GROWTH_RATE_6MONTHS_REUT" hidden="1">"c3957"</definedName>
    <definedName name="IQ_PERCENT_CHANGE_EST_5YR_GROWTH_RATE_9MONTHS" hidden="1">"c1851"</definedName>
    <definedName name="IQ_PERCENT_CHANGE_EST_5YR_GROWTH_RATE_9MONTHS_REUT" hidden="1">"c3958"</definedName>
    <definedName name="IQ_PERCENT_CHANGE_EST_5YR_GROWTH_RATE_DAY" hidden="1">"c1846"</definedName>
    <definedName name="IQ_PERCENT_CHANGE_EST_5YR_GROWTH_RATE_DAY_REUT" hidden="1">"c3954"</definedName>
    <definedName name="IQ_PERCENT_CHANGE_EST_5YR_GROWTH_RATE_MONTH" hidden="1">"c1848"</definedName>
    <definedName name="IQ_PERCENT_CHANGE_EST_5YR_GROWTH_RATE_MONTH_REUT" hidden="1">"c3955"</definedName>
    <definedName name="IQ_PERCENT_CHANGE_EST_5YR_GROWTH_RATE_WEEK" hidden="1">"c1847"</definedName>
    <definedName name="IQ_PERCENT_CHANGE_EST_5YR_GROWTH_RATE_WEEK_REUT" hidden="1">"c5435"</definedName>
    <definedName name="IQ_PERCENT_CHANGE_EST_CFPS_12MONTHS" hidden="1">"c1812"</definedName>
    <definedName name="IQ_PERCENT_CHANGE_EST_CFPS_12MONTHS_REUT" hidden="1">"c3924"</definedName>
    <definedName name="IQ_PERCENT_CHANGE_EST_CFPS_18MONTHS" hidden="1">"c1813"</definedName>
    <definedName name="IQ_PERCENT_CHANGE_EST_CFPS_18MONTHS_REUT" hidden="1">"c3925"</definedName>
    <definedName name="IQ_PERCENT_CHANGE_EST_CFPS_3MONTHS" hidden="1">"c1809"</definedName>
    <definedName name="IQ_PERCENT_CHANGE_EST_CFPS_3MONTHS_REUT" hidden="1">"c3921"</definedName>
    <definedName name="IQ_PERCENT_CHANGE_EST_CFPS_6MONTHS" hidden="1">"c1810"</definedName>
    <definedName name="IQ_PERCENT_CHANGE_EST_CFPS_6MONTHS_REUT" hidden="1">"c3922"</definedName>
    <definedName name="IQ_PERCENT_CHANGE_EST_CFPS_9MONTHS" hidden="1">"c1811"</definedName>
    <definedName name="IQ_PERCENT_CHANGE_EST_CFPS_9MONTHS_REUT" hidden="1">"c3923"</definedName>
    <definedName name="IQ_PERCENT_CHANGE_EST_CFPS_DAY" hidden="1">"c1806"</definedName>
    <definedName name="IQ_PERCENT_CHANGE_EST_CFPS_DAY_REUT" hidden="1">"c3919"</definedName>
    <definedName name="IQ_PERCENT_CHANGE_EST_CFPS_MONTH" hidden="1">"c1808"</definedName>
    <definedName name="IQ_PERCENT_CHANGE_EST_CFPS_MONTH_REUT" hidden="1">"c3920"</definedName>
    <definedName name="IQ_PERCENT_CHANGE_EST_CFPS_WEEK" hidden="1">"c1807"</definedName>
    <definedName name="IQ_PERCENT_CHANGE_EST_CFPS_WEEK_REUT" hidden="1">"c3962"</definedName>
    <definedName name="IQ_PERCENT_CHANGE_EST_DPS_12MONTHS" hidden="1">"c1820"</definedName>
    <definedName name="IQ_PERCENT_CHANGE_EST_DPS_12MONTHS_REUT" hidden="1">"c3931"</definedName>
    <definedName name="IQ_PERCENT_CHANGE_EST_DPS_18MONTHS" hidden="1">"c1821"</definedName>
    <definedName name="IQ_PERCENT_CHANGE_EST_DPS_18MONTHS_REUT" hidden="1">"c3932"</definedName>
    <definedName name="IQ_PERCENT_CHANGE_EST_DPS_3MONTHS" hidden="1">"c1817"</definedName>
    <definedName name="IQ_PERCENT_CHANGE_EST_DPS_3MONTHS_REUT" hidden="1">"c3928"</definedName>
    <definedName name="IQ_PERCENT_CHANGE_EST_DPS_6MONTHS" hidden="1">"c1818"</definedName>
    <definedName name="IQ_PERCENT_CHANGE_EST_DPS_6MONTHS_REUT" hidden="1">"c3929"</definedName>
    <definedName name="IQ_PERCENT_CHANGE_EST_DPS_9MONTHS" hidden="1">"c1819"</definedName>
    <definedName name="IQ_PERCENT_CHANGE_EST_DPS_9MONTHS_REUT" hidden="1">"c3930"</definedName>
    <definedName name="IQ_PERCENT_CHANGE_EST_DPS_DAY" hidden="1">"c1814"</definedName>
    <definedName name="IQ_PERCENT_CHANGE_EST_DPS_DAY_REUT" hidden="1">"c3926"</definedName>
    <definedName name="IQ_PERCENT_CHANGE_EST_DPS_MONTH" hidden="1">"c1816"</definedName>
    <definedName name="IQ_PERCENT_CHANGE_EST_DPS_MONTH_REUT" hidden="1">"c3927"</definedName>
    <definedName name="IQ_PERCENT_CHANGE_EST_DPS_WEEK" hidden="1">"c1815"</definedName>
    <definedName name="IQ_PERCENT_CHANGE_EST_DPS_WEEK_REUT" hidden="1">"c3963"</definedName>
    <definedName name="IQ_PERCENT_CHANGE_EST_EBITDA_12MONTHS" hidden="1">"c1804"</definedName>
    <definedName name="IQ_PERCENT_CHANGE_EST_EBITDA_12MONTHS_REUT" hidden="1">"c3917"</definedName>
    <definedName name="IQ_PERCENT_CHANGE_EST_EBITDA_18MONTHS" hidden="1">"c1805"</definedName>
    <definedName name="IQ_PERCENT_CHANGE_EST_EBITDA_18MONTHS_REUT" hidden="1">"c3918"</definedName>
    <definedName name="IQ_PERCENT_CHANGE_EST_EBITDA_3MONTHS" hidden="1">"c1801"</definedName>
    <definedName name="IQ_PERCENT_CHANGE_EST_EBITDA_3MONTHS_REUT" hidden="1">"c3914"</definedName>
    <definedName name="IQ_PERCENT_CHANGE_EST_EBITDA_6MONTHS" hidden="1">"c1802"</definedName>
    <definedName name="IQ_PERCENT_CHANGE_EST_EBITDA_6MONTHS_REUT" hidden="1">"c3915"</definedName>
    <definedName name="IQ_PERCENT_CHANGE_EST_EBITDA_9MONTHS" hidden="1">"c1803"</definedName>
    <definedName name="IQ_PERCENT_CHANGE_EST_EBITDA_9MONTHS_REUT" hidden="1">"c3916"</definedName>
    <definedName name="IQ_PERCENT_CHANGE_EST_EBITDA_DAY" hidden="1">"c1798"</definedName>
    <definedName name="IQ_PERCENT_CHANGE_EST_EBITDA_DAY_REUT" hidden="1">"c3912"</definedName>
    <definedName name="IQ_PERCENT_CHANGE_EST_EBITDA_MONTH" hidden="1">"c1800"</definedName>
    <definedName name="IQ_PERCENT_CHANGE_EST_EBITDA_MONTH_REUT" hidden="1">"c3913"</definedName>
    <definedName name="IQ_PERCENT_CHANGE_EST_EBITDA_WEEK" hidden="1">"c1799"</definedName>
    <definedName name="IQ_PERCENT_CHANGE_EST_EBITDA_WEEK_REUT" hidden="1">"c3961"</definedName>
    <definedName name="IQ_PERCENT_CHANGE_EST_EPS_12MONTHS" hidden="1">"c1788"</definedName>
    <definedName name="IQ_PERCENT_CHANGE_EST_EPS_12MONTHS_REUT" hidden="1">"c3902"</definedName>
    <definedName name="IQ_PERCENT_CHANGE_EST_EPS_18MONTHS" hidden="1">"c1789"</definedName>
    <definedName name="IQ_PERCENT_CHANGE_EST_EPS_18MONTHS_REUT" hidden="1">"c3903"</definedName>
    <definedName name="IQ_PERCENT_CHANGE_EST_EPS_3MONTHS" hidden="1">"c1785"</definedName>
    <definedName name="IQ_PERCENT_CHANGE_EST_EPS_3MONTHS_REUT" hidden="1">"c3899"</definedName>
    <definedName name="IQ_PERCENT_CHANGE_EST_EPS_6MONTHS" hidden="1">"c1786"</definedName>
    <definedName name="IQ_PERCENT_CHANGE_EST_EPS_6MONTHS_REUT" hidden="1">"c3900"</definedName>
    <definedName name="IQ_PERCENT_CHANGE_EST_EPS_9MONTHS" hidden="1">"c1787"</definedName>
    <definedName name="IQ_PERCENT_CHANGE_EST_EPS_9MONTHS_REUT" hidden="1">"c3901"</definedName>
    <definedName name="IQ_PERCENT_CHANGE_EST_EPS_DAY" hidden="1">"c1782"</definedName>
    <definedName name="IQ_PERCENT_CHANGE_EST_EPS_DAY_REUT" hidden="1">"c3896"</definedName>
    <definedName name="IQ_PERCENT_CHANGE_EST_EPS_MONTH" hidden="1">"c1784"</definedName>
    <definedName name="IQ_PERCENT_CHANGE_EST_EPS_MONTH_REUT" hidden="1">"c3898"</definedName>
    <definedName name="IQ_PERCENT_CHANGE_EST_EPS_WEEK" hidden="1">"c1783"</definedName>
    <definedName name="IQ_PERCENT_CHANGE_EST_EPS_WEEK_REUT" hidden="1">"c3897"</definedName>
    <definedName name="IQ_PERCENT_CHANGE_EST_FFO_12MONTHS" hidden="1">"c1828"</definedName>
    <definedName name="IQ_PERCENT_CHANGE_EST_FFO_12MONTHS_REUT" hidden="1">"c3938"</definedName>
    <definedName name="IQ_PERCENT_CHANGE_EST_FFO_18MONTHS" hidden="1">"c1829"</definedName>
    <definedName name="IQ_PERCENT_CHANGE_EST_FFO_18MONTHS_REUT" hidden="1">"c3939"</definedName>
    <definedName name="IQ_PERCENT_CHANGE_EST_FFO_3MONTHS" hidden="1">"c1825"</definedName>
    <definedName name="IQ_PERCENT_CHANGE_EST_FFO_3MONTHS_REUT" hidden="1">"c3935"</definedName>
    <definedName name="IQ_PERCENT_CHANGE_EST_FFO_6MONTHS" hidden="1">"c1826"</definedName>
    <definedName name="IQ_PERCENT_CHANGE_EST_FFO_6MONTHS_REUT" hidden="1">"c3936"</definedName>
    <definedName name="IQ_PERCENT_CHANGE_EST_FFO_9MONTHS" hidden="1">"c1827"</definedName>
    <definedName name="IQ_PERCENT_CHANGE_EST_FFO_9MONTHS_REUT" hidden="1">"c3937"</definedName>
    <definedName name="IQ_PERCENT_CHANGE_EST_FFO_DAY" hidden="1">"c1822"</definedName>
    <definedName name="IQ_PERCENT_CHANGE_EST_FFO_DAY_REUT" hidden="1">"c3933"</definedName>
    <definedName name="IQ_PERCENT_CHANGE_EST_FFO_MONTH" hidden="1">"c1824"</definedName>
    <definedName name="IQ_PERCENT_CHANGE_EST_FFO_MONTH_REUT" hidden="1">"c3934"</definedName>
    <definedName name="IQ_PERCENT_CHANGE_EST_FFO_WEEK" hidden="1">"c1823"</definedName>
    <definedName name="IQ_PERCENT_CHANGE_EST_FFO_WEEK_REUT" hidden="1">"c3964"</definedName>
    <definedName name="IQ_PERCENT_CHANGE_EST_PRICE_TARGET_12MONTHS" hidden="1">"c1844"</definedName>
    <definedName name="IQ_PERCENT_CHANGE_EST_PRICE_TARGET_12MONTHS_REUT" hidden="1">"c3952"</definedName>
    <definedName name="IQ_PERCENT_CHANGE_EST_PRICE_TARGET_18MONTHS" hidden="1">"c1845"</definedName>
    <definedName name="IQ_PERCENT_CHANGE_EST_PRICE_TARGET_18MONTHS_REUT" hidden="1">"c3953"</definedName>
    <definedName name="IQ_PERCENT_CHANGE_EST_PRICE_TARGET_3MONTHS" hidden="1">"c1841"</definedName>
    <definedName name="IQ_PERCENT_CHANGE_EST_PRICE_TARGET_3MONTHS_REUT" hidden="1">"c3949"</definedName>
    <definedName name="IQ_PERCENT_CHANGE_EST_PRICE_TARGET_6MONTHS" hidden="1">"c1842"</definedName>
    <definedName name="IQ_PERCENT_CHANGE_EST_PRICE_TARGET_6MONTHS_REUT" hidden="1">"c3950"</definedName>
    <definedName name="IQ_PERCENT_CHANGE_EST_PRICE_TARGET_9MONTHS" hidden="1">"c1843"</definedName>
    <definedName name="IQ_PERCENT_CHANGE_EST_PRICE_TARGET_9MONTHS_REUT" hidden="1">"c3951"</definedName>
    <definedName name="IQ_PERCENT_CHANGE_EST_PRICE_TARGET_DAY" hidden="1">"c1838"</definedName>
    <definedName name="IQ_PERCENT_CHANGE_EST_PRICE_TARGET_DAY_REUT" hidden="1">"c3947"</definedName>
    <definedName name="IQ_PERCENT_CHANGE_EST_PRICE_TARGET_MONTH" hidden="1">"c1840"</definedName>
    <definedName name="IQ_PERCENT_CHANGE_EST_PRICE_TARGET_MONTH_REUT" hidden="1">"c3948"</definedName>
    <definedName name="IQ_PERCENT_CHANGE_EST_PRICE_TARGET_WEEK" hidden="1">"c1839"</definedName>
    <definedName name="IQ_PERCENT_CHANGE_EST_PRICE_TARGET_WEEK_REUT" hidden="1">"c3967"</definedName>
    <definedName name="IQ_PERCENT_CHANGE_EST_RECO_12MONTHS" hidden="1">"c1836"</definedName>
    <definedName name="IQ_PERCENT_CHANGE_EST_RECO_12MONTHS_REUT" hidden="1">"c3945"</definedName>
    <definedName name="IQ_PERCENT_CHANGE_EST_RECO_18MONTHS" hidden="1">"c1837"</definedName>
    <definedName name="IQ_PERCENT_CHANGE_EST_RECO_18MONTHS_REUT" hidden="1">"c3946"</definedName>
    <definedName name="IQ_PERCENT_CHANGE_EST_RECO_3MONTHS" hidden="1">"c1833"</definedName>
    <definedName name="IQ_PERCENT_CHANGE_EST_RECO_3MONTHS_REUT" hidden="1">"c3942"</definedName>
    <definedName name="IQ_PERCENT_CHANGE_EST_RECO_6MONTHS" hidden="1">"c1834"</definedName>
    <definedName name="IQ_PERCENT_CHANGE_EST_RECO_6MONTHS_REUT" hidden="1">"c3943"</definedName>
    <definedName name="IQ_PERCENT_CHANGE_EST_RECO_9MONTHS" hidden="1">"c1835"</definedName>
    <definedName name="IQ_PERCENT_CHANGE_EST_RECO_9MONTHS_REUT" hidden="1">"c3944"</definedName>
    <definedName name="IQ_PERCENT_CHANGE_EST_RECO_DAY" hidden="1">"c1830"</definedName>
    <definedName name="IQ_PERCENT_CHANGE_EST_RECO_DAY_REUT" hidden="1">"c3940"</definedName>
    <definedName name="IQ_PERCENT_CHANGE_EST_RECO_MONTH" hidden="1">"c1832"</definedName>
    <definedName name="IQ_PERCENT_CHANGE_EST_RECO_MONTH_REUT" hidden="1">"c3941"</definedName>
    <definedName name="IQ_PERCENT_CHANGE_EST_RECO_WEEK" hidden="1">"c1831"</definedName>
    <definedName name="IQ_PERCENT_CHANGE_EST_RECO_WEEK_REUT" hidden="1">"c3966"</definedName>
    <definedName name="IQ_PERCENT_CHANGE_EST_REV_12MONTHS" hidden="1">"c1796"</definedName>
    <definedName name="IQ_PERCENT_CHANGE_EST_REV_12MONTHS_REUT" hidden="1">"c3910"</definedName>
    <definedName name="IQ_PERCENT_CHANGE_EST_REV_18MONTHS" hidden="1">"c1797"</definedName>
    <definedName name="IQ_PERCENT_CHANGE_EST_REV_18MONTHS_REUT" hidden="1">"c3911"</definedName>
    <definedName name="IQ_PERCENT_CHANGE_EST_REV_3MONTHS" hidden="1">"c1793"</definedName>
    <definedName name="IQ_PERCENT_CHANGE_EST_REV_3MONTHS_REUT" hidden="1">"c3907"</definedName>
    <definedName name="IQ_PERCENT_CHANGE_EST_REV_6MONTHS" hidden="1">"c1794"</definedName>
    <definedName name="IQ_PERCENT_CHANGE_EST_REV_6MONTHS_REUT" hidden="1">"c3908"</definedName>
    <definedName name="IQ_PERCENT_CHANGE_EST_REV_9MONTHS" hidden="1">"c1795"</definedName>
    <definedName name="IQ_PERCENT_CHANGE_EST_REV_9MONTHS_REUT" hidden="1">"c3909"</definedName>
    <definedName name="IQ_PERCENT_CHANGE_EST_REV_DAY" hidden="1">"c1790"</definedName>
    <definedName name="IQ_PERCENT_CHANGE_EST_REV_DAY_REUT" hidden="1">"c3904"</definedName>
    <definedName name="IQ_PERCENT_CHANGE_EST_REV_MONTH" hidden="1">"c1792"</definedName>
    <definedName name="IQ_PERCENT_CHANGE_EST_REV_MONTH_REUT" hidden="1">"c3906"</definedName>
    <definedName name="IQ_PERCENT_CHANGE_EST_REV_WEEK" hidden="1">"c1791"</definedName>
    <definedName name="IQ_PERCENT_CHANGE_EST_REV_WEEK_REUT" hidden="1">"c3905"</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OTENTIAL_UPSIDE_REUT" hidden="1">"c3968"</definedName>
    <definedName name="IQ_PRE_OPEN_COST" hidden="1">"c1040"</definedName>
    <definedName name="IQ_PRE_TAX_ACT_OR_EST" hidden="1">"c2221"</definedName>
    <definedName name="IQ_PRE_TAX_ACT_OR_EST_REUT" hidden="1">"c5467"</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EST_REUT" hidden="1">"c5354"</definedName>
    <definedName name="IQ_PRETAX_GW_INC_HIGH_EST" hidden="1">"c1704"</definedName>
    <definedName name="IQ_PRETAX_GW_INC_HIGH_EST_REUT" hidden="1">"c5356"</definedName>
    <definedName name="IQ_PRETAX_GW_INC_LOW_EST" hidden="1">"c1705"</definedName>
    <definedName name="IQ_PRETAX_GW_INC_LOW_EST_REUT" hidden="1">"c5357"</definedName>
    <definedName name="IQ_PRETAX_GW_INC_MEDIAN_EST" hidden="1">"c1703"</definedName>
    <definedName name="IQ_PRETAX_GW_INC_MEDIAN_EST_REUT" hidden="1">"c5355"</definedName>
    <definedName name="IQ_PRETAX_GW_INC_NUM_EST" hidden="1">"c1706"</definedName>
    <definedName name="IQ_PRETAX_GW_INC_NUM_EST_REUT" hidden="1">"c5358"</definedName>
    <definedName name="IQ_PRETAX_GW_INC_STDDEV_EST" hidden="1">"c1707"</definedName>
    <definedName name="IQ_PRETAX_GW_INC_STDDEV_EST_REUT" hidden="1">"c5359"</definedName>
    <definedName name="IQ_PRETAX_INC_EST" hidden="1">"c1695"</definedName>
    <definedName name="IQ_PRETAX_INC_EST_REUT" hidden="1">"c5347"</definedName>
    <definedName name="IQ_PRETAX_INC_HIGH_EST" hidden="1">"c1697"</definedName>
    <definedName name="IQ_PRETAX_INC_HIGH_EST_REUT" hidden="1">"c5349"</definedName>
    <definedName name="IQ_PRETAX_INC_LOW_EST" hidden="1">"c1698"</definedName>
    <definedName name="IQ_PRETAX_INC_LOW_EST_REUT" hidden="1">"c5350"</definedName>
    <definedName name="IQ_PRETAX_INC_MEDIAN_EST" hidden="1">"c1696"</definedName>
    <definedName name="IQ_PRETAX_INC_MEDIAN_EST_REUT" hidden="1">"c5348"</definedName>
    <definedName name="IQ_PRETAX_INC_NUM_EST" hidden="1">"c1699"</definedName>
    <definedName name="IQ_PRETAX_INC_NUM_EST_REUT" hidden="1">"c5351"</definedName>
    <definedName name="IQ_PRETAX_INC_STDDEV_EST" hidden="1">"c1700"</definedName>
    <definedName name="IQ_PRETAX_INC_STDDEV_EST_REUT" hidden="1">"c5352"</definedName>
    <definedName name="IQ_PRETAX_REPORT_INC_EST" hidden="1">"c1709"</definedName>
    <definedName name="IQ_PRETAX_REPORT_INC_EST_REUT" hidden="1">"c5361"</definedName>
    <definedName name="IQ_PRETAX_REPORT_INC_HIGH_EST" hidden="1">"c1711"</definedName>
    <definedName name="IQ_PRETAX_REPORT_INC_HIGH_EST_REUT" hidden="1">"c5363"</definedName>
    <definedName name="IQ_PRETAX_REPORT_INC_LOW_EST" hidden="1">"c1712"</definedName>
    <definedName name="IQ_PRETAX_REPORT_INC_LOW_EST_REUT" hidden="1">"c5364"</definedName>
    <definedName name="IQ_PRETAX_REPORT_INC_MEDIAN_EST" hidden="1">"c1710"</definedName>
    <definedName name="IQ_PRETAX_REPORT_INC_MEDIAN_EST_REUT" hidden="1">"c5362"</definedName>
    <definedName name="IQ_PRETAX_REPORT_INC_NUM_EST" hidden="1">"c1713"</definedName>
    <definedName name="IQ_PRETAX_REPORT_INC_NUM_EST_REUT" hidden="1">"c5365"</definedName>
    <definedName name="IQ_PRETAX_REPORT_INC_STDDEV_EST" hidden="1">"c1714"</definedName>
    <definedName name="IQ_PRETAX_REPORT_INC_STDDEV_EST_REUT" hidden="1">"c5366"</definedName>
    <definedName name="IQ_PRICE_CFPS_FWD" hidden="1">"c2237"</definedName>
    <definedName name="IQ_PRICE_CFPS_FWD_REUT" hidden="1">"c4053"</definedName>
    <definedName name="IQ_PRICE_OVER_BVPS" hidden="1">"c1412"</definedName>
    <definedName name="IQ_PRICE_OVER_LTM_EPS" hidden="1">"c1413"</definedName>
    <definedName name="IQ_PRICE_TARGET" hidden="1">"c82"</definedName>
    <definedName name="IQ_PRICE_TARGET_BOTTOM_UP" hidden="1">"c5486"</definedName>
    <definedName name="IQ_PRICE_TARGET_BOTTOM_UP_REUT" hidden="1">"c5494"</definedName>
    <definedName name="IQ_PRICE_TARGET_REUT" hidden="1">"c3631"</definedName>
    <definedName name="IQ_PRICE_VOLATILITY_EST" hidden="1">"c4492"</definedName>
    <definedName name="IQ_PRICE_VOLATILITY_HIGH" hidden="1">"c4493"</definedName>
    <definedName name="IQ_PRICE_VOLATILITY_LOW" hidden="1">"c4494"</definedName>
    <definedName name="IQ_PRICE_VOLATILITY_MEDIAN" hidden="1">"c4495"</definedName>
    <definedName name="IQ_PRICE_VOLATILITY_NUM" hidden="1">"c4496"</definedName>
    <definedName name="IQ_PRICE_VOLATILITY_STDDEV" hidden="1">"c4497"</definedName>
    <definedName name="IQ_PRICEDATE" hidden="1">"c1069"</definedName>
    <definedName name="IQ_PRICING_DATE" hidden="1">"c1613"</definedName>
    <definedName name="IQ_PRIMARY_EPS_TYPE" hidden="1">"c4498"</definedName>
    <definedName name="IQ_PRIMARY_EPS_TYPE_REUT" hidden="1">"c5481"</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CURRING_PROFIT_ACT_OR_EST" hidden="1">"c4507"</definedName>
    <definedName name="IQ_RECURRING_PROFIT_EST" hidden="1">"c4499"</definedName>
    <definedName name="IQ_RECURRING_PROFIT_GUIDANCE" hidden="1">"c4500"</definedName>
    <definedName name="IQ_RECURRING_PROFIT_HIGH_EST" hidden="1">"c4501"</definedName>
    <definedName name="IQ_RECURRING_PROFIT_HIGH_GUIDANCE" hidden="1">"c4179"</definedName>
    <definedName name="IQ_RECURRING_PROFIT_LOW_EST" hidden="1">"c4502"</definedName>
    <definedName name="IQ_RECURRING_PROFIT_LOW_GUIDANCE" hidden="1">"c4219"</definedName>
    <definedName name="IQ_RECURRING_PROFIT_MEDIAN_EST" hidden="1">"c4503"</definedName>
    <definedName name="IQ_RECURRING_PROFIT_NUM_EST" hidden="1">"c4504"</definedName>
    <definedName name="IQ_RECURRING_PROFIT_SHARE_ACT_OR_EST" hidden="1">"c4508"</definedName>
    <definedName name="IQ_RECURRING_PROFIT_SHARE_EST" hidden="1">"c4506"</definedName>
    <definedName name="IQ_RECURRING_PROFIT_SHARE_GUIDANCE" hidden="1">"c4509"</definedName>
    <definedName name="IQ_RECURRING_PROFIT_SHARE_HIGH_EST" hidden="1">"c4510"</definedName>
    <definedName name="IQ_RECURRING_PROFIT_SHARE_HIGH_GUIDANCE" hidden="1">"c4200"</definedName>
    <definedName name="IQ_RECURRING_PROFIT_SHARE_LOW_EST" hidden="1">"c4511"</definedName>
    <definedName name="IQ_RECURRING_PROFIT_SHARE_LOW_GUIDANCE" hidden="1">"c4240"</definedName>
    <definedName name="IQ_RECURRING_PROFIT_SHARE_MEDIAN_EST" hidden="1">"c4512"</definedName>
    <definedName name="IQ_RECURRING_PROFIT_SHARE_NUM_EST" hidden="1">"c4513"</definedName>
    <definedName name="IQ_RECURRING_PROFIT_SHARE_STDDEV_EST" hidden="1">"c4514"</definedName>
    <definedName name="IQ_RECURRING_PROFIT_STDDEV_EST" hidden="1">"c4516"</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ACT_OR_EST" hidden="1">"c3585"</definedName>
    <definedName name="IQ_RETURN_ASSETS_ACT_OR_EST_REUT" hidden="1">"c5475"</definedName>
    <definedName name="IQ_RETURN_ASSETS_BANK" hidden="1">"c1114"</definedName>
    <definedName name="IQ_RETURN_ASSETS_BROK" hidden="1">"c1115"</definedName>
    <definedName name="IQ_RETURN_ASSETS_EST" hidden="1">"c3529"</definedName>
    <definedName name="IQ_RETURN_ASSETS_EST_REUT" hidden="1">"c3990"</definedName>
    <definedName name="IQ_RETURN_ASSETS_FS" hidden="1">"c1116"</definedName>
    <definedName name="IQ_RETURN_ASSETS_GUIDANCE" hidden="1">"c4517"</definedName>
    <definedName name="IQ_RETURN_ASSETS_HIGH_EST" hidden="1">"c3530"</definedName>
    <definedName name="IQ_RETURN_ASSETS_HIGH_EST_REUT" hidden="1">"c3992"</definedName>
    <definedName name="IQ_RETURN_ASSETS_HIGH_GUIDANCE" hidden="1">"c4183"</definedName>
    <definedName name="IQ_RETURN_ASSETS_LOW_EST" hidden="1">"c3531"</definedName>
    <definedName name="IQ_RETURN_ASSETS_LOW_EST_REUT" hidden="1">"c3993"</definedName>
    <definedName name="IQ_RETURN_ASSETS_LOW_GUIDANCE" hidden="1">"c4223"</definedName>
    <definedName name="IQ_RETURN_ASSETS_MEDIAN_EST" hidden="1">"c3532"</definedName>
    <definedName name="IQ_RETURN_ASSETS_MEDIAN_EST_REUT" hidden="1">"c3991"</definedName>
    <definedName name="IQ_RETURN_ASSETS_NUM_EST" hidden="1">"c3527"</definedName>
    <definedName name="IQ_RETURN_ASSETS_NUM_EST_REUT" hidden="1">"c3994"</definedName>
    <definedName name="IQ_RETURN_ASSETS_STDDEV_EST" hidden="1">"c3528"</definedName>
    <definedName name="IQ_RETURN_ASSETS_STDDEV_EST_REUT" hidden="1">"c3995"</definedName>
    <definedName name="IQ_RETURN_CAPITAL" hidden="1">"c1117"</definedName>
    <definedName name="IQ_RETURN_EQUITY" hidden="1">"c1118"</definedName>
    <definedName name="IQ_RETURN_EQUITY_ACT_OR_EST" hidden="1">"c3586"</definedName>
    <definedName name="IQ_RETURN_EQUITY_ACT_OR_EST_REUT" hidden="1">"c5476"</definedName>
    <definedName name="IQ_RETURN_EQUITY_BANK" hidden="1">"c1119"</definedName>
    <definedName name="IQ_RETURN_EQUITY_BROK" hidden="1">"c1120"</definedName>
    <definedName name="IQ_RETURN_EQUITY_EST" hidden="1">"c3535"</definedName>
    <definedName name="IQ_RETURN_EQUITY_EST_REUT" hidden="1">"c3983"</definedName>
    <definedName name="IQ_RETURN_EQUITY_FS" hidden="1">"c1121"</definedName>
    <definedName name="IQ_RETURN_EQUITY_GUIDANCE" hidden="1">"c4518"</definedName>
    <definedName name="IQ_RETURN_EQUITY_HIGH_EST" hidden="1">"c3536"</definedName>
    <definedName name="IQ_RETURN_EQUITY_HIGH_EST_REUT" hidden="1">"c3985"</definedName>
    <definedName name="IQ_RETURN_EQUITY_HIGH_GUIDANCE" hidden="1">"c4182"</definedName>
    <definedName name="IQ_RETURN_EQUITY_LOW_EST" hidden="1">"c3537"</definedName>
    <definedName name="IQ_RETURN_EQUITY_LOW_EST_REUT" hidden="1">"c3986"</definedName>
    <definedName name="IQ_RETURN_EQUITY_LOW_GUIDANCE" hidden="1">"c4222"</definedName>
    <definedName name="IQ_RETURN_EQUITY_MEDIAN_EST" hidden="1">"c3538"</definedName>
    <definedName name="IQ_RETURN_EQUITY_MEDIAN_EST_REUT" hidden="1">"c3984"</definedName>
    <definedName name="IQ_RETURN_EQUITY_NUM_EST" hidden="1">"c3533"</definedName>
    <definedName name="IQ_RETURN_EQUITY_NUM_EST_REUT" hidden="1">"c3987"</definedName>
    <definedName name="IQ_RETURN_EQUITY_STDDEV_EST" hidden="1">"c3534"</definedName>
    <definedName name="IQ_RETURN_EQUITY_STDDEV_EST_REUT" hidden="1">"c3988"</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ENUE" hidden="1">"c1422"</definedName>
    <definedName name="IQ_REVENUE_ACT_OR_EST" hidden="1">"c2214"</definedName>
    <definedName name="IQ_REVENUE_ACT_OR_EST_REUT" hidden="1">"c5461"</definedName>
    <definedName name="IQ_REVENUE_EST" hidden="1">"c1126"</definedName>
    <definedName name="IQ_REVENUE_EST_BOTTOM_UP" hidden="1">"c5488"</definedName>
    <definedName name="IQ_REVENUE_EST_BOTTOM_UP_REUT" hidden="1">"c5496"</definedName>
    <definedName name="IQ_REVENUE_EST_REUT" hidden="1">"c3634"</definedName>
    <definedName name="IQ_REVENUE_GUIDANCE" hidden="1">"c4519"</definedName>
    <definedName name="IQ_REVENUE_HIGH_EST" hidden="1">"c1127"</definedName>
    <definedName name="IQ_REVENUE_HIGH_EST_REUT" hidden="1">"c3636"</definedName>
    <definedName name="IQ_REVENUE_HIGH_GUIDANCE" hidden="1">"c4169"</definedName>
    <definedName name="IQ_REVENUE_LOW_EST" hidden="1">"c1128"</definedName>
    <definedName name="IQ_REVENUE_LOW_EST_REUT" hidden="1">"c3637"</definedName>
    <definedName name="IQ_REVENUE_LOW_GUIDANCE" hidden="1">"c4209"</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"11/15/2006 11:59:13 AM"</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_BANK" hidden="1">"c2637"</definedName>
    <definedName name="IQ_SP_BANK_ACTION" hidden="1">"c2636"</definedName>
    <definedName name="IQ_SP_BANK_DATE" hidden="1">"c2635"</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GA" hidden="1">"c2993"</definedName>
    <definedName name="IQ_STOCK_BASED_HIGH_EST" hidden="1">"c4521"</definedName>
    <definedName name="IQ_STOCK_BASED_LOW_EST" hidden="1">"c4522"</definedName>
    <definedName name="IQ_STOCK_BASED_MEDIAN_EST" hidden="1">"c4523"</definedName>
    <definedName name="IQ_STOCK_BASED_NUM_EST" hidden="1">"c4524"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REUT" hidden="1">"c4054"</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EST" hidden="1">"c4526"</definedName>
    <definedName name="IQ_TEV_HIGH_EST" hidden="1">"c4527"</definedName>
    <definedName name="IQ_TEV_LOW_EST" hidden="1">"c4528"</definedName>
    <definedName name="IQ_TEV_MEDIAN_EST" hidden="1">"c4529"</definedName>
    <definedName name="IQ_TEV_NUM_EST" hidden="1">"c4530"</definedName>
    <definedName name="IQ_TEV_STDDEV_EST" hidden="1">"c4531"</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XCL_FIN" hidden="1">"c2937"</definedName>
    <definedName name="IQ_TOTAL_DEBT_GUIDANCE" hidden="1">"c4533"</definedName>
    <definedName name="IQ_TOTAL_DEBT_HIGH_EST" hidden="1">"c4534"</definedName>
    <definedName name="IQ_TOTAL_DEBT_HIGH_GUIDANCE" hidden="1">"c4196"</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GUIDANCE" hidden="1">"c4236"</definedName>
    <definedName name="IQ_TOTAL_DEBT_MEDIAN_EST" hidden="1">"c4536"</definedName>
    <definedName name="IQ_TOTAL_DEBT_NUM_EST" hidden="1">"c4537"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TDDEV_EST" hidden="1">"c4538"</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job_number">"qs12257"</definedName>
    <definedName name="Kap">1.1844</definedName>
    <definedName name="KAv">1</definedName>
    <definedName name="KBms">1.1846</definedName>
    <definedName name="KBuild">1</definedName>
    <definedName name="KFa">1</definedName>
    <definedName name="KGen">1</definedName>
    <definedName name="KHotAud">1</definedName>
    <definedName name="KLite">1.0211</definedName>
    <definedName name="KLiteCon">1</definedName>
    <definedName name="KLv">1</definedName>
    <definedName name="KMed">1</definedName>
    <definedName name="KPa">1</definedName>
    <definedName name="KProtec">1</definedName>
    <definedName name="KSec">1</definedName>
    <definedName name="KTel">1</definedName>
    <definedName name="KTv">1</definedName>
    <definedName name="Lab">14</definedName>
    <definedName name="Material_Wastage__5">5%</definedName>
    <definedName name="Material_Wastage__8">8%</definedName>
    <definedName name="offset">1</definedName>
    <definedName name="ok">"1,0"</definedName>
    <definedName name="Payment_Needed">"Απαιτείται πληρωμή"</definedName>
    <definedName name="QS_Expenses">735350</definedName>
    <definedName name="READ" hidden="1">FALSE</definedName>
    <definedName name="Risk">0</definedName>
    <definedName name="RiskAutoStopPercChange">1.5</definedName>
    <definedName name="RiskExcelReportsGoInNewWorkbook">TRUE</definedName>
    <definedName name="RiskExcelReportsToGenerate">0</definedName>
    <definedName name="RiskGenerateExcelReportsAtEndOfSimulation">FALSE</definedName>
    <definedName name="RiskRealTimeResults">FALSE</definedName>
    <definedName name="RiskReportGraphFormat">0</definedName>
    <definedName name="RiskResultsUpdateFreq">100</definedName>
    <definedName name="RiskShowRiskWindowAtEndOfSimulation">TRUE</definedName>
    <definedName name="RiskStatFunctionsUpdateFreq">1</definedName>
    <definedName name="RiskSwapState" hidden="1">FALSE</definedName>
    <definedName name="RiskTemplateSheetName">"myTemplate"</definedName>
    <definedName name="RiskUpdateStatFunctions">TRUE</definedName>
    <definedName name="SAPBEXrevision" hidden="1">3</definedName>
    <definedName name="SAPBEXsysID" hidden="1">"B01"</definedName>
    <definedName name="SAPBEXwbID" hidden="1">"1OKLBDAAGJ3NPBUSNNGRFDKQH"</definedName>
    <definedName name="sk" hidden="1">"1, 3, 1, False, 2, False, False, , 0, False, True, 3, 2"</definedName>
    <definedName name="SM">10.764</definedName>
    <definedName name="SMT_Expenses">1543094.04</definedName>
    <definedName name="solver_corr" hidden="1">1</definedName>
    <definedName name="solver_ctp1" hidden="1">0</definedName>
    <definedName name="solver_ctp2" hidden="1">0</definedName>
    <definedName name="solver_disp" hidden="1">0</definedName>
    <definedName name="solver_eval" hidden="1">0</definedName>
    <definedName name="solver_lcens" hidden="1">-1E+30</definedName>
    <definedName name="solver_lcut" hidden="1">-1E+30</definedName>
    <definedName name="solver_nsim" hidden="1">1</definedName>
    <definedName name="solver_ntri" hidden="1">1000</definedName>
    <definedName name="solver_rsmp" hidden="1">2</definedName>
    <definedName name="solver_seed" hidden="1">0</definedName>
    <definedName name="solver_sthr" hidden="1">0</definedName>
    <definedName name="solver_ucens" hidden="1">1E+30</definedName>
    <definedName name="solver_ucut" hidden="1">1E+30</definedName>
    <definedName name="sp_active_document_name">"NewDocument"</definedName>
    <definedName name="sp_active_phase">1</definedName>
    <definedName name="sp_building_sfc">0</definedName>
    <definedName name="sp_building_sfc_ph_1">0</definedName>
    <definedName name="sp_existing_building_sfc">0</definedName>
    <definedName name="sp_existing_building_sfc_ph_1">0</definedName>
    <definedName name="sp_G_n_3">0</definedName>
    <definedName name="sp_G_n_3_ph_1">0</definedName>
    <definedName name="sp_G_n_3_units">0</definedName>
    <definedName name="sp_G_n_3_units_ph_1">0</definedName>
    <definedName name="sp_hotel">0</definedName>
    <definedName name="sp_hotel_ph_1">0</definedName>
    <definedName name="sp_hotel_units">0</definedName>
    <definedName name="sp_hotel_units_ph_1">0</definedName>
    <definedName name="sp_lakes_ponds_sfc">0</definedName>
    <definedName name="sp_lakes_ponds_sfc_ph_1">0</definedName>
    <definedName name="sp_multifamily">0</definedName>
    <definedName name="sp_multifamily_ph_1">0</definedName>
    <definedName name="sp_multifamily_units">0</definedName>
    <definedName name="sp_multifamily_units_ph_1">0</definedName>
    <definedName name="sp_office">0</definedName>
    <definedName name="sp_office_ph_1">0</definedName>
    <definedName name="sp_office_units">0</definedName>
    <definedName name="sp_office_units_ph_1">0</definedName>
    <definedName name="sp_open_space_sfc">0</definedName>
    <definedName name="sp_open_space_sfc_ph_1">0</definedName>
    <definedName name="sp_programdarkviolet">0</definedName>
    <definedName name="sp_programdarkviolet_ph_1">0</definedName>
    <definedName name="sp_programdarkviolet_units">0</definedName>
    <definedName name="sp_programdarkviolet_units_ph_1">0</definedName>
    <definedName name="sp_programlightblue">0</definedName>
    <definedName name="sp_programlightblue_ph_1">0</definedName>
    <definedName name="sp_programlightblue_units">0</definedName>
    <definedName name="sp_programlightblue_units_ph_1">0</definedName>
    <definedName name="sp_r_n_d">0</definedName>
    <definedName name="sp_r_n_d_ph_1">0</definedName>
    <definedName name="sp_r_n_d_units">0</definedName>
    <definedName name="sp_r_n_d_units_ph_1">0</definedName>
    <definedName name="sp_residential">0</definedName>
    <definedName name="sp_residential_lot_sfc">0</definedName>
    <definedName name="sp_residential_lot_sfc_ph_1">0</definedName>
    <definedName name="sp_residential_ph_1">0</definedName>
    <definedName name="sp_residential_units">0</definedName>
    <definedName name="sp_residential_units_ph_1">0</definedName>
    <definedName name="sp_retail">0</definedName>
    <definedName name="sp_retail_ph_1">0</definedName>
    <definedName name="sp_retail_units">0</definedName>
    <definedName name="sp_retail_units_ph_1">0</definedName>
    <definedName name="sp_single_family">0</definedName>
    <definedName name="sp_single_family_ph_1">0</definedName>
    <definedName name="sp_single_family_units">0</definedName>
    <definedName name="sp_single_family_units_ph_1">0</definedName>
    <definedName name="sp_site_sfc">0</definedName>
    <definedName name="sp_site_sfc_ph_1">0</definedName>
    <definedName name="sp_structured_parking">0</definedName>
    <definedName name="sp_structured_parking_ph_1">0</definedName>
    <definedName name="sp_structured_parking_sfc">0</definedName>
    <definedName name="sp_structured_parking_sfc_ph_1">0</definedName>
    <definedName name="sp_structured_parking_units">0</definedName>
    <definedName name="sp_structured_parking_units_ph_1">0</definedName>
    <definedName name="sp_surface_parking">0</definedName>
    <definedName name="sp_surface_parking_ph_1">0</definedName>
    <definedName name="sp_surface_parking_sfc">0</definedName>
    <definedName name="sp_surface_parking_sfc_ph_1">0</definedName>
    <definedName name="sp_surface_parking_units">0</definedName>
    <definedName name="sp_surface_parking_units_ph_1">0</definedName>
    <definedName name="sp_townhomes">0</definedName>
    <definedName name="sp_townhomes_ph_1">0</definedName>
    <definedName name="sp_townhomes_units">0</definedName>
    <definedName name="sp_townhomes_units_ph_1">0</definedName>
    <definedName name="sp_townhouses">0</definedName>
    <definedName name="sp_townhouses_ph_1">0</definedName>
    <definedName name="sp_townhouses_units">0</definedName>
    <definedName name="sp_townhouses_units_ph_1">0</definedName>
    <definedName name="sp_unassigned">0</definedName>
    <definedName name="sp_unassigned_ph_1">0</definedName>
    <definedName name="sp_unassigned_sfc">2121604.49310928</definedName>
    <definedName name="sp_unassigned_sfc_ph_1">2121604.49310928</definedName>
    <definedName name="sp_unassigned_units">0</definedName>
    <definedName name="sp_unassigned_units_ph_1">0</definedName>
    <definedName name="sp_Villas">0</definedName>
    <definedName name="sp_Villas_ph_1">0</definedName>
    <definedName name="sp_Villas_units">0</definedName>
    <definedName name="sp_Villas_units_ph_1">0</definedName>
    <definedName name="sqft">10.764</definedName>
    <definedName name="tema">0.75</definedName>
    <definedName name="TextRefCopyRangeCount" hidden="1">2</definedName>
    <definedName name="USDconv">3.675</definedName>
    <definedName name="valuevx">42.314159</definedName>
    <definedName name="vertex42_copyright" hidden="1">"© 2008-2017 Vertex42 LLC"</definedName>
    <definedName name="vertex42_id" hidden="1">"loan-amortization-schedule_L.xlsx"</definedName>
    <definedName name="vertex42_title" hidden="1">"Loan Amortization Schedule"</definedName>
    <definedName name="vvv">6144</definedName>
    <definedName name="Waiting">"Picture 1"</definedName>
    <definedName name="Weeks_Per_Month">4.33</definedName>
    <definedName name="空調労務割掛">#N/A</definedName>
    <definedName name="______a129"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a129"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New2">#N/A</definedName>
    <definedName name="___a129"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SG1">#N/A</definedName>
    <definedName name="_SG2">#N/A</definedName>
    <definedName name="¡ÆC">#N/A</definedName>
    <definedName name="￠´¡¤">#N/A</definedName>
    <definedName name="￠´¡¤￠´¡¤">#N/A</definedName>
    <definedName name="￠´¡¤￠´¡¤￠´¡¤">#N/A</definedName>
    <definedName name="￠´¡¤￠´¡¤￠´¡¤￠´¡¤">#N/A</definedName>
    <definedName name="￠´¡¤￠´¨I￠´¨I">#N/A</definedName>
    <definedName name="￠´¡¤￠´￠´￠´¡¤">#N/A</definedName>
    <definedName name="￠´¡¤￠´￠´￠´¡¾￠´￠´￠´¡¾￠´￠´￠´¡¤￠´￠´￠´¡¤￠´¡¾￠´￠´￠´¡¤￠´¡¾￠´￠´￠´¡¤￠´¡¾￠´￠´￠´¡¤￠´¡¤￠´￠´￠´￠´￠´¡¤￠´¡¤￠´￠´￠´¡¾">#N/A</definedName>
    <definedName name="￠´¡×￠´¡×">#N/A</definedName>
    <definedName name="￠´¡¾">#N/A</definedName>
    <definedName name="￠´¡¾￠´￠´￠´¡¾￠´¡¾">#N/A</definedName>
    <definedName name="￠´¨￠￠´I￠´¨￠￠´I￠´I￠´I">#N/A</definedName>
    <definedName name="￠´¨I￠´¨I￠´¨I￠´¨I￠´¡Æ￠´¨u">#N/A</definedName>
    <definedName name="￠´¨o￠´¨o￠´¨o">#N/A</definedName>
    <definedName name="￠´¨u￠´¨u">#N/A</definedName>
    <definedName name="￠´￠?￠´￠?￠´￠?￠´￠?￠´￠?">#N/A</definedName>
    <definedName name="￠´￠´￠´¡¾￠´¡¾￠´￠´￠´￠´￠´¡¾">#N/A</definedName>
    <definedName name="￠´￠´￠´￠´￠´￠´">#N/A</definedName>
    <definedName name="￠´￠´￠´￠´￠´￠´￠´￠´￠´¡¤">#N/A</definedName>
    <definedName name="￠´￠￢￠´¡×￠´￠￢￠´¡×">#N/A</definedName>
    <definedName name="￠´A￠´A￠´A￠´A￠´A">#N/A</definedName>
    <definedName name="￠´A￠´A￠´C￠Oo￠´A￠´￠´￠?A￠Oo￠´A￠´¡¾￠´￠´￠?A￠OoⓒøN￠?A￠O¡A￠´￠´¨uo￠´￠´￠´¡¤￠´¡¤￠´￠´￠´¡¾￠´¡¾￠´￠´￠´¡¤￠´¡¤￠´￠´￠´￠´￠´¡¤￠´¡¾">#N/A</definedName>
    <definedName name="￠´C￠´C￠´C￠´C">#N/A</definedName>
    <definedName name="￠´ⓒ÷">#N/A</definedName>
    <definedName name="￠´ⓒ÷￠´ⓒ÷￠´ⓒ÷">#N/A</definedName>
    <definedName name="￠´ⓒ÷￠´ⓒ÷￠´ⓒ÷￠´ⓒ÷￠´ⓒ÷">#N/A</definedName>
    <definedName name="￠´E￠´A￠´A￠´A">#N/A</definedName>
    <definedName name="￠´I￠´I￠´I">#N/A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½¤½¤½">#N/A</definedName>
    <definedName name="¤¾¤¾">#N/A</definedName>
    <definedName name="¤²">#N/A</definedName>
    <definedName name="¤²¤²¤²">#N/A</definedName>
    <definedName name="¤²¤²¤²¤²¤²">#N/A</definedName>
    <definedName name="¤A¤A¤A¤A¤A">#N/A</definedName>
    <definedName name="¤A¤A¤C¶o¤A¤¤¿A¶o¤A¤±¤¤¿A¶o³N¿A¶÷¤¤¾o¤¤¤·¤·¤¤¤±¤±¤¤¤·¤·¤¤¤¤¤·¤±">#N/A</definedName>
    <definedName name="¤C¤C¤C¤C">#N/A</definedName>
    <definedName name="¤ⓒ¤ⓒ¤ⓒ¤ⓒ¤°¤¾">#N/A</definedName>
    <definedName name="¤Ð¤I¤Ð¤I¤I¤I">#N/A</definedName>
    <definedName name="¤E¤A¤A¤A">#N/A</definedName>
    <definedName name="¤I¤I¤I">#N/A</definedName>
    <definedName name="°C">#N/A</definedName>
    <definedName name="A¡þ_¡¤ⓒo_AO">#N/A</definedName>
    <definedName name="A￢_·¹_AO">#N/A</definedName>
    <definedName name="aaaaa" hidden="1">{#N/A,#N/A,TRUE,"Basic";#N/A,#N/A,TRUE,"EXT-TABLE";#N/A,#N/A,TRUE,"STEEL";#N/A,#N/A,TRUE,"INT-Table";#N/A,#N/A,TRUE,"STEEL";#N/A,#N/A,TRUE,"Door"}</definedName>
    <definedName name="aæÐRIiÞA_Iª">#N/A</definedName>
    <definedName name="abc" hidden="1">{#N/A,#N/A,TRUE,"Basic";#N/A,#N/A,TRUE,"EXT-TABLE";#N/A,#N/A,TRUE,"STEEL";#N/A,#N/A,TRUE,"INT-Table";#N/A,#N/A,TRUE,"STEEL";#N/A,#N/A,TRUE,"Door"}</definedName>
    <definedName name="aⓒ¡¨￠RIi¨­A_I¨￡">#N/A</definedName>
    <definedName name="Au">#N/A</definedName>
    <definedName name="Ba">#N/A</definedName>
    <definedName name="BELL" hidden="1">{#N/A,#N/A,TRUE,"Basic";#N/A,#N/A,TRUE,"EXT-TABLE";#N/A,#N/A,TRUE,"STEEL";#N/A,#N/A,TRUE,"INT-Table";#N/A,#N/A,TRUE,"STEEL";#N/A,#N/A,TRUE,"Door"}</definedName>
    <definedName name="cost" hidden="1">{#N/A,#N/A,TRUE,"Basic";#N/A,#N/A,TRUE,"EXT-TABLE";#N/A,#N/A,TRUE,"STEEL";#N/A,#N/A,TRUE,"INT-Table";#N/A,#N/A,TRUE,"STEEL";#N/A,#N/A,TRUE,"Door"}</definedName>
    <definedName name="COST2" hidden="1">{#N/A,#N/A,TRUE,"Basic";#N/A,#N/A,TRUE,"EXT-TABLE";#N/A,#N/A,TRUE,"STEEL";#N/A,#N/A,TRUE,"INT-Table";#N/A,#N/A,TRUE,"STEEL";#N/A,#N/A,TRUE,"Door"}</definedName>
    <definedName name="dddddddddddddd" hidden="1">{#N/A,#N/A,TRUE,"Basic";#N/A,#N/A,TRUE,"EXT-TABLE";#N/A,#N/A,TRUE,"STEEL";#N/A,#N/A,TRUE,"INT-Table";#N/A,#N/A,TRUE,"STEEL";#N/A,#N/A,TRUE,"Door"}</definedName>
    <definedName name="dgadsd">#N/A</definedName>
    <definedName name="dsgasdg">#N/A</definedName>
    <definedName name="eCIiIi¨­A_I¨￡">#N/A</definedName>
    <definedName name="eCIiIiÞA_Iª">#N/A</definedName>
    <definedName name="fasfsdfsdfasdfsdfsd" hidden="1">{#N/A,#N/A,TRUE,"Basic";#N/A,#N/A,TRUE,"EXT-TABLE";#N/A,#N/A,TRUE,"STEEL";#N/A,#N/A,TRUE,"INT-Table";#N/A,#N/A,TRUE,"STEEL";#N/A,#N/A,TRUE,"Door"}</definedName>
    <definedName name="fsda" hidden="1">{#N/A,#N/A,TRUE,"Basic";#N/A,#N/A,TRUE,"EXT-TABLE";#N/A,#N/A,TRUE,"STEEL";#N/A,#N/A,TRUE,"INT-Table";#N/A,#N/A,TRUE,"STEEL";#N/A,#N/A,TRUE,"Door"}</definedName>
    <definedName name="G_P_P">#N/A</definedName>
    <definedName name="GW">#N/A</definedName>
    <definedName name="KR">#N/A</definedName>
    <definedName name="Ld">#N/A</definedName>
    <definedName name="Lg">#N/A</definedName>
    <definedName name="list01" hidden="1">{#N/A,#N/A,TRUE,"Basic";#N/A,#N/A,TRUE,"EXT-TABLE";#N/A,#N/A,TRUE,"STEEL";#N/A,#N/A,TRUE,"INT-Table";#N/A,#N/A,TRUE,"STEEL";#N/A,#N/A,TRUE,"Door"}</definedName>
    <definedName name="M_A_L_G_A">#N/A</definedName>
    <definedName name="M_L_N_G">#N/A</definedName>
    <definedName name="M_P_D_P">#N/A</definedName>
    <definedName name="Module.Prix_SMC_1">#N/A</definedName>
    <definedName name="NET">#N/A</definedName>
    <definedName name="NW">#N/A</definedName>
    <definedName name="PAGE11">#N/A</definedName>
    <definedName name="PAGE12">#N/A</definedName>
    <definedName name="PAGE21">#N/A</definedName>
    <definedName name="PAGE22">#N/A</definedName>
    <definedName name="PAGE41">#N/A</definedName>
    <definedName name="PAGE42">#N/A</definedName>
    <definedName name="pipe">#N/A</definedName>
    <definedName name="Prix_SMC_1">#N/A</definedName>
    <definedName name="qqqqq" hidden="1">{#N/A,#N/A,TRUE,"Basic";#N/A,#N/A,TRUE,"EXT-TABLE";#N/A,#N/A,TRUE,"STEEL";#N/A,#N/A,TRUE,"INT-Table";#N/A,#N/A,TRUE,"STEEL";#N/A,#N/A,TRUE,"Door"}</definedName>
    <definedName name="R_I_Q_A_S">#N/A</definedName>
    <definedName name="RASCO__3">#N/A</definedName>
    <definedName name="RASCO__A">#N/A</definedName>
    <definedName name="rgdg">#N/A</definedName>
    <definedName name="S_M_D_S">#N/A</definedName>
    <definedName name="SDS">#N/A</definedName>
    <definedName name="SHELTER" hidden="1">{#N/A,#N/A,TRUE,"Basic";#N/A,#N/A,TRUE,"EXT-TABLE";#N/A,#N/A,TRUE,"STEEL";#N/A,#N/A,TRUE,"INT-Table";#N/A,#N/A,TRUE,"STEEL";#N/A,#N/A,TRUE,"Door"}</definedName>
    <definedName name="ssss" hidden="1">{#N/A,#N/A,TRUE,"Basic";#N/A,#N/A,TRUE,"EXT-TABLE";#N/A,#N/A,TRUE,"STEEL";#N/A,#N/A,TRUE,"INT-Table";#N/A,#N/A,TRUE,"STEEL";#N/A,#N/A,TRUE,"Door"}</definedName>
    <definedName name="T_2">#N/A</definedName>
    <definedName name="T_3">#N/A</definedName>
    <definedName name="T_4">#N/A</definedName>
    <definedName name="T2_">#N/A</definedName>
    <definedName name="ue____I¨￡">#N/A</definedName>
    <definedName name="ue____Iª">#N/A</definedName>
    <definedName name="vffsfs" hidden="1">{#N/A,#N/A,TRUE,"Basic";#N/A,#N/A,TRUE,"EXT-TABLE";#N/A,#N/A,TRUE,"STEEL";#N/A,#N/A,TRUE,"INT-Table";#N/A,#N/A,TRUE,"STEEL";#N/A,#N/A,TRUE,"Door"}</definedName>
    <definedName name="wrn.chi._.tiÆt." hidden="1">{#N/A,#N/A,FALSE,"Chi tiÆt"}</definedName>
    <definedName name="wrn.Report."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Z_L_I_T_E_N">#N/A</definedName>
    <definedName name="ㄱ미" hidden="1">{#N/A,#N/A,TRUE,"Basic";#N/A,#N/A,TRUE,"EXT-TABLE";#N/A,#N/A,TRUE,"STEEL";#N/A,#N/A,TRUE,"INT-Table";#N/A,#N/A,TRUE,"STEEL";#N/A,#N/A,TRUE,"Door"}</definedName>
    <definedName name="건">#N/A</definedName>
    <definedName name="겉표지" hidden="1">{#N/A,#N/A,TRUE,"Basic";#N/A,#N/A,TRUE,"EXT-TABLE";#N/A,#N/A,TRUE,"STEEL";#N/A,#N/A,TRUE,"INT-Table";#N/A,#N/A,TRUE,"STEEL";#N/A,#N/A,TRUE,"Door"}</definedName>
    <definedName name="김" hidden="1">{#N/A,#N/A,TRUE,"Basic";#N/A,#N/A,TRUE,"EXT-TABLE";#N/A,#N/A,TRUE,"STEEL";#N/A,#N/A,TRUE,"INT-Table";#N/A,#N/A,TRUE,"STEEL";#N/A,#N/A,TRUE,"Door"}</definedName>
    <definedName name="김1" hidden="1">{#N/A,#N/A,TRUE,"Basic";#N/A,#N/A,TRUE,"EXT-TABLE";#N/A,#N/A,TRUE,"STEEL";#N/A,#N/A,TRUE,"INT-Table";#N/A,#N/A,TRUE,"STEEL";#N/A,#N/A,TRUE,"Door"}</definedName>
    <definedName name="김3" hidden="1">{#N/A,#N/A,TRUE,"Basic";#N/A,#N/A,TRUE,"EXT-TABLE";#N/A,#N/A,TRUE,"STEEL";#N/A,#N/A,TRUE,"INT-Table";#N/A,#N/A,TRUE,"STEEL";#N/A,#N/A,TRUE,"Door"}</definedName>
    <definedName name="ㄴㄴ">#N/A</definedName>
    <definedName name="ㄴㄴㄴㄴㅇ">#N/A</definedName>
    <definedName name="ㄴㅁㅁㄴㄴㅁ">#N/A</definedName>
    <definedName name="냉각수pipe1">#N/A</definedName>
    <definedName name="合____計">#N/A</definedName>
    <definedName name="ㄹㄹㄹ">#N/A</definedName>
    <definedName name="ㄹㄹㄹㄹㅀㅎ">#N/A</definedName>
    <definedName name="ㅁ">#N/A</definedName>
    <definedName name="ㅁㄴㅁㅁ">#N/A</definedName>
    <definedName name="完工工事_計">#N/A</definedName>
    <definedName name="新規工事_計">#N/A</definedName>
    <definedName name="ㅂ">#N/A</definedName>
    <definedName name="ㅂㅂㅂ">#N/A</definedName>
    <definedName name="ㅂㅂㅂㅂㅂ">#N/A</definedName>
    <definedName name="수" hidden="1">{#N/A,#N/A,TRUE,"Basic";#N/A,#N/A,TRUE,"EXT-TABLE";#N/A,#N/A,TRUE,"STEEL";#N/A,#N/A,TRUE,"INT-Table";#N/A,#N/A,TRUE,"STEEL";#N/A,#N/A,TRUE,"Door"}</definedName>
    <definedName name="수량집계표">#N/A</definedName>
    <definedName name="ㅇㄴ">#N/A</definedName>
    <definedName name="ㅇㄴㅁㄴㅁㄴㅇㄴㅇㅁㄴㅇㅁㄴㅇㅁㄴㅇㅇㄴㄴㅇㅇㄴㅁ">#N/A</definedName>
    <definedName name="ㅇㅇ">#N/A</definedName>
    <definedName name="ㅇㅇㅇ">#N/A</definedName>
    <definedName name="ㅇㅇㅇㅇ">#N/A</definedName>
    <definedName name="연습">#N/A</definedName>
    <definedName name="오수맨홀">#N/A</definedName>
    <definedName name="인쇄양식">#N/A</definedName>
    <definedName name="ㅈㄷㅈㄷ">#N/A</definedName>
    <definedName name="전">#N/A</definedName>
    <definedName name="전력구2">#N/A</definedName>
    <definedName name="클_레_임">#N/A</definedName>
    <definedName name="토">#N/A</definedName>
    <definedName name="ㅍㅍㅍ">#N/A</definedName>
    <definedName name="포장">#N/A</definedName>
    <definedName name="플">#N/A</definedName>
    <definedName name="ㅏㅏㅏㅏㅏ">#N/A</definedName>
    <definedName name="ㅓㅓㅓㅓㅓ">#N/A</definedName>
    <definedName name="ㅓㅓㅗ라ㅓㄴ오라ㅓㅁㄴ오라넘오람ㄴ엄ㄴㅇㅇㄴㅁㅁㄴㅇㅇㄴㄴㅇㅁ">#N/A</definedName>
    <definedName name="ㅗ">#N/A</definedName>
    <definedName name="ㅗㅗㅗㅗ">#N/A</definedName>
    <definedName name="ㅛㅕㅕㅕ">#N/A</definedName>
    <definedName name="ㅜㅜㅜ">#N/A</definedName>
    <definedName name="ㅠㅐ">#N/A</definedName>
    <definedName name="ㅠㅜㅠㅜㅜㅜ">#N/A</definedName>
    <definedName name="ECC">IF(Values_Entered,Header_Row+Eccc,Header_Row)</definedName>
    <definedName name="HMBPrintArea">TRUE</definedName>
    <definedName name="SHARED_FORMULA_0">#N/A</definedName>
    <definedName name="SHARED_FORMULA_1">#N/A</definedName>
    <definedName name="SHARED_FORMULA_10">#N/A</definedName>
    <definedName name="SHARED_FORMULA_100">#N/A</definedName>
    <definedName name="SHARED_FORMULA_101">#N/A</definedName>
    <definedName name="SHARED_FORMULA_102">#N/A</definedName>
    <definedName name="SHARED_FORMULA_103">#N/A</definedName>
    <definedName name="SHARED_FORMULA_104">#N/A</definedName>
    <definedName name="SHARED_FORMULA_11">#N/A</definedName>
    <definedName name="SHARED_FORMULA_12">#N/A</definedName>
    <definedName name="SHARED_FORMULA_13">#N/A</definedName>
    <definedName name="SHARED_FORMULA_14">#N/A</definedName>
    <definedName name="SHARED_FORMULA_15">#N/A</definedName>
    <definedName name="SHARED_FORMULA_16">#N/A</definedName>
    <definedName name="SHARED_FORMULA_17">#N/A</definedName>
    <definedName name="SHARED_FORMULA_18">#N/A</definedName>
    <definedName name="SHARED_FORMULA_19">#N/A</definedName>
    <definedName name="SHARED_FORMULA_2">#N/A</definedName>
    <definedName name="SHARED_FORMULA_20">#N/A</definedName>
    <definedName name="SHARED_FORMULA_21">#N/A</definedName>
    <definedName name="SHARED_FORMULA_22">#N/A</definedName>
    <definedName name="SHARED_FORMULA_23">#N/A</definedName>
    <definedName name="SHARED_FORMULA_24">#N/A</definedName>
    <definedName name="SHARED_FORMULA_25">#N/A</definedName>
    <definedName name="SHARED_FORMULA_26">#N/A</definedName>
    <definedName name="SHARED_FORMULA_27">#N/A</definedName>
    <definedName name="SHARED_FORMULA_28">#N/A</definedName>
    <definedName name="SHARED_FORMULA_29">#N/A</definedName>
    <definedName name="SHARED_FORMULA_3">#N/A</definedName>
    <definedName name="SHARED_FORMULA_30">#N/A</definedName>
    <definedName name="SHARED_FORMULA_31">#N/A</definedName>
    <definedName name="SHARED_FORMULA_32">#N/A</definedName>
    <definedName name="SHARED_FORMULA_33">#N/A</definedName>
    <definedName name="SHARED_FORMULA_34">#N/A</definedName>
    <definedName name="SHARED_FORMULA_35">#N/A</definedName>
    <definedName name="SHARED_FORMULA_36">#N/A</definedName>
    <definedName name="SHARED_FORMULA_37">#N/A</definedName>
    <definedName name="SHARED_FORMULA_38">#N/A</definedName>
    <definedName name="SHARED_FORMULA_39">#N/A</definedName>
    <definedName name="SHARED_FORMULA_4">#N/A</definedName>
    <definedName name="SHARED_FORMULA_40">#N/A</definedName>
    <definedName name="SHARED_FORMULA_41">#N/A</definedName>
    <definedName name="SHARED_FORMULA_42">#N/A</definedName>
    <definedName name="SHARED_FORMULA_43">#N/A</definedName>
    <definedName name="SHARED_FORMULA_44">#N/A</definedName>
    <definedName name="SHARED_FORMULA_45">#N/A</definedName>
    <definedName name="SHARED_FORMULA_46">#N/A</definedName>
    <definedName name="SHARED_FORMULA_47">#N/A</definedName>
    <definedName name="SHARED_FORMULA_48">#N/A</definedName>
    <definedName name="SHARED_FORMULA_49">#N/A</definedName>
    <definedName name="SHARED_FORMULA_5">#N/A</definedName>
    <definedName name="SHARED_FORMULA_50">#N/A</definedName>
    <definedName name="SHARED_FORMULA_51">#N/A</definedName>
    <definedName name="SHARED_FORMULA_52">#N/A</definedName>
    <definedName name="SHARED_FORMULA_53">#N/A</definedName>
    <definedName name="SHARED_FORMULA_54">#N/A</definedName>
    <definedName name="SHARED_FORMULA_55">#N/A</definedName>
    <definedName name="SHARED_FORMULA_56">#N/A</definedName>
    <definedName name="SHARED_FORMULA_57">#N/A</definedName>
    <definedName name="SHARED_FORMULA_58">#N/A</definedName>
    <definedName name="SHARED_FORMULA_59">#N/A</definedName>
    <definedName name="SHARED_FORMULA_6">#N/A</definedName>
    <definedName name="SHARED_FORMULA_60">#N/A</definedName>
    <definedName name="SHARED_FORMULA_61">#N/A</definedName>
    <definedName name="SHARED_FORMULA_62">#N/A</definedName>
    <definedName name="SHARED_FORMULA_63">#N/A</definedName>
    <definedName name="SHARED_FORMULA_64">#N/A</definedName>
    <definedName name="SHARED_FORMULA_65">#N/A</definedName>
    <definedName name="SHARED_FORMULA_66">#N/A</definedName>
    <definedName name="SHARED_FORMULA_67">#N/A</definedName>
    <definedName name="SHARED_FORMULA_68">#N/A</definedName>
    <definedName name="SHARED_FORMULA_69">#N/A</definedName>
    <definedName name="SHARED_FORMULA_7">#N/A</definedName>
    <definedName name="SHARED_FORMULA_70">#N/A</definedName>
    <definedName name="SHARED_FORMULA_71">#N/A</definedName>
    <definedName name="SHARED_FORMULA_72">#N/A</definedName>
    <definedName name="SHARED_FORMULA_73">#N/A</definedName>
    <definedName name="SHARED_FORMULA_74">#N/A</definedName>
    <definedName name="SHARED_FORMULA_75">#N/A</definedName>
    <definedName name="SHARED_FORMULA_76">#N/A</definedName>
    <definedName name="SHARED_FORMULA_77">#N/A</definedName>
    <definedName name="SHARED_FORMULA_78">#N/A</definedName>
    <definedName name="SHARED_FORMULA_79">#N/A</definedName>
    <definedName name="SHARED_FORMULA_8">#N/A</definedName>
    <definedName name="SHARED_FORMULA_80">#N/A</definedName>
    <definedName name="SHARED_FORMULA_81">#N/A</definedName>
    <definedName name="SHARED_FORMULA_82">#N/A</definedName>
    <definedName name="SHARED_FORMULA_83">#N/A</definedName>
    <definedName name="SHARED_FORMULA_84">#N/A</definedName>
    <definedName name="SHARED_FORMULA_85">#N/A</definedName>
    <definedName name="SHARED_FORMULA_86">#N/A</definedName>
    <definedName name="SHARED_FORMULA_87">#N/A</definedName>
    <definedName name="SHARED_FORMULA_88">#N/A</definedName>
    <definedName name="SHARED_FORMULA_89">#N/A</definedName>
    <definedName name="SHARED_FORMULA_9">#N/A</definedName>
    <definedName name="SHARED_FORMULA_90">#N/A</definedName>
    <definedName name="SHARED_FORMULA_91">#N/A</definedName>
    <definedName name="SHARED_FORMULA_92">#N/A</definedName>
    <definedName name="SHARED_FORMULA_93">#N/A</definedName>
    <definedName name="SHARED_FORMULA_94">#N/A</definedName>
    <definedName name="SHARED_FORMULA_95">#N/A</definedName>
    <definedName name="SHARED_FORMULA_96">#N/A</definedName>
    <definedName name="SHARED_FORMULA_97">#N/A</definedName>
    <definedName name="SHARED_FORMULA_98">#N/A</definedName>
    <definedName name="SHARED_FORMULA_99">#N/A</definedName>
    <definedName name="aaaaaaaaaaaaa" hidden="1">{#N/A,#N/A,FALSE,"SUSTAINING"}</definedName>
    <definedName name="GG" hidden="1">{#N/A,#N/A,FALSE,"SumG";#N/A,#N/A,FALSE,"ElecG";#N/A,#N/A,FALSE,"MechG";#N/A,#N/A,FALSE,"GeotG";#N/A,#N/A,FALSE,"PrcsG";#N/A,#N/A,FALSE,"TunnG";#N/A,#N/A,FALSE,"CivlG";#N/A,#N/A,FALSE,"NtwkG";#N/A,#N/A,FALSE,"EstgG";#N/A,#N/A,FALSE,"PEngG"}</definedName>
    <definedName name="Services2"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VAL" hidden="1">{"Financial Report",#N/A,FALSE,"COVER (FINREP)";"Financial Report",#N/A,FALSE,"CONTENTS (FINREP)";"Financial Report",#N/A,FALSE,"FINANCIAL STATEMENT";"Financial Report",#N/A,FALSE,"ARCHITECTS INSTRUCTIONS";"Financial Report",#N/A,FALSE,"PROVISIONAL SUMS";"Financial Report",#N/A,FALSE,"ANTICIPATED INSTRUCTIONS";"Financial Report",#N/A,FALSE,"DAYWORKS";"Financial Report",#N/A,FALSE,"LOSS &amp; EXPENSE";"Standard",#N/A,FALSE,"APPENDIX A";"Valuation",#N/A,FALSE,"VALUATION";"Standard",#N/A,FALSE,"RETENTION STATEMENT";"Progress Chart",#N/A,FALSE,"PROGRESS GRAPH"}</definedName>
    <definedName name="wrn.all." hidden="1">{#N/A,#N/A,FALSE,"Pricing";#N/A,#N/A,FALSE,"Summary";#N/A,#N/A,FALSE,"CompProd";#N/A,#N/A,FALSE,"CompJobhrs";#N/A,#N/A,FALSE,"Escalation";#N/A,#N/A,FALSE,"Contingency";#N/A,#N/A,FALSE,"GM";#N/A,#N/A,FALSE,"CompWage";#N/A,#N/A,FALSE,"costSum"}</definedName>
    <definedName name="wrn.COST_SHEETS." hidden="1">{#N/A,#N/A,FALSE,"WBS 1.06";#N/A,#N/A,FALSE,"WBS 1.14";#N/A,#N/A,FALSE,"WBS 1.17";#N/A,#N/A,FALSE,"WBS 1.18"}</definedName>
    <definedName name="_dep2_1">#N/A</definedName>
    <definedName name="_dep3_1">#N/A</definedName>
    <definedName name="_ext2_1">#N/A</definedName>
    <definedName name="_ext3_1">#N/A</definedName>
    <definedName name="_len2_1">#N/A</definedName>
    <definedName name="_len3_1">#N/A</definedName>
    <definedName name="_pc1_1">#N/A</definedName>
    <definedName name="_pc2_1">#N/A</definedName>
    <definedName name="_pc3_1">#N/A</definedName>
    <definedName name="_tbc2_1">#N/A</definedName>
    <definedName name="_tbc3_1">#N/A</definedName>
    <definedName name="_wid2_1">#N/A</definedName>
    <definedName name="_wid3_1">#N/A</definedName>
    <definedName name="Aapp_1">#N/A</definedName>
    <definedName name="abtarea_1">#N/A</definedName>
    <definedName name="abtends_1">#N/A</definedName>
    <definedName name="abtpi_1">#N/A</definedName>
    <definedName name="abtpiledia_1">#N/A</definedName>
    <definedName name="abutpiles">#N/A</definedName>
    <definedName name="abutpiles_1">#N/A</definedName>
    <definedName name="Acap_1">#N/A</definedName>
    <definedName name="addbeam_1">#N/A</definedName>
    <definedName name="adpvol_1">#N/A</definedName>
    <definedName name="Aflar_1">#N/A</definedName>
    <definedName name="applen_1">#N/A</definedName>
    <definedName name="areatop2_1">#N/A</definedName>
    <definedName name="avethk_1">#N/A</definedName>
    <definedName name="avewid_1">#N/A</definedName>
    <definedName name="Bf_1">#N/A</definedName>
    <definedName name="borabt">#N/A</definedName>
    <definedName name="borabt_1">#N/A</definedName>
    <definedName name="borlen1_1">#N/A</definedName>
    <definedName name="borlen2_1">#N/A</definedName>
    <definedName name="borlen3_1">#N/A</definedName>
    <definedName name="Boxvol">#N/A</definedName>
    <definedName name="Boxvol_1">#N/A</definedName>
    <definedName name="Brgname_1">#N/A</definedName>
    <definedName name="Brname">#N/A</definedName>
    <definedName name="Brname_1">#N/A</definedName>
    <definedName name="cellper_1">#N/A</definedName>
    <definedName name="circu1_1">#N/A</definedName>
    <definedName name="circu2_1">#N/A</definedName>
    <definedName name="clength_1">#N/A</definedName>
    <definedName name="cocnlen1_1">#N/A</definedName>
    <definedName name="compiercircu_1">#N/A</definedName>
    <definedName name="compierstri_1">#N/A</definedName>
    <definedName name="compiersufare_1">#N/A</definedName>
    <definedName name="compiertopare_1">#N/A</definedName>
    <definedName name="compiervol_1">#N/A</definedName>
    <definedName name="conc2">#N/A</definedName>
    <definedName name="conc2_1">#N/A</definedName>
    <definedName name="concabt">#N/A</definedName>
    <definedName name="concabt_1">#N/A</definedName>
    <definedName name="conclen3">#N/A</definedName>
    <definedName name="conclen3_1">#N/A</definedName>
    <definedName name="cpdpvol_1">#N/A</definedName>
    <definedName name="cpierends_1">#N/A</definedName>
    <definedName name="Depth_1">#N/A</definedName>
    <definedName name="Df_1">#N/A</definedName>
    <definedName name="Dff_1">#N/A</definedName>
    <definedName name="Ebc_1">#N/A</definedName>
    <definedName name="fullTl_1">#N/A</definedName>
    <definedName name="GLevel_1">#N/A</definedName>
    <definedName name="htwing_1">#N/A</definedName>
    <definedName name="idpvol_1">#N/A</definedName>
    <definedName name="imported">#N/A</definedName>
    <definedName name="imported_1">#N/A</definedName>
    <definedName name="Lcant_1">#N/A</definedName>
    <definedName name="Lf_1">#N/A</definedName>
    <definedName name="ncompier">#N/A</definedName>
    <definedName name="ncompier_1">#N/A</definedName>
    <definedName name="nolanes">#N/A</definedName>
    <definedName name="nolanes_1">#N/A</definedName>
    <definedName name="Npiers_1">#N/A</definedName>
    <definedName name="npile2_1">#N/A</definedName>
    <definedName name="npile3_1">#N/A</definedName>
    <definedName name="Nspans_1">#N/A</definedName>
    <definedName name="Nwebs_1">#N/A</definedName>
    <definedName name="pdvol">#N/A</definedName>
    <definedName name="pdvol_1">#N/A</definedName>
    <definedName name="perbox_1">#N/A</definedName>
    <definedName name="periimported_1">#N/A</definedName>
    <definedName name="PGLabt_1">#N/A</definedName>
    <definedName name="pier2_1">#N/A</definedName>
    <definedName name="pierpiles_1">#N/A</definedName>
    <definedName name="piervol1_1">#N/A</definedName>
    <definedName name="piervol2_1">#N/A</definedName>
    <definedName name="piledia1_1">#N/A</definedName>
    <definedName name="piledia2_1">#N/A</definedName>
    <definedName name="piledia3_1">#N/A</definedName>
    <definedName name="Piletipele_1">#N/A</definedName>
    <definedName name="Proname_1">#N/A</definedName>
    <definedName name="sarea1_1">#N/A</definedName>
    <definedName name="sidewalk_1">#N/A</definedName>
    <definedName name="size_1">#N/A</definedName>
    <definedName name="Skew_1">#N/A</definedName>
    <definedName name="soffitl">#N/A</definedName>
    <definedName name="soffitl_1">#N/A</definedName>
    <definedName name="stri1_1">#N/A</definedName>
    <definedName name="stri2_1">#N/A</definedName>
    <definedName name="surarea2_1">#N/A</definedName>
    <definedName name="tabtdp_1">#N/A</definedName>
    <definedName name="tbarri">#N/A</definedName>
    <definedName name="tbarri_1">#N/A</definedName>
    <definedName name="Tbc_1">#N/A</definedName>
    <definedName name="tcant_1">#N/A</definedName>
    <definedName name="tcpdp_1">#N/A</definedName>
    <definedName name="thikwing_1">#N/A</definedName>
    <definedName name="Tl_1">#N/A</definedName>
    <definedName name="toparea1_1">#N/A</definedName>
    <definedName name="tsidewlk">#N/A</definedName>
    <definedName name="tsidewlk_1">#N/A</definedName>
    <definedName name="uppipeabt_1">#N/A</definedName>
    <definedName name="uppipebox_1">#N/A</definedName>
    <definedName name="verpile_1">#N/A</definedName>
    <definedName name="volww">#N/A</definedName>
    <definedName name="volww_1">#N/A</definedName>
    <definedName name="widabt_1">#N/A</definedName>
    <definedName name="Width_1">#N/A</definedName>
    <definedName name="widwing_1">#N/A</definedName>
    <definedName name="__ccr1" hidden="1">{#N/A,#N/A,TRUE,"Cover";#N/A,#N/A,TRUE,"Conts";#N/A,#N/A,TRUE,"VOS";#N/A,#N/A,TRUE,"Warrington";#N/A,#N/A,TRUE,"Widnes"}</definedName>
    <definedName name="_ccr1" hidden="1">{#N/A,#N/A,TRUE,"Cover";#N/A,#N/A,TRUE,"Conts";#N/A,#N/A,TRUE,"VOS";#N/A,#N/A,TRUE,"Warrington";#N/A,#N/A,TRUE,"Widnes"}</definedName>
    <definedName name="_ccr2" hidden="1">{#N/A,#N/A,TRUE,"Cover";#N/A,#N/A,TRUE,"Conts";#N/A,#N/A,TRUE,"VOS";#N/A,#N/A,TRUE,"Warrington";#N/A,#N/A,TRUE,"Widnes"}</definedName>
    <definedName name="aaaaaaaa" hidden="1">{#N/A,#N/A,TRUE,"Cover";#N/A,#N/A,TRUE,"Conts";#N/A,#N/A,TRUE,"VOS";#N/A,#N/A,TRUE,"Warrington";#N/A,#N/A,TRUE,"Widnes"}</definedName>
    <definedName name="aegrgas" hidden="1">{#N/A,#N/A,TRUE,"Cover";#N/A,#N/A,TRUE,"Conts";#N/A,#N/A,TRUE,"VOS";#N/A,#N/A,TRUE,"Warrington";#N/A,#N/A,TRUE,"Widnes"}</definedName>
    <definedName name="AERAFG" hidden="1">{#N/A,#N/A,TRUE,"Cover";#N/A,#N/A,TRUE,"Conts";#N/A,#N/A,TRUE,"VOS";#N/A,#N/A,TRUE,"Warrington";#N/A,#N/A,TRUE,"Widnes"}</definedName>
    <definedName name="aerte" hidden="1">{#N/A,#N/A,TRUE,"Cover";#N/A,#N/A,TRUE,"Conts";#N/A,#N/A,TRUE,"VOS";#N/A,#N/A,TRUE,"Warrington";#N/A,#N/A,TRUE,"Widnes"}</definedName>
    <definedName name="aertes" hidden="1">{#N/A,#N/A,TRUE,"Cover";#N/A,#N/A,TRUE,"Conts";#N/A,#N/A,TRUE,"VOS";#N/A,#N/A,TRUE,"Warrington";#N/A,#N/A,TRUE,"Widnes"}</definedName>
    <definedName name="aetertryh" hidden="1">{#N/A,#N/A,TRUE,"Cover";#N/A,#N/A,TRUE,"Conts";#N/A,#N/A,TRUE,"VOS";#N/A,#N/A,TRUE,"Warrington";#N/A,#N/A,TRUE,"Widnes"}</definedName>
    <definedName name="aff" hidden="1">{#N/A,#N/A,TRUE,"Cover";#N/A,#N/A,TRUE,"Conts";#N/A,#N/A,TRUE,"VOS";#N/A,#N/A,TRUE,"Warrington";#N/A,#N/A,TRUE,"Widnes"}</definedName>
    <definedName name="appraisal" hidden="1">{#N/A,#N/A,TRUE,"Cover";#N/A,#N/A,TRUE,"Conts";#N/A,#N/A,TRUE,"VOS";#N/A,#N/A,TRUE,"Warrington";#N/A,#N/A,TRUE,"Widnes"}</definedName>
    <definedName name="asgseg" hidden="1">{#N/A,#N/A,TRUE,"Cover";#N/A,#N/A,TRUE,"Conts";#N/A,#N/A,TRUE,"VOS";#N/A,#N/A,TRUE,"Warrington";#N/A,#N/A,TRUE,"Widnes"}</definedName>
    <definedName name="asrasnrjutu" hidden="1">{#N/A,#N/A,TRUE,"Cover";#N/A,#N/A,TRUE,"Conts";#N/A,#N/A,TRUE,"VOS";#N/A,#N/A,TRUE,"Warrington";#N/A,#N/A,TRUE,"Widnes"}</definedName>
    <definedName name="as打算大所" hidden="1">{"'장비'!$A$3:$M$12"}</definedName>
    <definedName name="awt" hidden="1">{#N/A,#N/A,TRUE,"Cover";#N/A,#N/A,TRUE,"Conts";#N/A,#N/A,TRUE,"VOS";#N/A,#N/A,TRUE,"Warrington";#N/A,#N/A,TRUE,"Widnes"}</definedName>
    <definedName name="awyawghh" hidden="1">{#N/A,#N/A,TRUE,"Cover";#N/A,#N/A,TRUE,"Conts";#N/A,#N/A,TRUE,"VOS";#N/A,#N/A,TRUE,"Warrington";#N/A,#N/A,TRUE,"Widnes"}</definedName>
    <definedName name="BCIS" hidden="1">{#N/A,#N/A,TRUE,"Cover";#N/A,#N/A,TRUE,"Conts";#N/A,#N/A,TRUE,"VOS";#N/A,#N/A,TRUE,"Warrington";#N/A,#N/A,TRUE,"Widnes"}</definedName>
    <definedName name="cashfl" hidden="1">{#N/A,#N/A,TRUE,"Cover";#N/A,#N/A,TRUE,"Conts";#N/A,#N/A,TRUE,"VOS";#N/A,#N/A,TRUE,"Warrington";#N/A,#N/A,TRUE,"Widnes"}</definedName>
    <definedName name="CCR" hidden="1">{#N/A,#N/A,TRUE,"Cover";#N/A,#N/A,TRUE,"Conts";#N/A,#N/A,TRUE,"VOS";#N/A,#N/A,TRUE,"Warrington";#N/A,#N/A,TRUE,"Widnes"}</definedName>
    <definedName name="chris" hidden="1">{#N/A,#N/A,TRUE,"Cover";#N/A,#N/A,TRUE,"Conts";#N/A,#N/A,TRUE,"VOS";#N/A,#N/A,TRUE,"Warrington";#N/A,#N/A,TRUE,"Widnes"}</definedName>
    <definedName name="dfgd" hidden="1">{#N/A,#N/A,TRUE,"Cover";#N/A,#N/A,TRUE,"Conts";#N/A,#N/A,TRUE,"VOS";#N/A,#N/A,TRUE,"Warrington";#N/A,#N/A,TRUE,"Widnes"}</definedName>
    <definedName name="djjii" hidden="1">{#N/A,#N/A,TRUE,"Cover";#N/A,#N/A,TRUE,"Conts";#N/A,#N/A,TRUE,"VOS";#N/A,#N/A,TRUE,"Warrington";#N/A,#N/A,TRUE,"Widnes"}</definedName>
    <definedName name="drytytuyu" hidden="1">{#N/A,#N/A,TRUE,"Cover";#N/A,#N/A,TRUE,"Conts";#N/A,#N/A,TRUE,"VOS";#N/A,#N/A,TRUE,"Warrington";#N/A,#N/A,TRUE,"Widnes"}</definedName>
    <definedName name="dtdry" hidden="1">{#N/A,#N/A,TRUE,"Cover";#N/A,#N/A,TRUE,"Conts";#N/A,#N/A,TRUE,"VOS";#N/A,#N/A,TRUE,"Warrington";#N/A,#N/A,TRUE,"Widnes"}</definedName>
    <definedName name="dturuthju" hidden="1">{#N/A,#N/A,TRUE,"Cover";#N/A,#N/A,TRUE,"Conts";#N/A,#N/A,TRUE,"VOS";#N/A,#N/A,TRUE,"Warrington";#N/A,#N/A,TRUE,"Widnes"}</definedName>
    <definedName name="dueuuiyj" hidden="1">{#N/A,#N/A,TRUE,"Cover";#N/A,#N/A,TRUE,"Conts";#N/A,#N/A,TRUE,"VOS";#N/A,#N/A,TRUE,"Warrington";#N/A,#N/A,TRUE,"Widnes"}</definedName>
    <definedName name="dydfugfuj" hidden="1">{#N/A,#N/A,TRUE,"Cover";#N/A,#N/A,TRUE,"Conts";#N/A,#N/A,TRUE,"VOS";#N/A,#N/A,TRUE,"Warrington";#N/A,#N/A,TRUE,"Widnes"}</definedName>
    <definedName name="dyuiuouo" hidden="1">{#N/A,#N/A,TRUE,"Cover";#N/A,#N/A,TRUE,"Conts";#N/A,#N/A,TRUE,"VOS";#N/A,#N/A,TRUE,"Warrington";#N/A,#N/A,TRUE,"Widnes"}</definedName>
    <definedName name="eagrga" hidden="1">{#N/A,#N/A,TRUE,"Cover";#N/A,#N/A,TRUE,"Conts";#N/A,#N/A,TRUE,"VOS";#N/A,#N/A,TRUE,"Warrington";#N/A,#N/A,TRUE,"Widnes"}</definedName>
    <definedName name="eeeee" hidden="1">{#N/A,#N/A,TRUE,"Cover";#N/A,#N/A,TRUE,"Conts";#N/A,#N/A,TRUE,"VOS";#N/A,#N/A,TRUE,"Warrington";#N/A,#N/A,TRUE,"Widnes"}</definedName>
    <definedName name="egag" hidden="1">{#N/A,#N/A,TRUE,"Cover";#N/A,#N/A,TRUE,"Conts";#N/A,#N/A,TRUE,"VOS";#N/A,#N/A,TRUE,"Warrington";#N/A,#N/A,TRUE,"Widnes"}</definedName>
    <definedName name="ergaghag" hidden="1">{#N/A,#N/A,TRUE,"Cover";#N/A,#N/A,TRUE,"Conts";#N/A,#N/A,TRUE,"VOS";#N/A,#N/A,TRUE,"Warrington";#N/A,#N/A,TRUE,"Widnes"}</definedName>
    <definedName name="ergega" hidden="1">{#N/A,#N/A,TRUE,"Cover";#N/A,#N/A,TRUE,"Conts";#N/A,#N/A,TRUE,"VOS";#N/A,#N/A,TRUE,"Warrington";#N/A,#N/A,TRUE,"Widnes"}</definedName>
    <definedName name="ergtaeg" hidden="1">{#N/A,#N/A,TRUE,"Cover";#N/A,#N/A,TRUE,"Conts";#N/A,#N/A,TRUE,"VOS";#N/A,#N/A,TRUE,"Warrington";#N/A,#N/A,TRUE,"Widnes"}</definedName>
    <definedName name="ersyy" hidden="1">{#N/A,#N/A,TRUE,"Cover";#N/A,#N/A,TRUE,"Conts";#N/A,#N/A,TRUE,"VOS";#N/A,#N/A,TRUE,"Warrington";#N/A,#N/A,TRUE,"Widnes"}</definedName>
    <definedName name="ertertyry" hidden="1">{#N/A,#N/A,TRUE,"Cover";#N/A,#N/A,TRUE,"Conts";#N/A,#N/A,TRUE,"VOS";#N/A,#N/A,TRUE,"Warrington";#N/A,#N/A,TRUE,"Widnes"}</definedName>
    <definedName name="erterydrutru" hidden="1">{#N/A,#N/A,TRUE,"Cover";#N/A,#N/A,TRUE,"Conts";#N/A,#N/A,TRUE,"VOS";#N/A,#N/A,TRUE,"Warrington";#N/A,#N/A,TRUE,"Widnes"}</definedName>
    <definedName name="erteysry" hidden="1">{#N/A,#N/A,TRUE,"Cover";#N/A,#N/A,TRUE,"Conts";#N/A,#N/A,TRUE,"VOS";#N/A,#N/A,TRUE,"Warrington";#N/A,#N/A,TRUE,"Widnes"}</definedName>
    <definedName name="eryr" hidden="1">{#N/A,#N/A,TRUE,"Cover";#N/A,#N/A,TRUE,"Conts";#N/A,#N/A,TRUE,"VOS";#N/A,#N/A,TRUE,"Warrington";#N/A,#N/A,TRUE,"Widnes"}</definedName>
    <definedName name="eryrutru" hidden="1">{#N/A,#N/A,TRUE,"Cover";#N/A,#N/A,TRUE,"Conts";#N/A,#N/A,TRUE,"VOS";#N/A,#N/A,TRUE,"Warrington";#N/A,#N/A,TRUE,"Widnes"}</definedName>
    <definedName name="erytrh" hidden="1">{#N/A,#N/A,TRUE,"Cover";#N/A,#N/A,TRUE,"Conts";#N/A,#N/A,TRUE,"VOS";#N/A,#N/A,TRUE,"Warrington";#N/A,#N/A,TRUE,"Widnes"}</definedName>
    <definedName name="erytuui" hidden="1">{#N/A,#N/A,TRUE,"Cover";#N/A,#N/A,TRUE,"Conts";#N/A,#N/A,TRUE,"VOS";#N/A,#N/A,TRUE,"Warrington";#N/A,#N/A,TRUE,"Widnes"}</definedName>
    <definedName name="eryytrysy" hidden="1">{#N/A,#N/A,TRUE,"Cover";#N/A,#N/A,TRUE,"Conts";#N/A,#N/A,TRUE,"VOS";#N/A,#N/A,TRUE,"Warrington";#N/A,#N/A,TRUE,"Widnes"}</definedName>
    <definedName name="estetystry" hidden="1">{#N/A,#N/A,TRUE,"Cover";#N/A,#N/A,TRUE,"Conts";#N/A,#N/A,TRUE,"VOS";#N/A,#N/A,TRUE,"Warrington";#N/A,#N/A,TRUE,"Widnes"}</definedName>
    <definedName name="estimateb" hidden="1">{#N/A,#N/A,TRUE,"Cover";#N/A,#N/A,TRUE,"Conts";#N/A,#N/A,TRUE,"VOS";#N/A,#N/A,TRUE,"Warrington";#N/A,#N/A,TRUE,"Widnes"}</definedName>
    <definedName name="Estimating_Click">#N/A</definedName>
    <definedName name="Estimating_Click_PDBT">#N/A</definedName>
    <definedName name="etertyr" hidden="1">{#N/A,#N/A,TRUE,"Cover";#N/A,#N/A,TRUE,"Conts";#N/A,#N/A,TRUE,"VOS";#N/A,#N/A,TRUE,"Warrington";#N/A,#N/A,TRUE,"Widnes"}</definedName>
    <definedName name="etetert" hidden="1">{#N/A,#N/A,TRUE,"Cover";#N/A,#N/A,TRUE,"Conts";#N/A,#N/A,TRUE,"VOS";#N/A,#N/A,TRUE,"Warrington";#N/A,#N/A,TRUE,"Widnes"}</definedName>
    <definedName name="etr6str7tuiuo" hidden="1">{#N/A,#N/A,TRUE,"Cover";#N/A,#N/A,TRUE,"Conts";#N/A,#N/A,TRUE,"VOS";#N/A,#N/A,TRUE,"Warrington";#N/A,#N/A,TRUE,"Widnes"}</definedName>
    <definedName name="etretyer" hidden="1">{#N/A,#N/A,TRUE,"Cover";#N/A,#N/A,TRUE,"Conts";#N/A,#N/A,TRUE,"VOS";#N/A,#N/A,TRUE,"Warrington";#N/A,#N/A,TRUE,"Widnes"}</definedName>
    <definedName name="etyegf" hidden="1">{#N/A,#N/A,TRUE,"Cover";#N/A,#N/A,TRUE,"Conts";#N/A,#N/A,TRUE,"VOS";#N/A,#N/A,TRUE,"Warrington";#N/A,#N/A,TRUE,"Widnes"}</definedName>
    <definedName name="etyytr" hidden="1">{#N/A,#N/A,TRUE,"Cover";#N/A,#N/A,TRUE,"Conts";#N/A,#N/A,TRUE,"VOS";#N/A,#N/A,TRUE,"Warrington";#N/A,#N/A,TRUE,"Widnes"}</definedName>
    <definedName name="ewateryryxyz" hidden="1">{#N/A,#N/A,TRUE,"Cover";#N/A,#N/A,TRUE,"Conts";#N/A,#N/A,TRUE,"VOS";#N/A,#N/A,TRUE,"Warrington";#N/A,#N/A,TRUE,"Widnes"}</definedName>
    <definedName name="ewt" hidden="1">{#N/A,#N/A,TRUE,"Cover";#N/A,#N/A,TRUE,"Conts";#N/A,#N/A,TRUE,"VOS";#N/A,#N/A,TRUE,"Warrington";#N/A,#N/A,TRUE,"Widnes"}</definedName>
    <definedName name="ewtateryry" hidden="1">{#N/A,#N/A,TRUE,"Cover";#N/A,#N/A,TRUE,"Conts";#N/A,#N/A,TRUE,"VOS";#N/A,#N/A,TRUE,"Warrington";#N/A,#N/A,TRUE,"Widnes"}</definedName>
    <definedName name="eXCLUSIONS" hidden="1">{#N/A,#N/A,TRUE,"Cover";#N/A,#N/A,TRUE,"Conts";#N/A,#N/A,TRUE,"VOS";#N/A,#N/A,TRUE,"Warrington";#N/A,#N/A,TRUE,"Widnes"}</definedName>
    <definedName name="eyy" hidden="1">{#N/A,#N/A,TRUE,"Cover";#N/A,#N/A,TRUE,"Conts";#N/A,#N/A,TRUE,"VOS";#N/A,#N/A,TRUE,"Warrington";#N/A,#N/A,TRUE,"Widnes"}</definedName>
    <definedName name="fgjjjkyg" hidden="1">{#N/A,#N/A,TRUE,"Cover";#N/A,#N/A,TRUE,"Conts";#N/A,#N/A,TRUE,"VOS";#N/A,#N/A,TRUE,"Warrington";#N/A,#N/A,TRUE,"Widnes"}</definedName>
    <definedName name="fhgujguthi" hidden="1">{#N/A,#N/A,TRUE,"Cover";#N/A,#N/A,TRUE,"Conts";#N/A,#N/A,TRUE,"VOS";#N/A,#N/A,TRUE,"Warrington";#N/A,#N/A,TRUE,"Widnes"}</definedName>
    <definedName name="fhjsjs" hidden="1">{#N/A,#N/A,TRUE,"Cover";#N/A,#N/A,TRUE,"Conts";#N/A,#N/A,TRUE,"VOS";#N/A,#N/A,TRUE,"Warrington";#N/A,#N/A,TRUE,"Widnes"}</definedName>
    <definedName name="fkfkvhikkhju" hidden="1">{#N/A,#N/A,TRUE,"Cover";#N/A,#N/A,TRUE,"Conts";#N/A,#N/A,TRUE,"VOS";#N/A,#N/A,TRUE,"Warrington";#N/A,#N/A,TRUE,"Widnes"}</definedName>
    <definedName name="frjj" hidden="1">{#N/A,#N/A,TRUE,"Cover";#N/A,#N/A,TRUE,"Conts";#N/A,#N/A,TRUE,"VOS";#N/A,#N/A,TRUE,"Warrington";#N/A,#N/A,TRUE,"Widnes"}</definedName>
    <definedName name="gaeg" hidden="1">{#N/A,#N/A,TRUE,"Cover";#N/A,#N/A,TRUE,"Conts";#N/A,#N/A,TRUE,"VOS";#N/A,#N/A,TRUE,"Warrington";#N/A,#N/A,TRUE,"Widnes"}</definedName>
    <definedName name="gaegg" hidden="1">{#N/A,#N/A,TRUE,"Cover";#N/A,#N/A,TRUE,"Conts";#N/A,#N/A,TRUE,"VOS";#N/A,#N/A,TRUE,"Warrington";#N/A,#N/A,TRUE,"Widnes"}</definedName>
    <definedName name="geag" hidden="1">{#N/A,#N/A,TRUE,"Cover";#N/A,#N/A,TRUE,"Conts";#N/A,#N/A,TRUE,"VOS";#N/A,#N/A,TRUE,"Warrington";#N/A,#N/A,TRUE,"Widnes"}</definedName>
    <definedName name="gerger" hidden="1">{#N/A,#N/A,TRUE,"Cover";#N/A,#N/A,TRUE,"Conts";#N/A,#N/A,TRUE,"VOS";#N/A,#N/A,TRUE,"Warrington";#N/A,#N/A,TRUE,"Widnes"}</definedName>
    <definedName name="ggdrgdfhyyj" hidden="1">{#N/A,#N/A,TRUE,"Cover";#N/A,#N/A,TRUE,"Conts";#N/A,#N/A,TRUE,"VOS";#N/A,#N/A,TRUE,"Warrington";#N/A,#N/A,TRUE,"Widnes"}</definedName>
    <definedName name="ghsdhth" hidden="1">{#N/A,#N/A,TRUE,"Cover";#N/A,#N/A,TRUE,"Conts";#N/A,#N/A,TRUE,"VOS";#N/A,#N/A,TRUE,"Warrington";#N/A,#N/A,TRUE,"Widnes"}</definedName>
    <definedName name="ghsg" hidden="1">{#N/A,#N/A,TRUE,"Cover";#N/A,#N/A,TRUE,"Conts";#N/A,#N/A,TRUE,"VOS";#N/A,#N/A,TRUE,"Warrington";#N/A,#N/A,TRUE,"Widnes"}</definedName>
    <definedName name="gjahgkj" hidden="1">{#N/A,#N/A,TRUE,"Cover";#N/A,#N/A,TRUE,"Conts";#N/A,#N/A,TRUE,"VOS";#N/A,#N/A,TRUE,"Warrington";#N/A,#N/A,TRUE,"Widnes"}</definedName>
    <definedName name="gjkkl" hidden="1">{#N/A,#N/A,TRUE,"Cover";#N/A,#N/A,TRUE,"Conts";#N/A,#N/A,TRUE,"VOS";#N/A,#N/A,TRUE,"Warrington";#N/A,#N/A,TRUE,"Widnes"}</definedName>
    <definedName name="gtrghr" hidden="1">{#N/A,#N/A,TRUE,"Cover";#N/A,#N/A,TRUE,"Conts";#N/A,#N/A,TRUE,"VOS";#N/A,#N/A,TRUE,"Warrington";#N/A,#N/A,TRUE,"Widnes"}</definedName>
    <definedName name="gwgtergyr" hidden="1">{#N/A,#N/A,TRUE,"Cover";#N/A,#N/A,TRUE,"Conts";#N/A,#N/A,TRUE,"VOS";#N/A,#N/A,TRUE,"Warrington";#N/A,#N/A,TRUE,"Widnes"}</definedName>
    <definedName name="hfhgf" hidden="1">{#N/A,#N/A,TRUE,"Cover";#N/A,#N/A,TRUE,"Conts";#N/A,#N/A,TRUE,"VOS";#N/A,#N/A,TRUE,"Warrington";#N/A,#N/A,TRUE,"Widnes"}</definedName>
    <definedName name="hjdj" hidden="1">{#N/A,#N/A,TRUE,"Cover";#N/A,#N/A,TRUE,"Conts";#N/A,#N/A,TRUE,"VOS";#N/A,#N/A,TRUE,"Warrington";#N/A,#N/A,TRUE,"Widnes"}</definedName>
    <definedName name="hshjy" hidden="1">{#N/A,#N/A,TRUE,"Cover";#N/A,#N/A,TRUE,"Conts";#N/A,#N/A,TRUE,"VOS";#N/A,#N/A,TRUE,"Warrington";#N/A,#N/A,TRUE,"Widnes"}</definedName>
    <definedName name="hshxdht" hidden="1">{#N/A,#N/A,TRUE,"Cover";#N/A,#N/A,TRUE,"Conts";#N/A,#N/A,TRUE,"VOS";#N/A,#N/A,TRUE,"Warrington";#N/A,#N/A,TRUE,"Widnes"}</definedName>
    <definedName name="hsyhjtyhj" hidden="1">{#N/A,#N/A,TRUE,"Cover";#N/A,#N/A,TRUE,"Conts";#N/A,#N/A,TRUE,"VOS";#N/A,#N/A,TRUE,"Warrington";#N/A,#N/A,TRUE,"Widnes"}</definedName>
    <definedName name="htrhrsth" hidden="1">{#N/A,#N/A,TRUE,"Cover";#N/A,#N/A,TRUE,"Conts";#N/A,#N/A,TRUE,"VOS";#N/A,#N/A,TRUE,"Warrington";#N/A,#N/A,TRUE,"Widnes"}</definedName>
    <definedName name="hutgfru" hidden="1">{#N/A,#N/A,TRUE,"Cover";#N/A,#N/A,TRUE,"Conts";#N/A,#N/A,TRUE,"VOS";#N/A,#N/A,TRUE,"Warrington";#N/A,#N/A,TRUE,"Widnes"}</definedName>
    <definedName name="i8uiuyi" hidden="1">{#N/A,#N/A,TRUE,"Cover";#N/A,#N/A,TRUE,"Conts";#N/A,#N/A,TRUE,"VOS";#N/A,#N/A,TRUE,"Warrington";#N/A,#N/A,TRUE,"Widnes"}</definedName>
    <definedName name="io8yuou8y" hidden="1">{#N/A,#N/A,TRUE,"Cover";#N/A,#N/A,TRUE,"Conts";#N/A,#N/A,TRUE,"VOS";#N/A,#N/A,TRUE,"Warrington";#N/A,#N/A,TRUE,"Widnes"}</definedName>
    <definedName name="iol" hidden="1">{#N/A,#N/A,TRUE,"Cover";#N/A,#N/A,TRUE,"Conts";#N/A,#N/A,TRUE,"VOS";#N/A,#N/A,TRUE,"Warrington";#N/A,#N/A,TRUE,"Widnes"}</definedName>
    <definedName name="ioykyoyu" hidden="1">{#N/A,#N/A,TRUE,"Cover";#N/A,#N/A,TRUE,"Conts";#N/A,#N/A,TRUE,"VOS";#N/A,#N/A,TRUE,"Warrington";#N/A,#N/A,TRUE,"Widnes"}</definedName>
    <definedName name="iui" hidden="1">{#N/A,#N/A,TRUE,"Cover";#N/A,#N/A,TRUE,"Conts";#N/A,#N/A,TRUE,"VOS";#N/A,#N/A,TRUE,"Warrington";#N/A,#N/A,TRUE,"Widnes"}</definedName>
    <definedName name="iuiou" hidden="1">{#N/A,#N/A,TRUE,"Cover";#N/A,#N/A,TRUE,"Conts";#N/A,#N/A,TRUE,"VOS";#N/A,#N/A,TRUE,"Warrington";#N/A,#N/A,TRUE,"Widnes"}</definedName>
    <definedName name="iuk" hidden="1">{#N/A,#N/A,TRUE,"Cover";#N/A,#N/A,TRUE,"Conts";#N/A,#N/A,TRUE,"VOS";#N/A,#N/A,TRUE,"Warrington";#N/A,#N/A,TRUE,"Widnes"}</definedName>
    <definedName name="iulouy" hidden="1">{#N/A,#N/A,TRUE,"Cover";#N/A,#N/A,TRUE,"Conts";#N/A,#N/A,TRUE,"VOS";#N/A,#N/A,TRUE,"Warrington";#N/A,#N/A,TRUE,"Widnes"}</definedName>
    <definedName name="jk.j.oi" hidden="1">{#N/A,#N/A,TRUE,"Cover";#N/A,#N/A,TRUE,"Conts";#N/A,#N/A,TRUE,"VOS";#N/A,#N/A,TRUE,"Warrington";#N/A,#N/A,TRUE,"Widnes"}</definedName>
    <definedName name="JKGKJHK" hidden="1">{#N/A,#N/A,TRUE,"Cover";#N/A,#N/A,TRUE,"Conts";#N/A,#N/A,TRUE,"VOS";#N/A,#N/A,TRUE,"Warrington";#N/A,#N/A,TRUE,"Widnes"}</definedName>
    <definedName name="jkljljkl" hidden="1">{#N/A,#N/A,TRUE,"Cover";#N/A,#N/A,TRUE,"Conts";#N/A,#N/A,TRUE,"VOS";#N/A,#N/A,TRUE,"Warrington";#N/A,#N/A,TRUE,"Widnes"}</definedName>
    <definedName name="jktrujij" hidden="1">{#N/A,#N/A,TRUE,"Cover";#N/A,#N/A,TRUE,"Conts";#N/A,#N/A,TRUE,"VOS";#N/A,#N/A,TRUE,"Warrington";#N/A,#N/A,TRUE,"Widnes"}</definedName>
    <definedName name="jktukk" hidden="1">{#N/A,#N/A,TRUE,"Cover";#N/A,#N/A,TRUE,"Conts";#N/A,#N/A,TRUE,"VOS";#N/A,#N/A,TRUE,"Warrington";#N/A,#N/A,TRUE,"Widnes"}</definedName>
    <definedName name="jky" hidden="1">{#N/A,#N/A,TRUE,"Cover";#N/A,#N/A,TRUE,"Conts";#N/A,#N/A,TRUE,"VOS";#N/A,#N/A,TRUE,"Warrington";#N/A,#N/A,TRUE,"Widnes"}</definedName>
    <definedName name="jtyhjswjy" hidden="1">{#N/A,#N/A,TRUE,"Cover";#N/A,#N/A,TRUE,"Conts";#N/A,#N/A,TRUE,"VOS";#N/A,#N/A,TRUE,"Warrington";#N/A,#N/A,TRUE,"Widnes"}</definedName>
    <definedName name="kgjfgjgj" hidden="1">{#N/A,#N/A,TRUE,"Cover";#N/A,#N/A,TRUE,"Conts";#N/A,#N/A,TRUE,"VOS";#N/A,#N/A,TRUE,"Warrington";#N/A,#N/A,TRUE,"Widnes"}</definedName>
    <definedName name="kryk" hidden="1">{#N/A,#N/A,TRUE,"Cover";#N/A,#N/A,TRUE,"Conts";#N/A,#N/A,TRUE,"VOS";#N/A,#N/A,TRUE,"Warrington";#N/A,#N/A,TRUE,"Widnes"}</definedName>
    <definedName name="KYSTH" hidden="1">{#N/A,#N/A,TRUE,"Cover";#N/A,#N/A,TRUE,"Conts";#N/A,#N/A,TRUE,"VOS";#N/A,#N/A,TRUE,"Warrington";#N/A,#N/A,TRUE,"Widnes"}</definedName>
    <definedName name="lgoguliu" hidden="1">{#N/A,#N/A,TRUE,"Cover";#N/A,#N/A,TRUE,"Conts";#N/A,#N/A,TRUE,"VOS";#N/A,#N/A,TRUE,"Warrington";#N/A,#N/A,TRUE,"Widnes"}</definedName>
    <definedName name="nddddddddf" hidden="1">{#N/A,#N/A,TRUE,"Cover";#N/A,#N/A,TRUE,"Conts";#N/A,#N/A,TRUE,"VOS";#N/A,#N/A,TRUE,"Warrington";#N/A,#N/A,TRUE,"Widnes"}</definedName>
    <definedName name="o9u0piupi" hidden="1">{#N/A,#N/A,TRUE,"Cover";#N/A,#N/A,TRUE,"Conts";#N/A,#N/A,TRUE,"VOS";#N/A,#N/A,TRUE,"Warrington";#N/A,#N/A,TRUE,"Widnes"}</definedName>
    <definedName name="opogd" hidden="1">{#N/A,#N/A,TRUE,"Cover";#N/A,#N/A,TRUE,"Conts";#N/A,#N/A,TRUE,"VOS";#N/A,#N/A,TRUE,"Warrington";#N/A,#N/A,TRUE,"Widnes"}</definedName>
    <definedName name="p7y" hidden="1">{#N/A,#N/A,TRUE,"Cover";#N/A,#N/A,TRUE,"Conts";#N/A,#N/A,TRUE,"VOS";#N/A,#N/A,TRUE,"Warrington";#N/A,#N/A,TRUE,"Widnes"}</definedName>
    <definedName name="pafegseg" hidden="1">{#N/A,#N/A,TRUE,"Cover";#N/A,#N/A,TRUE,"Conts";#N/A,#N/A,TRUE,"VOS";#N/A,#N/A,TRUE,"Warrington";#N/A,#N/A,TRUE,"Widnes"}</definedName>
    <definedName name="pswyry" hidden="1">{#N/A,#N/A,TRUE,"Cover";#N/A,#N/A,TRUE,"Conts";#N/A,#N/A,TRUE,"VOS";#N/A,#N/A,TRUE,"Warrington";#N/A,#N/A,TRUE,"Widnes"}</definedName>
    <definedName name="q3tqtq" hidden="1">{#N/A,#N/A,TRUE,"Cover";#N/A,#N/A,TRUE,"Conts";#N/A,#N/A,TRUE,"VOS";#N/A,#N/A,TRUE,"Warrington";#N/A,#N/A,TRUE,"Widnes"}</definedName>
    <definedName name="q5ttyr" hidden="1">{#N/A,#N/A,TRUE,"Cover";#N/A,#N/A,TRUE,"Conts";#N/A,#N/A,TRUE,"VOS";#N/A,#N/A,TRUE,"Warrington";#N/A,#N/A,TRUE,"Widnes"}</definedName>
    <definedName name="qrt" hidden="1">{#N/A,#N/A,TRUE,"Cover";#N/A,#N/A,TRUE,"Conts";#N/A,#N/A,TRUE,"VOS";#N/A,#N/A,TRUE,"Warrington";#N/A,#N/A,TRUE,"Widnes"}</definedName>
    <definedName name="qttyry" hidden="1">{#N/A,#N/A,TRUE,"Cover";#N/A,#N/A,TRUE,"Conts";#N/A,#N/A,TRUE,"VOS";#N/A,#N/A,TRUE,"Warrington";#N/A,#N/A,TRUE,"Widnes"}</definedName>
    <definedName name="qtyhytrh" hidden="1">{#N/A,#N/A,TRUE,"Cover";#N/A,#N/A,TRUE,"Conts";#N/A,#N/A,TRUE,"VOS";#N/A,#N/A,TRUE,"Warrington";#N/A,#N/A,TRUE,"Widnes"}</definedName>
    <definedName name="qtyu" hidden="1">{#N/A,#N/A,TRUE,"Cover";#N/A,#N/A,TRUE,"Conts";#N/A,#N/A,TRUE,"VOS";#N/A,#N/A,TRUE,"Warrington";#N/A,#N/A,TRUE,"Widnes"}</definedName>
    <definedName name="qtyyut" hidden="1">{#N/A,#N/A,TRUE,"Cover";#N/A,#N/A,TRUE,"Conts";#N/A,#N/A,TRUE,"VOS";#N/A,#N/A,TRUE,"Warrington";#N/A,#N/A,TRUE,"Widnes"}</definedName>
    <definedName name="qtyyyhh" hidden="1">{#N/A,#N/A,TRUE,"Cover";#N/A,#N/A,TRUE,"Conts";#N/A,#N/A,TRUE,"VOS";#N/A,#N/A,TRUE,"Warrington";#N/A,#N/A,TRUE,"Widnes"}</definedName>
    <definedName name="rasgg" hidden="1">{#N/A,#N/A,TRUE,"Cover";#N/A,#N/A,TRUE,"Conts";#N/A,#N/A,TRUE,"VOS";#N/A,#N/A,TRUE,"Warrington";#N/A,#N/A,TRUE,"Widnes"}</definedName>
    <definedName name="rdegsegrg" hidden="1">{#N/A,#N/A,TRUE,"Cover";#N/A,#N/A,TRUE,"Conts";#N/A,#N/A,TRUE,"VOS";#N/A,#N/A,TRUE,"Warrington";#N/A,#N/A,TRUE,"Widnes"}</definedName>
    <definedName name="rer" hidden="1">{#N/A,#N/A,TRUE,"Cover";#N/A,#N/A,TRUE,"Conts";#N/A,#N/A,TRUE,"VOS";#N/A,#N/A,TRUE,"Warrington";#N/A,#N/A,TRUE,"Widnes"}</definedName>
    <definedName name="rghhythy" hidden="1">{#N/A,#N/A,TRUE,"Cover";#N/A,#N/A,TRUE,"Conts";#N/A,#N/A,TRUE,"VOS";#N/A,#N/A,TRUE,"Warrington";#N/A,#N/A,TRUE,"Widnes"}</definedName>
    <definedName name="rhyuyi" hidden="1">{#N/A,#N/A,TRUE,"Cover";#N/A,#N/A,TRUE,"Conts";#N/A,#N/A,TRUE,"VOS";#N/A,#N/A,TRUE,"Warrington";#N/A,#N/A,TRUE,"Widnes"}</definedName>
    <definedName name="rrrr" hidden="1">{#N/A,#N/A,TRUE,"Cover";#N/A,#N/A,TRUE,"Conts";#N/A,#N/A,TRUE,"VOS";#N/A,#N/A,TRUE,"Warrington";#N/A,#N/A,TRUE,"Widnes"}</definedName>
    <definedName name="rrrrr" hidden="1">{#N/A,#N/A,TRUE,"Cover";#N/A,#N/A,TRUE,"Conts";#N/A,#N/A,TRUE,"VOS";#N/A,#N/A,TRUE,"Warrington";#N/A,#N/A,TRUE,"Widnes"}</definedName>
    <definedName name="rrrrrrr" hidden="1">{#N/A,#N/A,TRUE,"Cover";#N/A,#N/A,TRUE,"Conts";#N/A,#N/A,TRUE,"VOS";#N/A,#N/A,TRUE,"Warrington";#N/A,#N/A,TRUE,"Widnes"}</definedName>
    <definedName name="rrrrrrrrrr" hidden="1">{#N/A,#N/A,TRUE,"Cover";#N/A,#N/A,TRUE,"Conts";#N/A,#N/A,TRUE,"VOS";#N/A,#N/A,TRUE,"Warrington";#N/A,#N/A,TRUE,"Widnes"}</definedName>
    <definedName name="rrttt" hidden="1">{#N/A,#N/A,TRUE,"Cover";#N/A,#N/A,TRUE,"Conts";#N/A,#N/A,TRUE,"VOS";#N/A,#N/A,TRUE,"Warrington";#N/A,#N/A,TRUE,"Widnes"}</definedName>
    <definedName name="rt" hidden="1">{#N/A,#N/A,TRUE,"Cover";#N/A,#N/A,TRUE,"Conts";#N/A,#N/A,TRUE,"VOS";#N/A,#N/A,TRUE,"Warrington";#N/A,#N/A,TRUE,"Widnes"}</definedName>
    <definedName name="rthsrhs" hidden="1">{#N/A,#N/A,TRUE,"Cover";#N/A,#N/A,TRUE,"Conts";#N/A,#N/A,TRUE,"VOS";#N/A,#N/A,TRUE,"Warrington";#N/A,#N/A,TRUE,"Widnes"}</definedName>
    <definedName name="RTRGJHJ" hidden="1">{#N/A,#N/A,TRUE,"Cover";#N/A,#N/A,TRUE,"Conts";#N/A,#N/A,TRUE,"VOS";#N/A,#N/A,TRUE,"Warrington";#N/A,#N/A,TRUE,"Widnes"}</definedName>
    <definedName name="rtryj" hidden="1">{#N/A,#N/A,TRUE,"Cover";#N/A,#N/A,TRUE,"Conts";#N/A,#N/A,TRUE,"VOS";#N/A,#N/A,TRUE,"Warrington";#N/A,#N/A,TRUE,"Widnes"}</definedName>
    <definedName name="rturudu" hidden="1">{#N/A,#N/A,TRUE,"Cover";#N/A,#N/A,TRUE,"Conts";#N/A,#N/A,TRUE,"VOS";#N/A,#N/A,TRUE,"Warrington";#N/A,#N/A,TRUE,"Widnes"}</definedName>
    <definedName name="rtysh" hidden="1">{#N/A,#N/A,TRUE,"Cover";#N/A,#N/A,TRUE,"Conts";#N/A,#N/A,TRUE,"VOS";#N/A,#N/A,TRUE,"Warrington";#N/A,#N/A,TRUE,"Widnes"}</definedName>
    <definedName name="rwt" hidden="1">{#N/A,#N/A,TRUE,"Cover";#N/A,#N/A,TRUE,"Conts";#N/A,#N/A,TRUE,"VOS";#N/A,#N/A,TRUE,"Warrington";#N/A,#N/A,TRUE,"Widnes"}</definedName>
    <definedName name="ryeru" hidden="1">{#N/A,#N/A,TRUE,"Cover";#N/A,#N/A,TRUE,"Conts";#N/A,#N/A,TRUE,"VOS";#N/A,#N/A,TRUE,"Warrington";#N/A,#N/A,TRUE,"Widnes"}</definedName>
    <definedName name="rysrtryftry" hidden="1">{#N/A,#N/A,TRUE,"Cover";#N/A,#N/A,TRUE,"Conts";#N/A,#N/A,TRUE,"VOS";#N/A,#N/A,TRUE,"Warrington";#N/A,#N/A,TRUE,"Widnes"}</definedName>
    <definedName name="sdefegdeg" hidden="1">{#N/A,#N/A,TRUE,"Cover";#N/A,#N/A,TRUE,"Conts";#N/A,#N/A,TRUE,"VOS";#N/A,#N/A,TRUE,"Warrington";#N/A,#N/A,TRUE,"Widnes"}</definedName>
    <definedName name="sdhydfyftuu" hidden="1">{#N/A,#N/A,TRUE,"Cover";#N/A,#N/A,TRUE,"Conts";#N/A,#N/A,TRUE,"VOS";#N/A,#N/A,TRUE,"Warrington";#N/A,#N/A,TRUE,"Widnes"}</definedName>
    <definedName name="setdydy" hidden="1">{#N/A,#N/A,TRUE,"Cover";#N/A,#N/A,TRUE,"Conts";#N/A,#N/A,TRUE,"VOS";#N/A,#N/A,TRUE,"Warrington";#N/A,#N/A,TRUE,"Widnes"}</definedName>
    <definedName name="sfhdfj" hidden="1">{#N/A,#N/A,TRUE,"Cover";#N/A,#N/A,TRUE,"Conts";#N/A,#N/A,TRUE,"VOS";#N/A,#N/A,TRUE,"Warrington";#N/A,#N/A,TRUE,"Widnes"}</definedName>
    <definedName name="sgsegegrt" hidden="1">{#N/A,#N/A,TRUE,"Cover";#N/A,#N/A,TRUE,"Conts";#N/A,#N/A,TRUE,"VOS";#N/A,#N/A,TRUE,"Warrington";#N/A,#N/A,TRUE,"Widnes"}</definedName>
    <definedName name="sgsghju" hidden="1">{#N/A,#N/A,TRUE,"Cover";#N/A,#N/A,TRUE,"Conts";#N/A,#N/A,TRUE,"VOS";#N/A,#N/A,TRUE,"Warrington";#N/A,#N/A,TRUE,"Widnes"}</definedName>
    <definedName name="sgsgr" hidden="1">{#N/A,#N/A,TRUE,"Cover";#N/A,#N/A,TRUE,"Conts";#N/A,#N/A,TRUE,"VOS";#N/A,#N/A,TRUE,"Warrington";#N/A,#N/A,TRUE,"Widnes"}</definedName>
    <definedName name="shshgtr" hidden="1">{#N/A,#N/A,TRUE,"Cover";#N/A,#N/A,TRUE,"Conts";#N/A,#N/A,TRUE,"VOS";#N/A,#N/A,TRUE,"Warrington";#N/A,#N/A,TRUE,"Widnes"}</definedName>
    <definedName name="srhrh" hidden="1">{#N/A,#N/A,TRUE,"Cover";#N/A,#N/A,TRUE,"Conts";#N/A,#N/A,TRUE,"VOS";#N/A,#N/A,TRUE,"Warrington";#N/A,#N/A,TRUE,"Widnes"}</definedName>
    <definedName name="srsetrthgfh" hidden="1">{#N/A,#N/A,TRUE,"Cover";#N/A,#N/A,TRUE,"Conts";#N/A,#N/A,TRUE,"VOS";#N/A,#N/A,TRUE,"Warrington";#N/A,#N/A,TRUE,"Widnes"}</definedName>
    <definedName name="srsretr" hidden="1">{#N/A,#N/A,TRUE,"Cover";#N/A,#N/A,TRUE,"Conts";#N/A,#N/A,TRUE,"VOS";#N/A,#N/A,TRUE,"Warrington";#N/A,#N/A,TRUE,"Widnes"}</definedName>
    <definedName name="srtugzsolu" hidden="1">{#N/A,#N/A,TRUE,"Cover";#N/A,#N/A,TRUE,"Conts";#N/A,#N/A,TRUE,"VOS";#N/A,#N/A,TRUE,"Warrington";#N/A,#N/A,TRUE,"Widnes"}</definedName>
    <definedName name="sryeysr" hidden="1">{#N/A,#N/A,TRUE,"Cover";#N/A,#N/A,TRUE,"Conts";#N/A,#N/A,TRUE,"VOS";#N/A,#N/A,TRUE,"Warrington";#N/A,#N/A,TRUE,"Widnes"}</definedName>
    <definedName name="stryt5u8h87" hidden="1">{#N/A,#N/A,TRUE,"Cover";#N/A,#N/A,TRUE,"Conts";#N/A,#N/A,TRUE,"VOS";#N/A,#N/A,TRUE,"Warrington";#N/A,#N/A,TRUE,"Widnes"}</definedName>
    <definedName name="swsdfa" hidden="1">{#N/A,#N/A,TRUE,"Cover";#N/A,#N/A,TRUE,"Conts";#N/A,#N/A,TRUE,"VOS";#N/A,#N/A,TRUE,"Warrington";#N/A,#N/A,TRUE,"Widnes"}</definedName>
    <definedName name="syu" hidden="1">{#N/A,#N/A,TRUE,"Cover";#N/A,#N/A,TRUE,"Conts";#N/A,#N/A,TRUE,"VOS";#N/A,#N/A,TRUE,"Warrington";#N/A,#N/A,TRUE,"Widnes"}</definedName>
    <definedName name="thwghrt" hidden="1">{#N/A,#N/A,TRUE,"Cover";#N/A,#N/A,TRUE,"Conts";#N/A,#N/A,TRUE,"VOS";#N/A,#N/A,TRUE,"Warrington";#N/A,#N/A,TRUE,"Widnes"}</definedName>
    <definedName name="trbnuomi" hidden="1">{#N/A,#N/A,TRUE,"Cover";#N/A,#N/A,TRUE,"Conts";#N/A,#N/A,TRUE,"VOS";#N/A,#N/A,TRUE,"Warrington";#N/A,#N/A,TRUE,"Widnes"}</definedName>
    <definedName name="trgr" hidden="1">{#N/A,#N/A,TRUE,"Cover";#N/A,#N/A,TRUE,"Conts";#N/A,#N/A,TRUE,"VOS";#N/A,#N/A,TRUE,"Warrington";#N/A,#N/A,TRUE,"Widnes"}</definedName>
    <definedName name="trhe" hidden="1">{#N/A,#N/A,TRUE,"Cover";#N/A,#N/A,TRUE,"Conts";#N/A,#N/A,TRUE,"VOS";#N/A,#N/A,TRUE,"Warrington";#N/A,#N/A,TRUE,"Widnes"}</definedName>
    <definedName name="trhsh" hidden="1">{#N/A,#N/A,TRUE,"Cover";#N/A,#N/A,TRUE,"Conts";#N/A,#N/A,TRUE,"VOS";#N/A,#N/A,TRUE,"Warrington";#N/A,#N/A,TRUE,"Widnes"}</definedName>
    <definedName name="trhsw" hidden="1">{#N/A,#N/A,TRUE,"Cover";#N/A,#N/A,TRUE,"Conts";#N/A,#N/A,TRUE,"VOS";#N/A,#N/A,TRUE,"Warrington";#N/A,#N/A,TRUE,"Widnes"}</definedName>
    <definedName name="tui" hidden="1">{#N/A,#N/A,TRUE,"Cover";#N/A,#N/A,TRUE,"Conts";#N/A,#N/A,TRUE,"VOS";#N/A,#N/A,TRUE,"Warrington";#N/A,#N/A,TRUE,"Widnes"}</definedName>
    <definedName name="tuite" hidden="1">{#N/A,#N/A,TRUE,"Cover";#N/A,#N/A,TRUE,"Conts";#N/A,#N/A,TRUE,"VOS";#N/A,#N/A,TRUE,"Warrington";#N/A,#N/A,TRUE,"Widnes"}</definedName>
    <definedName name="tvtyiuoujl" hidden="1">{#N/A,#N/A,TRUE,"Cover";#N/A,#N/A,TRUE,"Conts";#N/A,#N/A,TRUE,"VOS";#N/A,#N/A,TRUE,"Warrington";#N/A,#N/A,TRUE,"Widnes"}</definedName>
    <definedName name="tyutri" hidden="1">{#N/A,#N/A,TRUE,"Cover";#N/A,#N/A,TRUE,"Conts";#N/A,#N/A,TRUE,"VOS";#N/A,#N/A,TRUE,"Warrington";#N/A,#N/A,TRUE,"Widnes"}</definedName>
    <definedName name="uhhtrytrs" hidden="1">{#N/A,#N/A,TRUE,"Cover";#N/A,#N/A,TRUE,"Conts";#N/A,#N/A,TRUE,"VOS";#N/A,#N/A,TRUE,"Warrington";#N/A,#N/A,TRUE,"Widnes"}</definedName>
    <definedName name="uit" hidden="1">{#N/A,#N/A,TRUE,"Cover";#N/A,#N/A,TRUE,"Conts";#N/A,#N/A,TRUE,"VOS";#N/A,#N/A,TRUE,"Warrington";#N/A,#N/A,TRUE,"Widnes"}</definedName>
    <definedName name="uiuif" hidden="1">{#N/A,#N/A,TRUE,"Cover";#N/A,#N/A,TRUE,"Conts";#N/A,#N/A,TRUE,"VOS";#N/A,#N/A,TRUE,"Warrington";#N/A,#N/A,TRUE,"Widnes"}</definedName>
    <definedName name="uiyuitii" hidden="1">{#N/A,#N/A,TRUE,"Cover";#N/A,#N/A,TRUE,"Conts";#N/A,#N/A,TRUE,"VOS";#N/A,#N/A,TRUE,"Warrington";#N/A,#N/A,TRUE,"Widnes"}</definedName>
    <definedName name="ulppuipui" hidden="1">{#N/A,#N/A,TRUE,"Cover";#N/A,#N/A,TRUE,"Conts";#N/A,#N/A,TRUE,"VOS";#N/A,#N/A,TRUE,"Warrington";#N/A,#N/A,TRUE,"Widnes"}</definedName>
    <definedName name="undo" hidden="1">{#N/A,#N/A,TRUE,"Cover";#N/A,#N/A,TRUE,"Conts";#N/A,#N/A,TRUE,"VOS";#N/A,#N/A,TRUE,"Warrington";#N/A,#N/A,TRUE,"Widnes"}</definedName>
    <definedName name="uolougouio" hidden="1">{#N/A,#N/A,TRUE,"Cover";#N/A,#N/A,TRUE,"Conts";#N/A,#N/A,TRUE,"VOS";#N/A,#N/A,TRUE,"Warrington";#N/A,#N/A,TRUE,"Widnes"}</definedName>
    <definedName name="vj" hidden="1">{#N/A,#N/A,TRUE,"Cover";#N/A,#N/A,TRUE,"Conts";#N/A,#N/A,TRUE,"VOS";#N/A,#N/A,TRUE,"Warrington";#N/A,#N/A,TRUE,"Widnes"}</definedName>
    <definedName name="w26te" hidden="1">{#N/A,#N/A,TRUE,"Cover";#N/A,#N/A,TRUE,"Conts";#N/A,#N/A,TRUE,"VOS";#N/A,#N/A,TRUE,"Warrington";#N/A,#N/A,TRUE,"Widnes"}</definedName>
    <definedName name="w6y" hidden="1">{#N/A,#N/A,TRUE,"Cover";#N/A,#N/A,TRUE,"Conts";#N/A,#N/A,TRUE,"VOS";#N/A,#N/A,TRUE,"Warrington";#N/A,#N/A,TRUE,"Widnes"}</definedName>
    <definedName name="waff" hidden="1">{#N/A,#N/A,TRUE,"Cover";#N/A,#N/A,TRUE,"Conts";#N/A,#N/A,TRUE,"VOS";#N/A,#N/A,TRUE,"Warrington";#N/A,#N/A,TRUE,"Widnes"}</definedName>
    <definedName name="warergtrjyiu" hidden="1">{#N/A,#N/A,TRUE,"Cover";#N/A,#N/A,TRUE,"Conts";#N/A,#N/A,TRUE,"VOS";#N/A,#N/A,TRUE,"Warrington";#N/A,#N/A,TRUE,"Widnes"}</definedName>
    <definedName name="WasteWaterTeratmentHouse" hidden="1">{#N/A,#N/A,FALSE,"Sheet1"}</definedName>
    <definedName name="wawst" hidden="1">{#N/A,#N/A,TRUE,"Cover";#N/A,#N/A,TRUE,"Conts";#N/A,#N/A,TRUE,"VOS";#N/A,#N/A,TRUE,"Warrington";#N/A,#N/A,TRUE,"Widnes"}</definedName>
    <definedName name="wegywegt" hidden="1">{#N/A,#N/A,TRUE,"Cover";#N/A,#N/A,TRUE,"Conts";#N/A,#N/A,TRUE,"VOS";#N/A,#N/A,TRUE,"Warrington";#N/A,#N/A,TRUE,"Widnes"}</definedName>
    <definedName name="wert" hidden="1">{#N/A,#N/A,TRUE,"Cover";#N/A,#N/A,TRUE,"Conts";#N/A,#N/A,TRUE,"VOS";#N/A,#N/A,TRUE,"Warrington";#N/A,#N/A,TRUE,"Widnes"}</definedName>
    <definedName name="wetjy" hidden="1">{#N/A,#N/A,TRUE,"Cover";#N/A,#N/A,TRUE,"Conts";#N/A,#N/A,TRUE,"VOS";#N/A,#N/A,TRUE,"Warrington";#N/A,#N/A,TRUE,"Widnes"}</definedName>
    <definedName name="wetyrutu" hidden="1">{#N/A,#N/A,TRUE,"Cover";#N/A,#N/A,TRUE,"Conts";#N/A,#N/A,TRUE,"VOS";#N/A,#N/A,TRUE,"Warrington";#N/A,#N/A,TRUE,"Widnes"}</definedName>
    <definedName name="wqer" hidden="1">{#N/A,#N/A,TRUE,"Cover";#N/A,#N/A,TRUE,"Conts";#N/A,#N/A,TRUE,"VOS";#N/A,#N/A,TRUE,"Warrington";#N/A,#N/A,TRUE,"Widnes"}</definedName>
    <definedName name="wrn.Warrington._.Widnes._.QS._.Costs." hidden="1">{#N/A,#N/A,TRUE,"Cover";#N/A,#N/A,TRUE,"Conts";#N/A,#N/A,TRUE,"VOS";#N/A,#N/A,TRUE,"Warrington";#N/A,#N/A,TRUE,"Widnes"}</definedName>
    <definedName name="wrn.철골집계표._.5칸." hidden="1">{#N/A,#N/A,FALSE,"Sheet1"}</definedName>
    <definedName name="wrrwerwrew" hidden="1">{#N/A,#N/A,TRUE,"Cover";#N/A,#N/A,TRUE,"Conts";#N/A,#N/A,TRUE,"VOS";#N/A,#N/A,TRUE,"Warrington";#N/A,#N/A,TRUE,"Widnes"}</definedName>
    <definedName name="wryuwyrututwys" hidden="1">{#N/A,#N/A,TRUE,"Cover";#N/A,#N/A,TRUE,"Conts";#N/A,#N/A,TRUE,"VOS";#N/A,#N/A,TRUE,"Warrington";#N/A,#N/A,TRUE,"Widnes"}</definedName>
    <definedName name="wtey" hidden="1">{#N/A,#N/A,TRUE,"Cover";#N/A,#N/A,TRUE,"Conts";#N/A,#N/A,TRUE,"VOS";#N/A,#N/A,TRUE,"Warrington";#N/A,#N/A,TRUE,"Widnes"}</definedName>
    <definedName name="wtrwt" hidden="1">{#N/A,#N/A,TRUE,"Cover";#N/A,#N/A,TRUE,"Conts";#N/A,#N/A,TRUE,"VOS";#N/A,#N/A,TRUE,"Warrington";#N/A,#N/A,TRUE,"Widnes"}</definedName>
    <definedName name="wtrywryt" hidden="1">{#N/A,#N/A,TRUE,"Cover";#N/A,#N/A,TRUE,"Conts";#N/A,#N/A,TRUE,"VOS";#N/A,#N/A,TRUE,"Warrington";#N/A,#N/A,TRUE,"Widnes"}</definedName>
    <definedName name="wtwt" hidden="1">{#N/A,#N/A,TRUE,"Cover";#N/A,#N/A,TRUE,"Conts";#N/A,#N/A,TRUE,"VOS";#N/A,#N/A,TRUE,"Warrington";#N/A,#N/A,TRUE,"Widnes"}</definedName>
    <definedName name="wtwy" hidden="1">{#N/A,#N/A,TRUE,"Cover";#N/A,#N/A,TRUE,"Conts";#N/A,#N/A,TRUE,"VOS";#N/A,#N/A,TRUE,"Warrington";#N/A,#N/A,TRUE,"Widnes"}</definedName>
    <definedName name="wy7u7y" hidden="1">{#N/A,#N/A,TRUE,"Cover";#N/A,#N/A,TRUE,"Conts";#N/A,#N/A,TRUE,"VOS";#N/A,#N/A,TRUE,"Warrington";#N/A,#N/A,TRUE,"Widnes"}</definedName>
    <definedName name="yhrsh" hidden="1">{#N/A,#N/A,TRUE,"Cover";#N/A,#N/A,TRUE,"Conts";#N/A,#N/A,TRUE,"VOS";#N/A,#N/A,TRUE,"Warrington";#N/A,#N/A,TRUE,"Widnes"}</definedName>
    <definedName name="ykhljkdggzsf" hidden="1">{#N/A,#N/A,TRUE,"Cover";#N/A,#N/A,TRUE,"Conts";#N/A,#N/A,TRUE,"VOS";#N/A,#N/A,TRUE,"Warrington";#N/A,#N/A,TRUE,"Widnes"}</definedName>
    <definedName name="ykkllylulf" hidden="1">{#N/A,#N/A,TRUE,"Cover";#N/A,#N/A,TRUE,"Conts";#N/A,#N/A,TRUE,"VOS";#N/A,#N/A,TRUE,"Warrington";#N/A,#N/A,TRUE,"Widnes"}</definedName>
    <definedName name="yrtyet" hidden="1">{#N/A,#N/A,TRUE,"Cover";#N/A,#N/A,TRUE,"Conts";#N/A,#N/A,TRUE,"VOS";#N/A,#N/A,TRUE,"Warrington";#N/A,#N/A,TRUE,"Widnes"}</definedName>
    <definedName name="yry" hidden="1">{#N/A,#N/A,TRUE,"Cover";#N/A,#N/A,TRUE,"Conts";#N/A,#N/A,TRUE,"VOS";#N/A,#N/A,TRUE,"Warrington";#N/A,#N/A,TRUE,"Widnes"}</definedName>
    <definedName name="ytjtyjre" hidden="1">{#N/A,#N/A,TRUE,"Cover";#N/A,#N/A,TRUE,"Conts";#N/A,#N/A,TRUE,"VOS";#N/A,#N/A,TRUE,"Warrington";#N/A,#N/A,TRUE,"Widnes"}</definedName>
    <definedName name="ytuloioio" hidden="1">{#N/A,#N/A,TRUE,"Cover";#N/A,#N/A,TRUE,"Conts";#N/A,#N/A,TRUE,"VOS";#N/A,#N/A,TRUE,"Warrington";#N/A,#N/A,TRUE,"Widnes"}</definedName>
    <definedName name="yuti7i78o" hidden="1">{#N/A,#N/A,TRUE,"Cover";#N/A,#N/A,TRUE,"Conts";#N/A,#N/A,TRUE,"VOS";#N/A,#N/A,TRUE,"Warrington";#N/A,#N/A,TRUE,"Widnes"}</definedName>
    <definedName name="zaed" hidden="1">{#N/A,#N/A,TRUE,"Cover";#N/A,#N/A,TRUE,"Conts";#N/A,#N/A,TRUE,"VOS";#N/A,#N/A,TRUE,"Warrington";#N/A,#N/A,TRUE,"Widnes"}</definedName>
    <definedName name="ZBDZBDFB" hidden="1">{#N/A,#N/A,TRUE,"Cover";#N/A,#N/A,TRUE,"Conts";#N/A,#N/A,TRUE,"VOS";#N/A,#N/A,TRUE,"Warrington";#N/A,#N/A,TRUE,"Widnes"}</definedName>
    <definedName name="견적품의서1" hidden="1">{"'장비'!$A$3:$M$12"}</definedName>
    <definedName name="说明" hidden="1">{"'장비'!$A$3:$M$12"}</definedName>
    <definedName name="_________may1" hidden="1">{#N/A,#N/A,FALSE,"MARCH"}</definedName>
    <definedName name="_______may1" hidden="1">{#N/A,#N/A,FALSE,"MARCH"}</definedName>
    <definedName name="______may1" hidden="1">{#N/A,#N/A,FALSE,"MARCH"}</definedName>
    <definedName name="_____may1" hidden="1">{#N/A,#N/A,FALSE,"MARCH"}</definedName>
    <definedName name="____may1" hidden="1">{#N/A,#N/A,FALSE,"MARCH"}</definedName>
    <definedName name="___com2" hidden="1">{"'Break down'!$A$4"}</definedName>
    <definedName name="___may1" hidden="1">{#N/A,#N/A,FALSE,"MARCH"}</definedName>
    <definedName name="__as1" hidden="1">{#N/A,#N/A,FALSE,"SumD";#N/A,#N/A,FALSE,"ElecD";#N/A,#N/A,FALSE,"MechD";#N/A,#N/A,FALSE,"GeotD";#N/A,#N/A,FALSE,"PrcsD";#N/A,#N/A,FALSE,"TunnD";#N/A,#N/A,FALSE,"CivlD";#N/A,#N/A,FALSE,"NtwkD";#N/A,#N/A,FALSE,"EstgD";#N/A,#N/A,FALSE,"PEngD"}</definedName>
    <definedName name="__ccc1" hidden="1">{#N/A,#N/A,FALSE,"SumD";#N/A,#N/A,FALSE,"ElecD";#N/A,#N/A,FALSE,"MechD";#N/A,#N/A,FALSE,"GeotD";#N/A,#N/A,FALSE,"PrcsD";#N/A,#N/A,FALSE,"TunnD";#N/A,#N/A,FALSE,"CivlD";#N/A,#N/A,FALSE,"NtwkD";#N/A,#N/A,FALSE,"EstgD";#N/A,#N/A,FALSE,"PEngD"}</definedName>
    <definedName name="__ccc2" hidden="1">{#N/A,#N/A,FALSE,"SumD";#N/A,#N/A,FALSE,"ElecD";#N/A,#N/A,FALSE,"MechD";#N/A,#N/A,FALSE,"GeotD";#N/A,#N/A,FALSE,"PrcsD";#N/A,#N/A,FALSE,"TunnD";#N/A,#N/A,FALSE,"CivlD";#N/A,#N/A,FALSE,"NtwkD";#N/A,#N/A,FALSE,"EstgD";#N/A,#N/A,FALSE,"PEngD"}</definedName>
    <definedName name="__com2" hidden="1">{"'Break down'!$A$4"}</definedName>
    <definedName name="__hp10" hidden="1">{#N/A,#N/A,TRUE,"Front";#N/A,#N/A,TRUE,"Simple Letter";#N/A,#N/A,TRUE,"Inside";#N/A,#N/A,TRUE,"Contents";#N/A,#N/A,TRUE,"Basis";#N/A,#N/A,TRUE,"Inclusions";#N/A,#N/A,TRUE,"Exclusions";#N/A,#N/A,TRUE,"Areas";#N/A,#N/A,TRUE,"Summary";#N/A,#N/A,TRUE,"Detail"}</definedName>
    <definedName name="__may1" hidden="1">{#N/A,#N/A,FALSE,"MARCH"}</definedName>
    <definedName name="__RUN1">#N/A</definedName>
    <definedName name="_1_13">NA()</definedName>
    <definedName name="_12">#N/A</definedName>
    <definedName name="_13">#N/A</definedName>
    <definedName name="_14">#N/A</definedName>
    <definedName name="_15">#N/A</definedName>
    <definedName name="_16">#N/A</definedName>
    <definedName name="_17">#N/A</definedName>
    <definedName name="_18">#N/A</definedName>
    <definedName name="_19">#N/A</definedName>
    <definedName name="_2_13">NA()</definedName>
    <definedName name="_20">#N/A</definedName>
    <definedName name="_21">#N/A</definedName>
    <definedName name="_23">#N/A</definedName>
    <definedName name="_24">#N/A</definedName>
    <definedName name="_25">#N/A</definedName>
    <definedName name="_26">#N/A</definedName>
    <definedName name="_27">#N/A</definedName>
    <definedName name="_28">#N/A</definedName>
    <definedName name="_29">#N/A</definedName>
    <definedName name="_3_13">NA()</definedName>
    <definedName name="_30">#N/A</definedName>
    <definedName name="_31">#N/A</definedName>
    <definedName name="_32">#N/A</definedName>
    <definedName name="_33">#N/A</definedName>
    <definedName name="_34">#N/A</definedName>
    <definedName name="_35">#N/A</definedName>
    <definedName name="_36">#N/A</definedName>
    <definedName name="_37">#N/A</definedName>
    <definedName name="_38">#N/A</definedName>
    <definedName name="_39">#N/A</definedName>
    <definedName name="_4_13">NA()</definedName>
    <definedName name="_40">#N/A</definedName>
    <definedName name="_41">#N/A</definedName>
    <definedName name="_42">#N/A</definedName>
    <definedName name="_43">#N/A</definedName>
    <definedName name="_44">#N/A</definedName>
    <definedName name="_45">#N/A</definedName>
    <definedName name="_46">#N/A</definedName>
    <definedName name="_47">#N/A</definedName>
    <definedName name="_48">#N/A</definedName>
    <definedName name="_49">#N/A</definedName>
    <definedName name="_5_13">NA()</definedName>
    <definedName name="_50">#N/A</definedName>
    <definedName name="_51">#N/A</definedName>
    <definedName name="_52">#N/A</definedName>
    <definedName name="_53">#N/A</definedName>
    <definedName name="_54">#N/A</definedName>
    <definedName name="_55">#N/A</definedName>
    <definedName name="_56">#N/A</definedName>
    <definedName name="_57">#N/A</definedName>
    <definedName name="_58">#N/A</definedName>
    <definedName name="_59">#N/A</definedName>
    <definedName name="_6_13">NA()</definedName>
    <definedName name="_60">#N/A</definedName>
    <definedName name="_61">#N/A</definedName>
    <definedName name="_62">#N/A</definedName>
    <definedName name="_63">#N/A</definedName>
    <definedName name="_64">#N/A</definedName>
    <definedName name="_65">#N/A</definedName>
    <definedName name="_66">#N/A</definedName>
    <definedName name="_67">#N/A</definedName>
    <definedName name="_68">#N/A</definedName>
    <definedName name="_69">#N/A</definedName>
    <definedName name="_7_13">NA()</definedName>
    <definedName name="_70">#N/A</definedName>
    <definedName name="_71">#N/A</definedName>
    <definedName name="_72">#N/A</definedName>
    <definedName name="_73">#N/A</definedName>
    <definedName name="_74">#N/A</definedName>
    <definedName name="_75">#N/A</definedName>
    <definedName name="_76">#N/A</definedName>
    <definedName name="_77">#N/A</definedName>
    <definedName name="_78">#N/A</definedName>
    <definedName name="_79">#N/A</definedName>
    <definedName name="_80">#N/A</definedName>
    <definedName name="_81">#N/A</definedName>
    <definedName name="_82">#N/A</definedName>
    <definedName name="_83">#N/A</definedName>
    <definedName name="_84">#N/A</definedName>
    <definedName name="_85">#N/A</definedName>
    <definedName name="_86">#N/A</definedName>
    <definedName name="_87">#N/A</definedName>
    <definedName name="_88">#N/A</definedName>
    <definedName name="_89">#N/A</definedName>
    <definedName name="_90">#N/A</definedName>
    <definedName name="_91">#N/A</definedName>
    <definedName name="_92">#N/A</definedName>
    <definedName name="_93">#N/A</definedName>
    <definedName name="_94">#N/A</definedName>
    <definedName name="_95">#N/A</definedName>
    <definedName name="_96">#N/A</definedName>
    <definedName name="_97">#N/A</definedName>
    <definedName name="_98">#N/A</definedName>
    <definedName name="_99">#N/A</definedName>
    <definedName name="_AA3" hidden="1">{"Total Indirect Manpower",#N/A,FALSE,"J";"Total Direct Manpower",#N/A,FALSE,"J";"Direct Structural Manpower",#N/A,FALSE,"J";"Direct Mechanical Manpower",#N/A,FALSE,"J";"Direct Piping Manpower",#N/A,FALSE,"J";"Direct Tanks Manpower",#N/A,FALSE,"J";"Direct ElecInstrSS Manpower",#N/A,FALSE,"J"}</definedName>
    <definedName name="_act1" hidden="1">{#N/A,#N/A,FALSE,"WRSUMMARY";#N/A,#N/A,FALSE,"ANNEX-1";#N/A,#N/A,FALSE,"ANNEX-2";#N/A,#N/A,FALSE,"ANNEX-3";#N/A,#N/A,FALSE,"WORKING"}</definedName>
    <definedName name="_act2" hidden="1">{#N/A,#N/A,FALSE,"WRSUMMARY";#N/A,#N/A,FALSE,"ANNEX-1";#N/A,#N/A,FALSE,"ANNEX-2";#N/A,#N/A,FALSE,"ANNEX-3";#N/A,#N/A,FALSE,"WORKING"}</definedName>
    <definedName name="_AtRisk_SimSetting_MacroRecalculationBehavior" hidden="1">0</definedName>
    <definedName name="_AtRisk_SimSetting_ShowSimulationProgressWindow" hidden="1">TRUE</definedName>
    <definedName name="_AtRisk_SimSetting_StdRecalcActiveSimulationNumber" hidden="1">1</definedName>
    <definedName name="_B">#N/A</definedName>
    <definedName name="_com2" hidden="1">{"'Break down'!$A$4"}</definedName>
    <definedName name="_may1" hidden="1">{#N/A,#N/A,FALSE,"MARCH"}</definedName>
    <definedName name="_RUN1">#N/A</definedName>
    <definedName name="_S">#N/A</definedName>
    <definedName name="_WP105" hidden="1">{"Summary",#N/A,TRUE,"Summary";"Cost Plan",#N/A,TRUE,"Cost Plan"}</definedName>
    <definedName name="aaaaaaaaa" hidden="1">{#N/A,#N/A,FALSE,"SumD";#N/A,#N/A,FALSE,"ElecD";#N/A,#N/A,FALSE,"MechD";#N/A,#N/A,FALSE,"GeotD";#N/A,#N/A,FALSE,"PrcsD";#N/A,#N/A,FALSE,"TunnD";#N/A,#N/A,FALSE,"CivlD";#N/A,#N/A,FALSE,"NtwkD";#N/A,#N/A,FALSE,"EstgD";#N/A,#N/A,FALSE,"PEngD"}</definedName>
    <definedName name="aaaaaaaaaaa" hidden="1">{#N/A,#N/A,FALSE,"SITE NUMBERS 1995"}</definedName>
    <definedName name="aaaaaaaaaaaaaa" hidden="1">{#N/A,#N/A,FALSE,"ORGANISATION"}</definedName>
    <definedName name="aas" hidden="1">{"cost",#N/A,FALSE,"B";"Sum",#N/A,FALSE,"C";"Sal1",#N/A,FALSE,"D";"Sal2",#N/A,FALSE,"D";"Mob",#N/A,FALSE,"E";"Eqpcst1",#N/A,FALSE,"F";"Eqpcst2",#N/A,FALSE,"F";"Eqpcst3",#N/A,FALSE,"F";"Est1",#N/A,FALSE,"G";"Est2",#N/A,FALSE,"G";"Fin",#N/A,FALSE,"H";"EqpCal",#N/A,FALSE,"I";"ManCal1",#N/A,FALSE,"J";"ManCal2",#N/A,FALSE,"J";"Consm",#N/A,FALSE,"L";"B O",#N/A,FALSE,"M";"S C",#N/A,FALSE,"N"}</definedName>
    <definedName name="abcdef" hidden="1">{"Cost Summary",#N/A,FALSE,"B";"Cost Detail 1",#N/A,FALSE,"C";"Cost Detail 2",#N/A,FALSE,"C"}</definedName>
    <definedName name="ACCNT_51.1">#N/A</definedName>
    <definedName name="ACCNT_51.2">#N/A</definedName>
    <definedName name="ACCNT_51.4">#N/A</definedName>
    <definedName name="ACCNT_51.5">#N/A</definedName>
    <definedName name="ACCNT_54.09">#N/A</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 hidden="1">{#N/A,#N/A,FALSE,"WRSUMMARY";#N/A,#N/A,FALSE,"ANNEX-1";#N/A,#N/A,FALSE,"ANNEX-2";#N/A,#N/A,FALSE,"ANNEX-3";#N/A,#N/A,FALSE,"WORKING"}</definedName>
    <definedName name="addd" hidden="1">{#N/A,#N/A,TRUE,"Cover";#N/A,#N/A,TRUE,"Conts";#N/A,#N/A,TRUE,"VOS";#N/A,#N/A,TRUE,"Warrington";#N/A,#N/A,TRUE,"Widnes"}</definedName>
    <definedName name="ADDROW">#N/A</definedName>
    <definedName name="ADDROW1">#N/A</definedName>
    <definedName name="ADDROW10">#N/A</definedName>
    <definedName name="ADDROW2">#N/A</definedName>
    <definedName name="ADDROW3">#N/A</definedName>
    <definedName name="ADDROW4">#N/A</definedName>
    <definedName name="ADDROW5">#N/A</definedName>
    <definedName name="ADDROW6">#N/A</definedName>
    <definedName name="ADDROW7">#N/A</definedName>
    <definedName name="ADDROW8">#N/A</definedName>
    <definedName name="ADDROW9">#N/A</definedName>
    <definedName name="adf" hidden="1">{"'Break down'!$A$4"}</definedName>
    <definedName name="adfg" hidden="1">{"'Break down'!$A$4"}</definedName>
    <definedName name="ADMINADJ">#N/A</definedName>
    <definedName name="ADMINBM">#N/A</definedName>
    <definedName name="ADMINEC">#N/A</definedName>
    <definedName name="ADMINSC">#N/A</definedName>
    <definedName name="afd" hidden="1">{#N/A,#N/A,FALSE,"WRSUMMARY";#N/A,#N/A,FALSE,"ANNEX-1";#N/A,#N/A,FALSE,"ANNEX-2";#N/A,#N/A,FALSE,"ANNEX-3";#N/A,#N/A,FALSE,"WORKING"}</definedName>
    <definedName name="afdggf" hidden="1">{"'Break down'!$A$4"}</definedName>
    <definedName name="amit" hidden="1">{"Cost Summary",#N/A,FALSE,"B";"Cost Detail 1",#N/A,FALSE,"C";"Cost Detail 2",#N/A,FALSE,"C"}</definedName>
    <definedName name="anitha" hidden="1">{"'Break down'!$A$4"}</definedName>
    <definedName name="apty" hidden="1">{#N/A,#N/A,FALSE,"WRSUMMARY";#N/A,#N/A,FALSE,"ANNEX-1";#N/A,#N/A,FALSE,"ANNEX-2";#N/A,#N/A,FALSE,"ANNEX-3";#N/A,#N/A,FALSE,"WORKING"}</definedName>
    <definedName name="aquatic" hidden="1">{"'Break down'!$A$4"}</definedName>
    <definedName name="aquatic1" hidden="1">{"'Break down'!$A$4"}</definedName>
    <definedName name="bct" hidden="1">{#N/A,#N/A,FALSE,"WRSUMMARY";#N/A,#N/A,FALSE,"ANNEX-1";#N/A,#N/A,FALSE,"ANNEX-2";#N/A,#N/A,FALSE,"ANNEX-3";#N/A,#N/A,FALSE,"WORKING"}</definedName>
    <definedName name="BLO_1">#N/A</definedName>
    <definedName name="boop" hidden="1">{"'Break down'!$A$4"}</definedName>
    <definedName name="BOP">#N/A</definedName>
    <definedName name="BOP40_HRS">#N/A</definedName>
    <definedName name="BOP40_LAB">#N/A</definedName>
    <definedName name="BOP40_MAT">#N/A</definedName>
    <definedName name="BOP40_S_C">#N/A</definedName>
    <definedName name="BOP40_SC">#N/A</definedName>
    <definedName name="BOP40_TOT">#N/A</definedName>
    <definedName name="BOPLAB">#N/A</definedName>
    <definedName name="BOPMAT">#N/A</definedName>
    <definedName name="bsss" hidden="1">{"'M'!$C$12:$D$12"}</definedName>
    <definedName name="BUDGETFUND">#N/A</definedName>
    <definedName name="BuiltIn_Print_Area___1___0">NA()</definedName>
    <definedName name="BuiltIn_Print_Area___2___0">NA()</definedName>
    <definedName name="BuiltIn_Print_Area___23">NA()</definedName>
    <definedName name="BuiltIn_Print_Area___23___0">NA()</definedName>
    <definedName name="BuiltIn_Print_Area___6">NA()</definedName>
    <definedName name="BuiltIn_Print_Area___6___0">NA()</definedName>
    <definedName name="BuiltIn_Print_Area___7___0">NA()</definedName>
    <definedName name="BuiltIn_Print_Titles___0___0___0___0">NA()</definedName>
    <definedName name="cashcomb" hidden="1">{"Cost Summary",#N/A,FALSE,"B";"Cost Detail 1",#N/A,FALSE,"C";"Cost Detail 2",#N/A,FALSE,"C"}</definedName>
    <definedName name="cesa" hidden="1">{#N/A,#N/A,FALSE,"VCR"}</definedName>
    <definedName name="CFCCCCC" hidden="1">{#N/A,#N/A,FALSE,"WRSUMMARY";#N/A,#N/A,FALSE,"ANNEX-1";#N/A,#N/A,FALSE,"ANNEX-2";#N/A,#N/A,FALSE,"ANNEX-3";#N/A,#N/A,FALSE,"WORKING"}</definedName>
    <definedName name="Cheadle" hidden="1">{"'Sheet1'!$A$1:$X$25"}</definedName>
    <definedName name="cliff"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CLVC3">0.1</definedName>
    <definedName name="CONTRACT_VALUE">441</definedName>
    <definedName name="CONTRAT_VALUE">441</definedName>
    <definedName name="copper_13">NA()</definedName>
    <definedName name="COSTADJ">#N/A</definedName>
    <definedName name="COSTBM">#N/A</definedName>
    <definedName name="COSTCOMP">#N/A</definedName>
    <definedName name="COSTCOMP1">#N/A</definedName>
    <definedName name="COSTCOMP2">#N/A</definedName>
    <definedName name="COSTEC">#N/A</definedName>
    <definedName name="COSTOFSALE">#N/A</definedName>
    <definedName name="COSTSC">#N/A</definedName>
    <definedName name="COUNT">#N/A</definedName>
    <definedName name="Cribbs" hidden="1">{"'Sheet1'!$A$1:$X$25"}</definedName>
    <definedName name="Cshhet" hidden="1">{"Cost Summary",#N/A,FALSE,"B";"Cost Detail 1",#N/A,FALSE,"C";"Cost Detail 2",#N/A,FALSE,"C"}</definedName>
    <definedName name="CSIL_BOP">#N/A</definedName>
    <definedName name="CSIL_YD">#N/A</definedName>
    <definedName name="cvbcvbc" hidden="1">{#N/A,#N/A,FALSE,"WBS 1.06";#N/A,#N/A,FALSE,"WBS 1.14";#N/A,#N/A,FALSE,"WBS 1.17";#N/A,#N/A,FALSE,"WBS 1.18"}</definedName>
    <definedName name="CVL_FAC">#N/A</definedName>
    <definedName name="cvnvbnvb" hidden="1">{#N/A,#N/A,FALSE,"WBS 1.06";#N/A,#N/A,FALSE,"WBS 1.14";#N/A,#N/A,FALSE,"WBS 1.17";#N/A,#N/A,FALSE,"WBS 1.18"}</definedName>
    <definedName name="Dad" hidden="1">{#N/A,#N/A,FALSE,"MARCH"}</definedName>
    <definedName name="Daywork1" hidden="1">{#N/A,#N/A,FALSE,"MARCH"}</definedName>
    <definedName name="dddddz" hidden="1">{#N/A,#N/A,FALSE,"SumD";#N/A,#N/A,FALSE,"ElecD";#N/A,#N/A,FALSE,"MechD";#N/A,#N/A,FALSE,"GeotD";#N/A,#N/A,FALSE,"PrcsD";#N/A,#N/A,FALSE,"TunnD";#N/A,#N/A,FALSE,"CivlD";#N/A,#N/A,FALSE,"NtwkD";#N/A,#N/A,FALSE,"EstgD";#N/A,#N/A,FALSE,"PEngD"}</definedName>
    <definedName name="Delshan" hidden="1">{#N/A,#N/A,FALSE,"VCR"}</definedName>
    <definedName name="DEMOB"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DETAIL_COMP">#N/A</definedName>
    <definedName name="dfdsfs" hidden="1">{#N/A,#N/A,FALSE,"WBS 1.06";#N/A,#N/A,FALSE,"WBS 1.14";#N/A,#N/A,FALSE,"WBS 1.17";#N/A,#N/A,FALSE,"WBS 1.18"}</definedName>
    <definedName name="dfffff" hidden="1">{#N/A,#N/A,FALSE,"SumG";#N/A,#N/A,FALSE,"ElecG";#N/A,#N/A,FALSE,"MechG";#N/A,#N/A,FALSE,"GeotG";#N/A,#N/A,FALSE,"PrcsG";#N/A,#N/A,FALSE,"TunnG";#N/A,#N/A,FALSE,"CivlG";#N/A,#N/A,FALSE,"NtwkG";#N/A,#N/A,FALSE,"EstgG";#N/A,#N/A,FALSE,"PEngG"}</definedName>
    <definedName name="dfffffz" hidden="1">{#N/A,#N/A,FALSE,"SumG";#N/A,#N/A,FALSE,"ElecG";#N/A,#N/A,FALSE,"MechG";#N/A,#N/A,FALSE,"GeotG";#N/A,#N/A,FALSE,"PrcsG";#N/A,#N/A,FALSE,"TunnG";#N/A,#N/A,FALSE,"CivlG";#N/A,#N/A,FALSE,"NtwkG";#N/A,#N/A,FALSE,"EstgG";#N/A,#N/A,FALSE,"PEngG"}</definedName>
    <definedName name="dfgsdfg" hidden="1">{#N/A,#N/A,FALSE,"SumD";#N/A,#N/A,FALSE,"ElecD";#N/A,#N/A,FALSE,"MechD";#N/A,#N/A,FALSE,"GeotD";#N/A,#N/A,FALSE,"PrcsD";#N/A,#N/A,FALSE,"TunnD";#N/A,#N/A,FALSE,"CivlD";#N/A,#N/A,FALSE,"NtwkD";#N/A,#N/A,FALSE,"EstgD";#N/A,#N/A,FALSE,"PEngD"}</definedName>
    <definedName name="DFGTAETETYER" hidden="1">{"'Break down'!$A$4"}</definedName>
    <definedName name="dgfd" hidden="1">{#N/A,#N/A,FALSE,"SumG";#N/A,#N/A,FALSE,"ElecG";#N/A,#N/A,FALSE,"MechG";#N/A,#N/A,FALSE,"GeotG";#N/A,#N/A,FALSE,"PrcsG";#N/A,#N/A,FALSE,"TunnG";#N/A,#N/A,FALSE,"CivlG";#N/A,#N/A,FALSE,"NtwkG";#N/A,#N/A,FALSE,"EstgG";#N/A,#N/A,FALSE,"PEngG"}</definedName>
    <definedName name="dgfdz" hidden="1">{#N/A,#N/A,FALSE,"SumG";#N/A,#N/A,FALSE,"ElecG";#N/A,#N/A,FALSE,"MechG";#N/A,#N/A,FALSE,"GeotG";#N/A,#N/A,FALSE,"PrcsG";#N/A,#N/A,FALSE,"TunnG";#N/A,#N/A,FALSE,"CivlG";#N/A,#N/A,FALSE,"NtwkG";#N/A,#N/A,FALSE,"EstgG";#N/A,#N/A,FALSE,"PEngG"}</definedName>
    <definedName name="dgfshfj" hidden="1">{"'Break down'!$A$4"}</definedName>
    <definedName name="direct1" hidden="1">{"Cost Summary",#N/A,FALSE,"B";"Cost Detail 1",#N/A,FALSE,"C";"Cost Detail 2",#N/A,FALSE,"C"}</definedName>
    <definedName name="direct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direct3" hidden="1">{"Cost Summary",#N/A,FALSE,"B";"Cost Detail 1",#N/A,FALSE,"C";"Cost Detail 2",#N/A,FALSE,"C"}</definedName>
    <definedName name="direct4" hidden="1">{"Cost Summary",#N/A,FALSE,"B";"Cost Detail 1",#N/A,FALSE,"C";"Cost Detail 2",#N/A,FALSE,"C"}</definedName>
    <definedName name="DIRECTADJ">#N/A</definedName>
    <definedName name="DIRECTBM">#N/A</definedName>
    <definedName name="DIRECTEC">#N/A</definedName>
    <definedName name="directmanpower" hidden="1">{"Total Indirect Manpower",#N/A,FALSE,"J";"Total Direct Manpower",#N/A,FALSE,"J";"Direct Structural Manpower",#N/A,FALSE,"J";"Direct Mechanical Manpower",#N/A,FALSE,"J";"Direct Piping Manpower",#N/A,FALSE,"J";"Direct Tanks Manpower",#N/A,FALSE,"J";"Direct ElecInstrSS Manpower",#N/A,FALSE,"J"}</definedName>
    <definedName name="DIRECTSC">#N/A</definedName>
    <definedName name="DONE1">#N/A</definedName>
    <definedName name="DONE2">#N/A</definedName>
    <definedName name="dqw" hidden="1">{"Cost Summary",#N/A,FALSE,"B";"Cost Detail 1",#N/A,FALSE,"C";"Cost Detail 2",#N/A,FALSE,"C"}</definedName>
    <definedName name="dsfgdsfg" hidden="1">{#N/A,#N/A,FALSE,"SumD";#N/A,#N/A,FALSE,"ElecD";#N/A,#N/A,FALSE,"MechD";#N/A,#N/A,FALSE,"GeotD";#N/A,#N/A,FALSE,"PrcsD";#N/A,#N/A,FALSE,"TunnD";#N/A,#N/A,FALSE,"CivlD";#N/A,#N/A,FALSE,"NtwkD";#N/A,#N/A,FALSE,"EstgD";#N/A,#N/A,FALSE,"PEngD"}</definedName>
    <definedName name="dsfgsdfg" hidden="1">{#N/A,#N/A,FALSE,"SumG";#N/A,#N/A,FALSE,"ElecG";#N/A,#N/A,FALSE,"MechG";#N/A,#N/A,FALSE,"GeotG";#N/A,#N/A,FALSE,"PrcsG";#N/A,#N/A,FALSE,"TunnG";#N/A,#N/A,FALSE,"CivlG";#N/A,#N/A,FALSE,"NtwkG";#N/A,#N/A,FALSE,"EstgG";#N/A,#N/A,FALSE,"PEngG"}</definedName>
    <definedName name="DSUM">#N/A</definedName>
    <definedName name="dtngn" hidden="1">{"'Break down'!$A$4"}</definedName>
    <definedName name="dvbgf" hidden="1">{#N/A,#N/A,FALSE,"SumD";#N/A,#N/A,FALSE,"ElecD";#N/A,#N/A,FALSE,"MechD";#N/A,#N/A,FALSE,"GeotD";#N/A,#N/A,FALSE,"PrcsD";#N/A,#N/A,FALSE,"TunnD";#N/A,#N/A,FALSE,"CivlD";#N/A,#N/A,FALSE,"NtwkD";#N/A,#N/A,FALSE,"EstgD";#N/A,#N/A,FALSE,"PEngD"}</definedName>
    <definedName name="dvbgfz" hidden="1">{#N/A,#N/A,FALSE,"SumD";#N/A,#N/A,FALSE,"ElecD";#N/A,#N/A,FALSE,"MechD";#N/A,#N/A,FALSE,"GeotD";#N/A,#N/A,FALSE,"PrcsD";#N/A,#N/A,FALSE,"TunnD";#N/A,#N/A,FALSE,"CivlD";#N/A,#N/A,FALSE,"NtwkD";#N/A,#N/A,FALSE,"EstgD";#N/A,#N/A,FALSE,"PEngD"}</definedName>
    <definedName name="eez" hidden="1">{#N/A,#N/A,FALSE,"SumG";#N/A,#N/A,FALSE,"ElecG";#N/A,#N/A,FALSE,"MechG";#N/A,#N/A,FALSE,"GeotG";#N/A,#N/A,FALSE,"PrcsG";#N/A,#N/A,FALSE,"TunnG";#N/A,#N/A,FALSE,"CivlG";#N/A,#N/A,FALSE,"NtwkG";#N/A,#N/A,FALSE,"EstgG";#N/A,#N/A,FALSE,"PEngG"}</definedName>
    <definedName name="Ele" hidden="1">{"'Break down'!$A$4"}</definedName>
    <definedName name="erz" hidden="1">{#N/A,#N/A,FALSE,"SumG";#N/A,#N/A,FALSE,"ElecG";#N/A,#N/A,FALSE,"MechG";#N/A,#N/A,FALSE,"GeotG";#N/A,#N/A,FALSE,"PrcsG";#N/A,#N/A,FALSE,"TunnG";#N/A,#N/A,FALSE,"CivlG";#N/A,#N/A,FALSE,"NtwkG";#N/A,#N/A,FALSE,"EstgG";#N/A,#N/A,FALSE,"PEngG"}</definedName>
    <definedName name="eyt" hidden="1">{"'Break down'!$A$4"}</definedName>
    <definedName name="fajfkj" hidden="1">{"'Break down'!$A$4"}</definedName>
    <definedName name="fasfdsaf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fdff" hidden="1">{#N/A,#N/A,FALSE,"SumG";#N/A,#N/A,FALSE,"ElecG";#N/A,#N/A,FALSE,"MechG";#N/A,#N/A,FALSE,"GeotG";#N/A,#N/A,FALSE,"PrcsG";#N/A,#N/A,FALSE,"TunnG";#N/A,#N/A,FALSE,"CivlG";#N/A,#N/A,FALSE,"NtwkG";#N/A,#N/A,FALSE,"EstgG";#N/A,#N/A,FALSE,"PEngG"}</definedName>
    <definedName name="fdffz" hidden="1">{#N/A,#N/A,FALSE,"SumG";#N/A,#N/A,FALSE,"ElecG";#N/A,#N/A,FALSE,"MechG";#N/A,#N/A,FALSE,"GeotG";#N/A,#N/A,FALSE,"PrcsG";#N/A,#N/A,FALSE,"TunnG";#N/A,#N/A,FALSE,"CivlG";#N/A,#N/A,FALSE,"NtwkG";#N/A,#N/A,FALSE,"EstgG";#N/A,#N/A,FALSE,"PEngG"}</definedName>
    <definedName name="fdsgw" hidden="1">{#N/A,#N/A,FALSE,"SumD";#N/A,#N/A,FALSE,"ElecD";#N/A,#N/A,FALSE,"MechD";#N/A,#N/A,FALSE,"GeotD";#N/A,#N/A,FALSE,"PrcsD";#N/A,#N/A,FALSE,"TunnD";#N/A,#N/A,FALSE,"CivlD";#N/A,#N/A,FALSE,"NtwkD";#N/A,#N/A,FALSE,"EstgD";#N/A,#N/A,FALSE,"PEngD"}</definedName>
    <definedName name="Fffef" hidden="1">{#N/A,#N/A,FALSE,"MARCH"}</definedName>
    <definedName name="fffffffff" hidden="1">{#N/A,#N/A,FALSE,"SumD";#N/A,#N/A,FALSE,"ElecD";#N/A,#N/A,FALSE,"MechD";#N/A,#N/A,FALSE,"GeotD";#N/A,#N/A,FALSE,"PrcsD";#N/A,#N/A,FALSE,"TunnD";#N/A,#N/A,FALSE,"CivlD";#N/A,#N/A,FALSE,"NtwkD";#N/A,#N/A,FALSE,"EstgD";#N/A,#N/A,FALSE,"PEngD"}</definedName>
    <definedName name="ffffffffffffff" hidden="1">{#N/A,#N/A,FALSE,"SumG";#N/A,#N/A,FALSE,"ElecG";#N/A,#N/A,FALSE,"MechG";#N/A,#N/A,FALSE,"GeotG";#N/A,#N/A,FALSE,"PrcsG";#N/A,#N/A,FALSE,"TunnG";#N/A,#N/A,FALSE,"CivlG";#N/A,#N/A,FALSE,"NtwkG";#N/A,#N/A,FALSE,"EstgG";#N/A,#N/A,FALSE,"PEngG"}</definedName>
    <definedName name="ffffffffffffffff" hidden="1">{#N/A,#N/A,FALSE,"SumD";#N/A,#N/A,FALSE,"ElecD";#N/A,#N/A,FALSE,"MechD";#N/A,#N/A,FALSE,"GeotD";#N/A,#N/A,FALSE,"PrcsD";#N/A,#N/A,FALSE,"TunnD";#N/A,#N/A,FALSE,"CivlD";#N/A,#N/A,FALSE,"NtwkD";#N/A,#N/A,FALSE,"EstgD";#N/A,#N/A,FALSE,"PEngD"}</definedName>
    <definedName name="fffffffffffffffffffff" hidden="1">{#N/A,#N/A,FALSE,"SumD";#N/A,#N/A,FALSE,"ElecD";#N/A,#N/A,FALSE,"MechD";#N/A,#N/A,FALSE,"GeotD";#N/A,#N/A,FALSE,"PrcsD";#N/A,#N/A,FALSE,"TunnD";#N/A,#N/A,FALSE,"CivlD";#N/A,#N/A,FALSE,"NtwkD";#N/A,#N/A,FALSE,"EstgD";#N/A,#N/A,FALSE,"PEngD"}</definedName>
    <definedName name="fffffffffffffffffffffff" hidden="1">{#N/A,#N/A,FALSE,"SumD";#N/A,#N/A,FALSE,"ElecD";#N/A,#N/A,FALSE,"MechD";#N/A,#N/A,FALSE,"GeotD";#N/A,#N/A,FALSE,"PrcsD";#N/A,#N/A,FALSE,"TunnD";#N/A,#N/A,FALSE,"CivlD";#N/A,#N/A,FALSE,"NtwkD";#N/A,#N/A,FALSE,"EstgD";#N/A,#N/A,FALSE,"PEngD"}</definedName>
    <definedName name="ffffffffffffffffffffffffffff" hidden="1">{#N/A,#N/A,FALSE,"SumD";#N/A,#N/A,FALSE,"ElecD";#N/A,#N/A,FALSE,"MechD";#N/A,#N/A,FALSE,"GeotD";#N/A,#N/A,FALSE,"PrcsD";#N/A,#N/A,FALSE,"TunnD";#N/A,#N/A,FALSE,"CivlD";#N/A,#N/A,FALSE,"NtwkD";#N/A,#N/A,FALSE,"EstgD";#N/A,#N/A,FALSE,"PEngD"}</definedName>
    <definedName name="ffffffffffffffffffffffffffffffffffff" hidden="1">{#N/A,#N/A,FALSE,"SumG";#N/A,#N/A,FALSE,"ElecG";#N/A,#N/A,FALSE,"MechG";#N/A,#N/A,FALSE,"GeotG";#N/A,#N/A,FALSE,"PrcsG";#N/A,#N/A,FALSE,"TunnG";#N/A,#N/A,FALSE,"CivlG";#N/A,#N/A,FALSE,"NtwkG";#N/A,#N/A,FALSE,"EstgG";#N/A,#N/A,FALSE,"PEngG"}</definedName>
    <definedName name="ffz"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dfgz" hidden="1">{#N/A,#N/A,FALSE,"SumD";#N/A,#N/A,FALSE,"ElecD";#N/A,#N/A,FALSE,"MechD";#N/A,#N/A,FALSE,"GeotD";#N/A,#N/A,FALSE,"PrcsD";#N/A,#N/A,FALSE,"TunnD";#N/A,#N/A,FALSE,"CivlD";#N/A,#N/A,FALSE,"NtwkD";#N/A,#N/A,FALSE,"EstgD";#N/A,#N/A,FALSE,"PEngD"}</definedName>
    <definedName name="fgfdgz" hidden="1">{#N/A,#N/A,FALSE,"SumG";#N/A,#N/A,FALSE,"ElecG";#N/A,#N/A,FALSE,"MechG";#N/A,#N/A,FALSE,"GeotG";#N/A,#N/A,FALSE,"PrcsG";#N/A,#N/A,FALSE,"TunnG";#N/A,#N/A,FALSE,"CivlG";#N/A,#N/A,FALSE,"NtwkG";#N/A,#N/A,FALSE,"EstgG";#N/A,#N/A,FALSE,"PEngG"}</definedName>
    <definedName name="fghfg" hidden="1">{#N/A,#N/A,FALSE,"SumD";#N/A,#N/A,FALSE,"ElecD";#N/A,#N/A,FALSE,"MechD";#N/A,#N/A,FALSE,"GeotD";#N/A,#N/A,FALSE,"PrcsD";#N/A,#N/A,FALSE,"TunnD";#N/A,#N/A,FALSE,"CivlD";#N/A,#N/A,FALSE,"NtwkD";#N/A,#N/A,FALSE,"EstgD";#N/A,#N/A,FALSE,"PEngD"}</definedName>
    <definedName name="fghfgz"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hhz" hidden="1">{#N/A,#N/A,FALSE,"SumD";#N/A,#N/A,FALSE,"ElecD";#N/A,#N/A,FALSE,"MechD";#N/A,#N/A,FALSE,"GeotD";#N/A,#N/A,FALSE,"PrcsD";#N/A,#N/A,FALSE,"TunnD";#N/A,#N/A,FALSE,"CivlD";#N/A,#N/A,FALSE,"NtwkD";#N/A,#N/A,FALSE,"EstgD";#N/A,#N/A,FALSE,"PEngD"}</definedName>
    <definedName name="fgz" hidden="1">{#N/A,#N/A,FALSE,"SumG";#N/A,#N/A,FALSE,"ElecG";#N/A,#N/A,FALSE,"MechG";#N/A,#N/A,FALSE,"GeotG";#N/A,#N/A,FALSE,"PrcsG";#N/A,#N/A,FALSE,"TunnG";#N/A,#N/A,FALSE,"CivlG";#N/A,#N/A,FALSE,"NtwkG";#N/A,#N/A,FALSE,"EstgG";#N/A,#N/A,FALSE,"PEngG"}</definedName>
    <definedName name="FINADJ">#N/A</definedName>
    <definedName name="FINBM">#N/A</definedName>
    <definedName name="FINEC">#N/A</definedName>
    <definedName name="finishes" hidden="1">{"'Break down'!$A$4"}</definedName>
    <definedName name="FINSC">#N/A</definedName>
    <definedName name="fiyu" hidden="1">{"'Break down'!$A$4"}</definedName>
    <definedName name="fqwettqwtq" hidden="1">{#N/A,#N/A,FALSE,"MARCH"}</definedName>
    <definedName name="FReport5" hidden="1">{#N/A,#N/A,FALSE,"MARCH"}</definedName>
    <definedName name="Fund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gen" hidden="1">{#N/A,#N/A,FALSE,"MAINTENANCE"}</definedName>
    <definedName name="gfdgfdg" hidden="1">{#N/A,#N/A,FALSE,"SumD";#N/A,#N/A,FALSE,"ElecD";#N/A,#N/A,FALSE,"MechD";#N/A,#N/A,FALSE,"GeotD";#N/A,#N/A,FALSE,"PrcsD";#N/A,#N/A,FALSE,"TunnD";#N/A,#N/A,FALSE,"CivlD";#N/A,#N/A,FALSE,"NtwkD";#N/A,#N/A,FALSE,"EstgD";#N/A,#N/A,FALSE,"PEngD"}</definedName>
    <definedName name="gfdgfdgz"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hidden="1">{#N/A,#N/A,FALSE,"SumG";#N/A,#N/A,FALSE,"ElecG";#N/A,#N/A,FALSE,"MechG";#N/A,#N/A,FALSE,"GeotG";#N/A,#N/A,FALSE,"PrcsG";#N/A,#N/A,FALSE,"TunnG";#N/A,#N/A,FALSE,"CivlG";#N/A,#N/A,FALSE,"NtwkG";#N/A,#N/A,FALSE,"EstgG";#N/A,#N/A,FALSE,"PEngG"}</definedName>
    <definedName name="gfgfgfgssz" hidden="1">{#N/A,#N/A,FALSE,"SumG";#N/A,#N/A,FALSE,"ElecG";#N/A,#N/A,FALSE,"MechG";#N/A,#N/A,FALSE,"GeotG";#N/A,#N/A,FALSE,"PrcsG";#N/A,#N/A,FALSE,"TunnG";#N/A,#N/A,FALSE,"CivlG";#N/A,#N/A,FALSE,"NtwkG";#N/A,#N/A,FALSE,"EstgG";#N/A,#N/A,FALSE,"PEngG"}</definedName>
    <definedName name="gfgfgfgz" hidden="1">{#N/A,#N/A,FALSE,"SumD";#N/A,#N/A,FALSE,"ElecD";#N/A,#N/A,FALSE,"MechD";#N/A,#N/A,FALSE,"GeotD";#N/A,#N/A,FALSE,"PrcsD";#N/A,#N/A,FALSE,"TunnD";#N/A,#N/A,FALSE,"CivlD";#N/A,#N/A,FALSE,"NtwkD";#N/A,#N/A,FALSE,"EstgD";#N/A,#N/A,FALSE,"PEngD"}</definedName>
    <definedName name="GGGGGG" hidden="1">{#N/A,#N/A,FALSE,"OAS";#N/A,#N/A,FALSE,"OBG";#N/A,#N/A,FALSE,"OCZ";#N/A,#N/A,FALSE,"OFR";#N/A,#N/A,FALSE,"OGR";#N/A,#N/A,FALSE,"OGY";#N/A,#N/A,FALSE,"OHY ";#N/A,#N/A,FALSE,"OLX";#N/A,#N/A,FALSE,"ONL";#N/A,#N/A,FALSE,"OPO";#N/A,#N/A,FALSE,"OPL";#N/A,#N/A,FALSE,"OSK";#N/A,#N/A,FALSE,"OSP";#N/A,#N/A,FALSE,"OSZ";#N/A,#N/A,FALSE,"OTU";#N/A,#N/A,FALSE,"OUK"}</definedName>
    <definedName name="ggggz" hidden="1">{#N/A,#N/A,FALSE,"SumD";#N/A,#N/A,FALSE,"ElecD";#N/A,#N/A,FALSE,"MechD";#N/A,#N/A,FALSE,"GeotD";#N/A,#N/A,FALSE,"PrcsD";#N/A,#N/A,FALSE,"TunnD";#N/A,#N/A,FALSE,"CivlD";#N/A,#N/A,FALSE,"NtwkD";#N/A,#N/A,FALSE,"EstgD";#N/A,#N/A,FALSE,"PEngD"}</definedName>
    <definedName name="ggz"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gggz" hidden="1">{#N/A,#N/A,FALSE,"SumG";#N/A,#N/A,FALSE,"ElecG";#N/A,#N/A,FALSE,"MechG";#N/A,#N/A,FALSE,"GeotG";#N/A,#N/A,FALSE,"PrcsG";#N/A,#N/A,FALSE,"TunnG";#N/A,#N/A,FALSE,"CivlG";#N/A,#N/A,FALSE,"NtwkG";#N/A,#N/A,FALSE,"EstgG";#N/A,#N/A,FALSE,"PEngG"}</definedName>
    <definedName name="gij" hidden="1">{"'Break down'!$A$4"}</definedName>
    <definedName name="GLC">#N/A</definedName>
    <definedName name="GLP_REV.2" hidden="1">{#N/A,#N/A,TRUE,"Equipment installation bm"}</definedName>
    <definedName name="GP" hidden="1">{#N/A,#N/A,FALSE,"WRSUMMARY";#N/A,#N/A,FALSE,"ANNEX-1";#N/A,#N/A,FALSE,"ANNEX-2";#N/A,#N/A,FALSE,"ANNEX-3";#N/A,#N/A,FALSE,"WORKING"}</definedName>
    <definedName name="GROUPSC">#N/A</definedName>
    <definedName name="GSTSYAEYAEYEYET" hidden="1">{"'Break down'!$A$4"}</definedName>
    <definedName name="GTG40_HRS">#N/A</definedName>
    <definedName name="GTG40_LAB">#N/A</definedName>
    <definedName name="GTG40_MAT">#N/A</definedName>
    <definedName name="GTG40_S_C">#N/A</definedName>
    <definedName name="GTG40_TOT">#N/A</definedName>
    <definedName name="Heä_soá_laép_xaø_H">1.7</definedName>
    <definedName name="HEADPS">#N/A</definedName>
    <definedName name="hgkhlh" hidden="1">{"'Break down'!$A$4"}</definedName>
    <definedName name="hhhhh" hidden="1">{#N/A,#N/A,FALSE,"SumG";#N/A,#N/A,FALSE,"ElecG";#N/A,#N/A,FALSE,"MechG";#N/A,#N/A,FALSE,"GeotG";#N/A,#N/A,FALSE,"PrcsG";#N/A,#N/A,FALSE,"TunnG";#N/A,#N/A,FALSE,"CivlG";#N/A,#N/A,FALSE,"NtwkG";#N/A,#N/A,FALSE,"EstgG";#N/A,#N/A,FALSE,"PEngG"}</definedName>
    <definedName name="hhhhhhh" hidden="1">{#N/A,#N/A,FALSE,"SumD";#N/A,#N/A,FALSE,"ElecD";#N/A,#N/A,FALSE,"MechD";#N/A,#N/A,FALSE,"GeotD";#N/A,#N/A,FALSE,"PrcsD";#N/A,#N/A,FALSE,"TunnD";#N/A,#N/A,FALSE,"CivlD";#N/A,#N/A,FALSE,"NtwkD";#N/A,#N/A,FALSE,"EstgD";#N/A,#N/A,FALSE,"PEngD"}</definedName>
    <definedName name="hhhhhhhh" hidden="1">{#N/A,#N/A,FALSE,"SumG";#N/A,#N/A,FALSE,"ElecG";#N/A,#N/A,FALSE,"MechG";#N/A,#N/A,FALSE,"GeotG";#N/A,#N/A,FALSE,"PrcsG";#N/A,#N/A,FALSE,"TunnG";#N/A,#N/A,FALSE,"CivlG";#N/A,#N/A,FALSE,"NtwkG";#N/A,#N/A,FALSE,"EstgG";#N/A,#N/A,FALSE,"PEngG"}</definedName>
    <definedName name="hhhhhhhhh" hidden="1">{#N/A,#N/A,FALSE,"SumG";#N/A,#N/A,FALSE,"ElecG";#N/A,#N/A,FALSE,"MechG";#N/A,#N/A,FALSE,"GeotG";#N/A,#N/A,FALSE,"PrcsG";#N/A,#N/A,FALSE,"TunnG";#N/A,#N/A,FALSE,"CivlG";#N/A,#N/A,FALSE,"NtwkG";#N/A,#N/A,FALSE,"EstgG";#N/A,#N/A,FALSE,"PEngG"}</definedName>
    <definedName name="hhhhhhhhhhhhhh" hidden="1">{#N/A,#N/A,FALSE,"SumG";#N/A,#N/A,FALSE,"ElecG";#N/A,#N/A,FALSE,"MechG";#N/A,#N/A,FALSE,"GeotG";#N/A,#N/A,FALSE,"PrcsG";#N/A,#N/A,FALSE,"TunnG";#N/A,#N/A,FALSE,"CivlG";#N/A,#N/A,FALSE,"NtwkG";#N/A,#N/A,FALSE,"EstgG";#N/A,#N/A,FALSE,"PEngG"}</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jk" hidden="1">{#N/A,#N/A,FALSE,"MARCH"}</definedName>
    <definedName name="HOUSEADJ">#N/A</definedName>
    <definedName name="HOUSEBM">#N/A</definedName>
    <definedName name="HOUSEEC">#N/A</definedName>
    <definedName name="HOUSESC">#N/A</definedName>
    <definedName name="HRSG30_HRS">#N/A</definedName>
    <definedName name="HRSG30_LAB">#N/A</definedName>
    <definedName name="HRSG30_MAT">#N/A</definedName>
    <definedName name="HRSG30_S_C">#N/A</definedName>
    <definedName name="HRSG30_TOT">#N/A</definedName>
    <definedName name="HSCT3">0.1</definedName>
    <definedName name="HSDN">2.5</definedName>
    <definedName name="hshfdssfsfd" hidden="1">{#N/A,#N/A,FALSE,"MAINTENANCE"}</definedName>
    <definedName name="HTML_OBDlg3" hidden="1">TRUE</definedName>
    <definedName name="HTML_PathTemplate" hidden="1">"C:\My Documents\HTMLTemp.htm"</definedName>
    <definedName name="hu" hidden="1">{"'Break down'!$A$4"}</definedName>
    <definedName name="hwk" hidden="1">{#N/A,#N/A,FALSE,"OAS";#N/A,#N/A,FALSE,"OBG";#N/A,#N/A,FALSE,"OCZ";#N/A,#N/A,FALSE,"OFR";#N/A,#N/A,FALSE,"OGR";#N/A,#N/A,FALSE,"OGY";#N/A,#N/A,FALSE,"OHY ";#N/A,#N/A,FALSE,"OLX";#N/A,#N/A,FALSE,"ONL";#N/A,#N/A,FALSE,"OPO";#N/A,#N/A,FALSE,"OPL";#N/A,#N/A,FALSE,"OSK";#N/A,#N/A,FALSE,"OSP";#N/A,#N/A,FALSE,"OSZ";#N/A,#N/A,FALSE,"OTU";#N/A,#N/A,FALSE,"OUK"}</definedName>
    <definedName name="i.d" hidden="1">{"'Break down'!$A$4"}</definedName>
    <definedName name="ijn" hidden="1">{#N/A,#N/A,FALSE,"MARCH"}</definedName>
    <definedName name="ING" hidden="1">{#N/A,#N/A,TRUE,"Front";#N/A,#N/A,TRUE,"Simple Letter";#N/A,#N/A,TRUE,"Inside";#N/A,#N/A,TRUE,"Contents";#N/A,#N/A,TRUE,"Basis";#N/A,#N/A,TRUE,"Inclusions";#N/A,#N/A,TRUE,"Exclusions";#N/A,#N/A,TRUE,"Areas";#N/A,#N/A,TRUE,"Summary";#N/A,#N/A,TRUE,"Detail"}</definedName>
    <definedName name="INSTALL_LINE">#N/A</definedName>
    <definedName name="intracs" hidden="1">{"cost",#N/A,FALSE,"B";"Sum",#N/A,FALSE,"C";"Sal1",#N/A,FALSE,"D";"Sal2",#N/A,FALSE,"D";"Mob",#N/A,FALSE,"E";"Eqpcst1",#N/A,FALSE,"F";"Eqpcst2",#N/A,FALSE,"F";"Eqpcst3",#N/A,FALSE,"F";"Est1",#N/A,FALSE,"G";"Est2",#N/A,FALSE,"G";"Fin",#N/A,FALSE,"H";"EqpCal",#N/A,FALSE,"I";"ManCal1",#N/A,FALSE,"J";"ManCal2",#N/A,FALSE,"J";"Consm",#N/A,FALSE,"L";"B O",#N/A,FALSE,"M";"S C",#N/A,FALSE,"N"}</definedName>
    <definedName name="jba" hidden="1">{"'M'!$C$12:$D$12"}</definedName>
    <definedName name="jhjdf" hidden="1">{"'Break down'!$A$4"}</definedName>
    <definedName name="jhz" hidden="1">{#N/A,#N/A,FALSE,"SumG";#N/A,#N/A,FALSE,"ElecG";#N/A,#N/A,FALSE,"MechG";#N/A,#N/A,FALSE,"GeotG";#N/A,#N/A,FALSE,"PrcsG";#N/A,#N/A,FALSE,"TunnG";#N/A,#N/A,FALSE,"CivlG";#N/A,#N/A,FALSE,"NtwkG";#N/A,#N/A,FALSE,"EstgG";#N/A,#N/A,FALSE,"PEngG"}</definedName>
    <definedName name="jo" hidden="1">{"'Break down'!$A$4"}</definedName>
    <definedName name="joy" hidden="1">{"'Break down'!$A$4"}</definedName>
    <definedName name="joyr" hidden="1">{"'Break down'!$A$4"}</definedName>
    <definedName name="kgj" hidden="1">{#N/A,#N/A,FALSE,"MARCH"}</definedName>
    <definedName name="kij" hidden="1">{#N/A,#N/A,FALSE,"MARCH"}</definedName>
    <definedName name="kjhkj" hidden="1">{#N/A,#N/A,FALSE,"SumG";#N/A,#N/A,FALSE,"ElecG";#N/A,#N/A,FALSE,"MechG";#N/A,#N/A,FALSE,"GeotG";#N/A,#N/A,FALSE,"PrcsG";#N/A,#N/A,FALSE,"TunnG";#N/A,#N/A,FALSE,"CivlG";#N/A,#N/A,FALSE,"NtwkG";#N/A,#N/A,FALSE,"EstgG";#N/A,#N/A,FALSE,"PEngG"}</definedName>
    <definedName name="kjhkjz" hidden="1">{#N/A,#N/A,FALSE,"SumG";#N/A,#N/A,FALSE,"ElecG";#N/A,#N/A,FALSE,"MechG";#N/A,#N/A,FALSE,"GeotG";#N/A,#N/A,FALSE,"PrcsG";#N/A,#N/A,FALSE,"TunnG";#N/A,#N/A,FALSE,"CivlG";#N/A,#N/A,FALSE,"NtwkG";#N/A,#N/A,FALSE,"EstgG";#N/A,#N/A,FALSE,"PEngG"}</definedName>
    <definedName name="kkz" hidden="1">{#N/A,#N/A,FALSE,"SumD";#N/A,#N/A,FALSE,"ElecD";#N/A,#N/A,FALSE,"MechD";#N/A,#N/A,FALSE,"GeotD";#N/A,#N/A,FALSE,"PrcsD";#N/A,#N/A,FALSE,"TunnD";#N/A,#N/A,FALSE,"CivlD";#N/A,#N/A,FALSE,"NtwkD";#N/A,#N/A,FALSE,"EstgD";#N/A,#N/A,FALSE,"PEngD"}</definedName>
    <definedName name="KO" hidden="1">{"'Break down'!$A$4"}</definedName>
    <definedName name="kol"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KW_MULT">#N/A</definedName>
    <definedName name="L1_TAB_3">NA()</definedName>
    <definedName name="L2_TAB_3">NA()</definedName>
    <definedName name="L3_TAB_3">NA()</definedName>
    <definedName name="L4_TAB_3">NA()</definedName>
    <definedName name="LANDADJ">#N/A</definedName>
    <definedName name="LANDBM">#N/A</definedName>
    <definedName name="LANDEC">#N/A</definedName>
    <definedName name="LANDSC">#N/A</definedName>
    <definedName name="ledger" hidden="1">{"'Break down'!$A$4"}</definedName>
    <definedName name="Ligin" hidden="1">{#N/A,#N/A,FALSE,"VCR"}</definedName>
    <definedName name="LINE3">#N/A</definedName>
    <definedName name="LINE5">#N/A</definedName>
    <definedName name="LINE6">#N/A</definedName>
    <definedName name="LINE7">#N/A</definedName>
    <definedName name="LINE8">#N/A</definedName>
    <definedName name="LINE9">#N/A</definedName>
    <definedName name="LKL" hidden="1">{#N/A,#N/A,FALSE,"SumG";#N/A,#N/A,FALSE,"ElecG";#N/A,#N/A,FALSE,"MechG";#N/A,#N/A,FALSE,"GeotG";#N/A,#N/A,FALSE,"PrcsG";#N/A,#N/A,FALSE,"TunnG";#N/A,#N/A,FALSE,"CivlG";#N/A,#N/A,FALSE,"NtwkG";#N/A,#N/A,FALSE,"EstgG";#N/A,#N/A,FALSE,"PEngG"}</definedName>
    <definedName name="lklz" hidden="1">{#N/A,#N/A,FALSE,"SumG";#N/A,#N/A,FALSE,"ElecG";#N/A,#N/A,FALSE,"MechG";#N/A,#N/A,FALSE,"GeotG";#N/A,#N/A,FALSE,"PrcsG";#N/A,#N/A,FALSE,"TunnG";#N/A,#N/A,FALSE,"CivlG";#N/A,#N/A,FALSE,"NtwkG";#N/A,#N/A,FALSE,"EstgG";#N/A,#N/A,FALSE,"PEngG"}</definedName>
    <definedName name="llz" hidden="1">{#N/A,#N/A,FALSE,"SumG";#N/A,#N/A,FALSE,"ElecG";#N/A,#N/A,FALSE,"MechG";#N/A,#N/A,FALSE,"GeotG";#N/A,#N/A,FALSE,"PrcsG";#N/A,#N/A,FALSE,"TunnG";#N/A,#N/A,FALSE,"CivlG";#N/A,#N/A,FALSE,"NtwkG";#N/A,#N/A,FALSE,"EstgG";#N/A,#N/A,FALSE,"PEngG"}</definedName>
    <definedName name="LM">#N/A</definedName>
    <definedName name="lmn" hidden="1">{"cost",#N/A,FALSE,"B";"Sum",#N/A,FALSE,"C";"Sal1",#N/A,FALSE,"D";"Sal2",#N/A,FALSE,"D";"Mob",#N/A,FALSE,"E";"Eqpcst1",#N/A,FALSE,"F";"Eqpcst2",#N/A,FALSE,"F";"Eqpcst3",#N/A,FALSE,"F";"Est1",#N/A,FALSE,"G";"Est2",#N/A,FALSE,"G";"Fin",#N/A,FALSE,"H";"EqpCal",#N/A,FALSE,"I";"ManCal1",#N/A,FALSE,"J";"ManCal2",#N/A,FALSE,"J";"Consm",#N/A,FALSE,"L";"B O",#N/A,FALSE,"M";"S C",#N/A,FALSE,"N"}</definedName>
    <definedName name="lo" hidden="1">{"b",#N/A,FALSE,"B";"C 1",#N/A,FALSE,"C";"C 2",#N/A,FALSE,"C";"D 1",#N/A,FALSE,"D";"d 2",#N/A,FALSE,"D";"D 3",#N/A,FALSE,"D";"E",#N/A,FALSE,"E";"F 1",#N/A,FALSE,"F";"F 2",#N/A,FALSE,"F";"F 3",#N/A,FALSE,"F";"G 1",#N/A,FALSE,"G";"G 2",#N/A,FALSE,"G";"I 1",#N/A,FALSE,"I";"J 1",#N/A,FALSE,"J";"J 2",#N/A,FALSE,"J";"L",#N/A,FALSE,"L";"M 1",#N/A,FALSE,"M";"N",#N/A,FALSE,"N"}</definedName>
    <definedName name="M_3">#N/A</definedName>
    <definedName name="MACRO_LST">#N/A</definedName>
    <definedName name="MACROS">#N/A</definedName>
    <definedName name="mag" hidden="1">{#N/A,#N/A,FALSE,"WRSUMMARY";#N/A,#N/A,FALSE,"ANNEX-1";#N/A,#N/A,FALSE,"ANNEX-2";#N/A,#N/A,FALSE,"ANNEX-3";#N/A,#N/A,FALSE,"WORKING"}</definedName>
    <definedName name="Man"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NPOWER2" hidden="1">{"Total Indirect Manpower",#N/A,FALSE,"J";"Total Direct Manpower",#N/A,FALSE,"J";"Direct Structural Manpower",#N/A,FALSE,"J";"Direct Mechanical Manpower",#N/A,FALSE,"J";"Direct Piping Manpower",#N/A,FALSE,"J";"Direct Tanks Manpower",#N/A,FALSE,"J";"Direct ElecInstrSS Manpower",#N/A,FALSE,"J"}</definedName>
    <definedName name="MARBLE" hidden="1">{#N/A,#N/A,FALSE,"SITE NUMBERS 1995"}</definedName>
    <definedName name="mca" hidden="1">{"'Break down'!$A$4"}</definedName>
    <definedName name="MECH_PROD">#N/A</definedName>
    <definedName name="MECH30_HRS">#N/A</definedName>
    <definedName name="MECH30_LAB">#N/A</definedName>
    <definedName name="MECH30_MAT">#N/A</definedName>
    <definedName name="MECH30_S_C">#N/A</definedName>
    <definedName name="MECH30_SC">#N/A</definedName>
    <definedName name="MECH30_TOT">#N/A</definedName>
    <definedName name="MENU10">#N/A</definedName>
    <definedName name="MENU11">#N/A</definedName>
    <definedName name="MENU12">#N/A</definedName>
    <definedName name="MENU13">#N/A</definedName>
    <definedName name="MENU14">#N/A</definedName>
    <definedName name="MENU15">#N/A</definedName>
    <definedName name="MENU16">#N/A</definedName>
    <definedName name="MENU2">#N/A</definedName>
    <definedName name="MENU3">#N/A</definedName>
    <definedName name="MENU4">#N/A</definedName>
    <definedName name="MENU5">#N/A</definedName>
    <definedName name="MENU6">#N/A</definedName>
    <definedName name="MENU7">#N/A</definedName>
    <definedName name="MENU8">#N/A</definedName>
    <definedName name="MENU9">#N/A</definedName>
    <definedName name="NAMES">#N/A</definedName>
    <definedName name="NEWROW1">#N/A</definedName>
    <definedName name="NEWROW3">#N/A</definedName>
    <definedName name="NEWROW4">#N/A</definedName>
    <definedName name="ngfng" hidden="1">{#N/A,#N/A,FALSE,"Aging Summary";#N/A,#N/A,FALSE,"Ratio Analysis";#N/A,#N/A,FALSE,"Test 120 Day Accts";#N/A,#N/A,FALSE,"Tickmarks"}</definedName>
    <definedName name="nm" hidden="1">{"'Break down'!$A$4"}</definedName>
    <definedName name="nnnz" hidden="1">{#N/A,#N/A,FALSE,"SumD";#N/A,#N/A,FALSE,"ElecD";#N/A,#N/A,FALSE,"MechD";#N/A,#N/A,FALSE,"GeotD";#N/A,#N/A,FALSE,"PrcsD";#N/A,#N/A,FALSE,"TunnD";#N/A,#N/A,FALSE,"CivlD";#N/A,#N/A,FALSE,"NtwkD";#N/A,#N/A,FALSE,"EstgD";#N/A,#N/A,FALSE,"PEngD"}</definedName>
    <definedName name="NORMALADJ">#N/A</definedName>
    <definedName name="NORMALBM">#N/A</definedName>
    <definedName name="NORMALEC">#N/A</definedName>
    <definedName name="NORMALSC">#N/A</definedName>
    <definedName name="nuts" hidden="1">{"Summary",#N/A,TRUE,"Summary";"Cost Plan",#N/A,TRUE,"Cost Plan"}</definedName>
    <definedName name="oct" hidden="1">{"Total Indirect Manpower",#N/A,FALSE,"J";"Total Direct Manpower",#N/A,FALSE,"J";"Direct Structural Manpower",#N/A,FALSE,"J";"Direct Mechanical Manpower",#N/A,FALSE,"J";"Direct Piping Manpower",#N/A,FALSE,"J";"Direct Tanks Manpower",#N/A,FALSE,"J";"Direct ElecInstrSS Manpower",#N/A,FALSE,"J"}</definedName>
    <definedName name="OFFSITE_51">#N/A</definedName>
    <definedName name="oip" hidden="1">{"'Break down'!$A$4"}</definedName>
    <definedName name="OOOO" hidden="1">{"Cost Summary",#N/A,FALSE,"B";"Cost Detail 1",#N/A,FALSE,"C";"Cost Detail 2",#N/A,FALSE,"C"}</definedName>
    <definedName name="opq" hidden="1">{"b",#N/A,FALSE,"B";"C 1",#N/A,FALSE,"C";"C 2",#N/A,FALSE,"C";"D 1",#N/A,FALSE,"D";"d 2",#N/A,FALSE,"D";"D 3",#N/A,FALSE,"D";"E",#N/A,FALSE,"E";"F 1",#N/A,FALSE,"F";"F 2",#N/A,FALSE,"F";"F 3",#N/A,FALSE,"F";"G 1",#N/A,FALSE,"G";"G 2",#N/A,FALSE,"G";"I 1",#N/A,FALSE,"I";"J 1",#N/A,FALSE,"J";"J 2",#N/A,FALSE,"J";"L",#N/A,FALSE,"L";"M 1",#N/A,FALSE,"M";"N",#N/A,FALSE,"N"}</definedName>
    <definedName name="PACKAGEADJ">#N/A</definedName>
    <definedName name="PACKAGEBM">#N/A</definedName>
    <definedName name="PACKAGEEC">#N/A</definedName>
    <definedName name="PACKAGESC">#N/A</definedName>
    <definedName name="padma" hidden="1">{"'Break down'!$A$4"}</definedName>
    <definedName name="PalisadeReportWorkbookCreatedBy">"AtRisk"</definedName>
    <definedName name="PAR_CIVIL">#N/A</definedName>
    <definedName name="PAR_ELECT">#N/A</definedName>
    <definedName name="PAR_MECH">#N/A</definedName>
    <definedName name="PAYCRIT">#N/A</definedName>
    <definedName name="PBTAXADJ">#N/A</definedName>
    <definedName name="PBTAXBM">#N/A</definedName>
    <definedName name="PBTAXEC">#N/A</definedName>
    <definedName name="PBTAXSC">#N/A</definedName>
    <definedName name="perbolag" hidden="1">{#N/A,#N/A,FALSE,"intag";#N/A,#N/A,FALSE,"budg";#N/A,#N/A,FALSE,"samtl"}</definedName>
    <definedName name="perbolagneu" hidden="1">{#N/A,#N/A,FALSE,"intag";#N/A,#N/A,FALSE,"budg";#N/A,#N/A,FALSE,"samtl"}</definedName>
    <definedName name="PIPE51_QTY">#N/A</definedName>
    <definedName name="poo" hidden="1">{"b",#N/A,FALSE,"B";"C 1",#N/A,FALSE,"C";"C 2",#N/A,FALSE,"C";"D 1",#N/A,FALSE,"D";"d 2",#N/A,FALSE,"D";"D 3",#N/A,FALSE,"D";"E",#N/A,FALSE,"E";"F 1",#N/A,FALSE,"F";"F 2",#N/A,FALSE,"F";"F 3",#N/A,FALSE,"F";"G 1",#N/A,FALSE,"G";"G 2",#N/A,FALSE,"G";"I 1",#N/A,FALSE,"I";"J 1",#N/A,FALSE,"J";"J 2",#N/A,FALSE,"J";"L",#N/A,FALSE,"L";"M 1",#N/A,FALSE,"M";"N",#N/A,FALSE,"N"}</definedName>
    <definedName name="PPH_MULT">#N/A</definedName>
    <definedName name="ppo" hidden="1">{"'Break down'!$A$4"}</definedName>
    <definedName name="PRESEN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PREVTOTFUND">#N/A</definedName>
    <definedName name="PRINT_LST">#N/A</definedName>
    <definedName name="PrintKeyStatistics">#N/A</definedName>
    <definedName name="put" hidden="1">{#N/A,#N/A,TRUE,"Equipment installation bm"}</definedName>
    <definedName name="qqfxlCalcReset" hidden="1">FALSE</definedName>
    <definedName name="qqfxlCalculateOnOpen" hidden="1">FALSE</definedName>
    <definedName name="qqfxlFullBoth" hidden="1">TRUE</definedName>
    <definedName name="qqfxlManualBoth" hidden="1">FALSE</definedName>
    <definedName name="qqfxlSheetsBoth" hidden="1">TRUE</definedName>
    <definedName name="qury" hidden="1">{"'Break down'!$A$4"}</definedName>
    <definedName name="RANGE_NAME">#N/A</definedName>
    <definedName name="RANGE_NAMES">#N/A</definedName>
    <definedName name="RE_CF_bank"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Recom" hidden="1">{"'Break down'!$A$4"}</definedName>
    <definedName name="ref" hidden="1">{"'Break down'!$A$4"}</definedName>
    <definedName name="REN" hidden="1">{"'Break down'!$A$4"}</definedName>
    <definedName name="REVADJ">#N/A</definedName>
    <definedName name="REVBM">#N/A</definedName>
    <definedName name="revcertitems" hidden="1">{#N/A,#N/A,FALSE,"WBS 1.06";#N/A,#N/A,FALSE,"WBS 1.14";#N/A,#N/A,FALSE,"WBS 1.17";#N/A,#N/A,FALSE,"WBS 1.18"}</definedName>
    <definedName name="REVEC">#N/A</definedName>
    <definedName name="REVSC">#N/A</definedName>
    <definedName name="riskATSSboxGraph">FALSE</definedName>
    <definedName name="riskATSSincludeSimtables">TRUE</definedName>
    <definedName name="riskATSSinputsGraphs">FALSE</definedName>
    <definedName name="riskATSSoutputStatistic">3</definedName>
    <definedName name="riskATSSpercentChangeGraph">TRUE</definedName>
    <definedName name="riskATSSpercentileGraph">TRUE</definedName>
    <definedName name="riskATSSpercentileValue">0.5</definedName>
    <definedName name="riskATSSprintReport">FALSE</definedName>
    <definedName name="riskATSSreportsInActiveBook">FALSE</definedName>
    <definedName name="riskATSSreportsSelected">TRUE</definedName>
    <definedName name="riskATSSsummaryReport">TRUE</definedName>
    <definedName name="riskATSStornadoGraph">TRUE</definedName>
    <definedName name="riskATSTbaselineRequested">TRUE</definedName>
    <definedName name="riskATSTboxGraph">TRUE</definedName>
    <definedName name="riskATSTcomparisonGraph">TRUE</definedName>
    <definedName name="riskATSThistogramGraph">FALSE</definedName>
    <definedName name="riskATSToutputStatistic">4</definedName>
    <definedName name="riskATSTprintReport">FALSE</definedName>
    <definedName name="riskATSTreportsInActiveBook">FALSE</definedName>
    <definedName name="riskATSTreportsSelected">TRUE</definedName>
    <definedName name="riskATSTsequentialStress">TRUE</definedName>
    <definedName name="riskATSTsummaryReport">TRUE</definedName>
    <definedName name="RiskNumIterations1">5000</definedName>
    <definedName name="RITE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RMC">#N/A</definedName>
    <definedName name="rou" hidden="1">{"'Break down'!$A$4"}</definedName>
    <definedName name="rpppp" hidden="1">{"'Break down'!$A$4"}</definedName>
    <definedName name="rtp" hidden="1">{"'Break down'!$A$4"}</definedName>
    <definedName name="rtpqwp" hidden="1">{"'Break down'!$A$4"}</definedName>
    <definedName name="RUN">#N/A</definedName>
    <definedName name="ryjujkg" hidden="1">{"'Break down'!$A$4"}</definedName>
    <definedName name="sadg" hidden="1">{"cost",#N/A,FALSE,"B";"Sum",#N/A,FALSE,"C";"Sal1",#N/A,FALSE,"D";"Sal2",#N/A,FALSE,"D";"Mob",#N/A,FALSE,"E";"Eqpcst1",#N/A,FALSE,"F";"Eqpcst2",#N/A,FALSE,"F";"Eqpcst3",#N/A,FALSE,"F";"Est1",#N/A,FALSE,"G";"Est2",#N/A,FALSE,"G";"Fin",#N/A,FALSE,"H";"EqpCal",#N/A,FALSE,"I";"ManCal1",#N/A,FALSE,"J";"ManCal2",#N/A,FALSE,"J";"Consm",#N/A,FALSE,"L";"B O",#N/A,FALSE,"M";"S C",#N/A,FALSE,"N"}</definedName>
    <definedName name="safd" hidden="1">{#N/A,#N/A,FALSE,"MARCH"}</definedName>
    <definedName name="safEF" hidden="1">{#N/A,#N/A,FALSE,"MARCH"}</definedName>
    <definedName name="sanith" hidden="1">{"Cost Summary",#N/A,FALSE,"B";"Cost Detail 1",#N/A,FALSE,"C";"Cost Detail 2",#N/A,FALSE,"C"}</definedName>
    <definedName name="sati" hidden="1">{#N/A,#N/A,FALSE,"WRSUMMARY";#N/A,#N/A,FALSE,"ANNEX-1";#N/A,#N/A,FALSE,"ANNEX-2";#N/A,#N/A,FALSE,"ANNEX-3";#N/A,#N/A,FALSE,"WORKING"}</definedName>
    <definedName name="satish" hidden="1">{#N/A,#N/A,FALSE,"WRSUMMARY";#N/A,#N/A,FALSE,"ANNEX-1";#N/A,#N/A,FALSE,"ANNEX-2";#N/A,#N/A,FALSE,"ANNEX-3";#N/A,#N/A,FALSE,"WORKING"}</definedName>
    <definedName name="SC_ADJUST">#N/A</definedName>
    <definedName name="SCAF" hidden="1">{"'Break down'!$A$4"}</definedName>
    <definedName name="Scaffolding" hidden="1">{"'Break down'!$A$4"}</definedName>
    <definedName name="sdfgsdf" hidden="1">{#N/A,#N/A,FALSE,"SumD";#N/A,#N/A,FALSE,"ElecD";#N/A,#N/A,FALSE,"MechD";#N/A,#N/A,FALSE,"GeotD";#N/A,#N/A,FALSE,"PrcsD";#N/A,#N/A,FALSE,"TunnD";#N/A,#N/A,FALSE,"CivlD";#N/A,#N/A,FALSE,"NtwkD";#N/A,#N/A,FALSE,"EstgD";#N/A,#N/A,FALSE,"PEngD"}</definedName>
    <definedName name="sdfgsdg" hidden="1">{#N/A,#N/A,FALSE,"SumD";#N/A,#N/A,FALSE,"ElecD";#N/A,#N/A,FALSE,"MechD";#N/A,#N/A,FALSE,"GeotD";#N/A,#N/A,FALSE,"PrcsD";#N/A,#N/A,FALSE,"TunnD";#N/A,#N/A,FALSE,"CivlD";#N/A,#N/A,FALSE,"NtwkD";#N/A,#N/A,FALSE,"EstgD";#N/A,#N/A,FALSE,"PEngD"}</definedName>
    <definedName name="sdz" hidden="1">{#N/A,#N/A,FALSE,"SumG";#N/A,#N/A,FALSE,"ElecG";#N/A,#N/A,FALSE,"MechG";#N/A,#N/A,FALSE,"GeotG";#N/A,#N/A,FALSE,"PrcsG";#N/A,#N/A,FALSE,"TunnG";#N/A,#N/A,FALSE,"CivlG";#N/A,#N/A,FALSE,"NtwkG";#N/A,#N/A,FALSE,"EstgG";#N/A,#N/A,FALSE,"PEngG"}</definedName>
    <definedName name="ser" hidden="1">{"'Break down'!$A$4"}</definedName>
    <definedName name="sffff" hidden="1">{#N/A,#N/A,FALSE,"SumD";#N/A,#N/A,FALSE,"ElecD";#N/A,#N/A,FALSE,"MechD";#N/A,#N/A,FALSE,"GeotD";#N/A,#N/A,FALSE,"PrcsD";#N/A,#N/A,FALSE,"TunnD";#N/A,#N/A,FALSE,"CivlD";#N/A,#N/A,FALSE,"NtwkD";#N/A,#N/A,FALSE,"EstgD";#N/A,#N/A,FALSE,"PEngD"}</definedName>
    <definedName name="sffffz" hidden="1">{#N/A,#N/A,FALSE,"SumD";#N/A,#N/A,FALSE,"ElecD";#N/A,#N/A,FALSE,"MechD";#N/A,#N/A,FALSE,"GeotD";#N/A,#N/A,FALSE,"PrcsD";#N/A,#N/A,FALSE,"TunnD";#N/A,#N/A,FALSE,"CivlD";#N/A,#N/A,FALSE,"NtwkD";#N/A,#N/A,FALSE,"EstgD";#N/A,#N/A,FALSE,"PEngD"}</definedName>
    <definedName name="SGB" hidden="1">{#N/A,#N/A,FALSE,"OAS";#N/A,#N/A,FALSE,"OBG";#N/A,#N/A,FALSE,"OCZ";#N/A,#N/A,FALSE,"OFR";#N/A,#N/A,FALSE,"OGR";#N/A,#N/A,FALSE,"OGY";#N/A,#N/A,FALSE,"OHY ";#N/A,#N/A,FALSE,"OLX";#N/A,#N/A,FALSE,"ONL";#N/A,#N/A,FALSE,"OPO";#N/A,#N/A,FALSE,"OPL";#N/A,#N/A,FALSE,"OSK";#N/A,#N/A,FALSE,"OSP";#N/A,#N/A,FALSE,"OSZ";#N/A,#N/A,FALSE,"OTU";#N/A,#N/A,FALSE,"OUK"}</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km" hidden="1">{#N/A,#N/A,FALSE,"WRSUMMARY";#N/A,#N/A,FALSE,"ANNEX-1";#N/A,#N/A,FALSE,"ANNEX-2";#N/A,#N/A,FALSE,"ANNEX-3";#N/A,#N/A,FALSE,"WORKING"}</definedName>
    <definedName name="spe" hidden="1">{"'Break down'!$A$4"}</definedName>
    <definedName name="SPECIALADJ">#N/A</definedName>
    <definedName name="SPECIALBM">#N/A</definedName>
    <definedName name="SPECIALEC">#N/A</definedName>
    <definedName name="SPECIALSC">#N/A</definedName>
    <definedName name="SRTPAY">#N/A</definedName>
    <definedName name="ssaasas" hidden="1">{"Cost Summary",#N/A,FALSE,"B";"Cost Detail 1",#N/A,FALSE,"C";"Cost Detail 2",#N/A,FALSE,"C"}</definedName>
    <definedName name="SSASWQS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ssshhh" hidden="1">{#N/A,#N/A,FALSE,"SumG";#N/A,#N/A,FALSE,"ElecG";#N/A,#N/A,FALSE,"MechG";#N/A,#N/A,FALSE,"GeotG";#N/A,#N/A,FALSE,"PrcsG";#N/A,#N/A,FALSE,"TunnG";#N/A,#N/A,FALSE,"CivlG";#N/A,#N/A,FALSE,"NtwkG";#N/A,#N/A,FALSE,"EstgG";#N/A,#N/A,FALSE,"PEngG"}</definedName>
    <definedName name="ssshhhz" hidden="1">{#N/A,#N/A,FALSE,"SumG";#N/A,#N/A,FALSE,"ElecG";#N/A,#N/A,FALSE,"MechG";#N/A,#N/A,FALSE,"GeotG";#N/A,#N/A,FALSE,"PrcsG";#N/A,#N/A,FALSE,"TunnG";#N/A,#N/A,FALSE,"CivlG";#N/A,#N/A,FALSE,"NtwkG";#N/A,#N/A,FALSE,"EstgG";#N/A,#N/A,FALSE,"PEngG"}</definedName>
    <definedName name="sssssz" hidden="1">{#N/A,#N/A,FALSE,"SumD";#N/A,#N/A,FALSE,"ElecD";#N/A,#N/A,FALSE,"MechD";#N/A,#N/A,FALSE,"GeotD";#N/A,#N/A,FALSE,"PrcsD";#N/A,#N/A,FALSE,"TunnD";#N/A,#N/A,FALSE,"CivlD";#N/A,#N/A,FALSE,"NtwkD";#N/A,#N/A,FALSE,"EstgD";#N/A,#N/A,FALSE,"PEngD"}</definedName>
    <definedName name="START1">#N/A</definedName>
    <definedName name="START2">#N/A</definedName>
    <definedName name="START3">#N/A</definedName>
    <definedName name="START4">#N/A</definedName>
    <definedName name="START5">#N/A</definedName>
    <definedName name="STARTING">#N/A</definedName>
    <definedName name="STG40_HRS">#N/A</definedName>
    <definedName name="STG40_LAB">#N/A</definedName>
    <definedName name="STG40_MAT">#N/A</definedName>
    <definedName name="STG40_S_C">#N/A</definedName>
    <definedName name="STG40_SC">#N/A</definedName>
    <definedName name="STG40_TOT">#N/A</definedName>
    <definedName name="STLUKES_TAB_1">NA()</definedName>
    <definedName name="STONE" hidden="1">{#N/A,#N/A,FALSE,"ORGANISATION"}</definedName>
    <definedName name="SUBTOTALS">#N/A</definedName>
    <definedName name="summ1" hidden="1">{"'Break down'!$A$4"}</definedName>
    <definedName name="summariseddiff" hidden="1">{"'Break down'!$A$4"}</definedName>
    <definedName name="SUMMARY2">#N/A</definedName>
    <definedName name="SUNDRYADJ">#N/A</definedName>
    <definedName name="SUNDRYBM">#N/A</definedName>
    <definedName name="SUNDRYEC">#N/A</definedName>
    <definedName name="SUNDRYSC">#N/A</definedName>
    <definedName name="sunil"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Sunil_Sharma">"SS"</definedName>
    <definedName name="SWED" hidden="1">{#N/A,#N/A,FALSE,"WRSUMMARY";#N/A,#N/A,FALSE,"ANNEX-1";#N/A,#N/A,FALSE,"ANNEX-2";#N/A,#N/A,FALSE,"ANNEX-3";#N/A,#N/A,FALSE,"WORKING"}</definedName>
    <definedName name="swq" hidden="1">{#N/A,#N/A,FALSE,"WRSUMMARY";#N/A,#N/A,FALSE,"ANNEX-1";#N/A,#N/A,FALSE,"ANNEX-2";#N/A,#N/A,FALSE,"ANNEX-3";#N/A,#N/A,FALSE,"WORKING"}</definedName>
    <definedName name="temp1" hidden="1">{#N/A,#N/A,TRUE,"Front";#N/A,#N/A,TRUE,"Simple Letter";#N/A,#N/A,TRUE,"Inside";#N/A,#N/A,TRUE,"Contents";#N/A,#N/A,TRUE,"Basis";#N/A,#N/A,TRUE,"Inclusions";#N/A,#N/A,TRUE,"Exclusions";#N/A,#N/A,TRUE,"Areas";#N/A,#N/A,TRUE,"Summary";#N/A,#N/A,TRUE,"Detail"}</definedName>
    <definedName name="Time_stamp">34345.65111875</definedName>
    <definedName name="TIME1">#N/A</definedName>
    <definedName name="tmp" hidden="1">{"'Break down'!$A$4"}</definedName>
    <definedName name="tnj" hidden="1">{"'Break down'!$A$4"}</definedName>
    <definedName name="TOTFUND">#N/A</definedName>
    <definedName name="TOTPRIVSALES">#N/A</definedName>
    <definedName name="tppp" hidden="1">{"'Break down'!$A$4"}</definedName>
    <definedName name="TRADADJ">#N/A</definedName>
    <definedName name="TRADBM">#N/A</definedName>
    <definedName name="TRADEC">#N/A</definedName>
    <definedName name="TRADSC">#N/A</definedName>
    <definedName name="tttttt" hidden="1">{#N/A,#N/A,FALSE,"OAS";#N/A,#N/A,FALSE,"OBG";#N/A,#N/A,FALSE,"OCZ";#N/A,#N/A,FALSE,"OFR";#N/A,#N/A,FALSE,"OGR";#N/A,#N/A,FALSE,"OGY";#N/A,#N/A,FALSE,"OHY ";#N/A,#N/A,FALSE,"OLX";#N/A,#N/A,FALSE,"ONL";#N/A,#N/A,FALSE,"OPO";#N/A,#N/A,FALSE,"OPL";#N/A,#N/A,FALSE,"OSK";#N/A,#N/A,FALSE,"OSP";#N/A,#N/A,FALSE,"OSZ";#N/A,#N/A,FALSE,"OTU";#N/A,#N/A,FALSE,"OUK"}</definedName>
    <definedName name="ttttttttt" hidden="1">{#N/A,#N/A,FALSE,"SumD";#N/A,#N/A,FALSE,"ElecD";#N/A,#N/A,FALSE,"MechD";#N/A,#N/A,FALSE,"GeotD";#N/A,#N/A,FALSE,"PrcsD";#N/A,#N/A,FALSE,"TunnD";#N/A,#N/A,FALSE,"CivlD";#N/A,#N/A,FALSE,"NtwkD";#N/A,#N/A,FALSE,"EstgD";#N/A,#N/A,FALSE,"PEngD"}</definedName>
    <definedName name="ttttttttttttttt" hidden="1">{#N/A,#N/A,FALSE,"SumG";#N/A,#N/A,FALSE,"ElecG";#N/A,#N/A,FALSE,"MechG";#N/A,#N/A,FALSE,"GeotG";#N/A,#N/A,FALSE,"PrcsG";#N/A,#N/A,FALSE,"TunnG";#N/A,#N/A,FALSE,"CivlG";#N/A,#N/A,FALSE,"NtwkG";#N/A,#N/A,FALSE,"EstgG";#N/A,#N/A,FALSE,"PEngG"}</definedName>
    <definedName name="ttttttttttttttttttttttt" hidden="1">{#N/A,#N/A,FALSE,"SumD";#N/A,#N/A,FALSE,"ElecD";#N/A,#N/A,FALSE,"MechD";#N/A,#N/A,FALSE,"GeotD";#N/A,#N/A,FALSE,"PrcsD";#N/A,#N/A,FALSE,"TunnD";#N/A,#N/A,FALSE,"CivlD";#N/A,#N/A,FALSE,"NtwkD";#N/A,#N/A,FALSE,"EstgD";#N/A,#N/A,FALSE,"PEngD"}</definedName>
    <definedName name="uj" hidden="1">{#N/A,#N/A,FALSE,"SumG";#N/A,#N/A,FALSE,"ElecG";#N/A,#N/A,FALSE,"MechG";#N/A,#N/A,FALSE,"GeotG";#N/A,#N/A,FALSE,"PrcsG";#N/A,#N/A,FALSE,"TunnG";#N/A,#N/A,FALSE,"CivlG";#N/A,#N/A,FALSE,"NtwkG";#N/A,#N/A,FALSE,"EstgG";#N/A,#N/A,FALSE,"PEngG"}</definedName>
    <definedName name="ujz" hidden="1">{#N/A,#N/A,FALSE,"SumG";#N/A,#N/A,FALSE,"ElecG";#N/A,#N/A,FALSE,"MechG";#N/A,#N/A,FALSE,"GeotG";#N/A,#N/A,FALSE,"PrcsG";#N/A,#N/A,FALSE,"TunnG";#N/A,#N/A,FALSE,"CivlG";#N/A,#N/A,FALSE,"NtwkG";#N/A,#N/A,FALSE,"EstgG";#N/A,#N/A,FALSE,"PEngG"}</definedName>
    <definedName name="upo" hidden="1">{"'Break down'!$A$4"}</definedName>
    <definedName name="visapage" hidden="1">{"Total Indirect Manpower",#N/A,FALSE,"J";"Total Direct Manpower",#N/A,FALSE,"J";"Direct Structural Manpower",#N/A,FALSE,"J";"Direct Mechanical Manpower",#N/A,FALSE,"J";"Direct Piping Manpower",#N/A,FALSE,"J";"Direct Tanks Manpower",#N/A,FALSE,"J";"Direct ElecInstrSS Manpower",#N/A,FALSE,"J"}</definedName>
    <definedName name="visataweelah" hidden="1">{"Total Indirect Manpower",#N/A,FALSE,"J";"Total Direct Manpower",#N/A,FALSE,"J";"Direct Structural Manpower",#N/A,FALSE,"J";"Direct Mechanical Manpower",#N/A,FALSE,"J";"Direct Piping Manpower",#N/A,FALSE,"J";"Direct Tanks Manpower",#N/A,FALSE,"J";"Direct ElecInstrSS Manpower",#N/A,FALSE,"J"}</definedName>
    <definedName name="VISIT" hidden="1">{#N/A,#N/A,FALSE,"MAINTENANCE"}</definedName>
    <definedName name="wds" hidden="1">{"Cost Summary",#N/A,FALSE,"B";"Cost Detail 1",#N/A,FALSE,"C";"Cost Detail 2",#N/A,FALSE,"C"}</definedName>
    <definedName name="weo" hidden="1">{"'Break down'!$A$4"}</definedName>
    <definedName name="weq" hidden="1">{#N/A,#N/A,FALSE,"SumD";#N/A,#N/A,FALSE,"ElecD";#N/A,#N/A,FALSE,"MechD";#N/A,#N/A,FALSE,"GeotD";#N/A,#N/A,FALSE,"PrcsD";#N/A,#N/A,FALSE,"TunnD";#N/A,#N/A,FALSE,"CivlD";#N/A,#N/A,FALSE,"NtwkD";#N/A,#N/A,FALSE,"EstgD";#N/A,#N/A,FALSE,"PEngD"}</definedName>
    <definedName name="weqz" hidden="1">{#N/A,#N/A,FALSE,"SumD";#N/A,#N/A,FALSE,"ElecD";#N/A,#N/A,FALSE,"MechD";#N/A,#N/A,FALSE,"GeotD";#N/A,#N/A,FALSE,"PrcsD";#N/A,#N/A,FALSE,"TunnD";#N/A,#N/A,FALSE,"CivlD";#N/A,#N/A,FALSE,"NtwkD";#N/A,#N/A,FALSE,"EstgD";#N/A,#N/A,FALSE,"PEngD"}</definedName>
    <definedName name="werttt" hidden="1">{"'Break down'!$A$4"}</definedName>
    <definedName name="wrd" hidden="1">{#N/A,#N/A,FALSE,"WRSUMMARY";#N/A,#N/A,FALSE,"ANNEX-1";#N/A,#N/A,FALSE,"ANNEX-2";#N/A,#N/A,FALSE,"ANNEX-3";#N/A,#N/A,FALSE,"WORKING"}</definedName>
    <definedName name="wrn..full" hidden="1">{"b",#N/A,FALSE,"B";"C 1",#N/A,FALSE,"C";"C 2",#N/A,FALSE,"C";"D 1",#N/A,FALSE,"D";"d 2",#N/A,FALSE,"D";"D 3",#N/A,FALSE,"D";"E",#N/A,FALSE,"E";"F 1",#N/A,FALSE,"F";"F 2",#N/A,FALSE,"F";"F 3",#N/A,FALSE,"F";"G 1",#N/A,FALSE,"G";"G 2",#N/A,FALSE,"G";"I 1",#N/A,FALSE,"I";"J 1",#N/A,FALSE,"J";"J 2",#N/A,FALSE,"J";"L",#N/A,FALSE,"L";"M 1",#N/A,FALSE,"M";"N",#N/A,FALSE,"N"}</definedName>
    <definedName name="wrn.0._.TOTAL._.SUMMARY._.SHEET." hidden="1">{#N/A,#N/A,FALSE,"TOTAL"}</definedName>
    <definedName name="wrn.1._.SITE._.INSTALLATIONS." hidden="1">{#N/A,#N/A,FALSE,"SITE INSTALLATIONS"}</definedName>
    <definedName name="wrn.2._.PROCUREMENT." hidden="1">{#N/A,#N/A,FALSE,"PROCUREMENT"}</definedName>
    <definedName name="wrn.3._.ERECTION." hidden="1">{#N/A,#N/A,TRUE,"ERECTION";#N/A,#N/A,TRUE,"A";#N/A,#N/A,TRUE,"B";#N/A,#N/A,TRUE,"C";#N/A,#N/A,TRUE,"D";#N/A,#N/A,TRUE,"E";#N/A,#N/A,TRUE,"F";#N/A,#N/A,TRUE,"G";#N/A,#N/A,TRUE,"H";#N/A,#N/A,TRUE,"I";#N/A,#N/A,TRUE,"J";#N/A,#N/A,TRUE,"K";#N/A,#N/A,TRUE,"L";#N/A,#N/A,TRUE,"M";#N/A,#N/A,TRUE,"N"}</definedName>
    <definedName name="wrn.Accountant." hidden="1">{"Accounts",#N/A,FALSE,"Subcontractor";"Accounts",#N/A,FALSE,"Supplier";"Accounts",#N/A,FALSE,"Statutory Authorities"}</definedName>
    <definedName name="wrn.Aging._.and._.Trend._.Analysis." hidden="1">{#N/A,#N/A,FALSE,"Aging Summary";#N/A,#N/A,FALSE,"Ratio Analysis";#N/A,#N/A,FALSE,"Test 120 Day Accts";#N/A,#N/A,FALSE,"Tickmarks"}</definedName>
    <definedName name="wrn.All._.Inputs." hidden="1">{#N/A,#N/A,FALSE,"Primary";#N/A,#N/A,FALSE,"Secondary";#N/A,#N/A,FALSE,"Latent";#N/A,#N/A,FALSE,"Demand Inputs";#N/A,#N/A,FALSE,"Supply Addn";#N/A,#N/A,FALSE,"Mkt Pen"}</definedName>
    <definedName name="wrn.All._.Sheets." hidden="1">{#N/A,#N/A,FALSE,"Sheet5";#N/A,#N/A,FALSE,"Sheet4";#N/A,#N/A,FALSE,"Sheet2";#N/A,#N/A,FALSE,"Sheet6";#N/A,#N/A,FALSE,"Sheet7";#N/A,#N/A,FALSE,"Sheet8";#N/A,#N/A,FALSE,"Sheet9";#N/A,#N/A,FALSE,"Sheet10"}</definedName>
    <definedName name="wrn.annex." hidden="1">{"orders",#N/A,FALSE,"Orders &amp; Annexures";"to",#N/A,FALSE,"Orders &amp; Annexures";"exp",#N/A,FALSE,"Orders &amp; Annexures";"gp",#N/A,FALSE,"Orders &amp; Annexures";"oh dep",#N/A,FALSE,"Orders &amp; Annexures";"taxdep",#N/A,FALSE,"Orders &amp; Annexures";"tax",#N/A,FALSE,"Orders &amp; Annexures";"cp",#N/A,FALSE,"Orders &amp; Annexures"}</definedName>
    <definedName name="wrn.BaseYearDemand." hidden="1">{"Base Year Demand",#N/A,FALSE,"Demand-Base Year"}</definedName>
    <definedName name="wrn.BasicEst." hidden="1">{#N/A,#N/A,FALSE,"Check Off";#N/A,#N/A,FALSE,"Tender Details";#N/A,#N/A,FALSE,"DB Sub Cont Tick";#N/A,#N/A,FALSE,"Man Supplier Tick";#N/A,#N/A,FALSE,"TenderReview";#N/A,#N/A,FALSE,"Comparison";#N/A,#N/A,FALSE,"Est Adjudication";#N/A,#N/A,FALSE,"Qualification";#N/A,#N/A,FALSE,"Prelims";#N/A,#N/A,FALSE,"Adj Agenda"}</definedName>
    <definedName name="wrn.Both._.Outputs." hidden="1">{"LTV Output",#N/A,FALSE,"Output";"DCR Output",#N/A,FALSE,"Output"}</definedName>
    <definedName name="wrn.Chandana." hidden="1">{#N/A,#N/A,FALSE,"VCR"}</definedName>
    <definedName name="wrn.Complete." hidden="1">{"Retention",#N/A,FALSE,"Subcontractor";"Contract Sums",#N/A,FALSE,"Subcontractor";"Accounts",#N/A,FALSE,"Subcontractor";"Retention",#N/A,FALSE,"Supplier";"Contract Sums",#N/A,FALSE,"Supplier";"Accounts",#N/A,FALSE,"Supplier";"Retention",#N/A,FALSE,"Statutory Authorities";"Contract Sums",#N/A,FALSE,"Statutory Authorities";"Accounts",#N/A,FALSE,"Statutory Authorities";"Valuation",#N/A,FALSE,"Valuation"}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tract._.Sum." hidden="1">{"Contract Sums",#N/A,FALSE,"Subcontractor";"Contract Sums",#N/A,FALSE,"Supplier";"Contract Sums",#N/A,FALSE,"Statutory Authorities"}</definedName>
    <definedName name="wrn.Cost._.Plan._.Report." hidden="1">{"Summary",#N/A,TRUE,"Summary";"Cost Plan",#N/A,TRUE,"Cost Plan"}</definedName>
    <definedName name="wrn.Cost._.Plan._.Report._1" hidden="1">{"Summary",#N/A,TRUE,"Summary";"Cost Plan",#N/A,TRUE,"Cost Plan"}</definedName>
    <definedName name="wrn.Cost._.Summary." hidden="1">{"Cost Summary",#N/A,FALSE,"B";"Cost Detail 1",#N/A,FALSE,"C";"Cost Detail 2",#N/A,FALSE,"C"}</definedName>
    <definedName name="wrn.COST_SHEES.a" hidden="1">{#N/A,#N/A,FALSE,"WBS 1.06";#N/A,#N/A,FALSE,"WBS 1.14";#N/A,#N/A,FALSE,"WBS 1.17";#N/A,#N/A,FALSE,"WBS 1.18"}</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ostprint1" hidden="1">{"cost",#N/A,FALSE,"B";"Sum",#N/A,FALSE,"C";"Sal1",#N/A,FALSE,"D";"Sal2",#N/A,FALSE,"D";"Mob",#N/A,FALSE,"E";"Eqpcst1",#N/A,FALSE,"F";"Eqpcst2",#N/A,FALSE,"F";"Eqpcst3",#N/A,FALSE,"F";"Est1",#N/A,FALSE,"G";"Est2",#N/A,FALSE,"G";"Fin",#N/A,FALSE,"H";"EqpCal",#N/A,FALSE,"I";"ManCal1",#N/A,FALSE,"J";"ManCal2",#N/A,FALSE,"J";"Consm",#N/A,FALSE,"L";"B O",#N/A,FALSE,"M";"S C",#N/A,FALSE,"N"}</definedName>
    <definedName name="wrn.co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Cumulative._.Material._.Cost." hidden="1">{#N/A,#N/A,FALSE,"MARCH"}</definedName>
    <definedName name="wrn.DCR._.Output." hidden="1">{"DCR Output",#N/A,FALSE,"Output"}</definedName>
    <definedName name="wrn.Demand._.Calcs." hidden="1">{#N/A,#N/A,FALSE,"Demand Calcs"}</definedName>
    <definedName name="wrn.Demand._.Inputs." hidden="1">{#N/A,#N/A,FALSE,"Demand Inputs"}</definedName>
    <definedName name="wrn.ED." hidden="1">{#N/A,#N/A,TRUE,"Equipment installation bm"}</definedName>
    <definedName name="wrn.Fair._.Share._.Calcs." hidden="1">{#N/A,#N/A,FALSE,"Fair Share"}</definedName>
    <definedName name="wrn.FINAL._.ACCOUNT." hidden="1">{"Final Account",#N/A,FALSE,"FINAL ACCOUNT";"Final Account",#N/A,FALSE,"GENERAL SUMMARY";"Final Account",#N/A,FALSE,"REMEASUREMENT";"Final Account",#N/A,FALSE,"ARCHITECTS INSTRUCTIONS";"Final Account",#N/A,FALSE,"PROVISIONAL SUMS";"Final Account",#N/A,FALSE,"DOM SPEC SUBCONTRACTORS";"Final Account",#N/A,FALSE,"DAYWORKS";"Final Account",#N/A,FALSE,"LOSS &amp; EXPENSE";"Standard",#N/A,FALSE,"APPENDIX A"}</definedName>
    <definedName name="wrn.Final._.Output." hidden="1">{#N/A,#N/A,FALSE,"Final Output"}</definedName>
    <definedName name="wrn.Final._.Valuation." hidden="1">{"Valuation",#N/A,FALSE,"VALUATION";"Practical Completion",#N/A,FALSE,"RETENTION STATEMENT";"Progress Chart",#N/A,FALSE,"PROGRESS GRAPH"}</definedName>
    <definedName name="wrn.FINANCIAL._.REPORT." hidden="1">{"Financial Report",#N/A,FALSE,"COVER (FINREP)";"Financial Report",#N/A,FALSE,"CONTENTS (FINREP)";"Financial Report",#N/A,FALSE,"FINANCIAL STATEMENT";"Financial Report",#N/A,FALSE,"ARCHITECTS INSTRUCTIONS";"Financial Report",#N/A,FALSE,"PROVISIONAL SUMS";"Financial Report",#N/A,FALSE,"ANTICIPATED INSTRUCTIONS";"Financial Report",#N/A,FALSE,"LOSS &amp; EXPENSE";"Standard",#N/A,FALSE,"APPENDIX A"}</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Harley._.House." hidden="1">{"HarleyHouse",#N/A,FALSE,"Elem Cost( New Bld) "}</definedName>
    <definedName name="wrn.Inputs." hidden="1">{#N/A,#N/A,FALSE,"Input"}</definedName>
    <definedName name="wrn.Interim._.Valuation." hidden="1">{"Valuation",#N/A,FALSE,"VALUATION";"Standard",#N/A,FALSE,"RETENTION STATEMENT";"Progress Chart",#N/A,FALSE,"PROGRESS GRAPH"}</definedName>
    <definedName name="wrn.Latent._.Demand._.Inputs." hidden="1">{#N/A,#N/A,FALSE,"Latent"}</definedName>
    <definedName name="wrn.LOCAL._.CURRENCY." hidden="1">{#N/A,#N/A,FALSE,"OAS";#N/A,#N/A,FALSE,"OBG";#N/A,#N/A,FALSE,"OCZ";#N/A,#N/A,FALSE,"OFR";#N/A,#N/A,FALSE,"OGR";#N/A,#N/A,FALSE,"OGY";#N/A,#N/A,FALSE,"OHY ";#N/A,#N/A,FALSE,"OLX";#N/A,#N/A,FALSE,"ONL";#N/A,#N/A,FALSE,"OPO";#N/A,#N/A,FALSE,"OPL";#N/A,#N/A,FALSE,"OSK";#N/A,#N/A,FALSE,"OSP";#N/A,#N/A,FALSE,"OSZ";#N/A,#N/A,FALSE,"OTU";#N/A,#N/A,FALSE,"OUK"}</definedName>
    <definedName name="wrn.LOCAL._.CURRENCY1" hidden="1">{#N/A,#N/A,FALSE,"OAS";#N/A,#N/A,FALSE,"OBG";#N/A,#N/A,FALSE,"OCZ";#N/A,#N/A,FALSE,"OFR";#N/A,#N/A,FALSE,"OGR";#N/A,#N/A,FALSE,"OGY";#N/A,#N/A,FALSE,"OHY ";#N/A,#N/A,FALSE,"OLX";#N/A,#N/A,FALSE,"ONL";#N/A,#N/A,FALSE,"OPO";#N/A,#N/A,FALSE,"OPL";#N/A,#N/A,FALSE,"OSK";#N/A,#N/A,FALSE,"OSP";#N/A,#N/A,FALSE,"OSZ";#N/A,#N/A,FALSE,"OTU";#N/A,#N/A,FALSE,"OUK"}</definedName>
    <definedName name="wrn.LTV._.Output." hidden="1">{"LTV Output",#N/A,FALSE,"Output"}</definedName>
    <definedName name="wrn.MAIN." hidden="1">{#N/A,#N/A,FALSE,"CF DXB";#N/A,#N/A,FALSE,"Mn St. Ind.";#N/A,#N/A,FALSE,"CF IND"}</definedName>
    <definedName name="wrn.MAINTENANCE." hidden="1">{#N/A,#N/A,FALSE,"MAINTENANCE"}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power._.Details" hidden="1">{"Total Indirect Manpower",#N/A,FALSE,"J";"Total Direct Manpower",#N/A,FALSE,"J";"Direct Structural Manpower",#N/A,FALSE,"J";"Direct Mechanical Manpower",#N/A,FALSE,"J";"Direct Piping Manpower",#N/A,FALSE,"J";"Direct Tanks Manpower",#N/A,FALSE,"J";"Direct ElecInstrSS Manpower",#N/A,FALSE,"J"}</definedName>
    <definedName name="wrn.Occupancy._.Calcs." hidden="1">{#N/A,#N/A,FALSE,"Occ. Calcs"}</definedName>
    <definedName name="wrn.ORGANISATION." hidden="1">{#N/A,#N/A,FALSE,"ORGANISATION"}</definedName>
    <definedName name="wrn.Output3Column." hidden="1">{"Output-3Column",#N/A,FALSE,"Output"}</definedName>
    <definedName name="wrn.OutputAll." hidden="1">{"Output-All",#N/A,FALSE,"Output"}</definedName>
    <definedName name="wrn.OutputBaseYear." hidden="1">{"Output-BaseYear",#N/A,FALSE,"Output"}</definedName>
    <definedName name="wrn.OutputMin." hidden="1">{"Output-Min",#N/A,FALSE,"Output"}</definedName>
    <definedName name="wrn.OutputPercent." hidden="1">{"Output%",#N/A,FALSE,"Output"}</definedName>
    <definedName name="wrn.Penetration." hidden="1">{#N/A,#N/A,FALSE,"Mkt Pen"}</definedName>
    <definedName name="wrn.PL." hidden="1">{#N/A,#N/A,FALSE,"BUDGET"}</definedName>
    <definedName name="wrn.pr3sty." hidden="1">{#N/A,#N/A,FALSE,"intag";#N/A,#N/A,FALSE,"budg";#N/A,#N/A,FALSE,"samtl"}</definedName>
    <definedName name="wrn.pr3sty.neu" hidden="1">{#N/A,#N/A,FALSE,"intag";#N/A,#N/A,FALSE,"budg";#N/A,#N/A,FALSE,"samtl"}</definedName>
    <definedName name="wrn.Primary._.Competition." hidden="1">{#N/A,#N/A,FALSE,"Primary"}</definedName>
    <definedName name="wrn.PrintallD." hidden="1">{#N/A,#N/A,FALSE,"SumD";#N/A,#N/A,FALSE,"ElecD";#N/A,#N/A,FALSE,"MechD";#N/A,#N/A,FALSE,"GeotD";#N/A,#N/A,FALSE,"PrcsD";#N/A,#N/A,FALSE,"TunnD";#N/A,#N/A,FALSE,"CivlD";#N/A,#N/A,FALSE,"NtwkD";#N/A,#N/A,FALSE,"EstgD";#N/A,#N/A,FALSE,"PEngD"}</definedName>
    <definedName name="wrn.PrintallG." hidden="1">{#N/A,#N/A,FALSE,"SumG";#N/A,#N/A,FALSE,"ElecG";#N/A,#N/A,FALSE,"MechG";#N/A,#N/A,FALSE,"GeotG";#N/A,#N/A,FALSE,"PrcsG";#N/A,#N/A,FALSE,"TunnG";#N/A,#N/A,FALSE,"CivlG";#N/A,#N/A,FALSE,"NtwkG";#N/A,#N/A,FALSE,"EstgG";#N/A,#N/A,FALSE,"PEngG"}</definedName>
    <definedName name="wrn.printallz" hidden="1">{#N/A,#N/A,FALSE,"SumD";#N/A,#N/A,FALSE,"ElecD";#N/A,#N/A,FALSE,"MechD";#N/A,#N/A,FALSE,"GeotD";#N/A,#N/A,FALSE,"PrcsD";#N/A,#N/A,FALSE,"TunnD";#N/A,#N/A,FALSE,"CivlD";#N/A,#N/A,FALSE,"NtwkD";#N/A,#N/A,FALSE,"EstgD";#N/A,#N/A,FALSE,"PEngD"}</definedName>
    <definedName name="wrn.prntallgz" hidden="1">{#N/A,#N/A,FALSE,"SumG";#N/A,#N/A,FALSE,"ElecG";#N/A,#N/A,FALSE,"MechG";#N/A,#N/A,FALSE,"GeotG";#N/A,#N/A,FALSE,"PrcsG";#N/A,#N/A,FALSE,"TunnG";#N/A,#N/A,FALSE,"CivlG";#N/A,#N/A,FALSE,"NtwkG";#N/A,#N/A,FALSE,"EstgG";#N/A,#N/A,FALSE,"PEngG"}</definedName>
    <definedName name="wrn.Retention._.Statement." hidden="1">{"Retention",#N/A,FALSE,"Subcontractor";"Retention",#N/A,FALSE,"Supplier";"Retention",#N/A,FALSE,"Statutory Authorities"}</definedName>
    <definedName name="wrn.Risk._.Analysis._.Report._.1." hidden="1">{#N/A,#N/A,FALSE,"Sheet2";#N/A,#N/A,FALSE,"Sheet4";#N/A,#N/A,FALSE,"Sheet5"}</definedName>
    <definedName name="wrn.Secondary._.Competition." hidden="1">{#N/A,#N/A,FALSE,"Secondary"}</definedName>
    <definedName name="wrn.SITE._.NUMBERS._.1995." hidden="1">{#N/A,#N/A,FALSE,"SITE NUMBERS 1995"}</definedName>
    <definedName name="wrn.SITE._.NUMBERS._.1996." hidden="1">{#N/A,#N/A,FALSE,"SITE NUMBERS 1996"}</definedName>
    <definedName name="wrn.Stat._.Auths." hidden="1">{"Retention",#N/A,FALSE,"Statutory Authorities";"Contract Sums",#N/A,FALSE,"Statutory Authorities";"Accounts",#N/A,FALSE,"Statutory Authorities"}</definedName>
    <definedName name="wrn.SUATINING." hidden="1">{#N/A,#N/A,FALSE,"SUSTAINING"}</definedName>
    <definedName name="wrn.Subbies." hidden="1">{"Retention",#N/A,FALSE,"Subcontractor";"Contract Sums",#N/A,FALSE,"Subcontractor";"Accounts",#N/A,FALSE,"Subcontractor"}</definedName>
    <definedName name="wrn.Summary._.West._.Anglia." hidden="1">{#N/A,#N/A,FALSE,"Front Sheet";#N/A,#N/A,FALSE,"Management Staff";#N/A,#N/A,FALSE,"Summary";#N/A,#N/A,FALSE,"Permanent Way Staff";#N/A,#N/A,FALSE,"Clerical, General Staff";#N/A,#N/A,FALSE,"Transport";#N/A,#N/A,FALSE,"Communications";#N/A,#N/A,FALSE,"Electricity and Gas";#N/A,#N/A,FALSE,"Water";#N/A,#N/A,FALSE,"Sub-Contractors";#N/A,#N/A,FALSE,"Training";#N/A,#N/A,FALSE,"Insurance, Bond";#N/A,#N/A,FALSE,"IT ";#N/A,#N/A,FALSE,"Office Accommodation";#N/A,#N/A,FALSE,"Asset Depreciation";#N/A,#N/A,FALSE,"Offie Supplies";#N/A,#N/A,FALSE,"Clothing, Cleaning";#N/A,#N/A,FALSE,"Sundrys";#N/A,#N/A,FALSE,"Plant"}</definedName>
    <definedName name="wrn.Suppliers." hidden="1">{"Retention",#N/A,FALSE,"Supplier";"Contract Sums",#N/A,FALSE,"Supplier";"Accounts",#N/A,FALSE,"Supplier"}</definedName>
    <definedName name="wrn.Supply._.Additions." hidden="1">{#N/A,#N/A,FALSE,"Supply Addn"}</definedName>
    <definedName name="wrn.test." hidden="1">{#N/A,#N/A,FALSE,"Tower &amp; Car Park"}</definedName>
    <definedName name="wrn.valn." hidden="1">{#N/A,#N/A,TRUE,"valbd";#N/A,#N/A,TRUE,"Summy"}</definedName>
    <definedName name="wrn.Valuation." hidden="1">{"Valuation",#N/A,FALSE,"VALUATION"}</definedName>
    <definedName name="wrn.VALUATION._.REPORT." hidden="1">{"Financial Report",#N/A,FALSE,"COVER (FINREP)";"Financial Report",#N/A,FALSE,"CONTENTS (FINREP)";"Financial Report",#N/A,FALSE,"FINANCIAL STATEMENT";"Financial Report",#N/A,FALSE,"ARCHITECTS INSTRUCTIONS";"Financial Report",#N/A,FALSE,"PROVISIONAL SUMS";"Financial Report",#N/A,FALSE,"ANTICIPATED INSTRUCTIONS";"Financial Report",#N/A,FALSE,"DAYWORKS";"Financial Report",#N/A,FALSE,"LOSS &amp; EXPENSE";"Standard",#N/A,FALSE,"APPENDIX A";"Valuation",#N/A,FALSE,"VALUATION";"Standard",#N/A,FALSE,"RETENTION STATEMENT";"Progress Chart",#N/A,FALSE,"PROGRESS GRAPH"}</definedName>
    <definedName name="wrn.WEEKLY." hidden="1">{#N/A,#N/A,FALSE,"WRSUMMARY";#N/A,#N/A,FALSE,"ANNEX-1";#N/A,#N/A,FALSE,"ANNEX-2";#N/A,#N/A,FALSE,"ANNEX-3";#N/A,#N/A,FALSE,"WORKING"}</definedName>
    <definedName name="wrw" hidden="1">{"'Break down'!$A$4"}</definedName>
    <definedName name="wsdfgjkl" hidden="1">{#N/A,#N/A,FALSE,"WRSUMMARY";#N/A,#N/A,FALSE,"ANNEX-1";#N/A,#N/A,FALSE,"ANNEX-2";#N/A,#N/A,FALSE,"ANNEX-3";#N/A,#N/A,FALSE,"WORKING"}</definedName>
    <definedName name="WWWWWW" hidden="1">{#N/A,#N/A,FALSE,"SITE NUMBERS 1996"}</definedName>
    <definedName name="XCCT">0.5</definedName>
    <definedName name="xcz" hidden="1">{#N/A,#N/A,FALSE,"SumD";#N/A,#N/A,FALSE,"ElecD";#N/A,#N/A,FALSE,"MechD";#N/A,#N/A,FALSE,"GeotD";#N/A,#N/A,FALSE,"PrcsD";#N/A,#N/A,FALSE,"TunnD";#N/A,#N/A,FALSE,"CivlD";#N/A,#N/A,FALSE,"NtwkD";#N/A,#N/A,FALSE,"EstgD";#N/A,#N/A,FALSE,"PEngD"}</definedName>
    <definedName name="XLK" hidden="1">{"'Break down'!$A$4"}</definedName>
    <definedName name="xls." hidden="1">{"'Break down'!$A$4"}</definedName>
    <definedName name="xls1" hidden="1">{"'Break down'!$A$4"}</definedName>
    <definedName name="xls2" hidden="1">{"'Break down'!$A$4"}</definedName>
    <definedName name="XXXXXX" hidden="1">{#N/A,#N/A,FALSE,"OAS";#N/A,#N/A,FALSE,"OBG";#N/A,#N/A,FALSE,"OCZ";#N/A,#N/A,FALSE,"OFR";#N/A,#N/A,FALSE,"OGR";#N/A,#N/A,FALSE,"OGY";#N/A,#N/A,FALSE,"OHY ";#N/A,#N/A,FALSE,"OLX";#N/A,#N/A,FALSE,"ONL";#N/A,#N/A,FALSE,"OPO";#N/A,#N/A,FALSE,"OPL";#N/A,#N/A,FALSE,"OSK";#N/A,#N/A,FALSE,"OSP";#N/A,#N/A,FALSE,"OSZ";#N/A,#N/A,FALSE,"OTU";#N/A,#N/A,FALSE,"OUK"}</definedName>
    <definedName name="xxxxxxx" hidden="1">{#N/A,#N/A,FALSE,"SumD";#N/A,#N/A,FALSE,"ElecD";#N/A,#N/A,FALSE,"MechD";#N/A,#N/A,FALSE,"GeotD";#N/A,#N/A,FALSE,"PrcsD";#N/A,#N/A,FALSE,"TunnD";#N/A,#N/A,FALSE,"CivlD";#N/A,#N/A,FALSE,"NtwkD";#N/A,#N/A,FALSE,"EstgD";#N/A,#N/A,FALSE,"PEngD"}</definedName>
    <definedName name="xxxxxxxx" hidden="1">{#N/A,#N/A,FALSE,"SumG";#N/A,#N/A,FALSE,"ElecG";#N/A,#N/A,FALSE,"MechG";#N/A,#N/A,FALSE,"GeotG";#N/A,#N/A,FALSE,"PrcsG";#N/A,#N/A,FALSE,"TunnG";#N/A,#N/A,FALSE,"CivlG";#N/A,#N/A,FALSE,"NtwkG";#N/A,#N/A,FALSE,"EstgG";#N/A,#N/A,FALSE,"PEngG"}</definedName>
    <definedName name="xxxxxxxxxxxx" hidden="1">{#N/A,#N/A,FALSE,"SumD";#N/A,#N/A,FALSE,"ElecD";#N/A,#N/A,FALSE,"MechD";#N/A,#N/A,FALSE,"GeotD";#N/A,#N/A,FALSE,"PrcsD";#N/A,#N/A,FALSE,"TunnD";#N/A,#N/A,FALSE,"CivlD";#N/A,#N/A,FALSE,"NtwkD";#N/A,#N/A,FALSE,"EstgD";#N/A,#N/A,FALSE,"PEngD"}</definedName>
    <definedName name="xxxxxxxxxxxxxxx" hidden="1">{#N/A,#N/A,FALSE,"SumG";#N/A,#N/A,FALSE,"ElecG";#N/A,#N/A,FALSE,"MechG";#N/A,#N/A,FALSE,"GeotG";#N/A,#N/A,FALSE,"PrcsG";#N/A,#N/A,FALSE,"TunnG";#N/A,#N/A,FALSE,"CivlG";#N/A,#N/A,FALSE,"NtwkG";#N/A,#N/A,FALSE,"EstgG";#N/A,#N/A,FALSE,"PEngG"}</definedName>
    <definedName name="xxxxxxxxxxxxxxxxxxxxx" hidden="1">{#N/A,#N/A,FALSE,"SumG";#N/A,#N/A,FALSE,"ElecG";#N/A,#N/A,FALSE,"MechG";#N/A,#N/A,FALSE,"GeotG";#N/A,#N/A,FALSE,"PrcsG";#N/A,#N/A,FALSE,"TunnG";#N/A,#N/A,FALSE,"CivlG";#N/A,#N/A,FALSE,"NtwkG";#N/A,#N/A,FALSE,"EstgG";#N/A,#N/A,FALSE,"PEngG"}</definedName>
    <definedName name="xxz" hidden="1">{#N/A,#N/A,FALSE,"SumD";#N/A,#N/A,FALSE,"ElecD";#N/A,#N/A,FALSE,"MechD";#N/A,#N/A,FALSE,"GeotD";#N/A,#N/A,FALSE,"PrcsD";#N/A,#N/A,FALSE,"TunnD";#N/A,#N/A,FALSE,"CivlD";#N/A,#N/A,FALSE,"NtwkD";#N/A,#N/A,FALSE,"EstgD";#N/A,#N/A,FALSE,"PEngD"}</definedName>
    <definedName name="YARD">#N/A</definedName>
    <definedName name="YARDLAB">#N/A</definedName>
    <definedName name="YARDMAT">#N/A</definedName>
    <definedName name="yup" hidden="1">{"'Break down'!$A$4"}</definedName>
    <definedName name="yyyyyy" hidden="1">{#N/A,#N/A,FALSE,"SumG";#N/A,#N/A,FALSE,"ElecG";#N/A,#N/A,FALSE,"MechG";#N/A,#N/A,FALSE,"GeotG";#N/A,#N/A,FALSE,"PrcsG";#N/A,#N/A,FALSE,"TunnG";#N/A,#N/A,FALSE,"CivlG";#N/A,#N/A,FALSE,"NtwkG";#N/A,#N/A,FALSE,"EstgG";#N/A,#N/A,FALSE,"PEngG"}</definedName>
    <definedName name="yyyyyyyyyy" hidden="1">{#N/A,#N/A,FALSE,"SumG";#N/A,#N/A,FALSE,"ElecG";#N/A,#N/A,FALSE,"MechG";#N/A,#N/A,FALSE,"GeotG";#N/A,#N/A,FALSE,"PrcsG";#N/A,#N/A,FALSE,"TunnG";#N/A,#N/A,FALSE,"CivlG";#N/A,#N/A,FALSE,"NtwkG";#N/A,#N/A,FALSE,"EstgG";#N/A,#N/A,FALSE,"PEngG"}</definedName>
    <definedName name="yyyyyyyyyyyyyyyyy" hidden="1">{#N/A,#N/A,FALSE,"SumG";#N/A,#N/A,FALSE,"ElecG";#N/A,#N/A,FALSE,"MechG";#N/A,#N/A,FALSE,"GeotG";#N/A,#N/A,FALSE,"PrcsG";#N/A,#N/A,FALSE,"TunnG";#N/A,#N/A,FALSE,"CivlG";#N/A,#N/A,FALSE,"NtwkG";#N/A,#N/A,FALSE,"EstgG";#N/A,#N/A,FALSE,"PEngG"}</definedName>
    <definedName name="yyyyyyyyyyyyyyyyyyyyyy" hidden="1">{#N/A,#N/A,FALSE,"SumD";#N/A,#N/A,FALSE,"ElecD";#N/A,#N/A,FALSE,"MechD";#N/A,#N/A,FALSE,"GeotD";#N/A,#N/A,FALSE,"PrcsD";#N/A,#N/A,FALSE,"TunnD";#N/A,#N/A,FALSE,"CivlD";#N/A,#N/A,FALSE,"NtwkD";#N/A,#N/A,FALSE,"EstgD";#N/A,#N/A,FALSE,"PEngD"}</definedName>
    <definedName name="ZERO">#N/A</definedName>
    <definedName name="zhdrt" hidden="1">{"'Break down'!$A$4"}</definedName>
    <definedName name="ZIA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zndgtt" hidden="1">{"'Break down'!$A$4"}</definedName>
    <definedName name="zse" hidden="1">{#N/A,#N/A,FALSE,"SumG";#N/A,#N/A,FALSE,"ElecG";#N/A,#N/A,FALSE,"MechG";#N/A,#N/A,FALSE,"GeotG";#N/A,#N/A,FALSE,"PrcsG";#N/A,#N/A,FALSE,"TunnG";#N/A,#N/A,FALSE,"CivlG";#N/A,#N/A,FALSE,"NtwkG";#N/A,#N/A,FALSE,"EstgG";#N/A,#N/A,FALSE,"PEngG"}</definedName>
    <definedName name="zsez" hidden="1">{#N/A,#N/A,FALSE,"SumG";#N/A,#N/A,FALSE,"ElecG";#N/A,#N/A,FALSE,"MechG";#N/A,#N/A,FALSE,"GeotG";#N/A,#N/A,FALSE,"PrcsG";#N/A,#N/A,FALSE,"TunnG";#N/A,#N/A,FALSE,"CivlG";#N/A,#N/A,FALSE,"NtwkG";#N/A,#N/A,FALSE,"EstgG";#N/A,#N/A,FALSE,"PEngG"}</definedName>
    <definedName name="zzzz" hidden="1">{#N/A,#N/A,FALSE,"OAS";#N/A,#N/A,FALSE,"OBG";#N/A,#N/A,FALSE,"OCZ";#N/A,#N/A,FALSE,"OFR";#N/A,#N/A,FALSE,"OGR";#N/A,#N/A,FALSE,"OGY";#N/A,#N/A,FALSE,"OHY ";#N/A,#N/A,FALSE,"OLX";#N/A,#N/A,FALSE,"ONL";#N/A,#N/A,FALSE,"OPO";#N/A,#N/A,FALSE,"OPL";#N/A,#N/A,FALSE,"OSK";#N/A,#N/A,FALSE,"OSP";#N/A,#N/A,FALSE,"OSZ";#N/A,#N/A,FALSE,"OTU";#N/A,#N/A,FALSE,"OUK"}</definedName>
    <definedName name="zzzzz" hidden="1">{#N/A,#N/A,FALSE,"OAS";#N/A,#N/A,FALSE,"OBG";#N/A,#N/A,FALSE,"OCZ";#N/A,#N/A,FALSE,"OFR";#N/A,#N/A,FALSE,"OGR";#N/A,#N/A,FALSE,"OGY";#N/A,#N/A,FALSE,"OHY ";#N/A,#N/A,FALSE,"OLX";#N/A,#N/A,FALSE,"ONL";#N/A,#N/A,FALSE,"OPO";#N/A,#N/A,FALSE,"OPL";#N/A,#N/A,FALSE,"OSK";#N/A,#N/A,FALSE,"OSP";#N/A,#N/A,FALSE,"OSZ";#N/A,#N/A,FALSE,"OTU";#N/A,#N/A,FALSE,"OUK"}</definedName>
    <definedName name="zzzzzzz" hidden="1">{#N/A,#N/A,FALSE,"ORGANISATION"}</definedName>
    <definedName name="zzzzzzzz" hidden="1">{#N/A,#N/A,FALSE,"SITE NUMBERS 1995"}</definedName>
    <definedName name="zzzzzzzzz" hidden="1">{#N/A,#N/A,FALSE,"SITE NUMBERS 1996"}</definedName>
    <definedName name="zzzzzzzzzz" hidden="1">{#N/A,#N/A,FALSE,"SUSTAINING"}</definedName>
    <definedName name="zzzzzzzzzzz" hidden="1">{#N/A,#N/A,FALSE,"ORGANISATION"}</definedName>
    <definedName name="정리용" hidden="1">{#N/A,#N/A,FALSE,"Tower &amp; Car Park"}</definedName>
    <definedName name="정리용2" hidden="1">{#N/A,#N/A,FALSE,"Tower &amp; Car Park"}</definedName>
    <definedName name="ELECTR" hidden="1">{"'Break down'!$A$4"}</definedName>
    <definedName name="GC" hidden="1">{"'Break down'!$A$4"}</definedName>
    <definedName name="TYUI" hidden="1">{"'Break down'!$A$4"}</definedName>
    <definedName name="_zz1" hidden="1">{#N/A,#N/A,TRUE,"Cover";#N/A,#N/A,TRUE,"Conts";#N/A,#N/A,TRUE,"VOS";#N/A,#N/A,TRUE,"Warrington";#N/A,#N/A,TRUE,"Widnes"}</definedName>
    <definedName name="_______xlfn.SUMIFS" hidden="1">#NAME?</definedName>
    <definedName name="______xlfn.SUMIFS" hidden="1">#NAME?</definedName>
    <definedName name="_____xlfn.SUMIFS" hidden="1">#NAME?</definedName>
    <definedName name="__ab1" hidden="1">{#N/A,#N/A,FALSE,"SumD";#N/A,#N/A,FALSE,"ElecD";#N/A,#N/A,FALSE,"MechD";#N/A,#N/A,FALSE,"GeotD";#N/A,#N/A,FALSE,"PrcsD";#N/A,#N/A,FALSE,"TunnD";#N/A,#N/A,FALSE,"CivlD";#N/A,#N/A,FALSE,"NtwkD";#N/A,#N/A,FALSE,"EstgD";#N/A,#N/A,FALSE,"PEngD"}</definedName>
    <definedName name="__old3" hidden="1">{#N/A,#N/A,FALSE,"Summary";#N/A,#N/A,FALSE,"3TJ";#N/A,#N/A,FALSE,"3TN";#N/A,#N/A,FALSE,"3TP";#N/A,#N/A,FALSE,"3SJ";#N/A,#N/A,FALSE,"3CJ";#N/A,#N/A,FALSE,"3CN";#N/A,#N/A,FALSE,"3CP";#N/A,#N/A,FALSE,"3A"}</definedName>
    <definedName name="__old5" hidden="1">{#N/A,#N/A,FALSE,"Summary";#N/A,#N/A,FALSE,"3TJ";#N/A,#N/A,FALSE,"3TN";#N/A,#N/A,FALSE,"3TP";#N/A,#N/A,FALSE,"3SJ";#N/A,#N/A,FALSE,"3CJ";#N/A,#N/A,FALSE,"3CN";#N/A,#N/A,FALSE,"3CP";#N/A,#N/A,FALSE,"3A"}</definedName>
    <definedName name="__old7" hidden="1">{#N/A,#N/A,FALSE,"Summary";#N/A,#N/A,FALSE,"3TJ";#N/A,#N/A,FALSE,"3TN";#N/A,#N/A,FALSE,"3TP";#N/A,#N/A,FALSE,"3SJ";#N/A,#N/A,FALSE,"3CJ";#N/A,#N/A,FALSE,"3CN";#N/A,#N/A,FALSE,"3CP";#N/A,#N/A,FALSE,"3A"}</definedName>
    <definedName name="_ab1"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tRisk_SimSetting_ReportOptionCustomItemsCount" hidden="1">0</definedName>
    <definedName name="_AtRisk_SimSetting_ReportOptionDataMode" hidden="1">1</definedName>
    <definedName name="_AtRisk_SimSetting_ReportOptionReportMultiSimType" hidden="1">0</definedName>
    <definedName name="_AtRisk_SimSetting_ReportOptionReportPlacement" hidden="1">1</definedName>
    <definedName name="_AtRisk_SimSetting_ReportOptionReportSelection" hidden="1">0</definedName>
    <definedName name="_AtRisk_SimSetting_ReportOptionReportsFileType" hidden="1">1</definedName>
    <definedName name="_AtRisk_SimSetting_ReportOptionSelectiveQR" hidden="1">FALSE</definedName>
    <definedName name="_BOS1" hidden="1">{#N/A,#N/A,FALSE,"부대1"}</definedName>
    <definedName name="_old3"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bill_sor" hidden="1">{#N/A,#N/A,TRUE,"ERA1";#N/A,#N/A,TRUE,"Assessment of Risk";#N/A,#N/A,TRUE,"Collection Sheet";#N/A,#N/A,TRUE,"Contract 1"}</definedName>
    <definedName name="BOS" hidden="1">{#N/A,#N/A,FALSE,"이정표"}</definedName>
    <definedName name="cvsdh" hidden="1">{#VALUE!,#N/A,FALSE,0;#N/A,#N/A,FALSE,0;#N/A,#N/A,FALSE,0;#N/A,#N/A,FALSE,0;#N/A,#N/A,FALSE,0;#N/A,#N/A,FALSE,0;#N/A,#N/A,FALSE,0;#N/A,#N/A,FALSE,0;#N/A,#N/A,FALSE,0;#N/A,#N/A,FALSE,0}</definedName>
    <definedName name="dfghg" hidden="1">{#N/A,#N/A,FALSE,0;#N/A,#N/A,FALSE,0;#N/A,#N/A,FALSE,0;#N/A,#N/A,FALSE,0;#N/A,#N/A,FALSE,0;#N/A,#N/A,FALSE,0;#N/A,#N/A,FALSE,0;#N/A,#N/A,FALSE,0;#N/A,#N/A,FALSE,0;#N/A,#N/A,FALSE,0}</definedName>
    <definedName name="HTML_a" hidden="1">{"'Firr(선)'!$AS$1:$AY$62","'Firr(사)'!$AS$1:$AY$62","'Firr(회)'!$AS$1:$AY$62","'Firr(선)'!$L$1:$V$62","'Firr(사)'!$L$1:$V$62","'Firr(회)'!$L$1:$V$62"}</definedName>
    <definedName name="htsaz" hidden="1">{#VALUE!,#N/A,FALSE,0}</definedName>
    <definedName name="manpower" hidden="1">{#N/A,#N/A,FALSE,"손익표지";#N/A,#N/A,FALSE,"손익계산";#N/A,#N/A,FALSE,"일반관리비";#N/A,#N/A,FALSE,"영업외수익";#N/A,#N/A,FALSE,"영업외비용";#N/A,#N/A,FALSE,"매출액";#N/A,#N/A,FALSE,"요약손익";#N/A,#N/A,FALSE,"요약대차";#N/A,#N/A,FALSE,"매출채권현황";#N/A,#N/A,FALSE,"매출채권명세"}</definedName>
    <definedName name="nnnnn" hidden="1">{#N/A,#N/A,FALSE,"SumG";#N/A,#N/A,FALSE,"ElecG";#N/A,#N/A,FALSE,"MechG";#N/A,#N/A,FALSE,"GeotG";#N/A,#N/A,FALSE,"PrcsG";#N/A,#N/A,FALSE,"TunnG";#N/A,#N/A,FALSE,"CivlG";#N/A,#N/A,FALSE,"NtwkG";#N/A,#N/A,FALSE,"EstgG";#N/A,#N/A,FALSE,"PEngG"}</definedName>
    <definedName name="QAZ" hidden="1">{#N/A,#N/A,FALSE,"CCTV"}</definedName>
    <definedName name="QQW" hidden="1">{#N/A,#N/A,FALSE,"CCTV"}</definedName>
    <definedName name="RiskIsInput" hidden="1">FALSE</definedName>
    <definedName name="RiskIsOptimization" hidden="1">FALSE</definedName>
    <definedName name="RiskIsOutput" hidden="1">FALSE</definedName>
    <definedName name="RiskIsStatistics" hidden="1">FALSE</definedName>
    <definedName name="scarce" hidden="1">{#N/A,#N/A,FALSE,"Summary";#N/A,#N/A,FALSE,"3TJ";#N/A,#N/A,FALSE,"3TN";#N/A,#N/A,FALSE,"3TP";#N/A,#N/A,FALSE,"3SJ";#N/A,#N/A,FALSE,"3CJ";#N/A,#N/A,FALSE,"3CN";#N/A,#N/A,FALSE,"3CP";#N/A,#N/A,FALSE,"3A"}</definedName>
    <definedName name="shfo" hidden="1">{#N/A,#N/A,FALSE,"구조2"}</definedName>
    <definedName name="TIEIN" hidden="1">{#N/A,#N/A,FALSE,"손익표지";#N/A,#N/A,FALSE,"손익계산";#N/A,#N/A,FALSE,"일반관리비";#N/A,#N/A,FALSE,"영업외수익";#N/A,#N/A,FALSE,"영업외비용";#N/A,#N/A,FALSE,"매출액";#N/A,#N/A,FALSE,"요약손익";#N/A,#N/A,FALSE,"요약대차";#N/A,#N/A,FALSE,"매출채권현황";#N/A,#N/A,FALSE,"매출채권명세"}</definedName>
    <definedName name="tytt" hidden="1">{#N/A,#N/A,TRUE,"Introduction";#N/A,#N/A,TRUE,"Critères";#N/A,#N/A,TRUE,"Unités_Notations";#N/A,#N/A,TRUE,"Matériaux";#N/A,#N/A,TRUE,"hypothéses";#N/A,#N/A,TRUE,"Filetages ISO";#N/A,#N/A,TRUE,"p1_B25a";#N/A,#N/A,TRUE,"p2_B25a";#N/A,#N/A,TRUE,"p3_B25a";#N/A,#N/A,TRUE,"p4_B25a";#N/A,#N/A,TRUE,"p1_B25b";#N/A,#N/A,TRUE,"p2_B25b";#N/A,#N/A,TRUE,"p3_B25b";#N/A,#N/A,TRUE,"p4_B25b";#N/A,#N/A,TRUE,"p1_B35a";#N/A,#N/A,TRUE,"p2_B35a";#N/A,#N/A,TRUE,"p3_B35a";#N/A,#N/A,TRUE,"p4_B35a";#N/A,#N/A,TRUE,"p1_B35b";#N/A,#N/A,TRUE,"p2_B35b";#N/A,#N/A,TRUE,"p3_B35b";#N/A,#N/A,TRUE,"p4_B35b";#N/A,#N/A,TRUE,"p1_B50a";#N/A,#N/A,TRUE,"p2_B50a";#N/A,#N/A,TRUE,"p3_B50a";#N/A,#N/A,TRUE,"p4_B50a";#N/A,#N/A,TRUE,"p1_B50b";#N/A,#N/A,TRUE,"p2_B50b";#N/A,#N/A,TRUE,"p3_B50b";#N/A,#N/A,TRUE,"p4_B50b";#N/A,#N/A,TRUE,"comment(1)";#N/A,#N/A,TRUE,"comment(2)";#N/A,#N/A,TRUE,"Dwg";#N/A,#N/A,TRUE,"p2"}</definedName>
    <definedName name="tyty" hidden="1">{#N/A,#N/A,TRUE,"Introduction";#N/A,#N/A,TRUE,"Critères";#N/A,#N/A,TRUE,"Unités_Notations";#N/A,#N/A,TRUE,"Matériaux";#N/A,#N/A,TRUE,"hypothéses";#N/A,#N/A,TRUE,"Filetages ISO";#N/A,#N/A,TRUE,"p1_B25a";#N/A,#N/A,TRUE,"p2_B25a";#N/A,#N/A,TRUE,"p3_B25a";#N/A,#N/A,TRUE,"p4_B25a";#N/A,#N/A,TRUE,"p1_B25b";#N/A,#N/A,TRUE,"p2_B25b";#N/A,#N/A,TRUE,"p3_B25b";#N/A,#N/A,TRUE,"p4_B25b";#N/A,#N/A,TRUE,"p1_B35a";#N/A,#N/A,TRUE,"p2_B35a";#N/A,#N/A,TRUE,"p3_B35a";#N/A,#N/A,TRUE,"p4_B35a";#N/A,#N/A,TRUE,"p1_B35b";#N/A,#N/A,TRUE,"p2_B35b";#N/A,#N/A,TRUE,"p3_B35b";#N/A,#N/A,TRUE,"p4_B35b";#N/A,#N/A,TRUE,"p1_B50a";#N/A,#N/A,TRUE,"p2_B50a";#N/A,#N/A,TRUE,"p3_B50a";#N/A,#N/A,TRUE,"p4_B50a";#N/A,#N/A,TRUE,"p1_B50b";#N/A,#N/A,TRUE,"p2_B50b";#N/A,#N/A,TRUE,"p3_B50b";#N/A,#N/A,TRUE,"p4_B50b";#N/A,#N/A,TRUE,"comment(1)";#N/A,#N/A,TRUE,"comment(2)";#N/A,#N/A,TRUE,"Dwg";#N/A,#N/A,TRUE,"p2"}</definedName>
    <definedName name="tyty1" hidden="1">{#N/A,#N/A,TRUE,"Introduction";#N/A,#N/A,TRUE,"Critères";#N/A,#N/A,TRUE,"Unités_Notations";#N/A,#N/A,TRUE,"Matériaux";#N/A,#N/A,TRUE,"hypothéses";#N/A,#N/A,TRUE,"Filetages ISO";#N/A,#N/A,TRUE,"p1_B25a";#N/A,#N/A,TRUE,"p2_B25a";#N/A,#N/A,TRUE,"p3_B25a";#N/A,#N/A,TRUE,"p4_B25a";#N/A,#N/A,TRUE,"p1_B25b";#N/A,#N/A,TRUE,"p2_B25b";#N/A,#N/A,TRUE,"p3_B25b";#N/A,#N/A,TRUE,"p4_B25b";#N/A,#N/A,TRUE,"p1_B35a";#N/A,#N/A,TRUE,"p2_B35a";#N/A,#N/A,TRUE,"p3_B35a";#N/A,#N/A,TRUE,"p4_B35a";#N/A,#N/A,TRUE,"p1_B35b";#N/A,#N/A,TRUE,"p2_B35b";#N/A,#N/A,TRUE,"p3_B35b";#N/A,#N/A,TRUE,"p4_B35b";#N/A,#N/A,TRUE,"p1_B50a";#N/A,#N/A,TRUE,"p2_B50a";#N/A,#N/A,TRUE,"p3_B50a";#N/A,#N/A,TRUE,"p4_B50a";#N/A,#N/A,TRUE,"p1_B50b";#N/A,#N/A,TRUE,"p2_B50b";#N/A,#N/A,TRUE,"p3_B50b";#N/A,#N/A,TRUE,"p4_B50b";#N/A,#N/A,TRUE,"comment(1)";#N/A,#N/A,TRUE,"comment(2)";#N/A,#N/A,TRUE,"Dwg";#N/A,#N/A,TRUE,"p2"}</definedName>
    <definedName name="Variation" hidden="1">{#N/A,#N/A,FALSE,"SumD";#N/A,#N/A,FALSE,"ElecD";#N/A,#N/A,FALSE,"MechD";#N/A,#N/A,FALSE,"GeotD";#N/A,#N/A,FALSE,"PrcsD";#N/A,#N/A,FALSE,"TunnD";#N/A,#N/A,FALSE,"CivlD";#N/A,#N/A,FALSE,"NtwkD";#N/A,#N/A,FALSE,"EstgD";#N/A,#N/A,FALSE,"PEngD"}</definedName>
    <definedName name="wrn.all._.lines." hidden="1">{#N/A,#N/A,FALSE,"Summary";#N/A,#N/A,FALSE,"3TJ";#N/A,#N/A,FALSE,"3TN";#N/A,#N/A,FALSE,"3TP";#N/A,#N/A,FALSE,"3SJ";#N/A,#N/A,FALSE,"3CJ";#N/A,#N/A,FALSE,"3CN";#N/A,#N/A,FALSE,"3CP";#N/A,#N/A,FALSE,"3A"}</definedName>
    <definedName name="wrn.Barbara._.Modular._.Indirects." hidden="1">{#N/A,#N/A,FALSE,"COVER";#N/A,#N/A,FALSE,"RECAP";#N/A,#N/A,FALSE,"SANTA BARBARA NONMANUAL";#N/A,#N/A,FALSE,"CEQUIP";#N/A,#N/A,FALSE,"WRATE";#N/A,#N/A,FALSE,"INDIRECT";#N/A,#N/A,FALSE,"TRAIN";#N/A,#N/A,FALSE,"MANLOADED SCHEDULE"}</definedName>
    <definedName name="wrn.BOOK11." hidden="1">{"SUM",#N/A,FALSE,"summary";"BOOK11-1",#N/A,FALSE,"1CityGarden";"BOOK11-2",#N/A,FALSE,"2CountryGarden";"BOOK11-3",#N/A,FALSE,"3JUNGLE";"BOOK11-4CIVIL",#N/A,FALSE,"CIVIL"}</definedName>
    <definedName name="wrn.CHIEF._.REVIEW." hidden="1">{#N/A,#N/A,FALSE,"Q&amp;AE";#N/A,#N/A,FALSE,"Params";#N/A,#N/A,FALSE,"ReconE";#N/A,#N/A,FALSE,"CostCompE";#N/A,#N/A,FALSE,"SummaryE";#N/A,#N/A,FALSE,"Detail";#N/A,#N/A,FALSE,"PayItem"}</definedName>
    <definedName name="wrn.CIRCUITS." hidden="1">{"DBANK",#N/A,FALSE,"PriceE";"CKTS",#N/A,FALSE,"PriceE"}</definedName>
    <definedName name="wrn.Contract._.1._.Price." hidden="1">{#N/A,#N/A,TRUE,"ERA1";#N/A,#N/A,TRUE,"Assessment of Risk";#N/A,#N/A,TRUE,"Collection Sheet";#N/A,#N/A,TRUE,"Contract 1"}</definedName>
    <definedName name="wrn.FINAL._.ESTIMATE." hidden="1">{#N/A,#N/A,FALSE,"ProjInfo";#N/A,#N/A,FALSE,"Params";#N/A,#N/A,FALSE,"Q&amp;AE";#N/A,#N/A,FALSE,"CostCompE";#N/A,#N/A,FALSE,"SummaryE";#N/A,#N/A,FALSE,"PayItem";#N/A,#N/A,FALSE,"Detail";#N/A,#N/A,FALSE,"ReconE"}</definedName>
    <definedName name="wrn.Fuel._.oil._.option." hidden="1">{"FUEL OIL",#N/A,FALSE,"Option"}</definedName>
    <definedName name="wrn.Redundant._.Equipment._.Option." hidden="1">{"pumps",#N/A,FALSE,"Option"}</definedName>
    <definedName name="wrn.STG._.BLDG._.ENCLOSURE." hidden="1">{"turbine",#N/A,FALSE,"Option"}</definedName>
    <definedName name="wrn.struckgi." hidden="1">{#N/A,#N/A,TRUE,"arnitower";#N/A,#N/A,TRUE,"arnigarage "}</definedName>
    <definedName name="wrn.WHOUSE._.CT." hidden="1">{"WESTINGHOUSE",#N/A,FALSE,"Option"}</definedName>
    <definedName name="wrn.견적." hidden="1">{#N/A,#N/A,FALSE,"Sheet1";#N/A,#N/A,FALSE,"Sheet2";#N/A,#N/A,FALSE,"TAB96-1"}</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신용찬." hidden="1">{#N/A,#N/A,TRUE,"토적및재료집계";#N/A,#N/A,TRUE,"토적및재료집계";#N/A,#N/A,TRUE,"단위량"}</definedName>
    <definedName name="wrn.현장._.NCR._.분석." hidden="1">{#N/A,#N/A,FALSE,"현장 NCR 분석";#N/A,#N/A,FALSE,"현장품질감사";#N/A,#N/A,FALSE,"현장품질감사"}</definedName>
    <definedName name="건축" hidden="1">{#N/A,#N/A,TRUE,"토적및재료집계";#N/A,#N/A,TRUE,"토적및재료집계";#N/A,#N/A,TRUE,"단위량"}</definedName>
    <definedName name="견적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문" hidden="1">{#N/A,#N/A,FALSE,"현장 NCR 분석";#N/A,#N/A,FALSE,"현장품질감사";#N/A,#N/A,FALSE,"현장품질감사"}</definedName>
    <definedName name="고문2" hidden="1">{#N/A,#N/A,FALSE,"현장 NCR 분석";#N/A,#N/A,FALSE,"현장품질감사";#N/A,#N/A,FALSE,"현장품질감사"}</definedName>
    <definedName name="공사원가계산서" hidden="1">{#N/A,#N/A,TRUE,"토적및재료집계";#N/A,#N/A,TRUE,"토적및재료집계";#N/A,#N/A,TRUE,"단위량"}</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구조3" hidden="1">{#N/A,#N/A,FALSE,"구조2"}</definedName>
    <definedName name="구조물공" hidden="1">{#N/A,#N/A,FALSE,"이정표"}</definedName>
    <definedName name="구조물공1" hidden="1">{#N/A,#N/A,FALSE,"이정표"}</definedName>
    <definedName name="기구조직080102" hidden="1">{#N/A,#N/A,FALSE,"현장 NCR 분석";#N/A,#N/A,FALSE,"현장품질감사";#N/A,#N/A,FALSE,"현장품질감사"}</definedName>
    <definedName name="기타경비" hidden="1">{#N/A,#N/A,TRUE,"토적및재료집계";#N/A,#N/A,TRUE,"토적및재료집계";#N/A,#N/A,TRUE,"단위량"}</definedName>
    <definedName name="管片单价" hidden="1">{#N/A,#N/A,TRUE,"ERA1";#N/A,#N/A,TRUE,"Assessment of Risk";#N/A,#N/A,TRUE,"Collection Sheet";#N/A,#N/A,TRUE,"Contract 1"}</definedName>
    <definedName name="노래" hidden="1">{#N/A,#N/A,FALSE,"부대2"}</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 hidden="1">{#N/A,#N/A,TRUE,"토적및재료집계";#N/A,#N/A,TRUE,"토적및재료집계";#N/A,#N/A,TRUE,"단위량"}</definedName>
    <definedName name="동영" hidden="1">{#N/A,#N/A,FALSE,"CCTV"}</definedName>
    <definedName name="동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 hidden="1">{#N/A,#N/A,TRUE,"토적및재료집계";#N/A,#N/A,TRUE,"토적및재료집계";#N/A,#N/A,TRUE,"단위량"}</definedName>
    <definedName name="隧道施工人员工费" hidden="1">{#N/A,#N/A,TRUE,"ERA1";#N/A,#N/A,TRUE,"Assessment of Risk";#N/A,#N/A,TRUE,"Collection Sheet";#N/A,#N/A,TRUE,"Contract 1"}</definedName>
    <definedName name="ㅀ" hidden="1">{#N/A,#N/A,TRUE,"토적및재료집계";#N/A,#N/A,TRUE,"토적및재료집계";#N/A,#N/A,TRUE,"단위량"}</definedName>
    <definedName name="배수공1" hidden="1">{#N/A,#N/A,FALSE,"부대1"}</definedName>
    <definedName name="부손익" hidden="1">{#N/A,#N/A,FALSE,"현장 NCR 분석";#N/A,#N/A,FALSE,"현장품질감사";#N/A,#N/A,FALSE,"현장품질감사"}</definedName>
    <definedName name="이정표" hidden="1">{#N/A,#N/A,FALSE,"이정표"}</definedName>
    <definedName name="인력2" hidden="1">{#N/A,#N/A,FALSE,"CCTV"}</definedName>
    <definedName name="장비" hidden="1">{#N/A,#N/A,FALSE,"CCTV"}</definedName>
    <definedName name="장비2" hidden="1">{#N/A,#N/A,FALSE,"손익표지";#N/A,#N/A,FALSE,"손익계산";#N/A,#N/A,FALSE,"일반관리비";#N/A,#N/A,FALSE,"영업외수익";#N/A,#N/A,FALSE,"영업외비용";#N/A,#N/A,FALSE,"매출액";#N/A,#N/A,FALSE,"요약손익";#N/A,#N/A,FALSE,"요약대차";#N/A,#N/A,FALSE,"매출채권현황";#N/A,#N/A,FALSE,"매출채권명세"}</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직매54P" hidden="1">{#N/A,#N/A,TRUE,"토적및재료집계";#N/A,#N/A,TRUE,"토적및재료집계";#N/A,#N/A,TRUE,"단위량"}</definedName>
    <definedName name="케이블간지" hidden="1">{#N/A,#N/A,TRUE,"토적및재료집계";#N/A,#N/A,TRUE,"토적및재료집계";#N/A,#N/A,TRUE,"단위량"}</definedName>
    <definedName name="토목설계" hidden="1">{#N/A,#N/A,FALSE,"골재소요량";#N/A,#N/A,FALSE,"골재소요량"}</definedName>
    <definedName name="ㅍㅍ" hidden="1">{#N/A,#N/A,TRUE,"토적및재료집계";#N/A,#N/A,TRUE,"토적및재료집계";#N/A,#N/A,TRUE,"단위량"}</definedName>
    <definedName name="평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LF">1.31</definedName>
    <definedName name="分摊">#N/A</definedName>
    <definedName name="附属结构">#N/A</definedName>
    <definedName name="项目名称">#N/A</definedName>
    <definedName name="____ddd2" hidden="1">{#N/A,#N/A,TRUE,"Cover Memo";"Complete Sys. Estimate",#N/A,TRUE,"Change Summary";"Complete Sys. Estimate",#N/A,TRUE,"Estimate Summary";"Complete Sys. Estimate",#N/A,TRUE,"Dept. Summary";"Complete Sys. Estimate",#N/A,TRUE,"DOW Detail"}</definedName>
    <definedName name="____fd2" hidden="1">{#N/A,#N/A,TRUE,"Cover Memo";"Complete Sys. Estimate",#N/A,TRUE,"Change Summary";"Complete Sys. Estimate",#N/A,TRUE,"Estimate Summary";"Complete Sys. Estimate",#N/A,TRUE,"Dept. Summary";"Complete Sys. Estimate",#N/A,TRUE,"DOW Detail"}</definedName>
    <definedName name="___ddd2" hidden="1">{#N/A,#N/A,TRUE,"Cover Memo";"Complete Sys. Estimate",#N/A,TRUE,"Change Summary";"Complete Sys. Estimate",#N/A,TRUE,"Estimate Summary";"Complete Sys. Estimate",#N/A,TRUE,"Dept. Summary";"Complete Sys. Estimate",#N/A,TRUE,"DOW Detail"}</definedName>
    <definedName name="___fd2" hidden="1">{#N/A,#N/A,TRUE,"Cover Memo";"Complete Sys. Estimate",#N/A,TRUE,"Change Summary";"Complete Sys. Estimate",#N/A,TRUE,"Estimate Summary";"Complete Sys. Estimate",#N/A,TRUE,"Dept. Summary";"Complete Sys. Estimate",#N/A,TRUE,"DOW Detail"}</definedName>
    <definedName name="__ddd2" hidden="1">{#N/A,#N/A,TRUE,"Cover Memo";"Complete Sys. Estimate",#N/A,TRUE,"Change Summary";"Complete Sys. Estimate",#N/A,TRUE,"Estimate Summary";"Complete Sys. Estimate",#N/A,TRUE,"Dept. Summary";"Complete Sys. Estimate",#N/A,TRUE,"DOW Detail"}</definedName>
    <definedName name="__fd2" hidden="1">{#N/A,#N/A,TRUE,"Cover Memo";"Complete Sys. Estimate",#N/A,TRUE,"Change Summary";"Complete Sys. Estimate",#N/A,TRUE,"Estimate Summary";"Complete Sys. Estimate",#N/A,TRUE,"Dept. Summary";"Complete Sys. Estimate",#N/A,TRUE,"DOW Detail"}</definedName>
    <definedName name="_ddd2" hidden="1">{#N/A,#N/A,TRUE,"Cover Memo";"Complete Sys. Estimate",#N/A,TRUE,"Change Summary";"Complete Sys. Estimate",#N/A,TRUE,"Estimate Summary";"Complete Sys. Estimate",#N/A,TRUE,"Dept. Summary";"Complete Sys. Estimate",#N/A,TRUE,"DOW Detail"}</definedName>
    <definedName name="_fd2" hidden="1">{#N/A,#N/A,TRUE,"Cover Memo";"Complete Sys. Estimate",#N/A,TRUE,"Change Summary";"Complete Sys. Estimate",#N/A,TRUE,"Estimate Summary";"Complete Sys. Estimate",#N/A,TRUE,"Dept. Summary";"Complete Sys. Estimate",#N/A,TRUE,"DOW Detail"}</definedName>
    <definedName name="break" hidden="1">{#N/A,#N/A,TRUE,"Cover Memo";"Ride Estimate",#N/A,TRUE,"Change Summary";"Ride Estimate",#N/A,TRUE,"Estimate Summary";"Ride Estimate",#N/A,TRUE,"Dept. Summary";"Ride Estimate",#N/A,TRUE,"DOW Detail"}</definedName>
    <definedName name="break2" hidden="1">{#N/A,#N/A,TRUE,"Cover Memo";"Ride Estimate",#N/A,TRUE,"Change Summary";"Ride Estimate",#N/A,TRUE,"Estimate Summary";"Ride Estimate",#N/A,TRUE,"Dept. Summary";"Ride Estimate",#N/A,TRUE,"DOW Detail"}</definedName>
    <definedName name="clean2" hidden="1">{#N/A,#N/A,TRUE,"Cover Memo";"Complete Sys. Estimate",#N/A,TRUE,"Change Summary";"Complete Sys. Estimate",#N/A,TRUE,"Estimate Summary";"Complete Sys. Estimate",#N/A,TRUE,"Dept. Summary";"Complete Sys. Estimate",#N/A,TRUE,"DOW Detail"}</definedName>
    <definedName name="fdfd" hidden="1">{#N/A,#N/A,TRUE,"Cover Memo";"Complete Sys. Estimate",#N/A,TRUE,"Change Summary";"Complete Sys. Estimate",#N/A,TRUE,"Estimate Summary";"Complete Sys. Estimate",#N/A,TRUE,"Dept. Summary";"Complete Sys. Estimate",#N/A,TRUE,"DOW Detail"}</definedName>
    <definedName name="fdfd2" hidden="1">{#N/A,#N/A,TRUE,"Cover Memo";"Complete Sys. Estimate",#N/A,TRUE,"Change Summary";"Complete Sys. Estimate",#N/A,TRUE,"Estimate Summary";"Complete Sys. Estimate",#N/A,TRUE,"Dept. Summary";"Complete Sys. Estimate",#N/A,TRUE,"DOW Detail"}</definedName>
    <definedName name="specif" hidden="1">{#N/A,#N/A,TRUE,"Cover Memo";"Complete Sys. Estimate",#N/A,TRUE,"Change Summary";"Complete Sys. Estimate",#N/A,TRUE,"Estimate Summary";"Complete Sys. Estimate",#N/A,TRUE,"Dept. Summary";"Complete Sys. Estimate",#N/A,TRUE,"DOW Detail"}</definedName>
    <definedName name="wrn.Complete._.Sys.._.Estimate." hidden="1">{#N/A,#N/A,TRUE,"Cover Memo";"Complete Sys. Estimate",#N/A,TRUE,"Change Summary";"Complete Sys. Estimate",#N/A,TRUE,"Estimate Summary";"Complete Sys. Estimate",#N/A,TRUE,"Dept. Summary";"Complete Sys. Estimate",#N/A,TRUE,"DOW Detail"}</definedName>
    <definedName name="wrn.Facility._.Estimate." hidden="1">{#N/A,#N/A,TRUE,"Cover Memo";"Facility Estimate",#N/A,TRUE,"Change Summary";"Facility Estimate",#N/A,TRUE,"Estimate Summary";"Facility Estimate",#N/A,TRUE,"Dept. Summary";"Facility Estimate",#N/A,TRUE,"DOW Detail"}</definedName>
    <definedName name="wrn.Ride._.Estimate." hidden="1">{#N/A,#N/A,TRUE,"Cover Memo";"Ride Estimate",#N/A,TRUE,"Change Summary";"Ride Estimate",#N/A,TRUE,"Estimate Summary";"Ride Estimate",#N/A,TRUE,"Dept. Summary";"Ride Estimate",#N/A,TRUE,"DOW Detail"}</definedName>
    <definedName name="wrn.Show._.Estimate." hidden="1">{#N/A,#N/A,TRUE,"Cover Memo";"Show Estimate",#N/A,TRUE,"Change Summary";"Show Estimate",#N/A,TRUE,"Estimate Summary";"Show Estimate",#N/A,TRUE,"Dept. Summary";"Show Estimate",#N/A,TRUE,"DOW Detail"}</definedName>
    <definedName name="wrn.Project._.Review._.Swiss._.RE." hidden="1">{#N/A,#N/A,TRUE,"Issues";#N/A,#N/A,TRUE,"Summary";#N/A,#N/A,TRUE,"Financial Summary";#N/A,#N/A,TRUE,"Changes";#N/A,#N/A,TRUE,"Design";#N/A,#N/A,TRUE,"Procurement";#N/A,#N/A,TRUE,"Testing";#N/A,#N/A,TRUE,"Production";#N/A,#N/A,TRUE,"Installation";#N/A,#N/A,TRUE,"Project Mgmt";#N/A,#N/A,TRUE,"Financial";#N/A,#N/A,TRUE,"Overhead";#N/A,#N/A,TRUE,"Contract";#N/A,#N/A,TRUE,"Risks";#N/A,#N/A,TRUE,"Opportunity"}</definedName>
    <definedName name="AS2HasNoAutoHeaderFooter" hidden="1">" "</definedName>
    <definedName name="cashflow20030930" hidden="1">{"M1Print",#N/A,TRUE,"M1";"M2Print",#N/A,TRUE,"M2";"M1sPrint",#N/A,TRUE,"M1s";"M2aPrint",#N/A,TRUE,"M2a";"M4Print",#N/A,TRUE,"M4";"M5Print",#N/A,TRUE,"M5";"M6Print",#N/A,TRUE,"M6";"M6_1Print",#N/A,TRUE,"M6_1";"M6_2Print",#N/A,TRUE,"M6_2";"M7_1Print",#N/A,TRUE,"M7_1";"M7_2Print",#N/A,TRUE,"M7_2"}</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Board._.Reports." hidden="1">{#N/A,#N/A,FALSE,"M1s Board";#N/A,#N/A,FALSE,"M3 Board";#N/A,#N/A,FALSE,"M6 Board";#N/A,#N/A,FALSE,"M7";#N/A,#N/A,FALSE,"M7B";#N/A,#N/A,FALSE,"M8";#N/A,#N/A,FALSE,"M8A Board";#N/A,#N/A,FALSE,"AF1 Board"}</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XRefColumnsCount" hidden="1">1</definedName>
    <definedName name="XRefCopyRangeCount" hidden="1">1</definedName>
    <definedName name="XRefPasteRangeCount" hidden="1">2</definedName>
    <definedName name="苛" hidden="1">{"M1sPrint",#N/A,FALSE,"M1s"}</definedName>
    <definedName name="H_f" hidden="1">{"'现金流量表（全部投资）'!$B$4:$P$23"}</definedName>
    <definedName name="物业开发" hidden="1">{"'现金流量表（全部投资）'!$B$4:$P$23"}</definedName>
    <definedName name="系数">1.02</definedName>
    <definedName name="__ba2" hidden="1">{#N/A,#N/A,FALSE,"GERAL";#N/A,#N/A,FALSE,"012-96";#N/A,#N/A,FALSE,"018-96";#N/A,#N/A,FALSE,"027-96";#N/A,#N/A,FALSE,"059-96";#N/A,#N/A,FALSE,"076-96";#N/A,#N/A,FALSE,"019-97";#N/A,#N/A,FALSE,"021-97";#N/A,#N/A,FALSE,"022-97";#N/A,#N/A,FALSE,"028-97"}</definedName>
    <definedName name="_wrn.pendencias" hidden="1">{#N/A,#N/A,FALSE,"GERAL";#N/A,#N/A,FALSE,"012-96";#N/A,#N/A,FALSE,"018-96";#N/A,#N/A,FALSE,"027-96";#N/A,#N/A,FALSE,"059-96";#N/A,#N/A,FALSE,"076-96";#N/A,#N/A,FALSE,"019-97";#N/A,#N/A,FALSE,"021-97";#N/A,#N/A,FALSE,"022-97";#N/A,#N/A,FALSE,"028-97"}</definedName>
    <definedName name="aasasas" hidden="1">{#N/A,#N/A,FALSE,"GERAL";#N/A,#N/A,FALSE,"012-96";#N/A,#N/A,FALSE,"018-96";#N/A,#N/A,FALSE,"027-96";#N/A,#N/A,FALSE,"059-96";#N/A,#N/A,FALSE,"076-96";#N/A,#N/A,FALSE,"019-97";#N/A,#N/A,FALSE,"021-97";#N/A,#N/A,FALSE,"022-97";#N/A,#N/A,FALSE,"028-97"}</definedName>
    <definedName name="adfdfa" hidden="1">{#N/A,#N/A,FALSE,"GERAL";#N/A,#N/A,FALSE,"012-96";#N/A,#N/A,FALSE,"018-96";#N/A,#N/A,FALSE,"027-96";#N/A,#N/A,FALSE,"059-96";#N/A,#N/A,FALSE,"076-96";#N/A,#N/A,FALSE,"019-97";#N/A,#N/A,FALSE,"021-97";#N/A,#N/A,FALSE,"022-97";#N/A,#N/A,FALSE,"028-97"}</definedName>
    <definedName name="afdfd" hidden="1">{#N/A,#N/A,FALSE,"GERAL";#N/A,#N/A,FALSE,"012-96";#N/A,#N/A,FALSE,"018-96";#N/A,#N/A,FALSE,"027-96";#N/A,#N/A,FALSE,"059-96";#N/A,#N/A,FALSE,"076-96";#N/A,#N/A,FALSE,"019-97";#N/A,#N/A,FALSE,"021-97";#N/A,#N/A,FALSE,"022-97";#N/A,#N/A,FALSE,"028-97"}</definedName>
    <definedName name="aga" hidden="1">{#N/A,#N/A,FALSE,"GERAL";#N/A,#N/A,FALSE,"012-96";#N/A,#N/A,FALSE,"018-96";#N/A,#N/A,FALSE,"027-96";#N/A,#N/A,FALSE,"059-96";#N/A,#N/A,FALSE,"076-96";#N/A,#N/A,FALSE,"019-97";#N/A,#N/A,FALSE,"021-97";#N/A,#N/A,FALSE,"022-97";#N/A,#N/A,FALSE,"028-97"}</definedName>
    <definedName name="agdadf" hidden="1">{#N/A,#N/A,FALSE,"GERAL";#N/A,#N/A,FALSE,"012-96";#N/A,#N/A,FALSE,"018-96";#N/A,#N/A,FALSE,"027-96";#N/A,#N/A,FALSE,"059-96";#N/A,#N/A,FALSE,"076-96";#N/A,#N/A,FALSE,"019-97";#N/A,#N/A,FALSE,"021-97";#N/A,#N/A,FALSE,"022-97";#N/A,#N/A,FALSE,"028-97"}</definedName>
    <definedName name="agdagdad" hidden="1">{#N/A,#N/A,FALSE,"GERAL";#N/A,#N/A,FALSE,"012-96";#N/A,#N/A,FALSE,"018-96";#N/A,#N/A,FALSE,"027-96";#N/A,#N/A,FALSE,"059-96";#N/A,#N/A,FALSE,"076-96";#N/A,#N/A,FALSE,"019-97";#N/A,#N/A,FALSE,"021-97";#N/A,#N/A,FALSE,"022-97";#N/A,#N/A,FALSE,"028-97"}</definedName>
    <definedName name="agfggfdfda" hidden="1">{#N/A,#N/A,FALSE,"GERAL";#N/A,#N/A,FALSE,"012-96";#N/A,#N/A,FALSE,"018-96";#N/A,#N/A,FALSE,"027-96";#N/A,#N/A,FALSE,"059-96";#N/A,#N/A,FALSE,"076-96";#N/A,#N/A,FALSE,"019-97";#N/A,#N/A,FALSE,"021-97";#N/A,#N/A,FALSE,"022-97";#N/A,#N/A,FALSE,"028-97"}</definedName>
    <definedName name="agga" hidden="1">{#N/A,#N/A,FALSE,"GERAL";#N/A,#N/A,FALSE,"012-96";#N/A,#N/A,FALSE,"018-96";#N/A,#N/A,FALSE,"027-96";#N/A,#N/A,FALSE,"059-96";#N/A,#N/A,FALSE,"076-96";#N/A,#N/A,FALSE,"019-97";#N/A,#N/A,FALSE,"021-97";#N/A,#N/A,FALSE,"022-97";#N/A,#N/A,FALSE,"028-97"}</definedName>
    <definedName name="agitannasmna" hidden="1">{#N/A,#N/A,FALSE,"GERAL";#N/A,#N/A,FALSE,"012-96";#N/A,#N/A,FALSE,"018-96";#N/A,#N/A,FALSE,"027-96";#N/A,#N/A,FALSE,"059-96";#N/A,#N/A,FALSE,"076-96";#N/A,#N/A,FALSE,"019-97";#N/A,#N/A,FALSE,"021-97";#N/A,#N/A,FALSE,"022-97";#N/A,#N/A,FALSE,"028-97"}</definedName>
    <definedName name="agua" hidden="1">{#N/A,#N/A,FALSE,"GERAL";#N/A,#N/A,FALSE,"012-96";#N/A,#N/A,FALSE,"018-96";#N/A,#N/A,FALSE,"027-96";#N/A,#N/A,FALSE,"059-96";#N/A,#N/A,FALSE,"076-96";#N/A,#N/A,FALSE,"019-97";#N/A,#N/A,FALSE,"021-97";#N/A,#N/A,FALSE,"022-97";#N/A,#N/A,FALSE,"028-97"}</definedName>
    <definedName name="Anexo" hidden="1">{#N/A,#N/A,FALSE,"GERAL";#N/A,#N/A,FALSE,"012-96";#N/A,#N/A,FALSE,"018-96";#N/A,#N/A,FALSE,"027-96";#N/A,#N/A,FALSE,"059-96";#N/A,#N/A,FALSE,"076-96";#N/A,#N/A,FALSE,"019-97";#N/A,#N/A,FALSE,"021-97";#N/A,#N/A,FALSE,"022-97";#N/A,#N/A,FALSE,"028-97"}</definedName>
    <definedName name="arrrrr" hidden="1">{#N/A,#N/A,FALSE,"GERAL";#N/A,#N/A,FALSE,"012-96";#N/A,#N/A,FALSE,"018-96";#N/A,#N/A,FALSE,"027-96";#N/A,#N/A,FALSE,"059-96";#N/A,#N/A,FALSE,"076-96";#N/A,#N/A,FALSE,"019-97";#N/A,#N/A,FALSE,"021-97";#N/A,#N/A,FALSE,"022-97";#N/A,#N/A,FALSE,"028-97"}</definedName>
    <definedName name="asa" hidden="1">{#N/A,#N/A,FALSE,"GERAL";#N/A,#N/A,FALSE,"012-96";#N/A,#N/A,FALSE,"018-96";#N/A,#N/A,FALSE,"027-96";#N/A,#N/A,FALSE,"059-96";#N/A,#N/A,FALSE,"076-96";#N/A,#N/A,FALSE,"019-97";#N/A,#N/A,FALSE,"021-97";#N/A,#N/A,FALSE,"022-97";#N/A,#N/A,FALSE,"028-97"}</definedName>
    <definedName name="asaasas" hidden="1">{#N/A,#N/A,FALSE,"GERAL";#N/A,#N/A,FALSE,"012-96";#N/A,#N/A,FALSE,"018-96";#N/A,#N/A,FALSE,"027-96";#N/A,#N/A,FALSE,"059-96";#N/A,#N/A,FALSE,"076-96";#N/A,#N/A,FALSE,"019-97";#N/A,#N/A,FALSE,"021-97";#N/A,#N/A,FALSE,"022-97";#N/A,#N/A,FALSE,"028-97"}</definedName>
    <definedName name="asasa" hidden="1">{#N/A,#N/A,FALSE,"GERAL";#N/A,#N/A,FALSE,"012-96";#N/A,#N/A,FALSE,"018-96";#N/A,#N/A,FALSE,"027-96";#N/A,#N/A,FALSE,"059-96";#N/A,#N/A,FALSE,"076-96";#N/A,#N/A,FALSE,"019-97";#N/A,#N/A,FALSE,"021-97";#N/A,#N/A,FALSE,"022-97";#N/A,#N/A,FALSE,"028-97"}</definedName>
    <definedName name="asasasa" hidden="1">{#N/A,#N/A,FALSE,"GERAL";#N/A,#N/A,FALSE,"012-96";#N/A,#N/A,FALSE,"018-96";#N/A,#N/A,FALSE,"027-96";#N/A,#N/A,FALSE,"059-96";#N/A,#N/A,FALSE,"076-96";#N/A,#N/A,FALSE,"019-97";#N/A,#N/A,FALSE,"021-97";#N/A,#N/A,FALSE,"022-97";#N/A,#N/A,FALSE,"028-97"}</definedName>
    <definedName name="asasasas" hidden="1">{#N/A,#N/A,FALSE,"GERAL";#N/A,#N/A,FALSE,"012-96";#N/A,#N/A,FALSE,"018-96";#N/A,#N/A,FALSE,"027-96";#N/A,#N/A,FALSE,"059-96";#N/A,#N/A,FALSE,"076-96";#N/A,#N/A,FALSE,"019-97";#N/A,#N/A,FALSE,"021-97";#N/A,#N/A,FALSE,"022-97";#N/A,#N/A,FALSE,"028-97"}</definedName>
    <definedName name="asasasasa" hidden="1">{#N/A,#N/A,FALSE,"GERAL";#N/A,#N/A,FALSE,"012-96";#N/A,#N/A,FALSE,"018-96";#N/A,#N/A,FALSE,"027-96";#N/A,#N/A,FALSE,"059-96";#N/A,#N/A,FALSE,"076-96";#N/A,#N/A,FALSE,"019-97";#N/A,#N/A,FALSE,"021-97";#N/A,#N/A,FALSE,"022-97";#N/A,#N/A,FALSE,"028-97"}</definedName>
    <definedName name="asasasass" hidden="1">{#N/A,#N/A,FALSE,"GERAL";#N/A,#N/A,FALSE,"012-96";#N/A,#N/A,FALSE,"018-96";#N/A,#N/A,FALSE,"027-96";#N/A,#N/A,FALSE,"059-96";#N/A,#N/A,FALSE,"076-96";#N/A,#N/A,FALSE,"019-97";#N/A,#N/A,FALSE,"021-97";#N/A,#N/A,FALSE,"022-97";#N/A,#N/A,FALSE,"028-97"}</definedName>
    <definedName name="asassaas" hidden="1">{#N/A,#N/A,FALSE,"GERAL";#N/A,#N/A,FALSE,"012-96";#N/A,#N/A,FALSE,"018-96";#N/A,#N/A,FALSE,"027-96";#N/A,#N/A,FALSE,"059-96";#N/A,#N/A,FALSE,"076-96";#N/A,#N/A,FALSE,"019-97";#N/A,#N/A,FALSE,"021-97";#N/A,#N/A,FALSE,"022-97";#N/A,#N/A,FALSE,"028-97"}</definedName>
    <definedName name="asassasa" hidden="1">{#N/A,#N/A,FALSE,"GERAL";#N/A,#N/A,FALSE,"012-96";#N/A,#N/A,FALSE,"018-96";#N/A,#N/A,FALSE,"027-96";#N/A,#N/A,FALSE,"059-96";#N/A,#N/A,FALSE,"076-96";#N/A,#N/A,FALSE,"019-97";#N/A,#N/A,FALSE,"021-97";#N/A,#N/A,FALSE,"022-97";#N/A,#N/A,FALSE,"028-97"}</definedName>
    <definedName name="asdsdfagfa" hidden="1">{#N/A,#N/A,FALSE,"GERAL";#N/A,#N/A,FALSE,"012-96";#N/A,#N/A,FALSE,"018-96";#N/A,#N/A,FALSE,"027-96";#N/A,#N/A,FALSE,"059-96";#N/A,#N/A,FALSE,"076-96";#N/A,#N/A,FALSE,"019-97";#N/A,#N/A,FALSE,"021-97";#N/A,#N/A,FALSE,"022-97";#N/A,#N/A,FALSE,"028-97"}</definedName>
    <definedName name="assaassa" hidden="1">{#N/A,#N/A,FALSE,"GERAL";#N/A,#N/A,FALSE,"012-96";#N/A,#N/A,FALSE,"018-96";#N/A,#N/A,FALSE,"027-96";#N/A,#N/A,FALSE,"059-96";#N/A,#N/A,FALSE,"076-96";#N/A,#N/A,FALSE,"019-97";#N/A,#N/A,FALSE,"021-97";#N/A,#N/A,FALSE,"022-97";#N/A,#N/A,FALSE,"028-97"}</definedName>
    <definedName name="assaassasa" hidden="1">{#N/A,#N/A,FALSE,"GERAL";#N/A,#N/A,FALSE,"012-96";#N/A,#N/A,FALSE,"018-96";#N/A,#N/A,FALSE,"027-96";#N/A,#N/A,FALSE,"059-96";#N/A,#N/A,FALSE,"076-96";#N/A,#N/A,FALSE,"019-97";#N/A,#N/A,FALSE,"021-97";#N/A,#N/A,FALSE,"022-97";#N/A,#N/A,FALSE,"028-97"}</definedName>
    <definedName name="assas" hidden="1">{#N/A,#N/A,FALSE,"GERAL";#N/A,#N/A,FALSE,"012-96";#N/A,#N/A,FALSE,"018-96";#N/A,#N/A,FALSE,"027-96";#N/A,#N/A,FALSE,"059-96";#N/A,#N/A,FALSE,"076-96";#N/A,#N/A,FALSE,"019-97";#N/A,#N/A,FALSE,"021-97";#N/A,#N/A,FALSE,"022-97";#N/A,#N/A,FALSE,"028-97"}</definedName>
    <definedName name="assasa" hidden="1">{#N/A,#N/A,FALSE,"GERAL";#N/A,#N/A,FALSE,"012-96";#N/A,#N/A,FALSE,"018-96";#N/A,#N/A,FALSE,"027-96";#N/A,#N/A,FALSE,"059-96";#N/A,#N/A,FALSE,"076-96";#N/A,#N/A,FALSE,"019-97";#N/A,#N/A,FALSE,"021-97";#N/A,#N/A,FALSE,"022-97";#N/A,#N/A,FALSE,"028-97"}</definedName>
    <definedName name="bbbb" hidden="1">{#N/A,#N/A,FALSE,"GERAL";#N/A,#N/A,FALSE,"012-96";#N/A,#N/A,FALSE,"018-96";#N/A,#N/A,FALSE,"027-96";#N/A,#N/A,FALSE,"059-96";#N/A,#N/A,FALSE,"076-96";#N/A,#N/A,FALSE,"019-97";#N/A,#N/A,FALSE,"021-97";#N/A,#N/A,FALSE,"022-97";#N/A,#N/A,FALSE,"028-97"}</definedName>
    <definedName name="BRITAGEM" hidden="1">{#N/A,#N/A,FALSE,"GERAL";#N/A,#N/A,FALSE,"012-96";#N/A,#N/A,FALSE,"018-96";#N/A,#N/A,FALSE,"027-96";#N/A,#N/A,FALSE,"059-96";#N/A,#N/A,FALSE,"076-96";#N/A,#N/A,FALSE,"019-97";#N/A,#N/A,FALSE,"021-97";#N/A,#N/A,FALSE,"022-97";#N/A,#N/A,FALSE,"028-97"}</definedName>
    <definedName name="BVZ" hidden="1">{#N/A,#N/A,FALSE,"GERAL";#N/A,#N/A,FALSE,"012-96";#N/A,#N/A,FALSE,"018-96";#N/A,#N/A,FALSE,"027-96";#N/A,#N/A,FALSE,"059-96";#N/A,#N/A,FALSE,"076-96";#N/A,#N/A,FALSE,"019-97";#N/A,#N/A,FALSE,"021-97";#N/A,#N/A,FALSE,"022-97";#N/A,#N/A,FALSE,"028-97"}</definedName>
    <definedName name="BVZB" hidden="1">{#N/A,#N/A,FALSE,"GERAL";#N/A,#N/A,FALSE,"012-96";#N/A,#N/A,FALSE,"018-96";#N/A,#N/A,FALSE,"027-96";#N/A,#N/A,FALSE,"059-96";#N/A,#N/A,FALSE,"076-96";#N/A,#N/A,FALSE,"019-97";#N/A,#N/A,FALSE,"021-97";#N/A,#N/A,FALSE,"022-97";#N/A,#N/A,FALSE,"028-97"}</definedName>
    <definedName name="BZCZC" hidden="1">{#N/A,#N/A,FALSE,"GERAL";#N/A,#N/A,FALSE,"012-96";#N/A,#N/A,FALSE,"018-96";#N/A,#N/A,FALSE,"027-96";#N/A,#N/A,FALSE,"059-96";#N/A,#N/A,FALSE,"076-96";#N/A,#N/A,FALSE,"019-97";#N/A,#N/A,FALSE,"021-97";#N/A,#N/A,FALSE,"022-97";#N/A,#N/A,FALSE,"028-97"}</definedName>
    <definedName name="caixa" hidden="1">{#N/A,#N/A,FALSE,"GERAL";#N/A,#N/A,FALSE,"012-96";#N/A,#N/A,FALSE,"018-96";#N/A,#N/A,FALSE,"027-96";#N/A,#N/A,FALSE,"059-96";#N/A,#N/A,FALSE,"076-96";#N/A,#N/A,FALSE,"019-97";#N/A,#N/A,FALSE,"021-97";#N/A,#N/A,FALSE,"022-97";#N/A,#N/A,FALSE,"028-97"}</definedName>
    <definedName name="caixas" hidden="1">{#N/A,#N/A,FALSE,"GERAL";#N/A,#N/A,FALSE,"012-96";#N/A,#N/A,FALSE,"018-96";#N/A,#N/A,FALSE,"027-96";#N/A,#N/A,FALSE,"059-96";#N/A,#N/A,FALSE,"076-96";#N/A,#N/A,FALSE,"019-97";#N/A,#N/A,FALSE,"021-97";#N/A,#N/A,FALSE,"022-97";#N/A,#N/A,FALSE,"028-97"}</definedName>
    <definedName name="CBWorkbookPriority" hidden="1">-568686334</definedName>
    <definedName name="ciclones" hidden="1">{#N/A,#N/A,FALSE,"GERAL";#N/A,#N/A,FALSE,"012-96";#N/A,#N/A,FALSE,"018-96";#N/A,#N/A,FALSE,"027-96";#N/A,#N/A,FALSE,"059-96";#N/A,#N/A,FALSE,"076-96";#N/A,#N/A,FALSE,"019-97";#N/A,#N/A,FALSE,"021-97";#N/A,#N/A,FALSE,"022-97";#N/A,#N/A,FALSE,"028-97"}</definedName>
    <definedName name="CIQWBGuid" hidden="1">"292ec64e-9bc1-419b-9a52-d55b1782643c"</definedName>
    <definedName name="classificação2" hidden="1">{#N/A,#N/A,FALSE,"GERAL";#N/A,#N/A,FALSE,"012-96";#N/A,#N/A,FALSE,"018-96";#N/A,#N/A,FALSE,"027-96";#N/A,#N/A,FALSE,"059-96";#N/A,#N/A,FALSE,"076-96";#N/A,#N/A,FALSE,"019-97";#N/A,#N/A,FALSE,"021-97";#N/A,#N/A,FALSE,"022-97";#N/A,#N/A,FALSE,"028-97"}</definedName>
    <definedName name="CMC" hidden="1">{#N/A,#N/A,FALSE,"GERAL";#N/A,#N/A,FALSE,"012-96";#N/A,#N/A,FALSE,"018-96";#N/A,#N/A,FALSE,"027-96";#N/A,#N/A,FALSE,"059-96";#N/A,#N/A,FALSE,"076-96";#N/A,#N/A,FALSE,"019-97";#N/A,#N/A,FALSE,"021-97";#N/A,#N/A,FALSE,"022-97";#N/A,#N/A,FALSE,"028-97"}</definedName>
    <definedName name="Consolidate_Area">#N/A</definedName>
    <definedName name="CTH" hidden="1">{#N/A,#N/A,FALSE,"GERAL";#N/A,#N/A,FALSE,"012-96";#N/A,#N/A,FALSE,"018-96";#N/A,#N/A,FALSE,"027-96";#N/A,#N/A,FALSE,"059-96";#N/A,#N/A,FALSE,"076-96";#N/A,#N/A,FALSE,"019-97";#N/A,#N/A,FALSE,"021-97";#N/A,#N/A,FALSE,"022-97";#N/A,#N/A,FALSE,"028-97"}</definedName>
    <definedName name="D_Name">"ドロップ 4"</definedName>
    <definedName name="da" hidden="1">{#N/A,#N/A,FALSE,"GERAL";#N/A,#N/A,FALSE,"012-96";#N/A,#N/A,FALSE,"018-96";#N/A,#N/A,FALSE,"027-96";#N/A,#N/A,FALSE,"059-96";#N/A,#N/A,FALSE,"076-96";#N/A,#N/A,FALSE,"019-97";#N/A,#N/A,FALSE,"021-97";#N/A,#N/A,FALSE,"022-97";#N/A,#N/A,FALSE,"028-97"}</definedName>
    <definedName name="des" hidden="1">{#N/A,#N/A,FALSE,"GERAL";#N/A,#N/A,FALSE,"012-96";#N/A,#N/A,FALSE,"018-96";#N/A,#N/A,FALSE,"027-96";#N/A,#N/A,FALSE,"059-96";#N/A,#N/A,FALSE,"076-96";#N/A,#N/A,FALSE,"019-97";#N/A,#N/A,FALSE,"021-97";#N/A,#N/A,FALSE,"022-97";#N/A,#N/A,FALSE,"028-97"}</definedName>
    <definedName name="DESCRIÇÃO" hidden="1">{#N/A,#N/A,FALSE,"GERAL";#N/A,#N/A,FALSE,"012-96";#N/A,#N/A,FALSE,"018-96";#N/A,#N/A,FALSE,"027-96";#N/A,#N/A,FALSE,"059-96";#N/A,#N/A,FALSE,"076-96";#N/A,#N/A,FALSE,"019-97";#N/A,#N/A,FALSE,"021-97";#N/A,#N/A,FALSE,"022-97";#N/A,#N/A,FALSE,"028-97"}</definedName>
    <definedName name="descricao1" hidden="1">{#N/A,#N/A,FALSE,"GERAL";#N/A,#N/A,FALSE,"012-96";#N/A,#N/A,FALSE,"018-96";#N/A,#N/A,FALSE,"027-96";#N/A,#N/A,FALSE,"059-96";#N/A,#N/A,FALSE,"076-96";#N/A,#N/A,FALSE,"019-97";#N/A,#N/A,FALSE,"021-97";#N/A,#N/A,FALSE,"022-97";#N/A,#N/A,FALSE,"028-97"}</definedName>
    <definedName name="DFDFSSDF" hidden="1">{#N/A,#N/A,FALSE,"GERAL";#N/A,#N/A,FALSE,"012-96";#N/A,#N/A,FALSE,"018-96";#N/A,#N/A,FALSE,"027-96";#N/A,#N/A,FALSE,"059-96";#N/A,#N/A,FALSE,"076-96";#N/A,#N/A,FALSE,"019-97";#N/A,#N/A,FALSE,"021-97";#N/A,#N/A,FALSE,"022-97";#N/A,#N/A,FALSE,"028-97"}</definedName>
    <definedName name="dfv" hidden="1">{#N/A,#N/A,FALSE,"GERAL";#N/A,#N/A,FALSE,"012-96";#N/A,#N/A,FALSE,"018-96";#N/A,#N/A,FALSE,"027-96";#N/A,#N/A,FALSE,"059-96";#N/A,#N/A,FALSE,"076-96";#N/A,#N/A,FALSE,"019-97";#N/A,#N/A,FALSE,"021-97";#N/A,#N/A,FALSE,"022-97";#N/A,#N/A,FALSE,"028-97"}</definedName>
    <definedName name="disdjo" hidden="1">{#N/A,#N/A,FALSE,"GERAL";#N/A,#N/A,FALSE,"012-96";#N/A,#N/A,FALSE,"018-96";#N/A,#N/A,FALSE,"027-96";#N/A,#N/A,FALSE,"059-96";#N/A,#N/A,FALSE,"076-96";#N/A,#N/A,FALSE,"019-97";#N/A,#N/A,FALSE,"021-97";#N/A,#N/A,FALSE,"022-97";#N/A,#N/A,FALSE,"028-97"}</definedName>
    <definedName name="drdf" hidden="1">{#N/A,#N/A,FALSE,"GERAL";#N/A,#N/A,FALSE,"012-96";#N/A,#N/A,FALSE,"018-96";#N/A,#N/A,FALSE,"027-96";#N/A,#N/A,FALSE,"059-96";#N/A,#N/A,FALSE,"076-96";#N/A,#N/A,FALSE,"019-97";#N/A,#N/A,FALSE,"021-97";#N/A,#N/A,FALSE,"022-97";#N/A,#N/A,FALSE,"028-97"}</definedName>
    <definedName name="DSDS" hidden="1">{#N/A,#N/A,FALSE,"GERAL";#N/A,#N/A,FALSE,"012-96";#N/A,#N/A,FALSE,"018-96";#N/A,#N/A,FALSE,"027-96";#N/A,#N/A,FALSE,"059-96";#N/A,#N/A,FALSE,"076-96";#N/A,#N/A,FALSE,"019-97";#N/A,#N/A,FALSE,"021-97";#N/A,#N/A,FALSE,"022-97";#N/A,#N/A,FALSE,"028-97"}</definedName>
    <definedName name="dsfadf" hidden="1">{#N/A,#N/A,FALSE,"GERAL";#N/A,#N/A,FALSE,"012-96";#N/A,#N/A,FALSE,"018-96";#N/A,#N/A,FALSE,"027-96";#N/A,#N/A,FALSE,"059-96";#N/A,#N/A,FALSE,"076-96";#N/A,#N/A,FALSE,"019-97";#N/A,#N/A,FALSE,"021-97";#N/A,#N/A,FALSE,"022-97";#N/A,#N/A,FALSE,"028-97"}</definedName>
    <definedName name="eoju" hidden="1">{#N/A,#N/A,FALSE,"GERAL";#N/A,#N/A,FALSE,"012-96";#N/A,#N/A,FALSE,"018-96";#N/A,#N/A,FALSE,"027-96";#N/A,#N/A,FALSE,"059-96";#N/A,#N/A,FALSE,"076-96";#N/A,#N/A,FALSE,"019-97";#N/A,#N/A,FALSE,"021-97";#N/A,#N/A,FALSE,"022-97";#N/A,#N/A,FALSE,"028-97"}</definedName>
    <definedName name="eytuetyueyueytu" hidden="1">{#N/A,#N/A,FALSE,"GERAL";#N/A,#N/A,FALSE,"012-96";#N/A,#N/A,FALSE,"018-96";#N/A,#N/A,FALSE,"027-96";#N/A,#N/A,FALSE,"059-96";#N/A,#N/A,FALSE,"076-96";#N/A,#N/A,FALSE,"019-97";#N/A,#N/A,FALSE,"021-97";#N/A,#N/A,FALSE,"022-97";#N/A,#N/A,FALSE,"028-97"}</definedName>
    <definedName name="fdafd" hidden="1">{#N/A,#N/A,FALSE,"GERAL";#N/A,#N/A,FALSE,"012-96";#N/A,#N/A,FALSE,"018-96";#N/A,#N/A,FALSE,"027-96";#N/A,#N/A,FALSE,"059-96";#N/A,#N/A,FALSE,"076-96";#N/A,#N/A,FALSE,"019-97";#N/A,#N/A,FALSE,"021-97";#N/A,#N/A,FALSE,"022-97";#N/A,#N/A,FALSE,"028-97"}</definedName>
    <definedName name="FFTY" hidden="1">{#N/A,#N/A,FALSE,"GERAL";#N/A,#N/A,FALSE,"012-96";#N/A,#N/A,FALSE,"018-96";#N/A,#N/A,FALSE,"027-96";#N/A,#N/A,FALSE,"059-96";#N/A,#N/A,FALSE,"076-96";#N/A,#N/A,FALSE,"019-97";#N/A,#N/A,FALSE,"021-97";#N/A,#N/A,FALSE,"022-97";#N/A,#N/A,FALSE,"028-97"}</definedName>
    <definedName name="Filtros" hidden="1">{#N/A,#N/A,FALSE,"GERAL";#N/A,#N/A,FALSE,"012-96";#N/A,#N/A,FALSE,"018-96";#N/A,#N/A,FALSE,"027-96";#N/A,#N/A,FALSE,"059-96";#N/A,#N/A,FALSE,"076-96";#N/A,#N/A,FALSE,"019-97";#N/A,#N/A,FALSE,"021-97";#N/A,#N/A,FALSE,"022-97";#N/A,#N/A,FALSE,"028-97"}</definedName>
    <definedName name="Fluxogram" hidden="1">{#N/A,#N/A,FALSE,"GERAL";#N/A,#N/A,FALSE,"012-96";#N/A,#N/A,FALSE,"018-96";#N/A,#N/A,FALSE,"027-96";#N/A,#N/A,FALSE,"059-96";#N/A,#N/A,FALSE,"076-96";#N/A,#N/A,FALSE,"019-97";#N/A,#N/A,FALSE,"021-97";#N/A,#N/A,FALSE,"022-97";#N/A,#N/A,FALSE,"028-97"}</definedName>
    <definedName name="fol" hidden="1">{#N/A,#N/A,FALSE,"GERAL";#N/A,#N/A,FALSE,"012-96";#N/A,#N/A,FALSE,"018-96";#N/A,#N/A,FALSE,"027-96";#N/A,#N/A,FALSE,"059-96";#N/A,#N/A,FALSE,"076-96";#N/A,#N/A,FALSE,"019-97";#N/A,#N/A,FALSE,"021-97";#N/A,#N/A,FALSE,"022-97";#N/A,#N/A,FALSE,"028-97"}</definedName>
    <definedName name="gafdgad" hidden="1">{#N/A,#N/A,FALSE,"GERAL";#N/A,#N/A,FALSE,"012-96";#N/A,#N/A,FALSE,"018-96";#N/A,#N/A,FALSE,"027-96";#N/A,#N/A,FALSE,"059-96";#N/A,#N/A,FALSE,"076-96";#N/A,#N/A,FALSE,"019-97";#N/A,#N/A,FALSE,"021-97";#N/A,#N/A,FALSE,"022-97";#N/A,#N/A,FALSE,"028-97"}</definedName>
    <definedName name="gagadgffga" hidden="1">{#N/A,#N/A,FALSE,"GERAL";#N/A,#N/A,FALSE,"012-96";#N/A,#N/A,FALSE,"018-96";#N/A,#N/A,FALSE,"027-96";#N/A,#N/A,FALSE,"059-96";#N/A,#N/A,FALSE,"076-96";#N/A,#N/A,FALSE,"019-97";#N/A,#N/A,FALSE,"021-97";#N/A,#N/A,FALSE,"022-97";#N/A,#N/A,FALSE,"028-97"}</definedName>
    <definedName name="gagagd" hidden="1">{#N/A,#N/A,FALSE,"GERAL";#N/A,#N/A,FALSE,"012-96";#N/A,#N/A,FALSE,"018-96";#N/A,#N/A,FALSE,"027-96";#N/A,#N/A,FALSE,"059-96";#N/A,#N/A,FALSE,"076-96";#N/A,#N/A,FALSE,"019-97";#N/A,#N/A,FALSE,"021-97";#N/A,#N/A,FALSE,"022-97";#N/A,#N/A,FALSE,"028-97"}</definedName>
    <definedName name="galo" hidden="1">{#N/A,#N/A,FALSE,"GERAL";#N/A,#N/A,FALSE,"012-96";#N/A,#N/A,FALSE,"018-96";#N/A,#N/A,FALSE,"027-96";#N/A,#N/A,FALSE,"059-96";#N/A,#N/A,FALSE,"076-96";#N/A,#N/A,FALSE,"019-97";#N/A,#N/A,FALSE,"021-97";#N/A,#N/A,FALSE,"022-97";#N/A,#N/A,FALSE,"028-97"}</definedName>
    <definedName name="gdf" hidden="1">{#N/A,#N/A,FALSE,"GERAL";#N/A,#N/A,FALSE,"012-96";#N/A,#N/A,FALSE,"018-96";#N/A,#N/A,FALSE,"027-96";#N/A,#N/A,FALSE,"059-96";#N/A,#N/A,FALSE,"076-96";#N/A,#N/A,FALSE,"019-97";#N/A,#N/A,FALSE,"021-97";#N/A,#N/A,FALSE,"022-97";#N/A,#N/A,FALSE,"028-97"}</definedName>
    <definedName name="gertrudes" hidden="1">{#N/A,#N/A,FALSE,"GERAL";#N/A,#N/A,FALSE,"012-96";#N/A,#N/A,FALSE,"018-96";#N/A,#N/A,FALSE,"027-96";#N/A,#N/A,FALSE,"059-96";#N/A,#N/A,FALSE,"076-96";#N/A,#N/A,FALSE,"019-97";#N/A,#N/A,FALSE,"021-97";#N/A,#N/A,FALSE,"022-97";#N/A,#N/A,FALSE,"028-97"}</definedName>
    <definedName name="gfghdhadeh" hidden="1">{#N/A,#N/A,FALSE,"GERAL";#N/A,#N/A,FALSE,"012-96";#N/A,#N/A,FALSE,"018-96";#N/A,#N/A,FALSE,"027-96";#N/A,#N/A,FALSE,"059-96";#N/A,#N/A,FALSE,"076-96";#N/A,#N/A,FALSE,"019-97";#N/A,#N/A,FALSE,"021-97";#N/A,#N/A,FALSE,"022-97";#N/A,#N/A,FALSE,"028-97"}</definedName>
    <definedName name="gfghsfhaf" hidden="1">{#N/A,#N/A,FALSE,"GERAL";#N/A,#N/A,FALSE,"012-96";#N/A,#N/A,FALSE,"018-96";#N/A,#N/A,FALSE,"027-96";#N/A,#N/A,FALSE,"059-96";#N/A,#N/A,FALSE,"076-96";#N/A,#N/A,FALSE,"019-97";#N/A,#N/A,FALSE,"021-97";#N/A,#N/A,FALSE,"022-97";#N/A,#N/A,FALSE,"028-97"}</definedName>
    <definedName name="ggad" hidden="1">{#N/A,#N/A,FALSE,"GERAL";#N/A,#N/A,FALSE,"012-96";#N/A,#N/A,FALSE,"018-96";#N/A,#N/A,FALSE,"027-96";#N/A,#N/A,FALSE,"059-96";#N/A,#N/A,FALSE,"076-96";#N/A,#N/A,FALSE,"019-97";#N/A,#N/A,FALSE,"021-97";#N/A,#N/A,FALSE,"022-97";#N/A,#N/A,FALSE,"028-97"}</definedName>
    <definedName name="GJK" hidden="1">{#N/A,#N/A,FALSE,"GERAL";#N/A,#N/A,FALSE,"012-96";#N/A,#N/A,FALSE,"018-96";#N/A,#N/A,FALSE,"027-96";#N/A,#N/A,FALSE,"059-96";#N/A,#N/A,FALSE,"076-96";#N/A,#N/A,FALSE,"019-97";#N/A,#N/A,FALSE,"021-97";#N/A,#N/A,FALSE,"022-97";#N/A,#N/A,FALSE,"028-97"}</definedName>
    <definedName name="grelha" hidden="1">{#N/A,#N/A,FALSE,"GERAL";#N/A,#N/A,FALSE,"012-96";#N/A,#N/A,FALSE,"018-96";#N/A,#N/A,FALSE,"027-96";#N/A,#N/A,FALSE,"059-96";#N/A,#N/A,FALSE,"076-96";#N/A,#N/A,FALSE,"019-97";#N/A,#N/A,FALSE,"021-97";#N/A,#N/A,FALSE,"022-97";#N/A,#N/A,FALSE,"028-97"}</definedName>
    <definedName name="gsdaga" hidden="1">{#N/A,#N/A,FALSE,"GERAL";#N/A,#N/A,FALSE,"012-96";#N/A,#N/A,FALSE,"018-96";#N/A,#N/A,FALSE,"027-96";#N/A,#N/A,FALSE,"059-96";#N/A,#N/A,FALSE,"076-96";#N/A,#N/A,FALSE,"019-97";#N/A,#N/A,FALSE,"021-97";#N/A,#N/A,FALSE,"022-97";#N/A,#N/A,FALSE,"028-97"}</definedName>
    <definedName name="GUI" hidden="1">{#N/A,#N/A,FALSE,"GERAL";#N/A,#N/A,FALSE,"012-96";#N/A,#N/A,FALSE,"018-96";#N/A,#N/A,FALSE,"027-96";#N/A,#N/A,FALSE,"059-96";#N/A,#N/A,FALSE,"076-96";#N/A,#N/A,FALSE,"019-97";#N/A,#N/A,FALSE,"021-97";#N/A,#N/A,FALSE,"022-97";#N/A,#N/A,FALSE,"028-97"}</definedName>
    <definedName name="LISTA" hidden="1">{#N/A,#N/A,FALSE,"GERAL";#N/A,#N/A,FALSE,"012-96";#N/A,#N/A,FALSE,"018-96";#N/A,#N/A,FALSE,"027-96";#N/A,#N/A,FALSE,"059-96";#N/A,#N/A,FALSE,"076-96";#N/A,#N/A,FALSE,"019-97";#N/A,#N/A,FALSE,"021-97";#N/A,#N/A,FALSE,"022-97";#N/A,#N/A,FALSE,"028-97"}</definedName>
    <definedName name="MANTO" hidden="1">{#N/A,#N/A,FALSE,"GERAL";#N/A,#N/A,FALSE,"012-96";#N/A,#N/A,FALSE,"018-96";#N/A,#N/A,FALSE,"027-96";#N/A,#N/A,FALSE,"059-96";#N/A,#N/A,FALSE,"076-96";#N/A,#N/A,FALSE,"019-97";#N/A,#N/A,FALSE,"021-97";#N/A,#N/A,FALSE,"022-97";#N/A,#N/A,FALSE,"028-97"}</definedName>
    <definedName name="MASTER" hidden="1">{#N/A,#N/A,FALSE,"GERAL";#N/A,#N/A,FALSE,"012-96";#N/A,#N/A,FALSE,"018-96";#N/A,#N/A,FALSE,"027-96";#N/A,#N/A,FALSE,"059-96";#N/A,#N/A,FALSE,"076-96";#N/A,#N/A,FALSE,"019-97";#N/A,#N/A,FALSE,"021-97";#N/A,#N/A,FALSE,"022-97";#N/A,#N/A,FALSE,"028-97"}</definedName>
    <definedName name="MCM" hidden="1">{#N/A,#N/A,FALSE,"GERAL";#N/A,#N/A,FALSE,"012-96";#N/A,#N/A,FALSE,"018-96";#N/A,#N/A,FALSE,"027-96";#N/A,#N/A,FALSE,"059-96";#N/A,#N/A,FALSE,"076-96";#N/A,#N/A,FALSE,"019-97";#N/A,#N/A,FALSE,"021-97";#N/A,#N/A,FALSE,"022-97";#N/A,#N/A,FALSE,"028-97"}</definedName>
    <definedName name="MESTRE" hidden="1">{#N/A,#N/A,FALSE,"GERAL";#N/A,#N/A,FALSE,"012-96";#N/A,#N/A,FALSE,"018-96";#N/A,#N/A,FALSE,"027-96";#N/A,#N/A,FALSE,"059-96";#N/A,#N/A,FALSE,"076-96";#N/A,#N/A,FALSE,"019-97";#N/A,#N/A,FALSE,"021-97";#N/A,#N/A,FALSE,"022-97";#N/A,#N/A,FALSE,"028-97"}</definedName>
    <definedName name="Moagem" hidden="1">{#N/A,#N/A,FALSE,"GERAL";#N/A,#N/A,FALSE,"012-96";#N/A,#N/A,FALSE,"018-96";#N/A,#N/A,FALSE,"027-96";#N/A,#N/A,FALSE,"059-96";#N/A,#N/A,FALSE,"076-96";#N/A,#N/A,FALSE,"019-97";#N/A,#N/A,FALSE,"021-97";#N/A,#N/A,FALSE,"022-97";#N/A,#N/A,FALSE,"028-97"}</definedName>
    <definedName name="opihjkgfgyufuyfuyf" hidden="1">{#N/A,#N/A,FALSE,"GERAL";#N/A,#N/A,FALSE,"012-96";#N/A,#N/A,FALSE,"018-96";#N/A,#N/A,FALSE,"027-96";#N/A,#N/A,FALSE,"059-96";#N/A,#N/A,FALSE,"076-96";#N/A,#N/A,FALSE,"019-97";#N/A,#N/A,FALSE,"021-97";#N/A,#N/A,FALSE,"022-97";#N/A,#N/A,FALSE,"028-97"}</definedName>
    <definedName name="pendencias2" hidden="1">{#N/A,#N/A,FALSE,"GERAL";#N/A,#N/A,FALSE,"012-96";#N/A,#N/A,FALSE,"018-96";#N/A,#N/A,FALSE,"027-96";#N/A,#N/A,FALSE,"059-96";#N/A,#N/A,FALSE,"076-96";#N/A,#N/A,FALSE,"019-97";#N/A,#N/A,FALSE,"021-97";#N/A,#N/A,FALSE,"022-97";#N/A,#N/A,FALSE,"028-97"}</definedName>
    <definedName name="pendencias3" hidden="1">{#N/A,#N/A,FALSE,"GERAL";#N/A,#N/A,FALSE,"012-96";#N/A,#N/A,FALSE,"018-96";#N/A,#N/A,FALSE,"027-96";#N/A,#N/A,FALSE,"059-96";#N/A,#N/A,FALSE,"076-96";#N/A,#N/A,FALSE,"019-97";#N/A,#N/A,FALSE,"021-97";#N/A,#N/A,FALSE,"022-97";#N/A,#N/A,FALSE,"028-97"}</definedName>
    <definedName name="PENEIRA" hidden="1">{#N/A,#N/A,FALSE,"GERAL";#N/A,#N/A,FALSE,"012-96";#N/A,#N/A,FALSE,"018-96";#N/A,#N/A,FALSE,"027-96";#N/A,#N/A,FALSE,"059-96";#N/A,#N/A,FALSE,"076-96";#N/A,#N/A,FALSE,"019-97";#N/A,#N/A,FALSE,"021-97";#N/A,#N/A,FALSE,"022-97";#N/A,#N/A,FALSE,"028-97"}</definedName>
    <definedName name="pjoiohgib" hidden="1">{#N/A,#N/A,FALSE,"GERAL";#N/A,#N/A,FALSE,"012-96";#N/A,#N/A,FALSE,"018-96";#N/A,#N/A,FALSE,"027-96";#N/A,#N/A,FALSE,"059-96";#N/A,#N/A,FALSE,"076-96";#N/A,#N/A,FALSE,"019-97";#N/A,#N/A,FALSE,"021-97";#N/A,#N/A,FALSE,"022-97";#N/A,#N/A,FALSE,"028-97"}</definedName>
    <definedName name="pojnjhn" hidden="1">{#N/A,#N/A,FALSE,"GERAL";#N/A,#N/A,FALSE,"012-96";#N/A,#N/A,FALSE,"018-96";#N/A,#N/A,FALSE,"027-96";#N/A,#N/A,FALSE,"059-96";#N/A,#N/A,FALSE,"076-96";#N/A,#N/A,FALSE,"019-97";#N/A,#N/A,FALSE,"021-97";#N/A,#N/A,FALSE,"022-97";#N/A,#N/A,FALSE,"028-97"}</definedName>
    <definedName name="qqwe" hidden="1">{#N/A,#N/A,FALSE,"GERAL";#N/A,#N/A,FALSE,"012-96";#N/A,#N/A,FALSE,"018-96";#N/A,#N/A,FALSE,"027-96";#N/A,#N/A,FALSE,"059-96";#N/A,#N/A,FALSE,"076-96";#N/A,#N/A,FALSE,"019-97";#N/A,#N/A,FALSE,"021-97";#N/A,#N/A,FALSE,"022-97";#N/A,#N/A,FALSE,"028-97"}</definedName>
    <definedName name="relação" hidden="1">{#N/A,#N/A,FALSE,"GERAL";#N/A,#N/A,FALSE,"012-96";#N/A,#N/A,FALSE,"018-96";#N/A,#N/A,FALSE,"027-96";#N/A,#N/A,FALSE,"059-96";#N/A,#N/A,FALSE,"076-96";#N/A,#N/A,FALSE,"019-97";#N/A,#N/A,FALSE,"021-97";#N/A,#N/A,FALSE,"022-97";#N/A,#N/A,FALSE,"028-97"}</definedName>
    <definedName name="renata" hidden="1">{#N/A,#N/A,FALSE,"GERAL";#N/A,#N/A,FALSE,"012-96";#N/A,#N/A,FALSE,"018-96";#N/A,#N/A,FALSE,"027-96";#N/A,#N/A,FALSE,"059-96";#N/A,#N/A,FALSE,"076-96";#N/A,#N/A,FALSE,"019-97";#N/A,#N/A,FALSE,"021-97";#N/A,#N/A,FALSE,"022-97";#N/A,#N/A,FALSE,"028-97"}</definedName>
    <definedName name="saa" hidden="1">{#N/A,#N/A,FALSE,"GERAL";#N/A,#N/A,FALSE,"012-96";#N/A,#N/A,FALSE,"018-96";#N/A,#N/A,FALSE,"027-96";#N/A,#N/A,FALSE,"059-96";#N/A,#N/A,FALSE,"076-96";#N/A,#N/A,FALSE,"019-97";#N/A,#N/A,FALSE,"021-97";#N/A,#N/A,FALSE,"022-97";#N/A,#N/A,FALSE,"028-97"}</definedName>
    <definedName name="sadd" hidden="1">{#N/A,#N/A,FALSE,"GERAL";#N/A,#N/A,FALSE,"012-96";#N/A,#N/A,FALSE,"018-96";#N/A,#N/A,FALSE,"027-96";#N/A,#N/A,FALSE,"059-96";#N/A,#N/A,FALSE,"076-96";#N/A,#N/A,FALSE,"019-97";#N/A,#N/A,FALSE,"021-97";#N/A,#N/A,FALSE,"022-97";#N/A,#N/A,FALSE,"028-97"}</definedName>
    <definedName name="SegmentaçãodeDados_COST_CENTER_DESCRIPTION">#N/A</definedName>
    <definedName name="SegmentaçãodeDados_MANAGEMENT_DESCRIPTION">#N/A</definedName>
    <definedName name="SegmentaçãodeDados_MANAGEMENT_DESCRIPTION1">#N/A</definedName>
    <definedName name="SegmentaçãodeDados_MANAGEMENT_DESCRIPTION11">#N/A</definedName>
    <definedName name="SegmentaçãodeDados_PROJECT_PHASE">#N/A</definedName>
    <definedName name="SegmentaçãodeDados_PROJECT_PHASE1">#N/A</definedName>
    <definedName name="SegmentaçãodeDados_TYPE">#N/A</definedName>
    <definedName name="SegmentaçãodeDados_TYPE2">#N/A</definedName>
    <definedName name="SegmentaçãodeDados_VERSÃO">#N/A</definedName>
    <definedName name="SRH" hidden="1">{#N/A,#N/A,FALSE,"GERAL";#N/A,#N/A,FALSE,"012-96";#N/A,#N/A,FALSE,"018-96";#N/A,#N/A,FALSE,"027-96";#N/A,#N/A,FALSE,"059-96";#N/A,#N/A,FALSE,"076-96";#N/A,#N/A,FALSE,"019-97";#N/A,#N/A,FALSE,"021-97";#N/A,#N/A,FALSE,"022-97";#N/A,#N/A,FALSE,"028-97"}</definedName>
    <definedName name="SRTSRT" hidden="1">{#N/A,#N/A,FALSE,"GERAL";#N/A,#N/A,FALSE,"012-96";#N/A,#N/A,FALSE,"018-96";#N/A,#N/A,FALSE,"027-96";#N/A,#N/A,FALSE,"059-96";#N/A,#N/A,FALSE,"076-96";#N/A,#N/A,FALSE,"019-97";#N/A,#N/A,FALSE,"021-97";#N/A,#N/A,FALSE,"022-97";#N/A,#N/A,FALSE,"028-97"}</definedName>
    <definedName name="SRTST" hidden="1">{#N/A,#N/A,FALSE,"GERAL";#N/A,#N/A,FALSE,"012-96";#N/A,#N/A,FALSE,"018-96";#N/A,#N/A,FALSE,"027-96";#N/A,#N/A,FALSE,"059-96";#N/A,#N/A,FALSE,"076-96";#N/A,#N/A,FALSE,"019-97";#N/A,#N/A,FALSE,"021-97";#N/A,#N/A,FALSE,"022-97";#N/A,#N/A,FALSE,"028-97"}</definedName>
    <definedName name="sssssssss" hidden="1">{#N/A,#N/A,FALSE,"GERAL";#N/A,#N/A,FALSE,"012-96";#N/A,#N/A,FALSE,"018-96";#N/A,#N/A,FALSE,"027-96";#N/A,#N/A,FALSE,"059-96";#N/A,#N/A,FALSE,"076-96";#N/A,#N/A,FALSE,"019-97";#N/A,#N/A,FALSE,"021-97";#N/A,#N/A,FALSE,"022-97";#N/A,#N/A,FALSE,"028-97"}</definedName>
    <definedName name="ssssssssss" hidden="1">{#N/A,#N/A,FALSE,"GERAL";#N/A,#N/A,FALSE,"012-96";#N/A,#N/A,FALSE,"018-96";#N/A,#N/A,FALSE,"027-96";#N/A,#N/A,FALSE,"059-96";#N/A,#N/A,FALSE,"076-96";#N/A,#N/A,FALSE,"019-97";#N/A,#N/A,FALSE,"021-97";#N/A,#N/A,FALSE,"022-97";#N/A,#N/A,FALSE,"028-97"}</definedName>
    <definedName name="teste1" hidden="1">{#N/A,#N/A,FALSE,"GERAL";#N/A,#N/A,FALSE,"012-96";#N/A,#N/A,FALSE,"018-96";#N/A,#N/A,FALSE,"027-96";#N/A,#N/A,FALSE,"059-96";#N/A,#N/A,FALSE,"076-96";#N/A,#N/A,FALSE,"019-97";#N/A,#N/A,FALSE,"021-97";#N/A,#N/A,FALSE,"022-97";#N/A,#N/A,FALSE,"028-97"}</definedName>
    <definedName name="uai" hidden="1">{#N/A,#N/A,FALSE,"GERAL";#N/A,#N/A,FALSE,"012-96";#N/A,#N/A,FALSE,"018-96";#N/A,#N/A,FALSE,"027-96";#N/A,#N/A,FALSE,"059-96";#N/A,#N/A,FALSE,"076-96";#N/A,#N/A,FALSE,"019-97";#N/A,#N/A,FALSE,"021-97";#N/A,#N/A,FALSE,"022-97";#N/A,#N/A,FALSE,"028-97"}</definedName>
    <definedName name="uyuye" hidden="1">{#N/A,#N/A,FALSE,"GERAL";#N/A,#N/A,FALSE,"012-96";#N/A,#N/A,FALSE,"018-96";#N/A,#N/A,FALSE,"027-96";#N/A,#N/A,FALSE,"059-96";#N/A,#N/A,FALSE,"076-96";#N/A,#N/A,FALSE,"019-97";#N/A,#N/A,FALSE,"021-97";#N/A,#N/A,FALSE,"022-97";#N/A,#N/A,FALSE,"028-97"}</definedName>
    <definedName name="wrn.PENDENCIAS." hidden="1">{#N/A,#N/A,FALSE,"GERAL";#N/A,#N/A,FALSE,"012-96";#N/A,#N/A,FALSE,"018-96";#N/A,#N/A,FALSE,"027-96";#N/A,#N/A,FALSE,"059-96";#N/A,#N/A,FALSE,"076-96";#N/A,#N/A,FALSE,"019-97";#N/A,#N/A,FALSE,"021-97";#N/A,#N/A,FALSE,"022-97";#N/A,#N/A,FALSE,"028-97"}</definedName>
    <definedName name="ZVZ" hidden="1">{#N/A,#N/A,FALSE,"GERAL";#N/A,#N/A,FALSE,"012-96";#N/A,#N/A,FALSE,"018-96";#N/A,#N/A,FALSE,"027-96";#N/A,#N/A,FALSE,"059-96";#N/A,#N/A,FALSE,"076-96";#N/A,#N/A,FALSE,"019-97";#N/A,#N/A,FALSE,"021-97";#N/A,#N/A,FALSE,"022-97";#N/A,#N/A,FALSE,"028-97"}</definedName>
    <definedName name="_____________QQ1" hidden="1">{#N/A,#N/A,FALSE,"단가표지"}</definedName>
    <definedName name="_____________QW1" hidden="1">{#N/A,#N/A,FALSE,"단가표지"}</definedName>
    <definedName name="________SS1" hidden="1">{#N/A,#N/A,FALSE,"운반시간"}</definedName>
    <definedName name="______EE1" hidden="1">{#N/A,#N/A,FALSE,"단가표지"}</definedName>
    <definedName name="____PK2" hidden="1">{"'장비'!$A$3:$M$12"}</definedName>
    <definedName name="____PKG3" hidden="1">{"'장비'!$A$3:$M$12"}</definedName>
    <definedName name="____qqq222" hidden="1">{"'장비'!$A$3:$M$12"}</definedName>
    <definedName name="___A10" hidden="1">{#N/A,#N/A,FALSE,"CCTV"}</definedName>
    <definedName name="__A10" hidden="1">{#N/A,#N/A,FALSE,"CCTV"}</definedName>
    <definedName name="__PK2" hidden="1">{"'장비'!$A$3:$M$12"}</definedName>
    <definedName name="__PKG3" hidden="1">{"'장비'!$A$3:$M$12"}</definedName>
    <definedName name="__qqq222" hidden="1">{"'장비'!$A$3:$M$12"}</definedName>
    <definedName name="_4_0_0_F" hidden="1">#N/A</definedName>
    <definedName name="_5A10_" hidden="1">{#N/A,#N/A,FALSE,"CCTV"}</definedName>
    <definedName name="_60A10_" hidden="1">{#N/A,#N/A,FALSE,"CCTV"}</definedName>
    <definedName name="_84EE1_" hidden="1">{#N/A,#N/A,FALSE,"단가표지"}</definedName>
    <definedName name="_PK2" hidden="1">{"'장비'!$A$3:$M$12"}</definedName>
    <definedName name="_PKG3" hidden="1">{"'장비'!$A$3:$M$12"}</definedName>
    <definedName name="_qqq222" hidden="1">{"'장비'!$A$3:$M$12"}</definedName>
    <definedName name="aaaaaaaaaaaaaaaaaa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ew" hidden="1">{#N/A,#N/A,TRUE,"LOADCOVE";#N/A,#N/A,TRUE,"PAGE001";#N/A,#N/A,TRUE,"PAGE002";#N/A,#N/A,TRUE,"PAGE003";#N/A,#N/A,TRUE,"PAGE004";#N/A,#N/A,TRUE,"PAGE005";#N/A,#N/A,TRUE,"PAGE006";#N/A,#N/A,TRUE,"PAGE007";#N/A,#N/A,TRUE,"PAGE008";#N/A,#N/A,TRUE,"PAGE009";#N/A,#N/A,TRUE,"PAGE010";#N/A,#N/A,TRUE,"PAGE011";#N/A,#N/A,TRUE,"PAGE012";#N/A,#N/A,TRUE,"PAGE013"}</definedName>
    <definedName name="AQE" hidden="1">{"'장비'!$A$3:$M$12"}</definedName>
    <definedName name="ega" hidden="1">{#N/A,#N/A,TRUE,"Basic";#N/A,#N/A,TRUE,"EXT-TABLE";#N/A,#N/A,TRUE,"STEEL";#N/A,#N/A,TRUE,"INT-Table";#N/A,#N/A,TRUE,"STEEL";#N/A,#N/A,TRUE,"Door"}</definedName>
    <definedName name="fgg" hidden="1">{"'장비'!$A$3:$M$12"}</definedName>
    <definedName name="fgㅗ" hidden="1">{#N/A,#N/A,FALSE,"집계표"}</definedName>
    <definedName name="FKDJF" hidden="1">{#N/A,#N/A,TRUE,"LOADCOVE";#N/A,#N/A,TRUE,"PAGE001";#N/A,#N/A,TRUE,"PAGE002";#N/A,#N/A,TRUE,"PAGE003";#N/A,#N/A,TRUE,"PAGE004";#N/A,#N/A,TRUE,"PAGE005";#N/A,#N/A,TRUE,"PAGE006";#N/A,#N/A,TRUE,"PAGE007";#N/A,#N/A,TRUE,"PAGE008";#N/A,#N/A,TRUE,"PAGE009";#N/A,#N/A,TRUE,"PAGE010";#N/A,#N/A,TRUE,"PAGE011";#N/A,#N/A,TRUE,"PAGE012";#N/A,#N/A,TRUE,"PAGE013"}</definedName>
    <definedName name="___h1" hidden="1">{"'Sheet1'!$L$16"}</definedName>
    <definedName name="___hu1" hidden="1">{"'Sheet1'!$L$16"}</definedName>
    <definedName name="___hu2" hidden="1">{"'Sheet1'!$L$16"}</definedName>
    <definedName name="___hu5" hidden="1">{"'Sheet1'!$L$16"}</definedName>
    <definedName name="___hu6" hidden="1">{"'Sheet1'!$L$16"}</definedName>
    <definedName name="ej" hidden="1">{"'现金流量表（全部投资）'!$B$4:$P$23"}</definedName>
    <definedName name="Tram" hidden="1">{"'Sheet1'!$L$16"}</definedName>
    <definedName name="werar" hidden="1">{"'Sheet1'!$L$16"}</definedName>
    <definedName name="yingkui" hidden="1">{"'现金流量表（全部投资）'!$B$4:$P$23"}</definedName>
    <definedName name="采后处理中心" hidden="1">1</definedName>
    <definedName name="电气" hidden="1">{"'现金流量表（全部投资）'!$B$4:$P$23"}</definedName>
    <definedName name="各个" hidden="1">{"'现金流量表（全部投资）'!$B$4:$P$23"}</definedName>
    <definedName name="WT" hidden="1">{#N/A,#N/A,TRUE,"Cover";#N/A,#N/A,TRUE,"Conts";#N/A,#N/A,TRUE,"VOS";#N/A,#N/A,TRUE,"Warrington";#N/A,#N/A,TRUE,"Widnes"}</definedName>
    <definedName name="jh" hidden="1">{#N/A,#N/A,FALSE,"SumG";#N/A,#N/A,FALSE,"ElecG";#N/A,#N/A,FALSE,"MechG";#N/A,#N/A,FALSE,"GeotG";#N/A,#N/A,FALSE,"PrcsG";#N/A,#N/A,FALSE,"TunnG";#N/A,#N/A,FALSE,"CivlG";#N/A,#N/A,FALSE,"NtwkG";#N/A,#N/A,FALSE,"EstgG";#N/A,#N/A,FALSE,"PEngG"}</definedName>
    <definedName name="staff" hidden="1">{"Total Indirect Manpower",#N/A,FALSE,"J";"Total Direct Manpower",#N/A,FALSE,"J";"Direct Structural Manpower",#N/A,FALSE,"J";"Direct Mechanical Manpower",#N/A,FALSE,"J";"Direct Piping Manpower",#N/A,FALSE,"J";"Direct Tanks Manpower",#N/A,FALSE,"J";"Direct ElecInstrSS Manpower",#N/A,FALSE,"J"}</definedName>
    <definedName name="ads" localSheetId="1">BlankMacro1</definedName>
    <definedName name="coping" localSheetId="1">BLCH</definedName>
    <definedName name="dfdsfsdaf" localSheetId="1">BlankMacro1</definedName>
    <definedName name="fda" localSheetId="1">BlankMacro1</definedName>
    <definedName name="gd" localSheetId="1">BlankMacro1</definedName>
    <definedName name="ggg" localSheetId="1">BlankMacro1</definedName>
    <definedName name="ty" localSheetId="1">BlankMacro1</definedName>
    <definedName name="tyo" localSheetId="1">BlankMacro1</definedName>
    <definedName name="wwww" localSheetId="1">BLCH</definedName>
    <definedName name="가르" localSheetId="1">BlankMacro1</definedName>
    <definedName name="감리" localSheetId="1">BlankMacro1</definedName>
    <definedName name="급여" localSheetId="1">BlankMacro1</definedName>
    <definedName name="김치원" localSheetId="1">BlankMacro1</definedName>
    <definedName name="ㄳ" localSheetId="1">BLCH</definedName>
    <definedName name="ㄴㄴㄴ" localSheetId="1">BlankMacro1</definedName>
    <definedName name="ㄴㅇㄹㄴㅇㄻㄴ" localSheetId="1">BlankMacro1</definedName>
    <definedName name="ㄷㄷㄷ" localSheetId="1">BLCH</definedName>
    <definedName name="ㄹㅇㅎ" localSheetId="1">BLCH</definedName>
    <definedName name="ㅁㅁㅁ" localSheetId="1">BLCH</definedName>
    <definedName name="몰1" localSheetId="1">BlankMacro1</definedName>
    <definedName name="몰2" localSheetId="1">BlankMacro1</definedName>
    <definedName name="몰3" localSheetId="1">BlankMacro1</definedName>
    <definedName name="몰4" localSheetId="1">BlankMacro1</definedName>
    <definedName name="몰5" localSheetId="1">BlankMacro1</definedName>
    <definedName name="몰6" localSheetId="1">BlankMacro1</definedName>
    <definedName name="ㅂㅈ" localSheetId="1">BLCH</definedName>
    <definedName name="배수공" localSheetId="1">BlankMacro1</definedName>
    <definedName name="변경내역" localSheetId="1">BlankMacro1</definedName>
    <definedName name="보차도" localSheetId="1">BlankMacro1</definedName>
    <definedName name="보차도경계석" localSheetId="1">BlankMacro1</definedName>
    <definedName name="ㅅㅅㅅ" localSheetId="1">BLCH</definedName>
    <definedName name="셔갸9" localSheetId="1">BlankMacro1</definedName>
    <definedName name="쇼" localSheetId="1">BlankMacro1</definedName>
    <definedName name="신고서" localSheetId="1">BlankMacro1</definedName>
    <definedName name="오" localSheetId="1">BlankMacro1</definedName>
    <definedName name="ㅈㄷ" localSheetId="1">BLCH</definedName>
    <definedName name="제비" localSheetId="1">BlankMacro1</definedName>
    <definedName name="철거수량" localSheetId="1">BlankMacro1</definedName>
    <definedName name="템플리트모듈1" localSheetId="1">BlankMacro1</definedName>
    <definedName name="템플리트모듈2" localSheetId="1">BlankMacro1</definedName>
    <definedName name="템플리트모듈3" localSheetId="1">BlankMacro1</definedName>
    <definedName name="템플리트모듈4" localSheetId="1">BlankMacro1</definedName>
    <definedName name="템플리트모듈5" localSheetId="1">BlankMacro1</definedName>
    <definedName name="템플리트모듈6" localSheetId="1">BlankMacro1</definedName>
    <definedName name="통장2" localSheetId="1">BlankMacro1</definedName>
    <definedName name="포장공" localSheetId="1">BlankMacro1</definedName>
    <definedName name="하부우각부" localSheetId="1">BLCH</definedName>
    <definedName name="허" localSheetId="1">BLCH</definedName>
    <definedName name="호ㅓㅗ" localSheetId="1">BLCH</definedName>
    <definedName name="홓" localSheetId="1">BLCH</definedName>
    <definedName name="ㅑㅐㅑ" localSheetId="1">BLCH</definedName>
    <definedName name="ㅛ" localSheetId="1">BLCH</definedName>
    <definedName name="ㅛ샤ㅛ" localSheetId="1">BLCH</definedName>
    <definedName name="ㅛㅛㅛ" localSheetId="1">BLCH</definedName>
    <definedName name="ㅛㅛㅛㅛ" localSheetId="1">BLCH</definedName>
    <definedName name="ㅣㅣㅣ" localSheetId="1">BlankMacro1</definedName>
    <definedName name="Total_Payment" localSheetId="1">Scheduled_Payment+Extra_Payment</definedName>
    <definedName name="ECC" localSheetId="1">IF('清单 '!Values_Entered,Header_Row+Eccc,Header_Row)</definedName>
  </definedNames>
  <calcPr calcId="191029" calcMode="manual" iterate="1" iterateCount="100" iterateDelta="0.001"/>
  <extLst>
    <ext uri="{B58B0392-4F1F-4190-BB64-5DF3571DCE5F}">
      <ns2:calcFeatures>
        <ns2:feature name="microsoft.com:RD"/>
        <ns2:feature name="microsoft.com:Single"/>
        <ns2:feature name="microsoft.com:FV"/>
        <ns2:feature name="microsoft.com:CNMTM"/>
        <ns2:feature name="microsoft.com:LET_WF"/>
        <ns2:feature name="microsoft.com:LAMBDA_WF"/>
        <ns2:feature name="microsoft.com:ARRAYTEXT_WF"/>
      </ns2:calcFeatures>
    </ext>
  </extLst>
</workbook>
</file>

<file path=xl/sharedStrings.xml><?xml version="1.0" encoding="utf-8"?>
<sst xmlns="http://schemas.openxmlformats.org/spreadsheetml/2006/main" count="6547" uniqueCount="2588">
  <si>
    <t>拉迪亚码头投标报价表-二航院</t>
  </si>
  <si>
    <t>序号</t>
  </si>
  <si>
    <t>名称</t>
  </si>
  <si>
    <t>二航院方案（PHC桩）</t>
  </si>
  <si>
    <t>金额（美元）</t>
  </si>
  <si>
    <t>B</t>
  </si>
  <si>
    <t>准备工作</t>
  </si>
  <si>
    <t>C</t>
  </si>
  <si>
    <t>疏浚工程</t>
  </si>
  <si>
    <t>D</t>
  </si>
  <si>
    <t>地基处理</t>
  </si>
  <si>
    <t>E</t>
  </si>
  <si>
    <t>码头</t>
  </si>
  <si>
    <t>护岸</t>
  </si>
  <si>
    <t>F</t>
  </si>
  <si>
    <t>路面工程</t>
  </si>
  <si>
    <t>G</t>
  </si>
  <si>
    <t>电气</t>
  </si>
  <si>
    <t>H</t>
  </si>
  <si>
    <t>房建</t>
  </si>
  <si>
    <t>I</t>
  </si>
  <si>
    <t>Gate Complex</t>
  </si>
  <si>
    <t>直接费小计</t>
  </si>
  <si>
    <t>关税</t>
  </si>
  <si>
    <t>项目总计</t>
  </si>
  <si>
    <t>THE BILL OF QUANTITIES（拉迪亚码头-港湾-二航院）</t>
  </si>
  <si>
    <t>Item No.</t>
  </si>
  <si>
    <t>Description2</t>
  </si>
  <si>
    <t>清单说明</t>
  </si>
  <si>
    <t>Unit2</t>
  </si>
  <si>
    <t>Quantity</t>
  </si>
  <si>
    <t>综合单价（美元）</t>
  </si>
  <si>
    <t>合计（美元）</t>
  </si>
  <si>
    <t>CLASS A</t>
  </si>
  <si>
    <t>PRELIMANARIES</t>
  </si>
  <si>
    <t>A.1</t>
  </si>
  <si>
    <t>Fixed (non-time related) Items</t>
  </si>
  <si>
    <t>固定（非计时）项目</t>
  </si>
  <si>
    <t>A.1.1</t>
  </si>
  <si>
    <t>Site Establishment</t>
  </si>
  <si>
    <t>场地建设</t>
  </si>
  <si>
    <t>LS</t>
  </si>
  <si>
    <t>A.1.2</t>
  </si>
  <si>
    <t>Site Disestablishment</t>
  </si>
  <si>
    <t>场地拆除</t>
  </si>
  <si>
    <t>A.1.3</t>
  </si>
  <si>
    <t>Temporary Access Routes</t>
  </si>
  <si>
    <t>临时道路</t>
  </si>
  <si>
    <t>A.1.4</t>
  </si>
  <si>
    <t>Safety &amp; Emergency Response</t>
  </si>
  <si>
    <t>安全与应急响应</t>
  </si>
  <si>
    <t>A.1.5</t>
  </si>
  <si>
    <t>Risk Assessment /Method Statements / HSSE Plan</t>
  </si>
  <si>
    <r>
      <rPr>
        <sz val="10"/>
        <rFont val="宋体-简"/>
        <charset val="134"/>
      </rPr>
      <t>风险评估</t>
    </r>
    <r>
      <rPr>
        <sz val="10"/>
        <rFont val="Arial"/>
        <charset val="134"/>
      </rPr>
      <t>/</t>
    </r>
    <r>
      <rPr>
        <sz val="10"/>
        <rFont val="宋体-简"/>
        <charset val="134"/>
      </rPr>
      <t>方法说明</t>
    </r>
    <r>
      <rPr>
        <sz val="10"/>
        <rFont val="Arial"/>
        <charset val="134"/>
      </rPr>
      <t>/</t>
    </r>
    <r>
      <rPr>
        <sz val="10"/>
        <rFont val="宋体-简"/>
        <charset val="134"/>
      </rPr>
      <t>健康安全环境计划</t>
    </r>
  </si>
  <si>
    <t>A.1.6</t>
  </si>
  <si>
    <t>Quality Management/Assurance Plan</t>
  </si>
  <si>
    <t>质量管理／保证计划</t>
  </si>
  <si>
    <t>A.1.7</t>
  </si>
  <si>
    <t>Contractor’s Environmental and Social Management Plan</t>
  </si>
  <si>
    <t>承包商环境与社会管理计划</t>
  </si>
  <si>
    <t>A.1.8</t>
  </si>
  <si>
    <t>Engineers' Site Facilities</t>
  </si>
  <si>
    <t>工程师现场设施设备</t>
  </si>
  <si>
    <t>A.1.9</t>
  </si>
  <si>
    <t>Project Security (establishment)</t>
  </si>
  <si>
    <t>项目保安（设立）</t>
  </si>
  <si>
    <t>A.1.10</t>
  </si>
  <si>
    <t>Mobilisation of Contractor's Plant and Equipment</t>
  </si>
  <si>
    <t>承包商设备与机械进场</t>
  </si>
  <si>
    <t>Contractor to itemise major plant</t>
  </si>
  <si>
    <t>承包商列明主要设备</t>
  </si>
  <si>
    <t>A.1.10.1</t>
  </si>
  <si>
    <t>Piling rigs</t>
  </si>
  <si>
    <t>桩机</t>
  </si>
  <si>
    <t>A.1.10.2</t>
  </si>
  <si>
    <t>Cranes</t>
  </si>
  <si>
    <t>起重机</t>
  </si>
  <si>
    <t>A.1.10.3</t>
  </si>
  <si>
    <t>Paving machines</t>
  </si>
  <si>
    <t>铺路机械</t>
  </si>
  <si>
    <t>A.1.10.X</t>
  </si>
  <si>
    <t>Other equipment - Contractor to specify</t>
  </si>
  <si>
    <r>
      <rPr>
        <i/>
        <sz val="10"/>
        <rFont val="宋体-简"/>
        <charset val="134"/>
      </rPr>
      <t>其他设备</t>
    </r>
    <r>
      <rPr>
        <i/>
        <sz val="10"/>
        <rFont val="Arial"/>
        <charset val="134"/>
      </rPr>
      <t>——</t>
    </r>
    <r>
      <rPr>
        <i/>
        <sz val="10"/>
        <rFont val="宋体-简"/>
        <charset val="134"/>
      </rPr>
      <t>由承包商指定</t>
    </r>
  </si>
  <si>
    <t>A.1.11</t>
  </si>
  <si>
    <t>De-mobilisation of Contractor's Plant &amp; Equipment</t>
  </si>
  <si>
    <t>承包商设备与机械退场</t>
  </si>
  <si>
    <t>A.1.12</t>
  </si>
  <si>
    <t>Insurances</t>
  </si>
  <si>
    <t>保险</t>
  </si>
  <si>
    <t>A.1.13</t>
  </si>
  <si>
    <t>Performance Security</t>
  </si>
  <si>
    <t>履约保证金</t>
  </si>
  <si>
    <t>A.1.14</t>
  </si>
  <si>
    <t>Advance Payment Guarantee</t>
  </si>
  <si>
    <t>预付款保函</t>
  </si>
  <si>
    <t>A.1.15</t>
  </si>
  <si>
    <t>Parent Company Guarantees</t>
  </si>
  <si>
    <t>母公司担保</t>
  </si>
  <si>
    <t>A.1.16</t>
  </si>
  <si>
    <t>Site Signage</t>
  </si>
  <si>
    <t>现场标识</t>
  </si>
  <si>
    <t>A.1.17</t>
  </si>
  <si>
    <t>Design</t>
  </si>
  <si>
    <t>设计</t>
  </si>
  <si>
    <t>A.1.17.1</t>
  </si>
  <si>
    <t>Earthworks Reclamation and Ground Improvement</t>
  </si>
  <si>
    <t>土方回填与地基改良</t>
  </si>
  <si>
    <t>A.1.17.2</t>
  </si>
  <si>
    <t>Quay and other Suspended deck structures</t>
  </si>
  <si>
    <t>码头及其他悬挂式甲板结构</t>
  </si>
  <si>
    <t>A.1.17.3</t>
  </si>
  <si>
    <t>Drainage</t>
  </si>
  <si>
    <t>排水工程</t>
  </si>
  <si>
    <t>A.1.17.4</t>
  </si>
  <si>
    <t>Services and Utilities</t>
  </si>
  <si>
    <t>管线及公用设施工程</t>
  </si>
  <si>
    <t>A.1.17.5</t>
  </si>
  <si>
    <t>Pavements</t>
  </si>
  <si>
    <t>A.1.17.6</t>
  </si>
  <si>
    <t>Electrical works</t>
  </si>
  <si>
    <t>电气工程</t>
  </si>
  <si>
    <t>A.1.17.7</t>
  </si>
  <si>
    <t>IT and Communications</t>
  </si>
  <si>
    <t>信息技术与通信工程</t>
  </si>
  <si>
    <t>A.1.17.8</t>
  </si>
  <si>
    <t>闸口综合体</t>
  </si>
  <si>
    <t>A.1.17.9</t>
  </si>
  <si>
    <t>Reefer Racks</t>
  </si>
  <si>
    <t>冷藏货架</t>
  </si>
  <si>
    <t>A.1.17.10</t>
  </si>
  <si>
    <t>All other elements</t>
  </si>
  <si>
    <t>所有其他要素</t>
  </si>
  <si>
    <t>A.1.18</t>
  </si>
  <si>
    <t>BIM 3D Modelling</t>
  </si>
  <si>
    <r>
      <rPr>
        <sz val="10"/>
        <rFont val="Arial"/>
        <charset val="134"/>
      </rPr>
      <t xml:space="preserve">BIM </t>
    </r>
    <r>
      <rPr>
        <sz val="10"/>
        <rFont val="宋体-简"/>
        <charset val="134"/>
      </rPr>
      <t>三维建模</t>
    </r>
  </si>
  <si>
    <t>A.1.19</t>
  </si>
  <si>
    <t>Approvals and Permits</t>
  </si>
  <si>
    <t>审批与许可证</t>
  </si>
  <si>
    <t>A.1.20</t>
  </si>
  <si>
    <t>Environmental Compliance Requirements</t>
  </si>
  <si>
    <t>环境合规要求</t>
  </si>
  <si>
    <t>A.1.20.1</t>
  </si>
  <si>
    <t>Inputs to Environmental Impact Assessment report (EIA)</t>
  </si>
  <si>
    <r>
      <rPr>
        <sz val="10"/>
        <rFont val="宋体-简"/>
        <charset val="134"/>
      </rPr>
      <t>环境影响评估报告（</t>
    </r>
    <r>
      <rPr>
        <sz val="10"/>
        <rFont val="Arial"/>
        <charset val="134"/>
      </rPr>
      <t>EIA</t>
    </r>
    <r>
      <rPr>
        <sz val="10"/>
        <rFont val="宋体-简"/>
        <charset val="134"/>
      </rPr>
      <t>）输入</t>
    </r>
  </si>
  <si>
    <t>A.1.20.2</t>
  </si>
  <si>
    <t>Pre-construction plans (specific environmental related plans)</t>
  </si>
  <si>
    <t>施工前计划（具体环境相关计划）</t>
  </si>
  <si>
    <t>A.1.20.3</t>
  </si>
  <si>
    <t>Construction phase CEMP</t>
  </si>
  <si>
    <r>
      <rPr>
        <sz val="10"/>
        <rFont val="宋体-简"/>
        <charset val="134"/>
      </rPr>
      <t>施工阶段环境管理计划（</t>
    </r>
    <r>
      <rPr>
        <sz val="10"/>
        <rFont val="Arial"/>
        <charset val="134"/>
      </rPr>
      <t>CEMP</t>
    </r>
    <r>
      <rPr>
        <sz val="10"/>
        <rFont val="宋体-简"/>
        <charset val="134"/>
      </rPr>
      <t>）</t>
    </r>
  </si>
  <si>
    <t>A.1.20.4</t>
  </si>
  <si>
    <t>Protection of drainage systems and watercourses</t>
  </si>
  <si>
    <t>排水系统及水体保护</t>
  </si>
  <si>
    <t>SUBTOTAL - Fixed (non-time related) Items</t>
  </si>
  <si>
    <r>
      <rPr>
        <b/>
        <sz val="10"/>
        <rFont val="宋体-简"/>
        <charset val="134"/>
      </rPr>
      <t>小计</t>
    </r>
    <r>
      <rPr>
        <b/>
        <sz val="10"/>
        <rFont val="Arial"/>
        <charset val="134"/>
      </rPr>
      <t xml:space="preserve"> - </t>
    </r>
    <r>
      <rPr>
        <b/>
        <sz val="10"/>
        <rFont val="宋体-简"/>
        <charset val="134"/>
      </rPr>
      <t>固定（非时间相关）要素</t>
    </r>
  </si>
  <si>
    <t>A.2</t>
  </si>
  <si>
    <t>Time Related Items</t>
  </si>
  <si>
    <t>时间相关要素</t>
  </si>
  <si>
    <t>A.2.1</t>
  </si>
  <si>
    <t>Contractor's Supervision</t>
  </si>
  <si>
    <t>承包商监督</t>
  </si>
  <si>
    <t>Week</t>
  </si>
  <si>
    <t>A.2.2</t>
  </si>
  <si>
    <t>Project Security</t>
  </si>
  <si>
    <t>项目安全保障</t>
  </si>
  <si>
    <t>A.2.3</t>
  </si>
  <si>
    <t>Port Passes</t>
  </si>
  <si>
    <t>港口出入证</t>
  </si>
  <si>
    <t>A.2.4</t>
  </si>
  <si>
    <t>Maintenance of Contractor's Facilities</t>
  </si>
  <si>
    <t>承包商设施维护</t>
  </si>
  <si>
    <t>A.2.5</t>
  </si>
  <si>
    <t>Maintenance of Access Routes</t>
  </si>
  <si>
    <t>通行路线维护</t>
  </si>
  <si>
    <t>A.2.6</t>
  </si>
  <si>
    <t>Maintenance of the Engineer's Facilities</t>
  </si>
  <si>
    <t>工程师设施维护</t>
  </si>
  <si>
    <t>A.2.7</t>
  </si>
  <si>
    <t>Site Welfare</t>
  </si>
  <si>
    <t>现场福利设施</t>
  </si>
  <si>
    <t>A.2.8</t>
  </si>
  <si>
    <t>Safety Equipment &amp; Training</t>
  </si>
  <si>
    <t>安全设备与培训</t>
  </si>
  <si>
    <t>A.2.9</t>
  </si>
  <si>
    <t>Operation of Laboratory</t>
  </si>
  <si>
    <t>实验室运行</t>
  </si>
  <si>
    <t>A.2.10</t>
  </si>
  <si>
    <t>Environmental Monitoring and Reporting</t>
  </si>
  <si>
    <t>环境监测与报告</t>
  </si>
  <si>
    <t>SUBTOTAL - Time Related Items</t>
  </si>
  <si>
    <r>
      <rPr>
        <b/>
        <sz val="10"/>
        <rFont val="宋体-简"/>
        <charset val="134"/>
      </rPr>
      <t>小计</t>
    </r>
    <r>
      <rPr>
        <b/>
        <sz val="10"/>
        <rFont val="Arial"/>
        <charset val="134"/>
      </rPr>
      <t xml:space="preserve"> - </t>
    </r>
    <r>
      <rPr>
        <b/>
        <sz val="10"/>
        <rFont val="宋体-简"/>
        <charset val="134"/>
      </rPr>
      <t>时间相关项目</t>
    </r>
  </si>
  <si>
    <t>A.3</t>
  </si>
  <si>
    <t>As Built Documentation (as per PER 01B)</t>
  </si>
  <si>
    <r>
      <rPr>
        <b/>
        <sz val="10"/>
        <rFont val="宋体-简"/>
        <charset val="134"/>
      </rPr>
      <t>竣工文件（依据</t>
    </r>
    <r>
      <rPr>
        <b/>
        <sz val="10"/>
        <rFont val="Arial"/>
        <charset val="134"/>
      </rPr>
      <t>PER 01B</t>
    </r>
    <r>
      <rPr>
        <b/>
        <sz val="10"/>
        <rFont val="宋体-简"/>
        <charset val="134"/>
      </rPr>
      <t>）</t>
    </r>
  </si>
  <si>
    <t>Total</t>
  </si>
  <si>
    <t>总计</t>
  </si>
  <si>
    <t>Class B</t>
  </si>
  <si>
    <t>PREPORATORY WORKS (GROUND CLEARANCE, DEMOLITION, SURVEYS, ETC.)</t>
  </si>
  <si>
    <t>前期准备工作（场地清理、拆除、勘测等）</t>
  </si>
  <si>
    <t>The Bill of Quantities is based on the Works shown on the Drawings, however it is the Tenderer's responsibility to verify, validate and adapt the items and quantities in accordance with the Employer's Requirements and its design. Any changes from the Tender BoQ shall be clearly highlighted for clarity.</t>
  </si>
  <si>
    <t>工程量清单基于图纸所示工程内容，投标人有责任根据业主要求及其设计，核实、验证并调整项目及数量。投标工程量清单的任何变更应明显标注以确保清晰。</t>
  </si>
  <si>
    <t>All quantities stated are to be verified by and at the risk of the Contractor. The Employer will accept no liability or claim for extensions to the Time for Completion and/or additional payment as a result of any increases or decreases to the quantities stated, unless instructed through the Contract.</t>
  </si>
  <si>
    <r>
      <rPr>
        <b/>
        <sz val="10"/>
        <rFont val="宋体-简"/>
        <charset val="134"/>
      </rPr>
      <t>所有数量均由承包商核实并自行承担风险。除非合同明确指示，业主不承担因数量变化引致工期延长及</t>
    </r>
    <r>
      <rPr>
        <b/>
        <sz val="10"/>
        <rFont val="Arial"/>
        <charset val="134"/>
      </rPr>
      <t>/</t>
    </r>
    <r>
      <rPr>
        <b/>
        <sz val="10"/>
        <rFont val="宋体-简"/>
        <charset val="134"/>
      </rPr>
      <t>或额外付款的任何责任或索赔。</t>
    </r>
  </si>
  <si>
    <t>Quantities left blank are to be inserted by the Tenderer to suit its design.</t>
  </si>
  <si>
    <t>B.1</t>
  </si>
  <si>
    <t>Ground Clearance</t>
  </si>
  <si>
    <t>场地清理</t>
  </si>
  <si>
    <t>B.1.1</t>
  </si>
  <si>
    <t>Ground clearance in the container yard area (Block C)</t>
  </si>
  <si>
    <r>
      <rPr>
        <sz val="10"/>
        <rFont val="宋体-简"/>
        <charset val="134"/>
      </rPr>
      <t>集装箱堆场区域地面净空（</t>
    </r>
    <r>
      <rPr>
        <sz val="10"/>
        <rFont val="Arial"/>
        <charset val="134"/>
      </rPr>
      <t>C</t>
    </r>
    <r>
      <rPr>
        <sz val="10"/>
        <rFont val="宋体-简"/>
        <charset val="134"/>
      </rPr>
      <t>区块）</t>
    </r>
  </si>
  <si>
    <r>
      <rPr>
        <sz val="10"/>
        <color theme="1"/>
        <rFont val="Arial"/>
        <charset val="134"/>
      </rPr>
      <t>m</t>
    </r>
    <r>
      <rPr>
        <vertAlign val="superscript"/>
        <sz val="10"/>
        <color theme="1"/>
        <rFont val="Arial"/>
        <charset val="134"/>
      </rPr>
      <t>2</t>
    </r>
  </si>
  <si>
    <t>B.1.2</t>
  </si>
  <si>
    <t>Ground clearance in the tidal zones (river side of Block C)</t>
  </si>
  <si>
    <r>
      <rPr>
        <sz val="10"/>
        <rFont val="宋体-简"/>
        <charset val="134"/>
      </rPr>
      <t>潮汐区地面净空（</t>
    </r>
    <r>
      <rPr>
        <sz val="10"/>
        <rFont val="Arial"/>
        <charset val="134"/>
      </rPr>
      <t>C</t>
    </r>
    <r>
      <rPr>
        <sz val="10"/>
        <rFont val="宋体-简"/>
        <charset val="134"/>
      </rPr>
      <t>区块河岸侧）</t>
    </r>
  </si>
  <si>
    <t>B.1.3</t>
  </si>
  <si>
    <t>Ground clearance in the drainage channel (between Block B &amp; C)</t>
  </si>
  <si>
    <r>
      <rPr>
        <sz val="10"/>
        <rFont val="宋体-简"/>
        <charset val="134"/>
      </rPr>
      <t>排水渠地面净空（</t>
    </r>
    <r>
      <rPr>
        <sz val="10"/>
        <rFont val="Arial"/>
        <charset val="134"/>
      </rPr>
      <t>B</t>
    </r>
    <r>
      <rPr>
        <sz val="10"/>
        <rFont val="宋体-简"/>
        <charset val="134"/>
      </rPr>
      <t>区块与</t>
    </r>
    <r>
      <rPr>
        <sz val="10"/>
        <rFont val="Arial"/>
        <charset val="134"/>
      </rPr>
      <t>C</t>
    </r>
    <r>
      <rPr>
        <sz val="10"/>
        <rFont val="宋体-简"/>
        <charset val="134"/>
      </rPr>
      <t>区块之间）</t>
    </r>
  </si>
  <si>
    <t>SUBTOTAL - Ground Clearance</t>
  </si>
  <si>
    <r>
      <rPr>
        <b/>
        <sz val="10"/>
        <rFont val="宋体-简"/>
        <charset val="134"/>
      </rPr>
      <t>小计</t>
    </r>
    <r>
      <rPr>
        <b/>
        <sz val="10"/>
        <rFont val="Arial"/>
        <charset val="134"/>
      </rPr>
      <t xml:space="preserve"> - </t>
    </r>
    <r>
      <rPr>
        <b/>
        <sz val="10"/>
        <rFont val="宋体-简"/>
        <charset val="134"/>
      </rPr>
      <t>地面净空</t>
    </r>
  </si>
  <si>
    <t>B.2</t>
  </si>
  <si>
    <t>Demolition</t>
  </si>
  <si>
    <t>拆除</t>
  </si>
  <si>
    <t>B.2.1</t>
  </si>
  <si>
    <t>Demolition of existing boundary walls</t>
  </si>
  <si>
    <t>拆除现有边界墙</t>
  </si>
  <si>
    <t>m</t>
  </si>
  <si>
    <t>B.2.2</t>
  </si>
  <si>
    <t>Demolition of existing ferry jetty and associated structures in the drainage channel</t>
  </si>
  <si>
    <t>拆除排水渠内现有渡轮码头及相关结构</t>
  </si>
  <si>
    <t>B.2.3</t>
  </si>
  <si>
    <t>Demolition of existing concrete fence (Block B side of drainage channel)</t>
  </si>
  <si>
    <r>
      <rPr>
        <sz val="10"/>
        <rFont val="宋体-简"/>
        <charset val="134"/>
      </rPr>
      <t>拆除现有混凝土围栏（排水渠</t>
    </r>
    <r>
      <rPr>
        <sz val="10"/>
        <rFont val="Arial"/>
        <charset val="134"/>
      </rPr>
      <t>B</t>
    </r>
    <r>
      <rPr>
        <sz val="10"/>
        <rFont val="宋体-简"/>
        <charset val="134"/>
      </rPr>
      <t>区块侧）</t>
    </r>
  </si>
  <si>
    <t>B.2.4</t>
  </si>
  <si>
    <t>Demolition of existing services trench (Block B side of drainage channel)</t>
  </si>
  <si>
    <r>
      <rPr>
        <sz val="10"/>
        <rFont val="宋体-简"/>
        <charset val="134"/>
      </rPr>
      <t>拆除现有管线沟槽（排水渠</t>
    </r>
    <r>
      <rPr>
        <sz val="10"/>
        <rFont val="Arial"/>
        <charset val="134"/>
      </rPr>
      <t>B</t>
    </r>
    <r>
      <rPr>
        <sz val="10"/>
        <rFont val="宋体-简"/>
        <charset val="134"/>
      </rPr>
      <t>区块侧）</t>
    </r>
  </si>
  <si>
    <t>B.2.5</t>
  </si>
  <si>
    <t>Demolition of existing building in Block C</t>
  </si>
  <si>
    <r>
      <rPr>
        <sz val="10"/>
        <rFont val="Arial"/>
        <charset val="134"/>
      </rPr>
      <t>C</t>
    </r>
    <r>
      <rPr>
        <sz val="10"/>
        <rFont val="宋体-简"/>
        <charset val="134"/>
      </rPr>
      <t>区现有建筑物拆除</t>
    </r>
  </si>
  <si>
    <t>No.</t>
  </si>
  <si>
    <t>B.2.6</t>
  </si>
  <si>
    <t>Demolition of existing light towers in Block B</t>
  </si>
  <si>
    <r>
      <rPr>
        <sz val="10"/>
        <rFont val="Arial"/>
        <charset val="134"/>
      </rPr>
      <t>B</t>
    </r>
    <r>
      <rPr>
        <sz val="10"/>
        <rFont val="宋体-简"/>
        <charset val="134"/>
      </rPr>
      <t>区现有照明塔拆除</t>
    </r>
  </si>
  <si>
    <t>B.2.7</t>
  </si>
  <si>
    <t>Demolition of existing seawall and revetment (if applicable to the Contractor's design)</t>
  </si>
  <si>
    <t>现有海堤及护岸拆除（如承包商设计所涵盖）</t>
  </si>
  <si>
    <t>B.2.8</t>
  </si>
  <si>
    <t>Demolition of existing pavement (minimum extents required for the Contractor's design)</t>
  </si>
  <si>
    <t>现有路面拆除（承包商设计所需的最小范围）</t>
  </si>
  <si>
    <t>SUBTOTAL - Demolition</t>
  </si>
  <si>
    <r>
      <rPr>
        <b/>
        <sz val="10"/>
        <rFont val="宋体-简"/>
        <charset val="134"/>
      </rPr>
      <t>小计</t>
    </r>
    <r>
      <rPr>
        <b/>
        <sz val="10"/>
        <rFont val="Arial"/>
        <charset val="134"/>
      </rPr>
      <t xml:space="preserve"> - </t>
    </r>
    <r>
      <rPr>
        <b/>
        <sz val="10"/>
        <rFont val="宋体-简"/>
        <charset val="134"/>
      </rPr>
      <t>拆除</t>
    </r>
  </si>
  <si>
    <t>B.3</t>
  </si>
  <si>
    <t>Surveys &amp; Investigations</t>
  </si>
  <si>
    <t>测量与调查</t>
  </si>
  <si>
    <t>Contractor to itemise relevant surveys and investigations to suit its proposed methodology</t>
  </si>
  <si>
    <t>承包商应根据其拟采用的方法详细列出相关测量与调查项目</t>
  </si>
  <si>
    <t>Bathymetric survey</t>
  </si>
  <si>
    <t>水深测量</t>
  </si>
  <si>
    <t>Topgraphic survey</t>
  </si>
  <si>
    <t>地形测量</t>
  </si>
  <si>
    <t>Contractor to itemise if relevant</t>
  </si>
  <si>
    <t>承包商如相关，应予详列</t>
  </si>
  <si>
    <t>SUBTOTAL - Surveys &amp; Investigations</t>
  </si>
  <si>
    <r>
      <rPr>
        <b/>
        <sz val="10"/>
        <rFont val="宋体-简"/>
        <charset val="134"/>
      </rPr>
      <t>小计</t>
    </r>
    <r>
      <rPr>
        <b/>
        <sz val="10"/>
        <rFont val="Arial"/>
        <charset val="134"/>
      </rPr>
      <t xml:space="preserve"> - </t>
    </r>
    <r>
      <rPr>
        <b/>
        <sz val="10"/>
        <rFont val="宋体-简"/>
        <charset val="134"/>
      </rPr>
      <t>测量与调查</t>
    </r>
  </si>
  <si>
    <t>The Tenderer shall separately list and price below any other items that it considers applicable.</t>
  </si>
  <si>
    <t>投标人应另行列出并报价其认为适用的其他项目。</t>
  </si>
  <si>
    <t>Class C</t>
  </si>
  <si>
    <t>DREDGING (PER 003)</t>
  </si>
  <si>
    <r>
      <rPr>
        <b/>
        <sz val="10"/>
        <rFont val="宋体-简"/>
        <charset val="134"/>
      </rPr>
      <t>疏浚（依据</t>
    </r>
    <r>
      <rPr>
        <b/>
        <sz val="10"/>
        <rFont val="Arial"/>
        <charset val="134"/>
      </rPr>
      <t>003</t>
    </r>
    <r>
      <rPr>
        <b/>
        <sz val="10"/>
        <rFont val="宋体-简"/>
        <charset val="134"/>
      </rPr>
      <t>条款）</t>
    </r>
  </si>
  <si>
    <t>C.1</t>
  </si>
  <si>
    <t>General</t>
  </si>
  <si>
    <t>一般条款</t>
  </si>
  <si>
    <t>C.1.1</t>
  </si>
  <si>
    <t>Mobilisation of marine dredging equipment</t>
  </si>
  <si>
    <t>海洋疏浚设备的动员部署</t>
  </si>
  <si>
    <t>C.1.2</t>
  </si>
  <si>
    <t>Demobilisation of marine dredging equipment</t>
  </si>
  <si>
    <t>海洋疏浚设备的撤离</t>
  </si>
  <si>
    <t>C.2</t>
  </si>
  <si>
    <t>Dredging of loose to medium dense material and disposal at approved location (including desposal at an approved location)</t>
  </si>
  <si>
    <t>疏浚松散至中密实材料并运至批准地点处置（含在经批准地点的处置）</t>
  </si>
  <si>
    <t>C.2.1</t>
  </si>
  <si>
    <t>Berthing pocket</t>
  </si>
  <si>
    <t>泊位凹槽</t>
  </si>
  <si>
    <r>
      <rPr>
        <sz val="10"/>
        <color theme="1"/>
        <rFont val="Arial"/>
        <charset val="134"/>
      </rPr>
      <t>m</t>
    </r>
    <r>
      <rPr>
        <vertAlign val="superscript"/>
        <sz val="10"/>
        <color theme="1"/>
        <rFont val="Arial"/>
        <charset val="134"/>
      </rPr>
      <t>3</t>
    </r>
  </si>
  <si>
    <t>C.3</t>
  </si>
  <si>
    <t>Charting</t>
  </si>
  <si>
    <t>制图</t>
  </si>
  <si>
    <t>C.3.1</t>
  </si>
  <si>
    <t>Navigational charting of the berth pocket</t>
  </si>
  <si>
    <t>泊位凹槽的航标制图</t>
  </si>
  <si>
    <t>ADD</t>
  </si>
  <si>
    <t>Submarine Cables, Pipelines and Services and all Obstruction work Investigate</t>
  </si>
  <si>
    <t>海底电缆、管道及服务设施及所有障碍物工作调查</t>
  </si>
  <si>
    <t>Surveys and Soundings Equipment</t>
  </si>
  <si>
    <t>测量及测深设备</t>
  </si>
  <si>
    <t>Class D</t>
  </si>
  <si>
    <t>RECLAMATION, GROUND IMPROVEMENT AND EARTHWORKS (PER 004)</t>
  </si>
  <si>
    <r>
      <rPr>
        <b/>
        <sz val="10"/>
        <rFont val="宋体-简"/>
        <charset val="134"/>
      </rPr>
      <t>填海、地基改良及土方工程（依据</t>
    </r>
    <r>
      <rPr>
        <b/>
        <sz val="10"/>
        <rFont val="Arial"/>
        <charset val="134"/>
      </rPr>
      <t>004</t>
    </r>
    <r>
      <rPr>
        <b/>
        <sz val="10"/>
        <rFont val="宋体-简"/>
        <charset val="134"/>
      </rPr>
      <t>）</t>
    </r>
  </si>
  <si>
    <t>D.1</t>
  </si>
  <si>
    <r>
      <rPr>
        <b/>
        <sz val="10"/>
        <rFont val="Arial"/>
        <charset val="134"/>
      </rPr>
      <t>Reclamation Works</t>
    </r>
    <r>
      <rPr>
        <b/>
        <i/>
        <sz val="10"/>
        <rFont val="Arial"/>
        <charset val="134"/>
      </rPr>
      <t xml:space="preserve"> (subject to the Contractor's design)</t>
    </r>
    <r>
      <rPr>
        <b/>
        <sz val="10"/>
        <rFont val="Arial"/>
        <charset val="134"/>
      </rPr>
      <t xml:space="preserve"> (PER 004A)</t>
    </r>
  </si>
  <si>
    <r>
      <rPr>
        <b/>
        <sz val="10"/>
        <rFont val="宋体-简"/>
        <charset val="134"/>
      </rPr>
      <t>填海工程</t>
    </r>
    <r>
      <rPr>
        <b/>
        <sz val="10"/>
        <rFont val="Arial"/>
        <charset val="134"/>
      </rPr>
      <t xml:space="preserve"> </t>
    </r>
    <r>
      <rPr>
        <b/>
        <sz val="10"/>
        <rFont val="宋体-简"/>
        <charset val="134"/>
      </rPr>
      <t>承包商设计</t>
    </r>
    <r>
      <rPr>
        <b/>
        <sz val="10"/>
        <rFont val="Arial"/>
        <charset val="134"/>
      </rPr>
      <t xml:space="preserve"> </t>
    </r>
    <r>
      <rPr>
        <b/>
        <sz val="10"/>
        <rFont val="宋体-简"/>
        <charset val="134"/>
      </rPr>
      <t>（依据</t>
    </r>
    <r>
      <rPr>
        <b/>
        <sz val="10"/>
        <rFont val="Arial"/>
        <charset val="134"/>
      </rPr>
      <t>004A</t>
    </r>
    <r>
      <rPr>
        <b/>
        <sz val="10"/>
        <rFont val="宋体-简"/>
        <charset val="134"/>
      </rPr>
      <t>）</t>
    </r>
  </si>
  <si>
    <t>D.1.1</t>
  </si>
  <si>
    <t>Reclamation using dredged materail</t>
  </si>
  <si>
    <t>采用疏浚材料进行填海</t>
  </si>
  <si>
    <r>
      <rPr>
        <sz val="10"/>
        <rFont val="Arial"/>
        <charset val="134"/>
      </rPr>
      <t>m</t>
    </r>
    <r>
      <rPr>
        <vertAlign val="superscript"/>
        <sz val="10"/>
        <rFont val="Arial"/>
        <charset val="134"/>
      </rPr>
      <t>3</t>
    </r>
  </si>
  <si>
    <t>D.1.2</t>
  </si>
  <si>
    <t>Reclamation using imported material - supply and placement below water level</t>
  </si>
  <si>
    <r>
      <rPr>
        <sz val="10"/>
        <rFont val="宋体-简"/>
        <charset val="134"/>
      </rPr>
      <t>采用进口材料进行填海</t>
    </r>
    <r>
      <rPr>
        <sz val="10"/>
        <rFont val="Arial"/>
        <charset val="134"/>
      </rPr>
      <t>——</t>
    </r>
    <r>
      <rPr>
        <sz val="10"/>
        <rFont val="宋体-简"/>
        <charset val="134"/>
      </rPr>
      <t>水下标高供应及铺设</t>
    </r>
  </si>
  <si>
    <t>D.1.3</t>
  </si>
  <si>
    <t>Reclamation using imported material - supply and placement above water level</t>
  </si>
  <si>
    <r>
      <rPr>
        <sz val="10"/>
        <rFont val="宋体-简"/>
        <charset val="134"/>
      </rPr>
      <t>采用进口材料进行填海</t>
    </r>
    <r>
      <rPr>
        <sz val="10"/>
        <rFont val="Arial"/>
        <charset val="134"/>
      </rPr>
      <t>——</t>
    </r>
    <r>
      <rPr>
        <sz val="10"/>
        <rFont val="宋体-简"/>
        <charset val="134"/>
      </rPr>
      <t>水上标高供应及铺设</t>
    </r>
  </si>
  <si>
    <t>D.1.4</t>
  </si>
  <si>
    <t>Vertical containment wall along the southern edge of the reclamation</t>
  </si>
  <si>
    <t>填海南缘竖向夹套围护结构</t>
  </si>
  <si>
    <t>D.1.5</t>
  </si>
  <si>
    <t>Stabilisation of existing slopes</t>
  </si>
  <si>
    <t>现有边坡稳定</t>
  </si>
  <si>
    <r>
      <rPr>
        <sz val="10"/>
        <rFont val="Arial"/>
        <charset val="134"/>
      </rPr>
      <t>m</t>
    </r>
    <r>
      <rPr>
        <vertAlign val="superscript"/>
        <sz val="10"/>
        <rFont val="Arial"/>
        <charset val="134"/>
      </rPr>
      <t>2</t>
    </r>
  </si>
  <si>
    <t>SUBTOTAL - Reclamation works</t>
  </si>
  <si>
    <t>小计——填海工程</t>
  </si>
  <si>
    <t>D.2</t>
  </si>
  <si>
    <t>Ground Improvement (Employer's Design - APM-056-04A-03) (PER 004A)</t>
  </si>
  <si>
    <r>
      <rPr>
        <b/>
        <sz val="10"/>
        <rFont val="宋体-简"/>
        <charset val="134"/>
      </rPr>
      <t>地基改良（雇主设计</t>
    </r>
    <r>
      <rPr>
        <b/>
        <sz val="10"/>
        <rFont val="Arial"/>
        <charset val="134"/>
      </rPr>
      <t xml:space="preserve"> - APM-056-04A-03</t>
    </r>
    <r>
      <rPr>
        <b/>
        <sz val="10"/>
        <rFont val="宋体-简"/>
        <charset val="134"/>
      </rPr>
      <t>）（依据</t>
    </r>
    <r>
      <rPr>
        <b/>
        <sz val="10"/>
        <rFont val="Arial"/>
        <charset val="134"/>
      </rPr>
      <t>004A</t>
    </r>
    <r>
      <rPr>
        <b/>
        <sz val="10"/>
        <rFont val="宋体-简"/>
        <charset val="134"/>
      </rPr>
      <t>）</t>
    </r>
  </si>
  <si>
    <t>D.2.1</t>
  </si>
  <si>
    <t>Prefabricated vertical drains (PVD)</t>
  </si>
  <si>
    <r>
      <rPr>
        <sz val="10"/>
        <rFont val="宋体-简"/>
        <charset val="134"/>
      </rPr>
      <t>预制垂直排水管（</t>
    </r>
    <r>
      <rPr>
        <sz val="10"/>
        <rFont val="Arial"/>
        <charset val="134"/>
      </rPr>
      <t>PVD</t>
    </r>
    <r>
      <rPr>
        <sz val="10"/>
        <rFont val="宋体-简"/>
        <charset val="134"/>
      </rPr>
      <t>）</t>
    </r>
  </si>
  <si>
    <t>D.2.2</t>
  </si>
  <si>
    <t>Drainage blanket</t>
  </si>
  <si>
    <t>排水毯</t>
  </si>
  <si>
    <t>m2</t>
  </si>
  <si>
    <t>D.2.3</t>
  </si>
  <si>
    <t>Geotextile</t>
  </si>
  <si>
    <t>土工布</t>
  </si>
  <si>
    <t>D.2.4</t>
  </si>
  <si>
    <t>Controlled fill (including placement and compaction in layers).</t>
  </si>
  <si>
    <t>受控填料（包括分层布置及压实）</t>
  </si>
  <si>
    <t>m3</t>
  </si>
  <si>
    <t>D.2.5</t>
  </si>
  <si>
    <t>Controlled fill(Drainage Channel).The thickness of each fill layer shall not exceed 50 cm.Backfill shall be well-graded medium-coarse sand or gravelly soil.</t>
  </si>
  <si>
    <r>
      <rPr>
        <sz val="10"/>
        <rFont val="宋体-简"/>
        <charset val="134"/>
      </rPr>
      <t>受控填料（排水渠）。每层填料厚度不得超过</t>
    </r>
    <r>
      <rPr>
        <sz val="10"/>
        <rFont val="Arial"/>
        <charset val="134"/>
      </rPr>
      <t>50</t>
    </r>
    <r>
      <rPr>
        <sz val="10"/>
        <rFont val="宋体-简"/>
        <charset val="134"/>
      </rPr>
      <t>厘米。回填材料应为级配良好的中粗砂或砾石土。</t>
    </r>
  </si>
  <si>
    <t>D.2.6</t>
  </si>
  <si>
    <t>Surcharge placement (including supply and delivery to Site)</t>
  </si>
  <si>
    <t>加价布置（包括加价材料的供应及运至工地）</t>
  </si>
  <si>
    <t>D.2.7</t>
  </si>
  <si>
    <t>Relocation of surcharge material on Site</t>
  </si>
  <si>
    <t>工地内加价材料的重新布置</t>
  </si>
  <si>
    <t>D.2.8</t>
  </si>
  <si>
    <t>Removal of surcharge material from Site and disposal at an approved location.Surcharge material may be used for the Reclamation Works.</t>
  </si>
  <si>
    <t>加价材料从工地的清除及运输至批准处置地点。加价材料可用于填海工程。</t>
  </si>
  <si>
    <t>D.2.9</t>
  </si>
  <si>
    <t>Instrumentation and Monitoring</t>
  </si>
  <si>
    <t>仪器设备与监测</t>
  </si>
  <si>
    <t>SUBTOTAL - Ground Improvement (Employer's Design)</t>
  </si>
  <si>
    <r>
      <rPr>
        <b/>
        <sz val="10"/>
        <rFont val="宋体-简"/>
        <charset val="134"/>
      </rPr>
      <t>小计</t>
    </r>
    <r>
      <rPr>
        <b/>
        <sz val="10"/>
        <rFont val="Arial"/>
        <charset val="134"/>
      </rPr>
      <t xml:space="preserve"> - </t>
    </r>
    <r>
      <rPr>
        <b/>
        <sz val="10"/>
        <rFont val="宋体-简"/>
        <charset val="134"/>
      </rPr>
      <t>地基改良（雇主设计）</t>
    </r>
  </si>
  <si>
    <t>D.3</t>
  </si>
  <si>
    <t>Ground Improvement (Contractor's Design) - (PER 004A)</t>
  </si>
  <si>
    <r>
      <rPr>
        <b/>
        <sz val="10"/>
        <rFont val="宋体-简"/>
        <charset val="134"/>
      </rPr>
      <t>地基改良（承包商设计）</t>
    </r>
    <r>
      <rPr>
        <b/>
        <sz val="10"/>
        <rFont val="Arial"/>
        <charset val="134"/>
      </rPr>
      <t>-</t>
    </r>
    <r>
      <rPr>
        <b/>
        <sz val="10"/>
        <rFont val="宋体-简"/>
        <charset val="134"/>
      </rPr>
      <t>（</t>
    </r>
    <r>
      <rPr>
        <b/>
        <sz val="10"/>
        <rFont val="Arial"/>
        <charset val="134"/>
      </rPr>
      <t>PER 004A</t>
    </r>
    <r>
      <rPr>
        <b/>
        <sz val="10"/>
        <rFont val="宋体-简"/>
        <charset val="134"/>
      </rPr>
      <t>）</t>
    </r>
  </si>
  <si>
    <t>D.3.1</t>
  </si>
  <si>
    <t>D.3.2</t>
  </si>
  <si>
    <t>D.3.3</t>
  </si>
  <si>
    <t>D.3.4.1</t>
  </si>
  <si>
    <t>D.3.4.2</t>
  </si>
  <si>
    <r>
      <rPr>
        <sz val="10"/>
        <rFont val="Arial"/>
        <charset val="134"/>
      </rPr>
      <t>Controlled fill (including placement and compaction in layers).</t>
    </r>
    <r>
      <rPr>
        <sz val="10"/>
        <color rgb="FFFF0000"/>
        <rFont val="Arial"/>
        <charset val="134"/>
      </rPr>
      <t>Surcharge material may be utilized.</t>
    </r>
  </si>
  <si>
    <t>受控填料（包括分层布置及压实）可使用加价材料。</t>
  </si>
  <si>
    <t>D.3.4.3</t>
  </si>
  <si>
    <r>
      <rPr>
        <sz val="10"/>
        <rFont val="Arial"/>
        <charset val="134"/>
      </rPr>
      <t>Controlled fill(Drainage Channel).</t>
    </r>
    <r>
      <rPr>
        <sz val="10"/>
        <color rgb="FFFF0000"/>
        <rFont val="Arial"/>
        <charset val="134"/>
      </rPr>
      <t>The thickness of each fill layer shall not exceed 50 cm.Backfill shall be well-graded medium-coarse sand or gravelly soil.</t>
    </r>
  </si>
  <si>
    <r>
      <rPr>
        <sz val="10"/>
        <rFont val="宋体-简"/>
        <charset val="134"/>
      </rPr>
      <t>受控填料（排水渠）。每层填料厚度不得超过</t>
    </r>
    <r>
      <rPr>
        <sz val="10"/>
        <rFont val="Arial"/>
        <charset val="134"/>
      </rPr>
      <t>50</t>
    </r>
    <r>
      <rPr>
        <sz val="10"/>
        <rFont val="宋体-简"/>
        <charset val="134"/>
      </rPr>
      <t>厘米。回填材料应为良好级配中粗砂或砾石土。</t>
    </r>
  </si>
  <si>
    <t>D.3.5</t>
  </si>
  <si>
    <t>Surcharge placement (including supply and delivery to Site).</t>
  </si>
  <si>
    <t>加价布置（包括供应及运抵现场）。</t>
  </si>
  <si>
    <t>D.3.6</t>
  </si>
  <si>
    <t>D.3.7</t>
  </si>
  <si>
    <t>Removal of surcharge material from Site and disposal at an approved location</t>
  </si>
  <si>
    <t>加价材料从现场清除及在批准地点处置</t>
  </si>
  <si>
    <t>D.3.8</t>
  </si>
  <si>
    <r>
      <rPr>
        <sz val="10"/>
        <rFont val="Arial"/>
        <charset val="134"/>
      </rPr>
      <t>Sand Compaction Piles</t>
    </r>
    <r>
      <rPr>
        <i/>
        <sz val="10"/>
        <rFont val="Arial"/>
        <charset val="134"/>
      </rPr>
      <t xml:space="preserve"> - Contractor to specify size, spacing and approximate toe level)</t>
    </r>
  </si>
  <si>
    <r>
      <rPr>
        <sz val="10"/>
        <rFont val="宋体-简"/>
        <charset val="134"/>
      </rPr>
      <t>砂土夯实桩</t>
    </r>
    <r>
      <rPr>
        <sz val="10"/>
        <rFont val="Arial"/>
        <charset val="134"/>
      </rPr>
      <t xml:space="preserve"> - </t>
    </r>
    <r>
      <rPr>
        <sz val="10"/>
        <rFont val="宋体-简"/>
        <charset val="134"/>
      </rPr>
      <t>承包商应指定尺寸、间距及大致桩尖标高</t>
    </r>
  </si>
  <si>
    <t>D.3.9</t>
  </si>
  <si>
    <t>D.3.10</t>
  </si>
  <si>
    <r>
      <rPr>
        <i/>
        <sz val="10"/>
        <color rgb="FFFF0000"/>
        <rFont val="Arial"/>
        <charset val="134"/>
      </rPr>
      <t>DCM</t>
    </r>
    <r>
      <rPr>
        <i/>
        <sz val="10"/>
        <color rgb="FFFF0000"/>
        <rFont val="宋体"/>
        <charset val="134"/>
      </rPr>
      <t>（</t>
    </r>
    <r>
      <rPr>
        <i/>
        <sz val="10"/>
        <color rgb="FFFF0000"/>
        <rFont val="Arial"/>
        <charset val="134"/>
      </rPr>
      <t>shall use cement-soil mixing piles with a length of 8–10 m, diameter of 0.5 m, and spacing of 1.4 m.</t>
    </r>
    <r>
      <rPr>
        <i/>
        <sz val="10"/>
        <color rgb="FFFF0000"/>
        <rFont val="宋体"/>
        <charset val="134"/>
      </rPr>
      <t>）</t>
    </r>
  </si>
  <si>
    <r>
      <rPr>
        <i/>
        <sz val="10"/>
        <color rgb="FFFF0000"/>
        <rFont val="Arial"/>
        <charset val="134"/>
      </rPr>
      <t>DCM</t>
    </r>
    <r>
      <rPr>
        <i/>
        <sz val="10"/>
        <color rgb="FFFF0000"/>
        <rFont val="宋体"/>
        <charset val="134"/>
      </rPr>
      <t>（应采用长度为</t>
    </r>
    <r>
      <rPr>
        <i/>
        <sz val="10"/>
        <color rgb="FFFF0000"/>
        <rFont val="Arial"/>
        <charset val="134"/>
      </rPr>
      <t>8</t>
    </r>
    <r>
      <rPr>
        <i/>
        <sz val="10"/>
        <color rgb="FFFF0000"/>
        <rFont val="宋体"/>
        <charset val="134"/>
      </rPr>
      <t>至</t>
    </r>
    <r>
      <rPr>
        <i/>
        <sz val="10"/>
        <color rgb="FFFF0000"/>
        <rFont val="Arial"/>
        <charset val="134"/>
      </rPr>
      <t>10</t>
    </r>
    <r>
      <rPr>
        <i/>
        <sz val="10"/>
        <color rgb="FFFF0000"/>
        <rFont val="宋体"/>
        <charset val="134"/>
      </rPr>
      <t>米，直径为</t>
    </r>
    <r>
      <rPr>
        <i/>
        <sz val="10"/>
        <color rgb="FFFF0000"/>
        <rFont val="Arial"/>
        <charset val="134"/>
      </rPr>
      <t>0.5</t>
    </r>
    <r>
      <rPr>
        <i/>
        <sz val="10"/>
        <color rgb="FFFF0000"/>
        <rFont val="宋体"/>
        <charset val="134"/>
      </rPr>
      <t>米，间距为</t>
    </r>
    <r>
      <rPr>
        <i/>
        <sz val="10"/>
        <color rgb="FFFF0000"/>
        <rFont val="Arial"/>
        <charset val="134"/>
      </rPr>
      <t>1.4</t>
    </r>
    <r>
      <rPr>
        <i/>
        <sz val="10"/>
        <color rgb="FFFF0000"/>
        <rFont val="宋体"/>
        <charset val="134"/>
      </rPr>
      <t>米的水泥土搅拌桩。）</t>
    </r>
  </si>
  <si>
    <t>D.3.11</t>
  </si>
  <si>
    <t>Medium-coarse sand cushion</t>
  </si>
  <si>
    <t>中粗砂垫层</t>
  </si>
  <si>
    <t>SUBTOTAL - Ground Improvement (Contractor's design)</t>
  </si>
  <si>
    <r>
      <rPr>
        <b/>
        <sz val="10"/>
        <rFont val="宋体-简"/>
        <charset val="134"/>
      </rPr>
      <t>小计</t>
    </r>
    <r>
      <rPr>
        <b/>
        <sz val="10"/>
        <rFont val="Arial"/>
        <charset val="134"/>
      </rPr>
      <t xml:space="preserve"> - </t>
    </r>
    <r>
      <rPr>
        <b/>
        <sz val="10"/>
        <rFont val="宋体-简"/>
        <charset val="134"/>
      </rPr>
      <t>地基改良（承包商设计）</t>
    </r>
  </si>
  <si>
    <t>D.4</t>
  </si>
  <si>
    <t>Bulk Earthworks (PER 004B)</t>
  </si>
  <si>
    <r>
      <rPr>
        <b/>
        <sz val="10"/>
        <rFont val="宋体-简"/>
        <charset val="134"/>
      </rPr>
      <t>大体积土方工程（</t>
    </r>
    <r>
      <rPr>
        <b/>
        <sz val="10"/>
        <rFont val="Arial"/>
        <charset val="134"/>
      </rPr>
      <t>PER 004B</t>
    </r>
    <r>
      <rPr>
        <b/>
        <sz val="10"/>
        <rFont val="宋体-简"/>
        <charset val="134"/>
      </rPr>
      <t>）</t>
    </r>
  </si>
  <si>
    <t>D.4.1</t>
  </si>
  <si>
    <t>Excavation and stockpiling on Site of material suitable for re-use</t>
  </si>
  <si>
    <t>挖掘并在现场堆存适宜再利用的材料</t>
  </si>
  <si>
    <t>D.4.2</t>
  </si>
  <si>
    <t>Excavation of suitable material and disposal of Site</t>
  </si>
  <si>
    <t>挖掘适宜材料并在现场处置</t>
  </si>
  <si>
    <t>D.4.3</t>
  </si>
  <si>
    <t>Placement and fill of re-used material from Site</t>
  </si>
  <si>
    <t>场地内再利用材料的铺设与填筑</t>
  </si>
  <si>
    <t>D.4.4</t>
  </si>
  <si>
    <t>Placement and fill of imported material</t>
  </si>
  <si>
    <t>进口材料的铺设与填筑</t>
  </si>
  <si>
    <t>SUBTOTAL - Bulk Earthworks</t>
  </si>
  <si>
    <r>
      <rPr>
        <b/>
        <sz val="10"/>
        <rFont val="宋体-简"/>
        <charset val="134"/>
      </rPr>
      <t>小计</t>
    </r>
    <r>
      <rPr>
        <b/>
        <sz val="10"/>
        <rFont val="Arial"/>
        <charset val="134"/>
      </rPr>
      <t xml:space="preserve"> - </t>
    </r>
    <r>
      <rPr>
        <b/>
        <sz val="10"/>
        <rFont val="宋体-简"/>
        <charset val="134"/>
      </rPr>
      <t>大宗土方工程</t>
    </r>
  </si>
  <si>
    <t>D.5</t>
  </si>
  <si>
    <t>Revetment (PER 004C)</t>
  </si>
  <si>
    <r>
      <rPr>
        <b/>
        <sz val="10"/>
        <rFont val="宋体-简"/>
        <charset val="134"/>
      </rPr>
      <t>护坡（</t>
    </r>
    <r>
      <rPr>
        <b/>
        <sz val="10"/>
        <rFont val="Arial"/>
        <charset val="134"/>
      </rPr>
      <t>PER 004C</t>
    </r>
    <r>
      <rPr>
        <b/>
        <sz val="10"/>
        <rFont val="宋体-简"/>
        <charset val="134"/>
      </rPr>
      <t>）</t>
    </r>
  </si>
  <si>
    <t>D.5.1</t>
  </si>
  <si>
    <t>Revetment / slope protection</t>
  </si>
  <si>
    <r>
      <rPr>
        <sz val="10"/>
        <rFont val="宋体-简"/>
        <charset val="134"/>
      </rPr>
      <t>护坡</t>
    </r>
    <r>
      <rPr>
        <sz val="10"/>
        <rFont val="Arial"/>
        <charset val="134"/>
      </rPr>
      <t>/</t>
    </r>
    <r>
      <rPr>
        <sz val="10"/>
        <rFont val="宋体-简"/>
        <charset val="134"/>
      </rPr>
      <t>边坡保护</t>
    </r>
  </si>
  <si>
    <t>SUBTOTAL - Revetment</t>
  </si>
  <si>
    <r>
      <rPr>
        <b/>
        <sz val="10"/>
        <rFont val="宋体-简"/>
        <charset val="134"/>
      </rPr>
      <t>小计</t>
    </r>
    <r>
      <rPr>
        <b/>
        <sz val="10"/>
        <rFont val="Arial"/>
        <charset val="134"/>
      </rPr>
      <t xml:space="preserve"> - </t>
    </r>
    <r>
      <rPr>
        <b/>
        <sz val="10"/>
        <rFont val="宋体-简"/>
        <charset val="134"/>
      </rPr>
      <t>护坡工程</t>
    </r>
  </si>
  <si>
    <t>Pre- and post-treatment testing</t>
  </si>
  <si>
    <t>施工前后处理检测</t>
  </si>
  <si>
    <t>Environmental Monitoring</t>
  </si>
  <si>
    <t>环境监测</t>
  </si>
  <si>
    <t>Instrumentation and Monitoring for Earthwork and Filling work</t>
  </si>
  <si>
    <t>土方及填筑工程的仪器监测</t>
  </si>
  <si>
    <t>Testing and Inspection for Filling Work</t>
  </si>
  <si>
    <t>填筑工程的检测与验收</t>
  </si>
  <si>
    <t>Testing and Inspection for Revetment Work</t>
  </si>
  <si>
    <t>护坡工程的检测与验收</t>
  </si>
  <si>
    <t>Class E</t>
  </si>
  <si>
    <t>QUAY (PER 005)</t>
  </si>
  <si>
    <r>
      <rPr>
        <b/>
        <sz val="10"/>
        <rFont val="宋体-简"/>
        <charset val="134"/>
      </rPr>
      <t>码头（</t>
    </r>
    <r>
      <rPr>
        <b/>
        <sz val="10"/>
        <rFont val="Arial"/>
        <charset val="134"/>
      </rPr>
      <t>PER 005</t>
    </r>
    <r>
      <rPr>
        <b/>
        <sz val="10"/>
        <rFont val="宋体-简"/>
        <charset val="134"/>
      </rPr>
      <t>）</t>
    </r>
  </si>
  <si>
    <t>E.1</t>
  </si>
  <si>
    <t>Quay Structure (PER 005A)</t>
  </si>
  <si>
    <t>码头结构（PER 005A）</t>
  </si>
  <si>
    <t>E.1.1</t>
  </si>
  <si>
    <r>
      <rPr>
        <sz val="10"/>
        <rFont val="Arial"/>
        <charset val="134"/>
      </rPr>
      <t>Piles</t>
    </r>
    <r>
      <rPr>
        <sz val="10"/>
        <rFont val="宋体"/>
        <charset val="134"/>
      </rPr>
      <t>（</t>
    </r>
    <r>
      <rPr>
        <sz val="10"/>
        <rFont val="Arial"/>
        <charset val="134"/>
      </rPr>
      <t>Length per unit: 30 m</t>
    </r>
    <r>
      <rPr>
        <sz val="10"/>
        <rFont val="宋体"/>
        <charset val="134"/>
      </rPr>
      <t>）</t>
    </r>
  </si>
  <si>
    <r>
      <rPr>
        <sz val="10"/>
        <rFont val="宋体-简"/>
        <charset val="134"/>
      </rPr>
      <t>桩（每根长度：</t>
    </r>
    <r>
      <rPr>
        <sz val="10"/>
        <rFont val="Arial"/>
        <charset val="134"/>
      </rPr>
      <t>30 m</t>
    </r>
    <r>
      <rPr>
        <sz val="10"/>
        <rFont val="宋体-简"/>
        <charset val="134"/>
      </rPr>
      <t>）</t>
    </r>
  </si>
  <si>
    <t>E.1.2</t>
  </si>
  <si>
    <t>Pile Testing</t>
  </si>
  <si>
    <t>桩基试验</t>
  </si>
  <si>
    <t>E.1.2.1</t>
  </si>
  <si>
    <t>Static Pile Tests</t>
  </si>
  <si>
    <t>静力桩试验</t>
  </si>
  <si>
    <t>E.1.2.2</t>
  </si>
  <si>
    <t>High Strain Dynamic Pile Tests</t>
  </si>
  <si>
    <t>高应变动力桩试验</t>
  </si>
  <si>
    <t>E.1.2.3</t>
  </si>
  <si>
    <t>Pile Integrity Tests / Low Strain Dynamic Pile Tests</t>
  </si>
  <si>
    <t>桩完整性试验／低应变动力桩试验</t>
  </si>
  <si>
    <t>E.1.2.4</t>
  </si>
  <si>
    <t>Steel pile tip</t>
  </si>
  <si>
    <t>钢桩尖</t>
  </si>
  <si>
    <t>t</t>
  </si>
  <si>
    <t>E.1.2.5</t>
  </si>
  <si>
    <t>Pile core Concrete</t>
  </si>
  <si>
    <t>桩芯混凝土</t>
  </si>
  <si>
    <t>E.1.2.5.1</t>
  </si>
  <si>
    <r>
      <rPr>
        <sz val="10"/>
        <rFont val="Arial"/>
        <charset val="134"/>
      </rPr>
      <t>- Concrete</t>
    </r>
    <r>
      <rPr>
        <sz val="10"/>
        <rFont val="宋体"/>
        <charset val="134"/>
      </rPr>
      <t>（</t>
    </r>
    <r>
      <rPr>
        <sz val="10"/>
        <rFont val="Arial"/>
        <charset val="134"/>
      </rPr>
      <t>C40</t>
    </r>
    <r>
      <rPr>
        <sz val="10"/>
        <rFont val="宋体"/>
        <charset val="134"/>
      </rPr>
      <t>）</t>
    </r>
  </si>
  <si>
    <r>
      <rPr>
        <sz val="10"/>
        <rFont val="Arial"/>
        <charset val="134"/>
      </rPr>
      <t xml:space="preserve">— </t>
    </r>
    <r>
      <rPr>
        <sz val="10"/>
        <rFont val="宋体"/>
        <charset val="134"/>
      </rPr>
      <t>混凝土（</t>
    </r>
    <r>
      <rPr>
        <sz val="10"/>
        <rFont val="Arial"/>
        <charset val="134"/>
      </rPr>
      <t>C40</t>
    </r>
    <r>
      <rPr>
        <sz val="10"/>
        <rFont val="宋体"/>
        <charset val="134"/>
      </rPr>
      <t>）</t>
    </r>
  </si>
  <si>
    <t>m³</t>
  </si>
  <si>
    <t>E.1.2.5.2</t>
  </si>
  <si>
    <t>- Rebar</t>
  </si>
  <si>
    <r>
      <rPr>
        <sz val="10"/>
        <rFont val="Arial"/>
        <charset val="134"/>
      </rPr>
      <t xml:space="preserve">- </t>
    </r>
    <r>
      <rPr>
        <sz val="10"/>
        <rFont val="宋体-简"/>
        <charset val="134"/>
      </rPr>
      <t>钢筋</t>
    </r>
  </si>
  <si>
    <t>Landside Crane beam</t>
  </si>
  <si>
    <t>岸侧起重机梁</t>
  </si>
  <si>
    <r>
      <rPr>
        <sz val="10"/>
        <color rgb="FFFF0000"/>
        <rFont val="Arial"/>
        <charset val="134"/>
      </rPr>
      <t>- Concrete</t>
    </r>
    <r>
      <rPr>
        <sz val="10"/>
        <color rgb="FFFF0000"/>
        <rFont val="宋体"/>
        <charset val="134"/>
      </rPr>
      <t>（</t>
    </r>
    <r>
      <rPr>
        <sz val="10"/>
        <color rgb="FFFF0000"/>
        <rFont val="Arial"/>
        <charset val="134"/>
      </rPr>
      <t>C40</t>
    </r>
    <r>
      <rPr>
        <sz val="10"/>
        <color rgb="FFFF0000"/>
        <rFont val="宋体"/>
        <charset val="134"/>
      </rPr>
      <t>）</t>
    </r>
  </si>
  <si>
    <r>
      <rPr>
        <sz val="10"/>
        <color rgb="FFFF0000"/>
        <rFont val="Arial"/>
        <charset val="134"/>
      </rPr>
      <t xml:space="preserve">— </t>
    </r>
    <r>
      <rPr>
        <sz val="10"/>
        <color rgb="FFFF0000"/>
        <rFont val="宋体"/>
        <charset val="134"/>
      </rPr>
      <t>混凝土（</t>
    </r>
    <r>
      <rPr>
        <sz val="10"/>
        <color rgb="FFFF0000"/>
        <rFont val="Arial"/>
        <charset val="134"/>
      </rPr>
      <t>C40</t>
    </r>
    <r>
      <rPr>
        <sz val="10"/>
        <color rgb="FFFF0000"/>
        <rFont val="宋体"/>
        <charset val="134"/>
      </rPr>
      <t>）</t>
    </r>
  </si>
  <si>
    <t>- Formwork</t>
  </si>
  <si>
    <r>
      <rPr>
        <sz val="10"/>
        <color rgb="FFFF0000"/>
        <rFont val="Arial"/>
        <charset val="134"/>
      </rPr>
      <t xml:space="preserve">- </t>
    </r>
    <r>
      <rPr>
        <sz val="10"/>
        <color rgb="FFFF0000"/>
        <rFont val="宋体"/>
        <charset val="134"/>
      </rPr>
      <t>模板</t>
    </r>
  </si>
  <si>
    <t>Customized as required</t>
  </si>
  <si>
    <r>
      <rPr>
        <sz val="10"/>
        <color rgb="FFFF0000"/>
        <rFont val="Arial"/>
        <charset val="134"/>
      </rPr>
      <t xml:space="preserve">- </t>
    </r>
    <r>
      <rPr>
        <sz val="10"/>
        <color rgb="FFFF0000"/>
        <rFont val="宋体"/>
        <charset val="134"/>
      </rPr>
      <t>钢筋</t>
    </r>
  </si>
  <si>
    <t>kg</t>
  </si>
  <si>
    <t>- Temporary Support</t>
  </si>
  <si>
    <r>
      <rPr>
        <sz val="10"/>
        <color rgb="FFFF0000"/>
        <rFont val="Arial"/>
        <charset val="134"/>
      </rPr>
      <t xml:space="preserve">- </t>
    </r>
    <r>
      <rPr>
        <sz val="10"/>
        <color rgb="FFFF0000"/>
        <rFont val="宋体"/>
        <charset val="134"/>
      </rPr>
      <t>临时支撑</t>
    </r>
  </si>
  <si>
    <t>E.1.3</t>
  </si>
  <si>
    <t>Waterside Crane beam</t>
  </si>
  <si>
    <t>水侧起重机梁</t>
  </si>
  <si>
    <t>E.1.4</t>
  </si>
  <si>
    <t>Other longitudinal beams (subject to the Contractor's design)</t>
  </si>
  <si>
    <t>其他纵向梁（承包商设计）</t>
  </si>
  <si>
    <t>E.1.5</t>
  </si>
  <si>
    <t>Heastocks / Transverse beams</t>
  </si>
  <si>
    <r>
      <rPr>
        <sz val="10"/>
        <rFont val="宋体-简"/>
        <charset val="134"/>
      </rPr>
      <t>起重机支座</t>
    </r>
    <r>
      <rPr>
        <sz val="10"/>
        <rFont val="Arial"/>
        <charset val="134"/>
      </rPr>
      <t xml:space="preserve"> / </t>
    </r>
    <r>
      <rPr>
        <sz val="10"/>
        <rFont val="宋体-简"/>
        <charset val="134"/>
      </rPr>
      <t>横梁</t>
    </r>
  </si>
  <si>
    <t>E.1.5.1</t>
  </si>
  <si>
    <t>Heastocks</t>
  </si>
  <si>
    <t>起重机支座</t>
  </si>
  <si>
    <t>E.1.5.2</t>
  </si>
  <si>
    <t>Transverse beams</t>
  </si>
  <si>
    <t>横梁</t>
  </si>
  <si>
    <t>E.1.6</t>
  </si>
  <si>
    <t>Deck structure</t>
  </si>
  <si>
    <t>甲板结构</t>
  </si>
  <si>
    <t>E.1.7</t>
  </si>
  <si>
    <t>Abutment</t>
  </si>
  <si>
    <t>桥台</t>
  </si>
  <si>
    <t>E.1.8</t>
  </si>
  <si>
    <t>Relieving Slab</t>
  </si>
  <si>
    <t>卸载板</t>
  </si>
  <si>
    <t>E.1.9</t>
  </si>
  <si>
    <t>berthing structure</t>
  </si>
  <si>
    <t>泊位结构</t>
  </si>
  <si>
    <t>E.2.0</t>
  </si>
  <si>
    <t>Anti-corrosive coating</t>
  </si>
  <si>
    <t>防腐涂层</t>
  </si>
  <si>
    <t>SUBTOTAL - Quay Structures</t>
  </si>
  <si>
    <r>
      <rPr>
        <b/>
        <sz val="10"/>
        <rFont val="宋体-简"/>
        <charset val="134"/>
      </rPr>
      <t>小计</t>
    </r>
    <r>
      <rPr>
        <b/>
        <sz val="10"/>
        <rFont val="Arial"/>
        <charset val="134"/>
      </rPr>
      <t xml:space="preserve"> - </t>
    </r>
    <r>
      <rPr>
        <b/>
        <sz val="10"/>
        <rFont val="宋体-简"/>
        <charset val="134"/>
      </rPr>
      <t>码头结构</t>
    </r>
  </si>
  <si>
    <t>E.2</t>
  </si>
  <si>
    <t>Quay Furniture (PER 005C)</t>
  </si>
  <si>
    <r>
      <rPr>
        <b/>
        <sz val="10"/>
        <rFont val="宋体-简"/>
        <charset val="162"/>
      </rPr>
      <t>码头附属设施（按</t>
    </r>
    <r>
      <rPr>
        <b/>
        <sz val="10"/>
        <rFont val="Arial"/>
        <charset val="162"/>
      </rPr>
      <t>005C</t>
    </r>
    <r>
      <rPr>
        <b/>
        <sz val="10"/>
        <rFont val="宋体-简"/>
        <charset val="162"/>
      </rPr>
      <t>计）</t>
    </r>
  </si>
  <si>
    <t>E.2.1</t>
  </si>
  <si>
    <t>Crane rail including fastening system</t>
  </si>
  <si>
    <t>起重机轨道及紧固系统</t>
  </si>
  <si>
    <t>E.2.1.1</t>
  </si>
  <si>
    <t>Supply and Installation</t>
  </si>
  <si>
    <t>供应及安装</t>
  </si>
  <si>
    <t>- Adjustable Double Bolt Crane Rail Clip</t>
  </si>
  <si>
    <r>
      <rPr>
        <sz val="10"/>
        <color rgb="FFFF0000"/>
        <rFont val="Arial"/>
        <charset val="134"/>
      </rPr>
      <t xml:space="preserve">- </t>
    </r>
    <r>
      <rPr>
        <sz val="10"/>
        <color rgb="FFFF0000"/>
        <rFont val="宋体"/>
        <charset val="134"/>
      </rPr>
      <t>可调双螺栓起重机轨道夹具</t>
    </r>
  </si>
  <si>
    <t>Set</t>
  </si>
  <si>
    <t>- Hot DipGalvanize Sole Plate (25mm. min Thk)</t>
  </si>
  <si>
    <r>
      <rPr>
        <sz val="10"/>
        <color rgb="FFFF0000"/>
        <rFont val="Arial"/>
        <charset val="134"/>
      </rPr>
      <t xml:space="preserve">- </t>
    </r>
    <r>
      <rPr>
        <sz val="10"/>
        <color rgb="FFFF0000"/>
        <rFont val="宋体"/>
        <charset val="134"/>
      </rPr>
      <t>热浸镀锌底板（最小厚度</t>
    </r>
    <r>
      <rPr>
        <sz val="10"/>
        <color rgb="FFFF0000"/>
        <rFont val="Arial"/>
        <charset val="134"/>
      </rPr>
      <t>25</t>
    </r>
    <r>
      <rPr>
        <sz val="10"/>
        <color rgb="FFFF0000"/>
        <rFont val="宋体"/>
        <charset val="134"/>
      </rPr>
      <t>毫米）</t>
    </r>
  </si>
  <si>
    <t>- Rail bedded on steel reinforce resilent Bearing Pad</t>
  </si>
  <si>
    <r>
      <rPr>
        <sz val="10"/>
        <color rgb="FFFF0000"/>
        <rFont val="Arial"/>
        <charset val="134"/>
      </rPr>
      <t xml:space="preserve">- </t>
    </r>
    <r>
      <rPr>
        <sz val="10"/>
        <color rgb="FFFF0000"/>
        <rFont val="宋体"/>
        <charset val="134"/>
      </rPr>
      <t>铁轨铺设于钢制加固弹性支承垫上</t>
    </r>
  </si>
  <si>
    <t>m.</t>
  </si>
  <si>
    <t>- Non Shrink Epoxy Grount</t>
  </si>
  <si>
    <r>
      <rPr>
        <sz val="10"/>
        <color rgb="FFFF0000"/>
        <rFont val="Arial"/>
        <charset val="134"/>
      </rPr>
      <t xml:space="preserve">- </t>
    </r>
    <r>
      <rPr>
        <sz val="10"/>
        <color rgb="FFFF0000"/>
        <rFont val="宋体"/>
        <charset val="134"/>
      </rPr>
      <t>无收缩环氧灌浆料</t>
    </r>
  </si>
  <si>
    <t>- Anchor  Bolt</t>
  </si>
  <si>
    <r>
      <rPr>
        <sz val="10"/>
        <color rgb="FFFF0000"/>
        <rFont val="Arial"/>
        <charset val="134"/>
      </rPr>
      <t xml:space="preserve">- </t>
    </r>
    <r>
      <rPr>
        <sz val="10"/>
        <color rgb="FFFF0000"/>
        <rFont val="宋体"/>
        <charset val="134"/>
      </rPr>
      <t>锚栓</t>
    </r>
  </si>
  <si>
    <t>- 70 mm2 Copper Wire with copper lugs on either end</t>
  </si>
  <si>
    <r>
      <rPr>
        <sz val="10"/>
        <color rgb="FFFF0000"/>
        <rFont val="Arial"/>
        <charset val="134"/>
      </rPr>
      <t xml:space="preserve">- </t>
    </r>
    <r>
      <rPr>
        <sz val="10"/>
        <color rgb="FFFF0000"/>
        <rFont val="宋体"/>
        <charset val="134"/>
      </rPr>
      <t>带双端铜接头的</t>
    </r>
    <r>
      <rPr>
        <sz val="10"/>
        <color rgb="FFFF0000"/>
        <rFont val="Arial"/>
        <charset val="134"/>
      </rPr>
      <t>70</t>
    </r>
    <r>
      <rPr>
        <sz val="10"/>
        <color rgb="FFFF0000"/>
        <rFont val="宋体"/>
        <charset val="134"/>
      </rPr>
      <t>平方毫米铜线</t>
    </r>
  </si>
  <si>
    <t>- 50 mm2 PVC Conduit</t>
  </si>
  <si>
    <r>
      <rPr>
        <sz val="10"/>
        <color rgb="FFFF0000"/>
        <rFont val="Arial"/>
        <charset val="134"/>
      </rPr>
      <t>- 50</t>
    </r>
    <r>
      <rPr>
        <sz val="10"/>
        <color rgb="FFFF0000"/>
        <rFont val="宋体"/>
        <charset val="134"/>
      </rPr>
      <t>平方毫米</t>
    </r>
    <r>
      <rPr>
        <sz val="10"/>
        <color rgb="FFFF0000"/>
        <rFont val="Arial"/>
        <charset val="134"/>
      </rPr>
      <t>PVC</t>
    </r>
    <r>
      <rPr>
        <sz val="10"/>
        <color rgb="FFFF0000"/>
        <rFont val="宋体"/>
        <charset val="134"/>
      </rPr>
      <t>管套</t>
    </r>
  </si>
  <si>
    <t>- Cast in sleeve for Bilt installation</t>
  </si>
  <si>
    <r>
      <rPr>
        <sz val="10"/>
        <color rgb="FFFF0000"/>
        <rFont val="Arial"/>
        <charset val="134"/>
      </rPr>
      <t xml:space="preserve">- </t>
    </r>
    <r>
      <rPr>
        <sz val="10"/>
        <color rgb="FFFF0000"/>
        <rFont val="宋体"/>
        <charset val="134"/>
      </rPr>
      <t>预埋套筒用于器具安装</t>
    </r>
  </si>
  <si>
    <t>- Copper Screw</t>
  </si>
  <si>
    <r>
      <rPr>
        <sz val="10"/>
        <color rgb="FFFF0000"/>
        <rFont val="Arial"/>
        <charset val="134"/>
      </rPr>
      <t xml:space="preserve">- </t>
    </r>
    <r>
      <rPr>
        <sz val="10"/>
        <color rgb="FFFF0000"/>
        <rFont val="宋体"/>
        <charset val="134"/>
      </rPr>
      <t>铜制螺钉</t>
    </r>
  </si>
  <si>
    <t>- Minimum 25Mpa Cocrete in fill</t>
  </si>
  <si>
    <r>
      <rPr>
        <sz val="10"/>
        <color rgb="FFFF0000"/>
        <rFont val="Arial"/>
        <charset val="134"/>
      </rPr>
      <t xml:space="preserve">- </t>
    </r>
    <r>
      <rPr>
        <sz val="10"/>
        <color rgb="FFFF0000"/>
        <rFont val="宋体"/>
        <charset val="134"/>
      </rPr>
      <t>填充混凝土最低强度</t>
    </r>
    <r>
      <rPr>
        <sz val="10"/>
        <color rgb="FFFF0000"/>
        <rFont val="Arial"/>
        <charset val="134"/>
      </rPr>
      <t>25</t>
    </r>
    <r>
      <rPr>
        <sz val="10"/>
        <color rgb="FFFF0000"/>
        <rFont val="宋体"/>
        <charset val="134"/>
      </rPr>
      <t>兆帕</t>
    </r>
  </si>
  <si>
    <t>- Bolt Sleeve Plugged/Capped</t>
  </si>
  <si>
    <r>
      <rPr>
        <sz val="10"/>
        <color rgb="FFFF0000"/>
        <rFont val="Arial"/>
        <charset val="134"/>
      </rPr>
      <t xml:space="preserve">- </t>
    </r>
    <r>
      <rPr>
        <sz val="10"/>
        <color rgb="FFFF0000"/>
        <rFont val="宋体"/>
        <charset val="134"/>
      </rPr>
      <t>螺栓套筒堵塞</t>
    </r>
    <r>
      <rPr>
        <sz val="10"/>
        <color rgb="FFFF0000"/>
        <rFont val="Arial"/>
        <charset val="134"/>
      </rPr>
      <t>/</t>
    </r>
    <r>
      <rPr>
        <sz val="10"/>
        <color rgb="FFFF0000"/>
        <rFont val="宋体"/>
        <charset val="134"/>
      </rPr>
      <t>封盖</t>
    </r>
  </si>
  <si>
    <t>- Recess line Plastic sheet and Grease</t>
  </si>
  <si>
    <r>
      <rPr>
        <sz val="10"/>
        <color rgb="FFFF0000"/>
        <rFont val="Arial"/>
        <charset val="134"/>
      </rPr>
      <t xml:space="preserve">- </t>
    </r>
    <r>
      <rPr>
        <sz val="10"/>
        <color rgb="FFFF0000"/>
        <rFont val="宋体"/>
        <charset val="134"/>
      </rPr>
      <t>凹槽塑料薄膜及润滑脂</t>
    </r>
  </si>
  <si>
    <t>- Drainage Pipe Minimum Dia.= 50 mm.</t>
  </si>
  <si>
    <r>
      <rPr>
        <sz val="10"/>
        <color rgb="FFFF0000"/>
        <rFont val="Arial"/>
        <charset val="134"/>
      </rPr>
      <t xml:space="preserve">- </t>
    </r>
    <r>
      <rPr>
        <sz val="10"/>
        <color rgb="FFFF0000"/>
        <rFont val="宋体"/>
        <charset val="134"/>
      </rPr>
      <t>排水管最小直径</t>
    </r>
    <r>
      <rPr>
        <sz val="10"/>
        <color rgb="FFFF0000"/>
        <rFont val="Arial"/>
        <charset val="134"/>
      </rPr>
      <t>50</t>
    </r>
    <r>
      <rPr>
        <sz val="10"/>
        <color rgb="FFFF0000"/>
        <rFont val="宋体"/>
        <charset val="134"/>
      </rPr>
      <t>毫米</t>
    </r>
  </si>
  <si>
    <t>E.2.1.2</t>
  </si>
  <si>
    <t>Spare (supply only)</t>
  </si>
  <si>
    <t>备品（仅供应）</t>
  </si>
  <si>
    <t>SUBTOTAL - Quay Furniture</t>
  </si>
  <si>
    <r>
      <rPr>
        <b/>
        <sz val="10"/>
        <rFont val="宋体-简"/>
        <charset val="134"/>
      </rPr>
      <t>小计</t>
    </r>
    <r>
      <rPr>
        <b/>
        <sz val="10"/>
        <rFont val="Arial"/>
        <charset val="134"/>
      </rPr>
      <t xml:space="preserve"> - </t>
    </r>
    <r>
      <rPr>
        <b/>
        <sz val="10"/>
        <rFont val="宋体-简"/>
        <charset val="134"/>
      </rPr>
      <t>码头设备</t>
    </r>
  </si>
  <si>
    <t>E.3</t>
  </si>
  <si>
    <t>STS Crane Furniture (PER 005D)</t>
  </si>
  <si>
    <r>
      <rPr>
        <b/>
        <sz val="10"/>
        <rFont val="Arial"/>
        <charset val="162"/>
      </rPr>
      <t xml:space="preserve">STS </t>
    </r>
    <r>
      <rPr>
        <b/>
        <sz val="10"/>
        <rFont val="宋体-简"/>
        <charset val="162"/>
      </rPr>
      <t>起重机装置（</t>
    </r>
    <r>
      <rPr>
        <b/>
        <sz val="10"/>
        <rFont val="Arial"/>
        <charset val="162"/>
      </rPr>
      <t>PER 005D</t>
    </r>
    <r>
      <rPr>
        <b/>
        <sz val="10"/>
        <rFont val="宋体-简"/>
        <charset val="162"/>
      </rPr>
      <t>）</t>
    </r>
  </si>
  <si>
    <t>E.3.1</t>
  </si>
  <si>
    <r>
      <rPr>
        <sz val="10"/>
        <rFont val="Arial"/>
        <charset val="134"/>
      </rPr>
      <t xml:space="preserve">Cable trench
</t>
    </r>
    <r>
      <rPr>
        <sz val="10"/>
        <rFont val="宋体"/>
        <charset val="134"/>
      </rPr>
      <t>（</t>
    </r>
    <r>
      <rPr>
        <sz val="10"/>
        <rFont val="Arial"/>
        <charset val="134"/>
      </rPr>
      <t>400×100</t>
    </r>
    <r>
      <rPr>
        <sz val="10"/>
        <rFont val="宋体"/>
        <charset val="134"/>
      </rPr>
      <t>）</t>
    </r>
    <r>
      <rPr>
        <sz val="10"/>
        <rFont val="Arial"/>
        <charset val="134"/>
      </rPr>
      <t>mm</t>
    </r>
  </si>
  <si>
    <r>
      <rPr>
        <sz val="10"/>
        <rFont val="宋体-简"/>
        <charset val="134"/>
      </rPr>
      <t>电缆沟</t>
    </r>
    <r>
      <rPr>
        <sz val="10"/>
        <rFont val="Arial"/>
        <charset val="134"/>
      </rPr>
      <t xml:space="preserve">
</t>
    </r>
    <r>
      <rPr>
        <sz val="10"/>
        <rFont val="宋体-简"/>
        <charset val="134"/>
      </rPr>
      <t>（</t>
    </r>
    <r>
      <rPr>
        <sz val="10"/>
        <rFont val="Arial"/>
        <charset val="134"/>
      </rPr>
      <t>400×100</t>
    </r>
    <r>
      <rPr>
        <sz val="10"/>
        <rFont val="宋体-简"/>
        <charset val="134"/>
      </rPr>
      <t>）毫米</t>
    </r>
  </si>
  <si>
    <t>E.3.2</t>
  </si>
  <si>
    <r>
      <rPr>
        <sz val="10"/>
        <rFont val="Arial"/>
        <charset val="134"/>
      </rPr>
      <t xml:space="preserve">Shore power pit 
</t>
    </r>
    <r>
      <rPr>
        <sz val="10"/>
        <rFont val="宋体"/>
        <charset val="134"/>
      </rPr>
      <t>（</t>
    </r>
    <r>
      <rPr>
        <sz val="10"/>
        <rFont val="Arial"/>
        <charset val="134"/>
      </rPr>
      <t>1.5×1.2×1.5</t>
    </r>
    <r>
      <rPr>
        <sz val="10"/>
        <rFont val="宋体"/>
        <charset val="134"/>
      </rPr>
      <t>）</t>
    </r>
    <r>
      <rPr>
        <sz val="10"/>
        <rFont val="Arial"/>
        <charset val="134"/>
      </rPr>
      <t>m</t>
    </r>
  </si>
  <si>
    <r>
      <rPr>
        <sz val="10"/>
        <rFont val="宋体-简"/>
        <charset val="134"/>
      </rPr>
      <t>岸电井</t>
    </r>
    <r>
      <rPr>
        <sz val="10"/>
        <rFont val="Arial"/>
        <charset val="134"/>
      </rPr>
      <t xml:space="preserve"> 
</t>
    </r>
    <r>
      <rPr>
        <sz val="10"/>
        <rFont val="宋体-简"/>
        <charset val="134"/>
      </rPr>
      <t>（</t>
    </r>
    <r>
      <rPr>
        <sz val="10"/>
        <rFont val="Arial"/>
        <charset val="134"/>
      </rPr>
      <t>1.5×1.2×1.5</t>
    </r>
    <r>
      <rPr>
        <sz val="10"/>
        <rFont val="宋体-简"/>
        <charset val="134"/>
      </rPr>
      <t>）米</t>
    </r>
  </si>
  <si>
    <t>E.3.3</t>
  </si>
  <si>
    <r>
      <rPr>
        <sz val="10"/>
        <rFont val="Arial"/>
        <charset val="134"/>
      </rPr>
      <t xml:space="preserve">STS Crane Connection pit
</t>
    </r>
    <r>
      <rPr>
        <sz val="10"/>
        <rFont val="宋体"/>
        <charset val="134"/>
      </rPr>
      <t>（</t>
    </r>
    <r>
      <rPr>
        <sz val="10"/>
        <rFont val="Arial"/>
        <charset val="134"/>
      </rPr>
      <t>2.0×1.5×1.9</t>
    </r>
    <r>
      <rPr>
        <sz val="10"/>
        <rFont val="宋体"/>
        <charset val="134"/>
      </rPr>
      <t>）</t>
    </r>
    <r>
      <rPr>
        <sz val="10"/>
        <rFont val="Arial"/>
        <charset val="134"/>
      </rPr>
      <t>m</t>
    </r>
  </si>
  <si>
    <r>
      <rPr>
        <sz val="10"/>
        <rFont val="Arial"/>
        <charset val="134"/>
      </rPr>
      <t xml:space="preserve">STS </t>
    </r>
    <r>
      <rPr>
        <sz val="10"/>
        <rFont val="宋体-简"/>
        <charset val="134"/>
      </rPr>
      <t>起重机连接井</t>
    </r>
    <r>
      <rPr>
        <sz val="10"/>
        <rFont val="Arial"/>
        <charset val="134"/>
      </rPr>
      <t xml:space="preserve">
</t>
    </r>
    <r>
      <rPr>
        <sz val="10"/>
        <rFont val="宋体-简"/>
        <charset val="134"/>
      </rPr>
      <t>（</t>
    </r>
    <r>
      <rPr>
        <sz val="10"/>
        <rFont val="Arial"/>
        <charset val="134"/>
      </rPr>
      <t>2.0×1.5×1.9</t>
    </r>
    <r>
      <rPr>
        <sz val="10"/>
        <rFont val="宋体-简"/>
        <charset val="134"/>
      </rPr>
      <t>）米</t>
    </r>
  </si>
  <si>
    <t>- Access Cover</t>
  </si>
  <si>
    <r>
      <rPr>
        <sz val="10"/>
        <rFont val="Arial"/>
        <charset val="134"/>
      </rPr>
      <t xml:space="preserve">- </t>
    </r>
    <r>
      <rPr>
        <sz val="10"/>
        <rFont val="宋体"/>
        <charset val="134"/>
      </rPr>
      <t>人孔盖</t>
    </r>
  </si>
  <si>
    <t>- Cable Restraints Positioned</t>
  </si>
  <si>
    <r>
      <rPr>
        <sz val="10"/>
        <color rgb="FFFF0000"/>
        <rFont val="Arial"/>
        <charset val="134"/>
      </rPr>
      <t xml:space="preserve">- </t>
    </r>
    <r>
      <rPr>
        <sz val="10"/>
        <color rgb="FFFF0000"/>
        <rFont val="宋体"/>
        <charset val="134"/>
      </rPr>
      <t>电缆固定装置定位</t>
    </r>
  </si>
  <si>
    <t>- Cable Drum</t>
  </si>
  <si>
    <r>
      <rPr>
        <sz val="10"/>
        <color rgb="FFFF0000"/>
        <rFont val="Arial"/>
        <charset val="134"/>
      </rPr>
      <t xml:space="preserve">- </t>
    </r>
    <r>
      <rPr>
        <sz val="10"/>
        <color rgb="FFFF0000"/>
        <rFont val="宋体"/>
        <charset val="134"/>
      </rPr>
      <t>电缆盘</t>
    </r>
  </si>
  <si>
    <t>- Base Plate</t>
  </si>
  <si>
    <r>
      <rPr>
        <sz val="10"/>
        <rFont val="Arial"/>
        <charset val="134"/>
      </rPr>
      <t xml:space="preserve">- </t>
    </r>
    <r>
      <rPr>
        <sz val="10"/>
        <rFont val="宋体"/>
        <charset val="134"/>
      </rPr>
      <t>底板</t>
    </r>
  </si>
  <si>
    <t>- SS Bolt</t>
  </si>
  <si>
    <r>
      <rPr>
        <sz val="10"/>
        <rFont val="Arial"/>
        <charset val="134"/>
      </rPr>
      <t xml:space="preserve">- </t>
    </r>
    <r>
      <rPr>
        <sz val="10"/>
        <rFont val="宋体"/>
        <charset val="134"/>
      </rPr>
      <t>不锈钢螺栓</t>
    </r>
  </si>
  <si>
    <t>- Step Iron</t>
  </si>
  <si>
    <r>
      <rPr>
        <sz val="10"/>
        <rFont val="Arial"/>
        <charset val="134"/>
      </rPr>
      <t xml:space="preserve">- </t>
    </r>
    <r>
      <rPr>
        <sz val="10"/>
        <rFont val="宋体"/>
        <charset val="134"/>
      </rPr>
      <t>踏板钢</t>
    </r>
  </si>
  <si>
    <t>- 10 mm. Stainless Steel Stud</t>
  </si>
  <si>
    <r>
      <rPr>
        <sz val="10"/>
        <rFont val="Arial"/>
        <charset val="134"/>
      </rPr>
      <t xml:space="preserve">- 10 </t>
    </r>
    <r>
      <rPr>
        <sz val="10"/>
        <rFont val="宋体"/>
        <charset val="134"/>
      </rPr>
      <t>毫米不锈钢螺柱</t>
    </r>
  </si>
  <si>
    <t>- 5 mm. Arc Wall Plate</t>
  </si>
  <si>
    <r>
      <rPr>
        <sz val="10"/>
        <rFont val="Arial"/>
        <charset val="134"/>
      </rPr>
      <t xml:space="preserve">- 5 </t>
    </r>
    <r>
      <rPr>
        <sz val="10"/>
        <rFont val="宋体"/>
        <charset val="134"/>
      </rPr>
      <t>毫米弧形壁板</t>
    </r>
  </si>
  <si>
    <t>kg.</t>
  </si>
  <si>
    <t>-Concrete</t>
  </si>
  <si>
    <r>
      <rPr>
        <sz val="10"/>
        <rFont val="Arial"/>
        <charset val="134"/>
      </rPr>
      <t>-</t>
    </r>
    <r>
      <rPr>
        <sz val="10"/>
        <rFont val="宋体-简"/>
        <charset val="134"/>
      </rPr>
      <t>混凝土</t>
    </r>
  </si>
  <si>
    <r>
      <rPr>
        <sz val="10"/>
        <rFont val="Arial"/>
        <charset val="134"/>
      </rPr>
      <t>-</t>
    </r>
    <r>
      <rPr>
        <sz val="10"/>
        <rFont val="宋体-简"/>
        <charset val="134"/>
      </rPr>
      <t>模板</t>
    </r>
  </si>
  <si>
    <t>m²</t>
  </si>
  <si>
    <t>-Rebar</t>
  </si>
  <si>
    <r>
      <rPr>
        <sz val="10"/>
        <rFont val="Arial"/>
        <charset val="134"/>
      </rPr>
      <t>-</t>
    </r>
    <r>
      <rPr>
        <sz val="10"/>
        <rFont val="宋体-简"/>
        <charset val="134"/>
      </rPr>
      <t>钢筋</t>
    </r>
  </si>
  <si>
    <t>E.3.4</t>
  </si>
  <si>
    <t>Ladders / Chains</t>
  </si>
  <si>
    <r>
      <rPr>
        <sz val="10"/>
        <rFont val="宋体-简"/>
        <charset val="134"/>
      </rPr>
      <t>梯子</t>
    </r>
    <r>
      <rPr>
        <sz val="10"/>
        <rFont val="Arial"/>
        <charset val="134"/>
      </rPr>
      <t xml:space="preserve"> / </t>
    </r>
    <r>
      <rPr>
        <sz val="10"/>
        <rFont val="宋体-简"/>
        <charset val="134"/>
      </rPr>
      <t>链条</t>
    </r>
  </si>
  <si>
    <t>E.3.5</t>
  </si>
  <si>
    <t>Crane buffers
Size of embedded part: 1000×500×30mm. Embed 9-M40 bolts with an exposed length of 120 mm.The single weight of the embedded part and its upper structure and bolt are 500kg.Material: Q235B steel</t>
  </si>
  <si>
    <r>
      <rPr>
        <sz val="10"/>
        <rFont val="宋体-简"/>
        <charset val="134"/>
      </rPr>
      <t>起重机缓冲器</t>
    </r>
    <r>
      <rPr>
        <sz val="10"/>
        <rFont val="Arial"/>
        <charset val="134"/>
      </rPr>
      <t xml:space="preserve">
</t>
    </r>
    <r>
      <rPr>
        <sz val="10"/>
        <rFont val="宋体-简"/>
        <charset val="134"/>
      </rPr>
      <t>埋件尺寸：</t>
    </r>
    <r>
      <rPr>
        <sz val="10"/>
        <rFont val="Arial"/>
        <charset val="134"/>
      </rPr>
      <t>1000×500×30</t>
    </r>
    <r>
      <rPr>
        <sz val="10"/>
        <rFont val="宋体-简"/>
        <charset val="134"/>
      </rPr>
      <t>毫米。埋设</t>
    </r>
    <r>
      <rPr>
        <sz val="10"/>
        <rFont val="Arial"/>
        <charset val="134"/>
      </rPr>
      <t>9</t>
    </r>
    <r>
      <rPr>
        <sz val="10"/>
        <rFont val="宋体-简"/>
        <charset val="134"/>
      </rPr>
      <t>个</t>
    </r>
    <r>
      <rPr>
        <sz val="10"/>
        <rFont val="Arial"/>
        <charset val="134"/>
      </rPr>
      <t>M40</t>
    </r>
    <r>
      <rPr>
        <sz val="10"/>
        <rFont val="宋体-简"/>
        <charset val="134"/>
      </rPr>
      <t>螺栓，露出长度</t>
    </r>
    <r>
      <rPr>
        <sz val="10"/>
        <rFont val="Arial"/>
        <charset val="134"/>
      </rPr>
      <t>120</t>
    </r>
    <r>
      <rPr>
        <sz val="10"/>
        <rFont val="宋体-简"/>
        <charset val="134"/>
      </rPr>
      <t>毫米。埋件及其上部结构及螺栓单重</t>
    </r>
    <r>
      <rPr>
        <sz val="10"/>
        <rFont val="Arial"/>
        <charset val="134"/>
      </rPr>
      <t>500</t>
    </r>
    <r>
      <rPr>
        <sz val="10"/>
        <rFont val="宋体-简"/>
        <charset val="134"/>
      </rPr>
      <t>千克。材料：</t>
    </r>
    <r>
      <rPr>
        <sz val="10"/>
        <rFont val="Arial"/>
        <charset val="134"/>
      </rPr>
      <t>Q235B</t>
    </r>
    <r>
      <rPr>
        <sz val="10"/>
        <rFont val="宋体-简"/>
        <charset val="134"/>
      </rPr>
      <t>钢</t>
    </r>
  </si>
  <si>
    <t>- Steel Structure</t>
  </si>
  <si>
    <r>
      <rPr>
        <sz val="10"/>
        <color rgb="FFFF0000"/>
        <rFont val="Arial"/>
        <charset val="134"/>
      </rPr>
      <t xml:space="preserve">- </t>
    </r>
    <r>
      <rPr>
        <sz val="10"/>
        <color rgb="FFFF0000"/>
        <rFont val="宋体"/>
        <charset val="134"/>
      </rPr>
      <t>钢结构</t>
    </r>
  </si>
  <si>
    <t>- Steel Plate</t>
  </si>
  <si>
    <r>
      <rPr>
        <sz val="10"/>
        <color rgb="FFFF0000"/>
        <rFont val="Arial"/>
        <charset val="134"/>
      </rPr>
      <t xml:space="preserve">- </t>
    </r>
    <r>
      <rPr>
        <sz val="10"/>
        <color rgb="FFFF0000"/>
        <rFont val="宋体"/>
        <charset val="134"/>
      </rPr>
      <t>钢板</t>
    </r>
  </si>
  <si>
    <r>
      <rPr>
        <sz val="10"/>
        <color rgb="FFFF0000"/>
        <rFont val="Arial"/>
        <charset val="134"/>
      </rPr>
      <t xml:space="preserve">- </t>
    </r>
    <r>
      <rPr>
        <sz val="10"/>
        <color rgb="FFFF0000"/>
        <rFont val="宋体"/>
        <charset val="134"/>
      </rPr>
      <t>底板</t>
    </r>
  </si>
  <si>
    <t>- Holding Down Bolt</t>
  </si>
  <si>
    <t>- Grout</t>
  </si>
  <si>
    <r>
      <rPr>
        <sz val="10"/>
        <color rgb="FFFF0000"/>
        <rFont val="Arial"/>
        <charset val="134"/>
      </rPr>
      <t xml:space="preserve">- </t>
    </r>
    <r>
      <rPr>
        <sz val="10"/>
        <color rgb="FFFF0000"/>
        <rFont val="宋体"/>
        <charset val="134"/>
      </rPr>
      <t>灌浆材料</t>
    </r>
  </si>
  <si>
    <t>E.3.6</t>
  </si>
  <si>
    <t>Storm tie downs  
Size of embedded part: 600×400×30mm. Embed 6-M40 bolts with an exposed length of 120 mm.The single weight of the embedded part and its upper structure and bolt are 120kg.Material: Q235B steel</t>
  </si>
  <si>
    <r>
      <rPr>
        <sz val="10"/>
        <rFont val="宋体-简"/>
        <charset val="134"/>
      </rPr>
      <t>防风拉紧装置</t>
    </r>
    <r>
      <rPr>
        <sz val="10"/>
        <rFont val="Arial"/>
        <charset val="134"/>
      </rPr>
      <t xml:space="preserve">
</t>
    </r>
    <r>
      <rPr>
        <sz val="10"/>
        <rFont val="宋体-简"/>
        <charset val="134"/>
      </rPr>
      <t>埋件尺寸：</t>
    </r>
    <r>
      <rPr>
        <sz val="10"/>
        <rFont val="Arial"/>
        <charset val="134"/>
      </rPr>
      <t>600×400×30</t>
    </r>
    <r>
      <rPr>
        <sz val="10"/>
        <rFont val="宋体-简"/>
        <charset val="134"/>
      </rPr>
      <t>毫米。埋设</t>
    </r>
    <r>
      <rPr>
        <sz val="10"/>
        <rFont val="Arial"/>
        <charset val="134"/>
      </rPr>
      <t>6</t>
    </r>
    <r>
      <rPr>
        <sz val="10"/>
        <rFont val="宋体-简"/>
        <charset val="134"/>
      </rPr>
      <t>个</t>
    </r>
    <r>
      <rPr>
        <sz val="10"/>
        <rFont val="Arial"/>
        <charset val="134"/>
      </rPr>
      <t>M40</t>
    </r>
    <r>
      <rPr>
        <sz val="10"/>
        <rFont val="宋体-简"/>
        <charset val="134"/>
      </rPr>
      <t>螺栓，露出长度</t>
    </r>
    <r>
      <rPr>
        <sz val="10"/>
        <rFont val="Arial"/>
        <charset val="134"/>
      </rPr>
      <t>120</t>
    </r>
    <r>
      <rPr>
        <sz val="10"/>
        <rFont val="宋体-简"/>
        <charset val="134"/>
      </rPr>
      <t>毫米。埋件及其上部结构及螺栓单重</t>
    </r>
    <r>
      <rPr>
        <sz val="10"/>
        <rFont val="Arial"/>
        <charset val="134"/>
      </rPr>
      <t>120</t>
    </r>
    <r>
      <rPr>
        <sz val="10"/>
        <rFont val="宋体-简"/>
        <charset val="134"/>
      </rPr>
      <t>千克。材料：</t>
    </r>
    <r>
      <rPr>
        <sz val="10"/>
        <rFont val="Arial"/>
        <charset val="134"/>
      </rPr>
      <t>Q235B</t>
    </r>
    <r>
      <rPr>
        <sz val="10"/>
        <rFont val="宋体-简"/>
        <charset val="134"/>
      </rPr>
      <t>钢</t>
    </r>
  </si>
  <si>
    <t>- Proprietary Ductile Iron Pit Lid</t>
  </si>
  <si>
    <r>
      <rPr>
        <sz val="10"/>
        <color rgb="FFFF0000"/>
        <rFont val="Arial"/>
        <charset val="134"/>
      </rPr>
      <t xml:space="preserve">- </t>
    </r>
    <r>
      <rPr>
        <sz val="10"/>
        <color rgb="FFFF0000"/>
        <rFont val="宋体"/>
        <charset val="134"/>
      </rPr>
      <t>专用球墨铸铁检查井盖</t>
    </r>
  </si>
  <si>
    <t>- 50 mm2 Drainage Pipe</t>
  </si>
  <si>
    <r>
      <rPr>
        <sz val="10"/>
        <color rgb="FFFF0000"/>
        <rFont val="Arial"/>
        <charset val="134"/>
      </rPr>
      <t xml:space="preserve">- 50 mm² </t>
    </r>
    <r>
      <rPr>
        <sz val="10"/>
        <color rgb="FFFF0000"/>
        <rFont val="宋体"/>
        <charset val="134"/>
      </rPr>
      <t>排水管</t>
    </r>
  </si>
  <si>
    <t>- Pin</t>
  </si>
  <si>
    <r>
      <rPr>
        <sz val="10"/>
        <color rgb="FFFF0000"/>
        <rFont val="Arial"/>
        <charset val="134"/>
      </rPr>
      <t xml:space="preserve">- </t>
    </r>
    <r>
      <rPr>
        <sz val="10"/>
        <color rgb="FFFF0000"/>
        <rFont val="宋体"/>
        <charset val="134"/>
      </rPr>
      <t>销钉</t>
    </r>
  </si>
  <si>
    <t>- Link Plate</t>
  </si>
  <si>
    <r>
      <rPr>
        <sz val="10"/>
        <color rgb="FFFF0000"/>
        <rFont val="Arial"/>
        <charset val="134"/>
      </rPr>
      <t xml:space="preserve">- </t>
    </r>
    <r>
      <rPr>
        <sz val="10"/>
        <color rgb="FFFF0000"/>
        <rFont val="宋体"/>
        <charset val="134"/>
      </rPr>
      <t>联接板</t>
    </r>
  </si>
  <si>
    <t>- Locking Screw</t>
  </si>
  <si>
    <r>
      <rPr>
        <sz val="10"/>
        <color rgb="FFFF0000"/>
        <rFont val="Arial"/>
        <charset val="134"/>
      </rPr>
      <t xml:space="preserve">- </t>
    </r>
    <r>
      <rPr>
        <sz val="10"/>
        <color rgb="FFFF0000"/>
        <rFont val="宋体"/>
        <charset val="134"/>
      </rPr>
      <t>锁紧螺钉</t>
    </r>
  </si>
  <si>
    <t>E.3.7</t>
  </si>
  <si>
    <t>Storm anchors
Size of embedded part: 550×200×20mm. Embed 6-M40 bolts with an exposed length of 120 mm.The single weight of the embedded part and its upper structure and bolt are 80kg.Material: Q235B steel</t>
  </si>
  <si>
    <r>
      <rPr>
        <sz val="10"/>
        <rFont val="宋体-简"/>
        <charset val="134"/>
      </rPr>
      <t>暴风锚</t>
    </r>
    <r>
      <rPr>
        <sz val="10"/>
        <rFont val="Arial"/>
        <charset val="134"/>
      </rPr>
      <t xml:space="preserve">
</t>
    </r>
    <r>
      <rPr>
        <sz val="10"/>
        <rFont val="宋体-简"/>
        <charset val="134"/>
      </rPr>
      <t>埋入部分尺寸：</t>
    </r>
    <r>
      <rPr>
        <sz val="10"/>
        <rFont val="Arial"/>
        <charset val="134"/>
      </rPr>
      <t xml:space="preserve">550×200×20 </t>
    </r>
    <r>
      <rPr>
        <sz val="10"/>
        <rFont val="宋体-简"/>
        <charset val="134"/>
      </rPr>
      <t>毫米。埋入</t>
    </r>
    <r>
      <rPr>
        <sz val="10"/>
        <rFont val="Arial"/>
        <charset val="134"/>
      </rPr>
      <t>6</t>
    </r>
    <r>
      <rPr>
        <sz val="10"/>
        <rFont val="宋体-简"/>
        <charset val="134"/>
      </rPr>
      <t>根</t>
    </r>
    <r>
      <rPr>
        <sz val="10"/>
        <rFont val="Arial"/>
        <charset val="134"/>
      </rPr>
      <t>M40</t>
    </r>
    <r>
      <rPr>
        <sz val="10"/>
        <rFont val="宋体-简"/>
        <charset val="134"/>
      </rPr>
      <t>螺栓，露出长度</t>
    </r>
    <r>
      <rPr>
        <sz val="10"/>
        <rFont val="Arial"/>
        <charset val="134"/>
      </rPr>
      <t>120</t>
    </r>
    <r>
      <rPr>
        <sz val="10"/>
        <rFont val="宋体-简"/>
        <charset val="134"/>
      </rPr>
      <t>毫米。埋件及其上部结构与螺栓总重</t>
    </r>
    <r>
      <rPr>
        <sz val="10"/>
        <rFont val="Arial"/>
        <charset val="134"/>
      </rPr>
      <t>80</t>
    </r>
    <r>
      <rPr>
        <sz val="10"/>
        <rFont val="宋体-简"/>
        <charset val="134"/>
      </rPr>
      <t>公斤。材料：</t>
    </r>
    <r>
      <rPr>
        <sz val="10"/>
        <rFont val="Arial"/>
        <charset val="134"/>
      </rPr>
      <t>Q235B</t>
    </r>
    <r>
      <rPr>
        <sz val="10"/>
        <rFont val="宋体-简"/>
        <charset val="134"/>
      </rPr>
      <t>钢</t>
    </r>
  </si>
  <si>
    <t>- 210x410x10 Plate</t>
  </si>
  <si>
    <r>
      <rPr>
        <sz val="10"/>
        <color rgb="FFFF0000"/>
        <rFont val="Arial"/>
        <charset val="134"/>
      </rPr>
      <t xml:space="preserve">- 210×410×10 </t>
    </r>
    <r>
      <rPr>
        <sz val="10"/>
        <color rgb="FFFF0000"/>
        <rFont val="宋体"/>
        <charset val="134"/>
      </rPr>
      <t>板材</t>
    </r>
  </si>
  <si>
    <t>SUBTOTAL - STS Crane Furniture</t>
  </si>
  <si>
    <r>
      <rPr>
        <b/>
        <sz val="10"/>
        <rFont val="宋体-简"/>
        <charset val="134"/>
      </rPr>
      <t>小计</t>
    </r>
    <r>
      <rPr>
        <b/>
        <sz val="10"/>
        <rFont val="Arial"/>
        <charset val="134"/>
      </rPr>
      <t xml:space="preserve"> - STS </t>
    </r>
    <r>
      <rPr>
        <b/>
        <sz val="10"/>
        <rFont val="宋体-简"/>
        <charset val="134"/>
      </rPr>
      <t>起重机配件</t>
    </r>
  </si>
  <si>
    <t>E.4</t>
  </si>
  <si>
    <t>Fenders (including all chains, padeyes, anchor bolts, etc.) (PER 005E)</t>
  </si>
  <si>
    <r>
      <rPr>
        <b/>
        <sz val="10"/>
        <rFont val="宋体-简"/>
        <charset val="162"/>
      </rPr>
      <t>缓冲器（含所有链条、吊耳、锚栓等）（依据</t>
    </r>
    <r>
      <rPr>
        <b/>
        <sz val="10"/>
        <rFont val="Arial"/>
        <charset val="162"/>
      </rPr>
      <t>005E</t>
    </r>
    <r>
      <rPr>
        <b/>
        <sz val="10"/>
        <rFont val="宋体-简"/>
        <charset val="162"/>
      </rPr>
      <t>）</t>
    </r>
  </si>
  <si>
    <t>E.4.1</t>
  </si>
  <si>
    <r>
      <rPr>
        <sz val="10"/>
        <rFont val="Arial"/>
        <charset val="134"/>
      </rPr>
      <t>Supply and Installation</t>
    </r>
    <r>
      <rPr>
        <sz val="10"/>
        <rFont val="宋体"/>
        <charset val="134"/>
      </rPr>
      <t>（</t>
    </r>
    <r>
      <rPr>
        <sz val="10"/>
        <rFont val="Arial"/>
        <charset val="134"/>
      </rPr>
      <t>SCN1050</t>
    </r>
    <r>
      <rPr>
        <sz val="10"/>
        <rFont val="宋体"/>
        <charset val="134"/>
      </rPr>
      <t>：</t>
    </r>
    <r>
      <rPr>
        <sz val="10"/>
        <rFont val="Arial"/>
        <charset val="134"/>
      </rPr>
      <t>Super Cone Fender 1050</t>
    </r>
    <r>
      <rPr>
        <sz val="10"/>
        <rFont val="宋体"/>
        <charset val="134"/>
      </rPr>
      <t>）</t>
    </r>
  </si>
  <si>
    <r>
      <rPr>
        <sz val="10"/>
        <rFont val="宋体-简"/>
        <charset val="134"/>
      </rPr>
      <t>供应及安装（</t>
    </r>
    <r>
      <rPr>
        <sz val="10"/>
        <rFont val="Arial"/>
        <charset val="134"/>
      </rPr>
      <t>SCN1050</t>
    </r>
    <r>
      <rPr>
        <sz val="10"/>
        <rFont val="宋体-简"/>
        <charset val="134"/>
      </rPr>
      <t>：超级锥形缓冲器</t>
    </r>
    <r>
      <rPr>
        <sz val="10"/>
        <rFont val="Arial"/>
        <charset val="134"/>
      </rPr>
      <t>1050</t>
    </r>
    <r>
      <rPr>
        <sz val="10"/>
        <rFont val="宋体-简"/>
        <charset val="134"/>
      </rPr>
      <t>）</t>
    </r>
  </si>
  <si>
    <t>- Shear Chain  Padeye and Bolts</t>
  </si>
  <si>
    <r>
      <rPr>
        <sz val="10"/>
        <color rgb="FFFF0000"/>
        <rFont val="Arial"/>
        <charset val="134"/>
      </rPr>
      <t xml:space="preserve">- </t>
    </r>
    <r>
      <rPr>
        <sz val="10"/>
        <color rgb="FFFF0000"/>
        <rFont val="宋体"/>
        <charset val="134"/>
      </rPr>
      <t>剪切链</t>
    </r>
    <r>
      <rPr>
        <sz val="10"/>
        <color rgb="FFFF0000"/>
        <rFont val="Arial"/>
        <charset val="134"/>
      </rPr>
      <t xml:space="preserve"> </t>
    </r>
    <r>
      <rPr>
        <sz val="10"/>
        <color rgb="FFFF0000"/>
        <rFont val="宋体"/>
        <charset val="134"/>
      </rPr>
      <t>吊耳及螺栓</t>
    </r>
  </si>
  <si>
    <t>- Tension Chain  Padeye and Bolts</t>
  </si>
  <si>
    <r>
      <rPr>
        <sz val="10"/>
        <color rgb="FFFF0000"/>
        <rFont val="Arial"/>
        <charset val="134"/>
      </rPr>
      <t xml:space="preserve">- </t>
    </r>
    <r>
      <rPr>
        <sz val="10"/>
        <color rgb="FFFF0000"/>
        <rFont val="宋体"/>
        <charset val="134"/>
      </rPr>
      <t>张力链</t>
    </r>
    <r>
      <rPr>
        <sz val="10"/>
        <color rgb="FFFF0000"/>
        <rFont val="Arial"/>
        <charset val="134"/>
      </rPr>
      <t xml:space="preserve"> </t>
    </r>
    <r>
      <rPr>
        <sz val="10"/>
        <color rgb="FFFF0000"/>
        <rFont val="宋体"/>
        <charset val="134"/>
      </rPr>
      <t>吊耳及螺栓</t>
    </r>
  </si>
  <si>
    <t>- Fender Bolt</t>
  </si>
  <si>
    <r>
      <rPr>
        <sz val="10"/>
        <color rgb="FFFF0000"/>
        <rFont val="Arial"/>
        <charset val="134"/>
      </rPr>
      <t xml:space="preserve">- </t>
    </r>
    <r>
      <rPr>
        <sz val="10"/>
        <color rgb="FFFF0000"/>
        <rFont val="宋体"/>
        <charset val="134"/>
      </rPr>
      <t>缓冲器螺栓</t>
    </r>
  </si>
  <si>
    <t>- Steel Frontal Panel</t>
  </si>
  <si>
    <r>
      <rPr>
        <sz val="10"/>
        <color rgb="FFFF0000"/>
        <rFont val="Arial"/>
        <charset val="134"/>
      </rPr>
      <t xml:space="preserve">- </t>
    </r>
    <r>
      <rPr>
        <sz val="10"/>
        <color rgb="FFFF0000"/>
        <rFont val="宋体"/>
        <charset val="134"/>
      </rPr>
      <t>钢制前面板</t>
    </r>
  </si>
  <si>
    <t>- Tensioner</t>
  </si>
  <si>
    <r>
      <rPr>
        <sz val="10"/>
        <color rgb="FFFF0000"/>
        <rFont val="Arial"/>
        <charset val="134"/>
      </rPr>
      <t xml:space="preserve">- </t>
    </r>
    <r>
      <rPr>
        <sz val="10"/>
        <color rgb="FFFF0000"/>
        <rFont val="宋体"/>
        <charset val="134"/>
      </rPr>
      <t>张紧器</t>
    </r>
  </si>
  <si>
    <t>- Tension and Weight Chain Bolt</t>
  </si>
  <si>
    <r>
      <rPr>
        <sz val="10"/>
        <color rgb="FFFF0000"/>
        <rFont val="Arial"/>
        <charset val="134"/>
      </rPr>
      <t xml:space="preserve">- </t>
    </r>
    <r>
      <rPr>
        <sz val="10"/>
        <color rgb="FFFF0000"/>
        <rFont val="宋体"/>
        <charset val="134"/>
      </rPr>
      <t>张紧及重链螺栓</t>
    </r>
  </si>
  <si>
    <t>- Weight Chain</t>
  </si>
  <si>
    <r>
      <rPr>
        <sz val="10"/>
        <color rgb="FFFF0000"/>
        <rFont val="Arial"/>
        <charset val="134"/>
      </rPr>
      <t xml:space="preserve">- </t>
    </r>
    <r>
      <rPr>
        <sz val="10"/>
        <color rgb="FFFF0000"/>
        <rFont val="宋体"/>
        <charset val="134"/>
      </rPr>
      <t>重链</t>
    </r>
  </si>
  <si>
    <t>- Tension and Weight Blanket</t>
  </si>
  <si>
    <r>
      <rPr>
        <sz val="10"/>
        <color rgb="FFFF0000"/>
        <rFont val="Arial"/>
        <charset val="134"/>
      </rPr>
      <t xml:space="preserve">- </t>
    </r>
    <r>
      <rPr>
        <sz val="10"/>
        <color rgb="FFFF0000"/>
        <rFont val="宋体"/>
        <charset val="134"/>
      </rPr>
      <t>张紧及重链毯</t>
    </r>
  </si>
  <si>
    <t>E.4.2</t>
  </si>
  <si>
    <t>SUBTOTAL - Fenders</t>
  </si>
  <si>
    <r>
      <rPr>
        <b/>
        <sz val="10"/>
        <rFont val="宋体-简"/>
        <charset val="134"/>
      </rPr>
      <t>小计</t>
    </r>
    <r>
      <rPr>
        <b/>
        <sz val="10"/>
        <rFont val="Arial"/>
        <charset val="134"/>
      </rPr>
      <t xml:space="preserve"> - </t>
    </r>
    <r>
      <rPr>
        <b/>
        <sz val="10"/>
        <rFont val="宋体-简"/>
        <charset val="134"/>
      </rPr>
      <t>缓冲墩</t>
    </r>
  </si>
  <si>
    <t>E.5</t>
  </si>
  <si>
    <t>Bollards (PER 005F)</t>
  </si>
  <si>
    <r>
      <rPr>
        <b/>
        <sz val="10"/>
        <rFont val="宋体-简"/>
        <charset val="162"/>
      </rPr>
      <t>系缆桩（每</t>
    </r>
    <r>
      <rPr>
        <b/>
        <sz val="10"/>
        <rFont val="Arial"/>
        <charset val="162"/>
      </rPr>
      <t>005F</t>
    </r>
    <r>
      <rPr>
        <b/>
        <sz val="10"/>
        <rFont val="宋体-简"/>
        <charset val="162"/>
      </rPr>
      <t>）</t>
    </r>
  </si>
  <si>
    <t>E.5.1</t>
  </si>
  <si>
    <t>Supply and Installation(2500kN)</t>
  </si>
  <si>
    <r>
      <rPr>
        <sz val="10"/>
        <rFont val="宋体-简"/>
        <charset val="134"/>
      </rPr>
      <t>供应及安装（</t>
    </r>
    <r>
      <rPr>
        <sz val="10"/>
        <rFont val="Arial"/>
        <charset val="134"/>
      </rPr>
      <t>2500kN</t>
    </r>
    <r>
      <rPr>
        <sz val="10"/>
        <rFont val="宋体-简"/>
        <charset val="134"/>
      </rPr>
      <t>）</t>
    </r>
  </si>
  <si>
    <t>-Excavation</t>
  </si>
  <si>
    <r>
      <rPr>
        <sz val="10"/>
        <color rgb="FFFF0000"/>
        <rFont val="Arial"/>
        <charset val="134"/>
      </rPr>
      <t xml:space="preserve">- </t>
    </r>
    <r>
      <rPr>
        <sz val="10"/>
        <color rgb="FFFF0000"/>
        <rFont val="宋体"/>
        <charset val="134"/>
      </rPr>
      <t>挖掘</t>
    </r>
  </si>
  <si>
    <t>-Backfill</t>
  </si>
  <si>
    <r>
      <rPr>
        <sz val="10"/>
        <color rgb="FFFF0000"/>
        <rFont val="Arial"/>
        <charset val="134"/>
      </rPr>
      <t xml:space="preserve">- </t>
    </r>
    <r>
      <rPr>
        <sz val="10"/>
        <color rgb="FFFF0000"/>
        <rFont val="宋体"/>
        <charset val="134"/>
      </rPr>
      <t>回填</t>
    </r>
  </si>
  <si>
    <t>-Disposal</t>
  </si>
  <si>
    <r>
      <rPr>
        <sz val="10"/>
        <color rgb="FFFF0000"/>
        <rFont val="Arial"/>
        <charset val="134"/>
      </rPr>
      <t xml:space="preserve">- </t>
    </r>
    <r>
      <rPr>
        <sz val="10"/>
        <color rgb="FFFF0000"/>
        <rFont val="宋体"/>
        <charset val="134"/>
      </rPr>
      <t>废弃物清理</t>
    </r>
  </si>
  <si>
    <t>-Coarse Sand</t>
  </si>
  <si>
    <r>
      <rPr>
        <sz val="10"/>
        <color rgb="FFFF0000"/>
        <rFont val="Arial"/>
        <charset val="134"/>
      </rPr>
      <t xml:space="preserve">- </t>
    </r>
    <r>
      <rPr>
        <sz val="10"/>
        <color rgb="FFFF0000"/>
        <rFont val="宋体"/>
        <charset val="134"/>
      </rPr>
      <t>粗砂</t>
    </r>
  </si>
  <si>
    <t>-Lean Concrete</t>
  </si>
  <si>
    <r>
      <rPr>
        <sz val="10"/>
        <color rgb="FFFF0000"/>
        <rFont val="Arial"/>
        <charset val="134"/>
      </rPr>
      <t xml:space="preserve">- </t>
    </r>
    <r>
      <rPr>
        <sz val="10"/>
        <color rgb="FFFF0000"/>
        <rFont val="宋体"/>
        <charset val="134"/>
      </rPr>
      <t>低标号混凝土</t>
    </r>
  </si>
  <si>
    <t>-Concrete OPC Type1</t>
  </si>
  <si>
    <r>
      <rPr>
        <sz val="10"/>
        <color rgb="FFFF0000"/>
        <rFont val="Arial"/>
        <charset val="134"/>
      </rPr>
      <t xml:space="preserve">- </t>
    </r>
    <r>
      <rPr>
        <sz val="10"/>
        <color rgb="FFFF0000"/>
        <rFont val="宋体"/>
        <charset val="134"/>
      </rPr>
      <t>一般硅酸盐水泥混凝土（</t>
    </r>
    <r>
      <rPr>
        <sz val="10"/>
        <color rgb="FFFF0000"/>
        <rFont val="Arial"/>
        <charset val="134"/>
      </rPr>
      <t>OPC Type1</t>
    </r>
    <r>
      <rPr>
        <sz val="10"/>
        <color rgb="FFFF0000"/>
        <rFont val="宋体"/>
        <charset val="134"/>
      </rPr>
      <t>）</t>
    </r>
  </si>
  <si>
    <t>-Formwork</t>
  </si>
  <si>
    <t>-GRP Retention Tank 15,000L</t>
  </si>
  <si>
    <r>
      <rPr>
        <sz val="10"/>
        <color rgb="FFFF0000"/>
        <rFont val="Arial"/>
        <charset val="134"/>
      </rPr>
      <t>-GRP</t>
    </r>
    <r>
      <rPr>
        <sz val="10"/>
        <color rgb="FFFF0000"/>
        <rFont val="宋体"/>
        <charset val="134"/>
      </rPr>
      <t>储罐</t>
    </r>
    <r>
      <rPr>
        <sz val="10"/>
        <color rgb="FFFF0000"/>
        <rFont val="Arial"/>
        <charset val="134"/>
      </rPr>
      <t xml:space="preserve"> 15,000L</t>
    </r>
  </si>
  <si>
    <t>-Stainless Steel Handrail</t>
  </si>
  <si>
    <r>
      <rPr>
        <sz val="10"/>
        <color rgb="FFFF0000"/>
        <rFont val="Arial"/>
        <charset val="134"/>
      </rPr>
      <t>-</t>
    </r>
    <r>
      <rPr>
        <sz val="10"/>
        <color rgb="FFFF0000"/>
        <rFont val="宋体"/>
        <charset val="134"/>
      </rPr>
      <t>不锈钢扶手</t>
    </r>
  </si>
  <si>
    <t>-Protector Post Type A</t>
  </si>
  <si>
    <r>
      <rPr>
        <sz val="10"/>
        <color rgb="FFFF0000"/>
        <rFont val="Arial"/>
        <charset val="134"/>
      </rPr>
      <t>-</t>
    </r>
    <r>
      <rPr>
        <sz val="10"/>
        <color rgb="FFFF0000"/>
        <rFont val="宋体"/>
        <charset val="134"/>
      </rPr>
      <t>保护立柱</t>
    </r>
    <r>
      <rPr>
        <sz val="10"/>
        <color rgb="FFFF0000"/>
        <rFont val="Arial"/>
        <charset val="134"/>
      </rPr>
      <t>A</t>
    </r>
    <r>
      <rPr>
        <sz val="10"/>
        <color rgb="FFFF0000"/>
        <rFont val="宋体"/>
        <charset val="134"/>
      </rPr>
      <t>型</t>
    </r>
  </si>
  <si>
    <t>-Debris Trap over Drainage Chanel</t>
  </si>
  <si>
    <r>
      <rPr>
        <sz val="10"/>
        <color rgb="FFFF0000"/>
        <rFont val="Arial"/>
        <charset val="134"/>
      </rPr>
      <t>-</t>
    </r>
    <r>
      <rPr>
        <sz val="10"/>
        <color rgb="FFFF0000"/>
        <rFont val="宋体"/>
        <charset val="134"/>
      </rPr>
      <t>排水渠道上的杂物阻拦装置</t>
    </r>
  </si>
  <si>
    <t>-Waterproof Sheet</t>
  </si>
  <si>
    <r>
      <rPr>
        <sz val="10"/>
        <color rgb="FFFF0000"/>
        <rFont val="Arial"/>
        <charset val="134"/>
      </rPr>
      <t>-</t>
    </r>
    <r>
      <rPr>
        <sz val="10"/>
        <color rgb="FFFF0000"/>
        <rFont val="宋体"/>
        <charset val="134"/>
      </rPr>
      <t>防水板</t>
    </r>
  </si>
  <si>
    <t>-Gully Pit with Cover</t>
  </si>
  <si>
    <r>
      <rPr>
        <sz val="10"/>
        <color rgb="FFFF0000"/>
        <rFont val="Arial"/>
        <charset val="134"/>
      </rPr>
      <t>-</t>
    </r>
    <r>
      <rPr>
        <sz val="10"/>
        <color rgb="FFFF0000"/>
        <rFont val="宋体"/>
        <charset val="134"/>
      </rPr>
      <t>带盖雨水井</t>
    </r>
  </si>
  <si>
    <t>-RC. Manhole with steel cover over the GRP Tank</t>
  </si>
  <si>
    <r>
      <rPr>
        <sz val="10"/>
        <color rgb="FFFF0000"/>
        <rFont val="Arial"/>
        <charset val="134"/>
      </rPr>
      <t>-</t>
    </r>
    <r>
      <rPr>
        <sz val="10"/>
        <color rgb="FFFF0000"/>
        <rFont val="宋体"/>
        <charset val="134"/>
      </rPr>
      <t>钢筋混凝土</t>
    </r>
    <r>
      <rPr>
        <sz val="10"/>
        <color rgb="FFFF0000"/>
        <rFont val="Arial"/>
        <charset val="134"/>
      </rPr>
      <t>GRP</t>
    </r>
    <r>
      <rPr>
        <sz val="10"/>
        <color rgb="FFFF0000"/>
        <rFont val="宋体"/>
        <charset val="134"/>
      </rPr>
      <t>储罐上带钢盖人孔</t>
    </r>
  </si>
  <si>
    <t>-Shut Off Valve</t>
  </si>
  <si>
    <r>
      <rPr>
        <sz val="10"/>
        <color rgb="FFFF0000"/>
        <rFont val="Arial"/>
        <charset val="134"/>
      </rPr>
      <t>-</t>
    </r>
    <r>
      <rPr>
        <sz val="10"/>
        <color rgb="FFFF0000"/>
        <rFont val="宋体"/>
        <charset val="134"/>
      </rPr>
      <t>截止阀</t>
    </r>
  </si>
  <si>
    <t>-Valve Control Panel</t>
  </si>
  <si>
    <r>
      <rPr>
        <sz val="10"/>
        <color rgb="FFFF0000"/>
        <rFont val="Arial"/>
        <charset val="134"/>
      </rPr>
      <t>-</t>
    </r>
    <r>
      <rPr>
        <sz val="10"/>
        <color rgb="FFFF0000"/>
        <rFont val="宋体"/>
        <charset val="134"/>
      </rPr>
      <t>阀门控制面板</t>
    </r>
  </si>
  <si>
    <t>-Electrical Conduit</t>
  </si>
  <si>
    <r>
      <rPr>
        <sz val="10"/>
        <color rgb="FFFF0000"/>
        <rFont val="Arial"/>
        <charset val="134"/>
      </rPr>
      <t>-</t>
    </r>
    <r>
      <rPr>
        <sz val="10"/>
        <color rgb="FFFF0000"/>
        <rFont val="宋体"/>
        <charset val="134"/>
      </rPr>
      <t>电气管道</t>
    </r>
  </si>
  <si>
    <t>-PTFE Lined Pipe</t>
  </si>
  <si>
    <r>
      <rPr>
        <sz val="10"/>
        <color rgb="FFFF0000"/>
        <rFont val="Arial"/>
        <charset val="134"/>
      </rPr>
      <t>-</t>
    </r>
    <r>
      <rPr>
        <sz val="10"/>
        <color rgb="FFFF0000"/>
        <rFont val="宋体"/>
        <charset val="134"/>
      </rPr>
      <t>聚四氟乙烯（</t>
    </r>
    <r>
      <rPr>
        <sz val="10"/>
        <color rgb="FFFF0000"/>
        <rFont val="Arial"/>
        <charset val="134"/>
      </rPr>
      <t>PTFE</t>
    </r>
    <r>
      <rPr>
        <sz val="10"/>
        <color rgb="FFFF0000"/>
        <rFont val="宋体"/>
        <charset val="134"/>
      </rPr>
      <t>）衬里管</t>
    </r>
  </si>
  <si>
    <t>-Isolation Joint w/Waterstop to Full Perimeter of Tank Collar</t>
  </si>
  <si>
    <r>
      <rPr>
        <sz val="10"/>
        <color rgb="FFFF0000"/>
        <rFont val="Arial"/>
        <charset val="134"/>
      </rPr>
      <t>-</t>
    </r>
    <r>
      <rPr>
        <sz val="10"/>
        <color rgb="FFFF0000"/>
        <rFont val="宋体"/>
        <charset val="134"/>
      </rPr>
      <t>带止水带的储罐口全周隔断接头</t>
    </r>
  </si>
  <si>
    <t>SUBTOTAL - Bollards</t>
  </si>
  <si>
    <r>
      <rPr>
        <b/>
        <sz val="10"/>
        <rFont val="宋体-简"/>
        <charset val="134"/>
      </rPr>
      <t>小计</t>
    </r>
    <r>
      <rPr>
        <b/>
        <sz val="10"/>
        <rFont val="Arial"/>
        <charset val="134"/>
      </rPr>
      <t xml:space="preserve"> - </t>
    </r>
    <r>
      <rPr>
        <b/>
        <sz val="10"/>
        <rFont val="宋体-简"/>
        <charset val="134"/>
      </rPr>
      <t>防撞桩</t>
    </r>
  </si>
  <si>
    <t>E.6</t>
  </si>
  <si>
    <t>Scour Protection (PER 005G)</t>
  </si>
  <si>
    <r>
      <rPr>
        <b/>
        <sz val="10"/>
        <rFont val="宋体-简"/>
        <charset val="162"/>
      </rPr>
      <t>冲刷保护（</t>
    </r>
    <r>
      <rPr>
        <b/>
        <sz val="10"/>
        <rFont val="Arial"/>
        <charset val="162"/>
      </rPr>
      <t>PER 005G</t>
    </r>
    <r>
      <rPr>
        <b/>
        <sz val="10"/>
        <rFont val="宋体-简"/>
        <charset val="162"/>
      </rPr>
      <t>）</t>
    </r>
  </si>
  <si>
    <t>E.6.1</t>
  </si>
  <si>
    <t>Scour Protection</t>
  </si>
  <si>
    <t>冲刷保护</t>
  </si>
  <si>
    <t>E.6.1.1</t>
  </si>
  <si>
    <r>
      <rPr>
        <sz val="10"/>
        <rFont val="Arial"/>
        <charset val="134"/>
      </rPr>
      <t>Bagged sand</t>
    </r>
    <r>
      <rPr>
        <sz val="10"/>
        <rFont val="宋体"/>
        <charset val="134"/>
      </rPr>
      <t>（</t>
    </r>
    <r>
      <rPr>
        <sz val="10"/>
        <rFont val="Arial"/>
        <charset val="134"/>
      </rPr>
      <t>Clay content ≤ 5%</t>
    </r>
    <r>
      <rPr>
        <sz val="10"/>
        <rFont val="宋体"/>
        <charset val="134"/>
      </rPr>
      <t>）</t>
    </r>
  </si>
  <si>
    <r>
      <rPr>
        <sz val="10"/>
        <rFont val="宋体-简"/>
        <charset val="134"/>
      </rPr>
      <t>袋装砂料（粘土含量</t>
    </r>
    <r>
      <rPr>
        <sz val="10"/>
        <rFont val="Arial"/>
        <charset val="134"/>
      </rPr>
      <t xml:space="preserve"> ≤ 5%</t>
    </r>
    <r>
      <rPr>
        <sz val="10"/>
        <rFont val="宋体-简"/>
        <charset val="134"/>
      </rPr>
      <t>）</t>
    </r>
  </si>
  <si>
    <t>E.6.1.2</t>
  </si>
  <si>
    <r>
      <rPr>
        <sz val="10"/>
        <rFont val="Arial"/>
        <charset val="134"/>
      </rPr>
      <t>Non-woven geotextile</t>
    </r>
    <r>
      <rPr>
        <sz val="10"/>
        <rFont val="宋体"/>
        <charset val="134"/>
      </rPr>
      <t>（</t>
    </r>
    <r>
      <rPr>
        <sz val="10"/>
        <rFont val="Arial"/>
        <charset val="134"/>
      </rPr>
      <t>Installed in two layers</t>
    </r>
    <r>
      <rPr>
        <sz val="10"/>
        <rFont val="宋体"/>
        <charset val="134"/>
      </rPr>
      <t>）</t>
    </r>
  </si>
  <si>
    <t>无纺土工布（铺设为两层）</t>
  </si>
  <si>
    <t>E.6.1.3</t>
  </si>
  <si>
    <t>Mixed filter layer</t>
  </si>
  <si>
    <t>混合滤层</t>
  </si>
  <si>
    <t>E.6.1.4</t>
  </si>
  <si>
    <t>Crushed stone bedding</t>
  </si>
  <si>
    <t>碎石垫层</t>
  </si>
  <si>
    <t>E.6.1.5</t>
  </si>
  <si>
    <t>Two-inch rock bedding</t>
  </si>
  <si>
    <t>二英寸碎石垫层</t>
  </si>
  <si>
    <t>E.6.1.6</t>
  </si>
  <si>
    <t>Bottom protection rock</t>
  </si>
  <si>
    <t>底部保护石</t>
  </si>
  <si>
    <t>E.6.1.7</t>
  </si>
  <si>
    <r>
      <rPr>
        <sz val="10"/>
        <rFont val="Arial"/>
        <charset val="134"/>
      </rPr>
      <t xml:space="preserve">Revetment rock </t>
    </r>
    <r>
      <rPr>
        <sz val="10"/>
        <rFont val="宋体"/>
        <charset val="134"/>
      </rPr>
      <t>（</t>
    </r>
    <r>
      <rPr>
        <sz val="10"/>
        <rFont val="Arial"/>
        <charset val="134"/>
      </rPr>
      <t>Long side ≥ 40 cm</t>
    </r>
    <r>
      <rPr>
        <sz val="10"/>
        <rFont val="宋体"/>
        <charset val="134"/>
      </rPr>
      <t>）</t>
    </r>
  </si>
  <si>
    <r>
      <rPr>
        <sz val="10"/>
        <rFont val="宋体-简"/>
        <charset val="134"/>
      </rPr>
      <t>护岸石</t>
    </r>
    <r>
      <rPr>
        <sz val="10"/>
        <rFont val="Arial"/>
        <charset val="134"/>
      </rPr>
      <t xml:space="preserve"> </t>
    </r>
    <r>
      <rPr>
        <sz val="10"/>
        <rFont val="宋体-简"/>
        <charset val="134"/>
      </rPr>
      <t>（长边</t>
    </r>
    <r>
      <rPr>
        <sz val="10"/>
        <rFont val="Arial"/>
        <charset val="134"/>
      </rPr>
      <t xml:space="preserve"> ≥ 40 cm</t>
    </r>
    <r>
      <rPr>
        <sz val="10"/>
        <rFont val="宋体-简"/>
        <charset val="134"/>
      </rPr>
      <t>）</t>
    </r>
  </si>
  <si>
    <t>E.6.1.8</t>
  </si>
  <si>
    <r>
      <rPr>
        <sz val="10"/>
        <rFont val="Arial"/>
        <charset val="134"/>
      </rPr>
      <t>Grouted riprap</t>
    </r>
    <r>
      <rPr>
        <sz val="10"/>
        <rFont val="宋体"/>
        <charset val="134"/>
      </rPr>
      <t>（</t>
    </r>
    <r>
      <rPr>
        <sz val="10"/>
        <rFont val="Arial"/>
        <charset val="134"/>
      </rPr>
      <t>10~50 kg; coarse aggregate size ≤ 4 cm</t>
    </r>
    <r>
      <rPr>
        <sz val="10"/>
        <rFont val="宋体"/>
        <charset val="134"/>
      </rPr>
      <t>）</t>
    </r>
  </si>
  <si>
    <r>
      <rPr>
        <sz val="10"/>
        <rFont val="宋体-简"/>
        <charset val="134"/>
      </rPr>
      <t>灌浆卵石护岸（</t>
    </r>
    <r>
      <rPr>
        <sz val="10"/>
        <rFont val="Arial"/>
        <charset val="134"/>
      </rPr>
      <t xml:space="preserve">10~50 kg; </t>
    </r>
    <r>
      <rPr>
        <sz val="10"/>
        <rFont val="宋体-简"/>
        <charset val="134"/>
      </rPr>
      <t>粗骨料粒径</t>
    </r>
    <r>
      <rPr>
        <sz val="10"/>
        <rFont val="Arial"/>
        <charset val="134"/>
      </rPr>
      <t xml:space="preserve"> ≤ 4 cm</t>
    </r>
    <r>
      <rPr>
        <sz val="10"/>
        <rFont val="宋体-简"/>
        <charset val="134"/>
      </rPr>
      <t>）</t>
    </r>
  </si>
  <si>
    <t>E.6.1.9</t>
  </si>
  <si>
    <t>Concrete coping</t>
  </si>
  <si>
    <t>混凝土挡缘</t>
  </si>
  <si>
    <t>E.6.1.10</t>
  </si>
  <si>
    <r>
      <rPr>
        <sz val="10"/>
        <rFont val="Arial"/>
        <charset val="134"/>
      </rPr>
      <t>Geogrid</t>
    </r>
    <r>
      <rPr>
        <sz val="10"/>
        <rFont val="宋体"/>
        <charset val="134"/>
      </rPr>
      <t>（</t>
    </r>
    <r>
      <rPr>
        <sz val="10"/>
        <rFont val="Arial"/>
        <charset val="134"/>
      </rPr>
      <t>Overlap length ≥ 20 cm</t>
    </r>
    <r>
      <rPr>
        <sz val="10"/>
        <rFont val="宋体"/>
        <charset val="134"/>
      </rPr>
      <t>）</t>
    </r>
  </si>
  <si>
    <r>
      <rPr>
        <sz val="10"/>
        <rFont val="宋体-简"/>
        <charset val="134"/>
      </rPr>
      <t>土工格栅（搭接长度</t>
    </r>
    <r>
      <rPr>
        <sz val="10"/>
        <rFont val="Arial"/>
        <charset val="134"/>
      </rPr>
      <t xml:space="preserve"> ≥ 20 cm</t>
    </r>
    <r>
      <rPr>
        <sz val="10"/>
        <rFont val="宋体-简"/>
        <charset val="134"/>
      </rPr>
      <t>）</t>
    </r>
  </si>
  <si>
    <t>SUBTOTAL - Scour Protection</t>
  </si>
  <si>
    <r>
      <rPr>
        <b/>
        <sz val="10"/>
        <rFont val="宋体-简"/>
        <charset val="134"/>
      </rPr>
      <t>小计</t>
    </r>
    <r>
      <rPr>
        <b/>
        <sz val="10"/>
        <rFont val="Arial"/>
        <charset val="134"/>
      </rPr>
      <t xml:space="preserve"> - </t>
    </r>
    <r>
      <rPr>
        <b/>
        <sz val="10"/>
        <rFont val="宋体-简"/>
        <charset val="134"/>
      </rPr>
      <t>冲刷保护</t>
    </r>
  </si>
  <si>
    <t>E.7</t>
  </si>
  <si>
    <t>Quay Linemarking (PER 005J)</t>
  </si>
  <si>
    <r>
      <rPr>
        <b/>
        <sz val="10"/>
        <rFont val="宋体-简"/>
        <charset val="134"/>
      </rPr>
      <t>码头线路标识（</t>
    </r>
    <r>
      <rPr>
        <b/>
        <sz val="10"/>
        <rFont val="Arial"/>
        <charset val="134"/>
      </rPr>
      <t>PER 005J</t>
    </r>
    <r>
      <rPr>
        <b/>
        <sz val="10"/>
        <rFont val="宋体-简"/>
        <charset val="134"/>
      </rPr>
      <t>）</t>
    </r>
  </si>
  <si>
    <t>E.7.1</t>
  </si>
  <si>
    <t>Lane division lines</t>
  </si>
  <si>
    <t>车道分隔线</t>
  </si>
  <si>
    <t>E.7.2</t>
  </si>
  <si>
    <t>Diagonal hatching</t>
  </si>
  <si>
    <t>斜向网格填充</t>
  </si>
  <si>
    <t>E.7.3</t>
  </si>
  <si>
    <t>Typical Painted Traffic Flow Arrows</t>
  </si>
  <si>
    <t>典型交通流向箭头涂装</t>
  </si>
  <si>
    <t>E.7.4</t>
  </si>
  <si>
    <t>Lane numbers</t>
  </si>
  <si>
    <t>车道编号</t>
  </si>
  <si>
    <t>E.7.5</t>
  </si>
  <si>
    <t>Fender numbers</t>
  </si>
  <si>
    <t>护舷编号</t>
  </si>
  <si>
    <t>E.7.6</t>
  </si>
  <si>
    <t>Bollard numbers</t>
  </si>
  <si>
    <t>系缆柱编号</t>
  </si>
  <si>
    <t>E.7.7</t>
  </si>
  <si>
    <t>Module numbers</t>
  </si>
  <si>
    <t>模块编号</t>
  </si>
  <si>
    <t>-</t>
  </si>
  <si>
    <t>E.7.8</t>
  </si>
  <si>
    <t>Chainage markings</t>
  </si>
  <si>
    <t>桩号标志</t>
  </si>
  <si>
    <t>E.7.9</t>
  </si>
  <si>
    <t>Storm Pin Markings</t>
  </si>
  <si>
    <t>风暴锚销标记</t>
  </si>
  <si>
    <t>E.7.10</t>
  </si>
  <si>
    <t>Speed limit Marking</t>
  </si>
  <si>
    <t>限速标志</t>
  </si>
  <si>
    <t>E.7.11</t>
  </si>
  <si>
    <t>Text Marking</t>
  </si>
  <si>
    <t>文字标记</t>
  </si>
  <si>
    <t>E.7.12</t>
  </si>
  <si>
    <t>Vertical Signage</t>
  </si>
  <si>
    <t>竖向标志</t>
  </si>
  <si>
    <t>E.7.12.1</t>
  </si>
  <si>
    <t>Contractor to Specify</t>
  </si>
  <si>
    <t>承包商指定</t>
  </si>
  <si>
    <t>SUBTOTAL - Quay Linemarking</t>
  </si>
  <si>
    <r>
      <rPr>
        <b/>
        <sz val="10"/>
        <rFont val="宋体-简"/>
        <charset val="134"/>
      </rPr>
      <t>小计</t>
    </r>
    <r>
      <rPr>
        <b/>
        <sz val="10"/>
        <rFont val="Arial"/>
        <charset val="134"/>
      </rPr>
      <t xml:space="preserve"> - </t>
    </r>
    <r>
      <rPr>
        <b/>
        <sz val="10"/>
        <rFont val="宋体-简"/>
        <charset val="134"/>
      </rPr>
      <t>码头线路标识</t>
    </r>
  </si>
  <si>
    <t>Expansion Joints for Quay Structure</t>
  </si>
  <si>
    <t>码头结构伸缩缝</t>
  </si>
  <si>
    <t>Concrete barriers on Deck</t>
  </si>
  <si>
    <t>甲板混凝土障碍</t>
  </si>
  <si>
    <t>Cope Edging</t>
  </si>
  <si>
    <t>防撞边缘</t>
  </si>
  <si>
    <t>Crane Rail Spare part</t>
  </si>
  <si>
    <t>起重机轨道备件</t>
  </si>
  <si>
    <t>Cable Trench Cover</t>
  </si>
  <si>
    <t>电缆沟盖板</t>
  </si>
  <si>
    <t>Cable Entry Bell Mouth</t>
  </si>
  <si>
    <t>电缆入口漏斗</t>
  </si>
  <si>
    <t>Cable Drum</t>
  </si>
  <si>
    <t>电缆卷筒</t>
  </si>
  <si>
    <t>Spare (supply only) for Fenders</t>
  </si>
  <si>
    <t>护舷备件（仅供应）</t>
  </si>
  <si>
    <t>Shore Power/Cold Ironing Pit</t>
  </si>
  <si>
    <r>
      <rPr>
        <sz val="10"/>
        <color rgb="FFFF0000"/>
        <rFont val="宋体-简"/>
        <charset val="134"/>
      </rPr>
      <t>岸电</t>
    </r>
    <r>
      <rPr>
        <sz val="10"/>
        <color rgb="FFFF0000"/>
        <rFont val="Arial"/>
        <charset val="134"/>
      </rPr>
      <t>/</t>
    </r>
    <r>
      <rPr>
        <sz val="10"/>
        <color rgb="FFFF0000"/>
        <rFont val="宋体-简"/>
        <charset val="134"/>
      </rPr>
      <t>冷供电井</t>
    </r>
  </si>
  <si>
    <t>Line Marking - Pedestrian walkways and refuge areas</t>
  </si>
  <si>
    <r>
      <rPr>
        <sz val="10"/>
        <color rgb="FFFF0000"/>
        <rFont val="宋体-简"/>
        <charset val="134"/>
      </rPr>
      <t>线路标识</t>
    </r>
    <r>
      <rPr>
        <sz val="10"/>
        <color rgb="FFFF0000"/>
        <rFont val="Arial"/>
        <charset val="134"/>
      </rPr>
      <t xml:space="preserve"> - </t>
    </r>
    <r>
      <rPr>
        <sz val="10"/>
        <color rgb="FFFF0000"/>
        <rFont val="宋体-简"/>
        <charset val="134"/>
      </rPr>
      <t>人行道及避难区</t>
    </r>
  </si>
  <si>
    <t>Line Marking - Service lanes</t>
  </si>
  <si>
    <r>
      <rPr>
        <sz val="10"/>
        <color rgb="FFFF0000"/>
        <rFont val="宋体-简"/>
        <charset val="134"/>
      </rPr>
      <t>线路标识</t>
    </r>
    <r>
      <rPr>
        <sz val="10"/>
        <color rgb="FFFF0000"/>
        <rFont val="Arial"/>
        <charset val="134"/>
      </rPr>
      <t xml:space="preserve"> - </t>
    </r>
    <r>
      <rPr>
        <sz val="10"/>
        <color rgb="FFFF0000"/>
        <rFont val="宋体-简"/>
        <charset val="134"/>
      </rPr>
      <t>维修车道</t>
    </r>
  </si>
  <si>
    <t>Line Marking - Safe parking areas for service vehicles</t>
  </si>
  <si>
    <r>
      <rPr>
        <sz val="10"/>
        <color rgb="FFFF0000"/>
        <rFont val="宋体-简"/>
        <charset val="134"/>
      </rPr>
      <t>线路标识</t>
    </r>
    <r>
      <rPr>
        <sz val="10"/>
        <color rgb="FFFF0000"/>
        <rFont val="Arial"/>
        <charset val="134"/>
      </rPr>
      <t xml:space="preserve"> - </t>
    </r>
    <r>
      <rPr>
        <sz val="10"/>
        <color rgb="FFFF0000"/>
        <rFont val="宋体-简"/>
        <charset val="134"/>
      </rPr>
      <t>维修车辆安全停车区</t>
    </r>
  </si>
  <si>
    <t>Line Marking - STS crane exclusion areas (waterside and landside crane rails)</t>
  </si>
  <si>
    <r>
      <rPr>
        <sz val="10"/>
        <color rgb="FFFF0000"/>
        <rFont val="宋体-简"/>
        <charset val="134"/>
      </rPr>
      <t>线路标识</t>
    </r>
    <r>
      <rPr>
        <sz val="10"/>
        <color rgb="FFFF0000"/>
        <rFont val="Arial"/>
        <charset val="134"/>
      </rPr>
      <t xml:space="preserve"> - STS</t>
    </r>
    <r>
      <rPr>
        <sz val="10"/>
        <color rgb="FFFF0000"/>
        <rFont val="宋体-简"/>
        <charset val="134"/>
      </rPr>
      <t>起重机禁入区（码头侧及陆侧起重机轨道）</t>
    </r>
  </si>
  <si>
    <t>Line Marking - Landside crane rail crossing points</t>
  </si>
  <si>
    <r>
      <rPr>
        <sz val="10"/>
        <color rgb="FFFF0000"/>
        <rFont val="宋体-简"/>
        <charset val="134"/>
      </rPr>
      <t>线路标识</t>
    </r>
    <r>
      <rPr>
        <sz val="10"/>
        <color rgb="FFFF0000"/>
        <rFont val="Arial"/>
        <charset val="134"/>
      </rPr>
      <t xml:space="preserve"> - </t>
    </r>
    <r>
      <rPr>
        <sz val="10"/>
        <color rgb="FFFF0000"/>
        <rFont val="宋体-简"/>
        <charset val="134"/>
      </rPr>
      <t>陆侧起重机轨道交叉点</t>
    </r>
  </si>
  <si>
    <t>Line Marking - Specific dedicated work areas for Stevedores, Lines/Mooring teams</t>
  </si>
  <si>
    <r>
      <rPr>
        <sz val="10"/>
        <color rgb="FFFF0000"/>
        <rFont val="宋体-简"/>
        <charset val="134"/>
      </rPr>
      <t>线路标识</t>
    </r>
    <r>
      <rPr>
        <sz val="10"/>
        <color rgb="FFFF0000"/>
        <rFont val="Arial"/>
        <charset val="134"/>
      </rPr>
      <t xml:space="preserve"> - </t>
    </r>
    <r>
      <rPr>
        <sz val="10"/>
        <color rgb="FFFF0000"/>
        <rFont val="宋体-简"/>
        <charset val="134"/>
      </rPr>
      <t>装卸工及缆绳</t>
    </r>
    <r>
      <rPr>
        <sz val="10"/>
        <color rgb="FFFF0000"/>
        <rFont val="Arial"/>
        <charset val="134"/>
      </rPr>
      <t>/</t>
    </r>
    <r>
      <rPr>
        <sz val="10"/>
        <color rgb="FFFF0000"/>
        <rFont val="宋体-简"/>
        <charset val="134"/>
      </rPr>
      <t>系泊团队专用工作区</t>
    </r>
  </si>
  <si>
    <t>Line Marking - Quayside welfare facilities and operations facilities</t>
  </si>
  <si>
    <r>
      <rPr>
        <sz val="10"/>
        <color rgb="FFFF0000"/>
        <rFont val="宋体-简"/>
        <charset val="134"/>
      </rPr>
      <t>线路标识</t>
    </r>
    <r>
      <rPr>
        <sz val="10"/>
        <color rgb="FFFF0000"/>
        <rFont val="Arial"/>
        <charset val="134"/>
      </rPr>
      <t xml:space="preserve"> - </t>
    </r>
    <r>
      <rPr>
        <sz val="10"/>
        <color rgb="FFFF0000"/>
        <rFont val="宋体-简"/>
        <charset val="134"/>
      </rPr>
      <t>码头福利及作业设施</t>
    </r>
  </si>
  <si>
    <t>Signage-Post/sign height</t>
  </si>
  <si>
    <r>
      <rPr>
        <sz val="10"/>
        <color rgb="FFFF0000"/>
        <rFont val="宋体-简"/>
        <charset val="134"/>
      </rPr>
      <t>标识牌</t>
    </r>
    <r>
      <rPr>
        <sz val="10"/>
        <color rgb="FFFF0000"/>
        <rFont val="Arial"/>
        <charset val="134"/>
      </rPr>
      <t xml:space="preserve"> — </t>
    </r>
    <r>
      <rPr>
        <sz val="10"/>
        <color rgb="FFFF0000"/>
        <rFont val="宋体-简"/>
        <charset val="134"/>
      </rPr>
      <t>支柱</t>
    </r>
    <r>
      <rPr>
        <sz val="10"/>
        <color rgb="FFFF0000"/>
        <rFont val="Arial"/>
        <charset val="134"/>
      </rPr>
      <t>/</t>
    </r>
    <r>
      <rPr>
        <sz val="10"/>
        <color rgb="FFFF0000"/>
        <rFont val="宋体-简"/>
        <charset val="134"/>
      </rPr>
      <t>标识牌高度</t>
    </r>
  </si>
  <si>
    <t>Signage-Whether post and sign plate or gantry and sign board/panel</t>
  </si>
  <si>
    <r>
      <rPr>
        <sz val="10"/>
        <color rgb="FFFF0000"/>
        <rFont val="宋体-简"/>
        <charset val="134"/>
      </rPr>
      <t>标识牌</t>
    </r>
    <r>
      <rPr>
        <sz val="10"/>
        <color rgb="FFFF0000"/>
        <rFont val="Arial"/>
        <charset val="134"/>
      </rPr>
      <t xml:space="preserve"> — </t>
    </r>
    <r>
      <rPr>
        <sz val="10"/>
        <color rgb="FFFF0000"/>
        <rFont val="宋体-简"/>
        <charset val="134"/>
      </rPr>
      <t>支柱与标识牌板，或门架与标识牌板</t>
    </r>
    <r>
      <rPr>
        <sz val="10"/>
        <color rgb="FFFF0000"/>
        <rFont val="Arial"/>
        <charset val="134"/>
      </rPr>
      <t>/</t>
    </r>
    <r>
      <rPr>
        <sz val="10"/>
        <color rgb="FFFF0000"/>
        <rFont val="宋体-简"/>
        <charset val="134"/>
      </rPr>
      <t>面板</t>
    </r>
  </si>
  <si>
    <t>Signage-Weight of the post and/or gantry and attached sign plate(s) or panels</t>
  </si>
  <si>
    <r>
      <rPr>
        <sz val="10"/>
        <color rgb="FFFF0000"/>
        <rFont val="宋体-简"/>
        <charset val="134"/>
      </rPr>
      <t>标识牌</t>
    </r>
    <r>
      <rPr>
        <sz val="10"/>
        <color rgb="FFFF0000"/>
        <rFont val="Arial"/>
        <charset val="134"/>
      </rPr>
      <t xml:space="preserve"> — </t>
    </r>
    <r>
      <rPr>
        <sz val="10"/>
        <color rgb="FFFF0000"/>
        <rFont val="宋体-简"/>
        <charset val="134"/>
      </rPr>
      <t>支柱和</t>
    </r>
    <r>
      <rPr>
        <sz val="10"/>
        <color rgb="FFFF0000"/>
        <rFont val="Arial"/>
        <charset val="134"/>
      </rPr>
      <t>/</t>
    </r>
    <r>
      <rPr>
        <sz val="10"/>
        <color rgb="FFFF0000"/>
        <rFont val="宋体-简"/>
        <charset val="134"/>
      </rPr>
      <t>或门架及附属标识牌板或面板的重量</t>
    </r>
  </si>
  <si>
    <t>Signage-Local wind conditions acting on sign plates or panels</t>
  </si>
  <si>
    <r>
      <rPr>
        <sz val="10"/>
        <color rgb="FFFF0000"/>
        <rFont val="宋体-简"/>
        <charset val="134"/>
      </rPr>
      <t>标识牌</t>
    </r>
    <r>
      <rPr>
        <sz val="10"/>
        <color rgb="FFFF0000"/>
        <rFont val="Arial"/>
        <charset val="134"/>
      </rPr>
      <t xml:space="preserve"> — </t>
    </r>
    <r>
      <rPr>
        <sz val="10"/>
        <color rgb="FFFF0000"/>
        <rFont val="宋体-简"/>
        <charset val="134"/>
      </rPr>
      <t>作用于标识牌板或面板的当地风况</t>
    </r>
  </si>
  <si>
    <t>Signage-Whether the sign post is in a fixed position, or is required to be movable</t>
  </si>
  <si>
    <r>
      <rPr>
        <sz val="10"/>
        <color rgb="FFFF0000"/>
        <rFont val="宋体-简"/>
        <charset val="134"/>
      </rPr>
      <t>标识牌</t>
    </r>
    <r>
      <rPr>
        <sz val="10"/>
        <color rgb="FFFF0000"/>
        <rFont val="Arial"/>
        <charset val="134"/>
      </rPr>
      <t xml:space="preserve"> — </t>
    </r>
    <r>
      <rPr>
        <sz val="10"/>
        <color rgb="FFFF0000"/>
        <rFont val="宋体-简"/>
        <charset val="134"/>
      </rPr>
      <t>标识杆是否固定，或需具备可移动性</t>
    </r>
  </si>
  <si>
    <t>Use of corrosion resistant paint (steel structures only)</t>
  </si>
  <si>
    <t>采用防腐蚀涂料（仅限钢结构）</t>
  </si>
  <si>
    <r>
      <rPr>
        <sz val="10"/>
        <color rgb="FFFF0000"/>
        <rFont val="Arial"/>
        <charset val="134"/>
      </rPr>
      <t>m</t>
    </r>
    <r>
      <rPr>
        <vertAlign val="superscript"/>
        <sz val="10"/>
        <color rgb="FFFF0000"/>
        <rFont val="Arial"/>
        <charset val="134"/>
      </rPr>
      <t>2</t>
    </r>
  </si>
  <si>
    <t>Sacrificial galvanic anode, cathodic protection systems, which employ buried or
immersed metallic anodes (both steel and reinforced concrete structures)</t>
  </si>
  <si>
    <t>牺牲阳极阴极保护系统，采用地下或浸没的金属阳极（适用于钢结构及钢筋混凝土结构）</t>
  </si>
  <si>
    <t>Impressed current, cathodic protection systems, which employ an external
electrical power source of direct current for the protection of the structure (both
steel and reinforced concrete structures)</t>
  </si>
  <si>
    <t>外加电流阴极保护系统，利用外部直流电源保护结构体（适用于钢结构及钢筋混凝土结构）</t>
  </si>
  <si>
    <t>RTG Storm Tie Down</t>
  </si>
  <si>
    <r>
      <rPr>
        <sz val="10"/>
        <color rgb="FFFF0000"/>
        <rFont val="Arial"/>
        <charset val="134"/>
      </rPr>
      <t>RTG</t>
    </r>
    <r>
      <rPr>
        <sz val="10"/>
        <color rgb="FFFF0000"/>
        <rFont val="宋体-简"/>
        <charset val="134"/>
      </rPr>
      <t>风暴固定装置</t>
    </r>
  </si>
  <si>
    <t>- 10 mm. Isolation Joint</t>
  </si>
  <si>
    <r>
      <rPr>
        <sz val="10"/>
        <color rgb="FFFF0000"/>
        <rFont val="Arial"/>
        <charset val="134"/>
      </rPr>
      <t>— 10</t>
    </r>
    <r>
      <rPr>
        <sz val="10"/>
        <color rgb="FFFF0000"/>
        <rFont val="宋体"/>
        <charset val="134"/>
      </rPr>
      <t>毫米隔离缝</t>
    </r>
  </si>
  <si>
    <t>- Checker Plate or similar Non slip Finished</t>
  </si>
  <si>
    <r>
      <rPr>
        <sz val="10"/>
        <color rgb="FFFF0000"/>
        <rFont val="Arial"/>
        <charset val="134"/>
      </rPr>
      <t xml:space="preserve">— </t>
    </r>
    <r>
      <rPr>
        <sz val="10"/>
        <color rgb="FFFF0000"/>
        <rFont val="宋体"/>
        <charset val="134"/>
      </rPr>
      <t>防滑花纹板或类似防滑饰面</t>
    </r>
  </si>
  <si>
    <r>
      <rPr>
        <sz val="10"/>
        <color rgb="FFFF0000"/>
        <rFont val="Arial"/>
        <charset val="134"/>
      </rPr>
      <t>— 50</t>
    </r>
    <r>
      <rPr>
        <sz val="10"/>
        <color rgb="FFFF0000"/>
        <rFont val="宋体-简"/>
        <charset val="134"/>
      </rPr>
      <t>平方毫米排水管</t>
    </r>
  </si>
  <si>
    <t>- Indicative Blanket</t>
  </si>
  <si>
    <r>
      <rPr>
        <sz val="10"/>
        <color rgb="FFFF0000"/>
        <rFont val="Arial"/>
        <charset val="134"/>
      </rPr>
      <t xml:space="preserve">— </t>
    </r>
    <r>
      <rPr>
        <sz val="10"/>
        <color rgb="FFFF0000"/>
        <rFont val="宋体"/>
        <charset val="134"/>
      </rPr>
      <t>指示性保护层</t>
    </r>
  </si>
  <si>
    <t>- Anchor Bolt</t>
  </si>
  <si>
    <r>
      <rPr>
        <sz val="10"/>
        <color rgb="FFFF0000"/>
        <rFont val="Arial"/>
        <charset val="134"/>
      </rPr>
      <t xml:space="preserve">— </t>
    </r>
    <r>
      <rPr>
        <sz val="10"/>
        <color rgb="FFFF0000"/>
        <rFont val="宋体"/>
        <charset val="134"/>
      </rPr>
      <t>锚栓</t>
    </r>
  </si>
  <si>
    <t>CLASS F</t>
  </si>
  <si>
    <t>YARD CIVIL &amp; STRUCTURAL (PER 006)</t>
  </si>
  <si>
    <t>场地土建与结构工程（编号006）</t>
  </si>
  <si>
    <t>F.1</t>
  </si>
  <si>
    <t>Pavements (PER 006A)</t>
  </si>
  <si>
    <r>
      <rPr>
        <b/>
        <sz val="10"/>
        <rFont val="宋体-简"/>
        <charset val="162"/>
      </rPr>
      <t>路面工程（编号</t>
    </r>
    <r>
      <rPr>
        <b/>
        <sz val="10"/>
        <rFont val="Arial"/>
        <charset val="162"/>
      </rPr>
      <t>006A</t>
    </r>
    <r>
      <rPr>
        <b/>
        <sz val="10"/>
        <rFont val="宋体-简"/>
        <charset val="162"/>
      </rPr>
      <t>）</t>
    </r>
  </si>
  <si>
    <t>F.1.1</t>
  </si>
  <si>
    <t>Pavement type 1 - RTG Runway</t>
  </si>
  <si>
    <r>
      <rPr>
        <sz val="10"/>
        <rFont val="宋体-简"/>
        <charset val="134"/>
      </rPr>
      <t>路面类型</t>
    </r>
    <r>
      <rPr>
        <sz val="10"/>
        <rFont val="Arial"/>
        <charset val="134"/>
      </rPr>
      <t>1 - RTG</t>
    </r>
    <r>
      <rPr>
        <sz val="10"/>
        <rFont val="宋体-简"/>
        <charset val="134"/>
      </rPr>
      <t>滑道</t>
    </r>
  </si>
  <si>
    <t>Base min.0.15m. Thickness</t>
  </si>
  <si>
    <t>基层最小厚度0.15米</t>
  </si>
  <si>
    <r>
      <rPr>
        <sz val="10"/>
        <color rgb="FFFF0000"/>
        <rFont val="Arial"/>
        <charset val="134"/>
      </rPr>
      <t>m</t>
    </r>
    <r>
      <rPr>
        <vertAlign val="superscript"/>
        <sz val="10"/>
        <color rgb="FFFF0000"/>
        <rFont val="Arial"/>
        <charset val="134"/>
      </rPr>
      <t>3</t>
    </r>
  </si>
  <si>
    <t>Vapour Barrier</t>
  </si>
  <si>
    <t>防汽层</t>
  </si>
  <si>
    <t>Reinforced concrete size 2.00m.(width)x0.40m.(thickness)</t>
  </si>
  <si>
    <t>钢筋混凝土尺寸2.00米（宽）x0.40米（厚）</t>
  </si>
  <si>
    <t>Concrete C35/40</t>
  </si>
  <si>
    <r>
      <rPr>
        <sz val="10"/>
        <color rgb="FFFF0000"/>
        <rFont val="宋体-简"/>
        <charset val="134"/>
      </rPr>
      <t>混凝土</t>
    </r>
    <r>
      <rPr>
        <sz val="10"/>
        <color rgb="FFFF0000"/>
        <rFont val="Arial"/>
        <charset val="134"/>
      </rPr>
      <t>C35/40</t>
    </r>
  </si>
  <si>
    <t>Formwork</t>
  </si>
  <si>
    <t>模板工程</t>
  </si>
  <si>
    <t>Reinforcement work</t>
  </si>
  <si>
    <t>钢筋工程</t>
  </si>
  <si>
    <t>F.1.2</t>
  </si>
  <si>
    <t>Pavement type 2 - Container Yard  Block Pavement</t>
  </si>
  <si>
    <r>
      <rPr>
        <sz val="10"/>
        <rFont val="宋体-简"/>
        <charset val="134"/>
      </rPr>
      <t>路面类型</t>
    </r>
    <r>
      <rPr>
        <sz val="10"/>
        <rFont val="Arial"/>
        <charset val="134"/>
      </rPr>
      <t xml:space="preserve">2 - </t>
    </r>
    <r>
      <rPr>
        <sz val="10"/>
        <rFont val="宋体-简"/>
        <charset val="134"/>
      </rPr>
      <t>集装箱堆场</t>
    </r>
    <r>
      <rPr>
        <sz val="10"/>
        <rFont val="Arial"/>
        <charset val="134"/>
      </rPr>
      <t xml:space="preserve"> </t>
    </r>
    <r>
      <rPr>
        <sz val="10"/>
        <rFont val="宋体-简"/>
        <charset val="134"/>
      </rPr>
      <t>砌块路面</t>
    </r>
  </si>
  <si>
    <t>Subbase min.0.15m. Thickness</t>
  </si>
  <si>
    <t>底基层最小厚度0.15米</t>
  </si>
  <si>
    <t>Lean Mix Concrete</t>
  </si>
  <si>
    <t>干硬性混凝土</t>
  </si>
  <si>
    <t>Sand 0.03m. Thickness</t>
  </si>
  <si>
    <r>
      <rPr>
        <sz val="10"/>
        <color rgb="FFFF0000"/>
        <rFont val="宋体-简"/>
        <charset val="134"/>
      </rPr>
      <t>砂层厚度</t>
    </r>
    <r>
      <rPr>
        <sz val="10"/>
        <color rgb="FFFF0000"/>
        <rFont val="Arial"/>
        <charset val="134"/>
      </rPr>
      <t>0.03</t>
    </r>
    <r>
      <rPr>
        <sz val="10"/>
        <color rgb="FFFF0000"/>
        <rFont val="宋体-简"/>
        <charset val="134"/>
      </rPr>
      <t>米</t>
    </r>
  </si>
  <si>
    <t>Concrete Block Pavers</t>
  </si>
  <si>
    <t>混凝土砌块铺装</t>
  </si>
  <si>
    <t>F.1.3</t>
  </si>
  <si>
    <t>Pavement type 3 - Container Yard Concrete slab</t>
  </si>
  <si>
    <r>
      <rPr>
        <sz val="10"/>
        <rFont val="宋体-简"/>
        <charset val="134"/>
      </rPr>
      <t>路面类型</t>
    </r>
    <r>
      <rPr>
        <sz val="10"/>
        <rFont val="Arial"/>
        <charset val="134"/>
      </rPr>
      <t xml:space="preserve">3 - </t>
    </r>
    <r>
      <rPr>
        <sz val="10"/>
        <rFont val="宋体-简"/>
        <charset val="134"/>
      </rPr>
      <t>集装箱堆场混凝土板</t>
    </r>
  </si>
  <si>
    <t>Reinforced concrete 0.330m. (thickness)</t>
  </si>
  <si>
    <t>钢筋混凝土0.330米（厚度）</t>
  </si>
  <si>
    <t>F.1.4</t>
  </si>
  <si>
    <t>Pavement type 4 - Gate Complex Block Pavement</t>
  </si>
  <si>
    <r>
      <rPr>
        <sz val="10"/>
        <rFont val="宋体-简"/>
        <charset val="134"/>
      </rPr>
      <t>路面类型</t>
    </r>
    <r>
      <rPr>
        <sz val="10"/>
        <rFont val="Arial"/>
        <charset val="134"/>
      </rPr>
      <t xml:space="preserve">4 - </t>
    </r>
    <r>
      <rPr>
        <sz val="10"/>
        <rFont val="宋体-简"/>
        <charset val="134"/>
      </rPr>
      <t>门区综合体块体铺装</t>
    </r>
  </si>
  <si>
    <t>F.1.5</t>
  </si>
  <si>
    <t>Pavement type 4 - Gate Complex Concrete slab</t>
  </si>
  <si>
    <t>路面类型4 - 门区综合体混凝土板</t>
  </si>
  <si>
    <t>F.1.6</t>
  </si>
  <si>
    <t>Concrete repairs for existing pavement</t>
  </si>
  <si>
    <t>现有路面混凝土修复</t>
  </si>
  <si>
    <t>Reinforced concrete</t>
  </si>
  <si>
    <t>钢筋混凝土</t>
  </si>
  <si>
    <t>Concrete Cxx</t>
  </si>
  <si>
    <r>
      <rPr>
        <sz val="10"/>
        <color rgb="FFFF0000"/>
        <rFont val="宋体-简"/>
        <charset val="134"/>
      </rPr>
      <t>混凝土</t>
    </r>
    <r>
      <rPr>
        <sz val="10"/>
        <color rgb="FFFF0000"/>
        <rFont val="Arial"/>
        <charset val="134"/>
      </rPr>
      <t>Cxx</t>
    </r>
  </si>
  <si>
    <t>F.1.7</t>
  </si>
  <si>
    <t>Pedestrian Block Paving</t>
  </si>
  <si>
    <t>人行道块体铺装</t>
  </si>
  <si>
    <t>- Excavation</t>
  </si>
  <si>
    <r>
      <rPr>
        <sz val="10"/>
        <color rgb="FFFF0000"/>
        <rFont val="Arial"/>
        <charset val="134"/>
      </rPr>
      <t xml:space="preserve">- </t>
    </r>
    <r>
      <rPr>
        <sz val="10"/>
        <color rgb="FFFF0000"/>
        <rFont val="宋体"/>
        <charset val="134"/>
      </rPr>
      <t>挖土</t>
    </r>
  </si>
  <si>
    <t>- Backfill</t>
  </si>
  <si>
    <t>- Disposal</t>
  </si>
  <si>
    <r>
      <rPr>
        <sz val="10"/>
        <color rgb="FFFF0000"/>
        <rFont val="Arial"/>
        <charset val="134"/>
      </rPr>
      <t xml:space="preserve">- </t>
    </r>
    <r>
      <rPr>
        <sz val="10"/>
        <color rgb="FFFF0000"/>
        <rFont val="宋体"/>
        <charset val="134"/>
      </rPr>
      <t>清理处置</t>
    </r>
  </si>
  <si>
    <t>- Coarse Sand Bedding</t>
  </si>
  <si>
    <r>
      <rPr>
        <sz val="10"/>
        <color rgb="FFFF0000"/>
        <rFont val="Arial"/>
        <charset val="134"/>
      </rPr>
      <t xml:space="preserve">- </t>
    </r>
    <r>
      <rPr>
        <sz val="10"/>
        <color rgb="FFFF0000"/>
        <rFont val="宋体"/>
        <charset val="134"/>
      </rPr>
      <t>粗砂垫层</t>
    </r>
  </si>
  <si>
    <t>- Lean Concrete</t>
  </si>
  <si>
    <r>
      <rPr>
        <sz val="10"/>
        <color rgb="FFFF0000"/>
        <rFont val="Arial"/>
        <charset val="134"/>
      </rPr>
      <t xml:space="preserve">- </t>
    </r>
    <r>
      <rPr>
        <sz val="10"/>
        <color rgb="FFFF0000"/>
        <rFont val="宋体"/>
        <charset val="134"/>
      </rPr>
      <t>低强度混凝土</t>
    </r>
  </si>
  <si>
    <t>- Concrete C35/40</t>
  </si>
  <si>
    <r>
      <rPr>
        <sz val="10"/>
        <color rgb="FFFF0000"/>
        <rFont val="Arial"/>
        <charset val="134"/>
      </rPr>
      <t xml:space="preserve">- </t>
    </r>
    <r>
      <rPr>
        <sz val="10"/>
        <color rgb="FFFF0000"/>
        <rFont val="宋体"/>
        <charset val="134"/>
      </rPr>
      <t>混凝土</t>
    </r>
    <r>
      <rPr>
        <sz val="10"/>
        <color rgb="FFFF0000"/>
        <rFont val="Arial"/>
        <charset val="134"/>
      </rPr>
      <t>C35/40</t>
    </r>
  </si>
  <si>
    <t>- Concrete Block Paving</t>
  </si>
  <si>
    <r>
      <rPr>
        <sz val="10"/>
        <color rgb="FFFF0000"/>
        <rFont val="Arial"/>
        <charset val="134"/>
      </rPr>
      <t xml:space="preserve">- </t>
    </r>
    <r>
      <rPr>
        <sz val="10"/>
        <color rgb="FFFF0000"/>
        <rFont val="宋体"/>
        <charset val="134"/>
      </rPr>
      <t>混凝土砌块铺装</t>
    </r>
  </si>
  <si>
    <t>- Ø20 Drainage pipe with Geotextile wrapped over ends placed in each Expansion joint</t>
  </si>
  <si>
    <r>
      <rPr>
        <sz val="10"/>
        <color rgb="FFFF0000"/>
        <rFont val="Arial"/>
        <charset val="134"/>
      </rPr>
      <t>- Ø</t>
    </r>
    <r>
      <rPr>
        <sz val="10"/>
        <color rgb="FFFF0000"/>
        <rFont val="宋体"/>
        <charset val="134"/>
      </rPr>
      <t>在每个伸缩缝内放置包裹两端土工布的</t>
    </r>
    <r>
      <rPr>
        <sz val="10"/>
        <color rgb="FFFF0000"/>
        <rFont val="Arial"/>
        <charset val="134"/>
      </rPr>
      <t>20</t>
    </r>
    <r>
      <rPr>
        <sz val="10"/>
        <color rgb="FFFF0000"/>
        <rFont val="宋体"/>
        <charset val="134"/>
      </rPr>
      <t>排水管</t>
    </r>
  </si>
  <si>
    <t>set</t>
  </si>
  <si>
    <t>F.1.8</t>
  </si>
  <si>
    <t>Kerb / Kerb and Channel</t>
  </si>
  <si>
    <r>
      <rPr>
        <sz val="10"/>
        <rFont val="宋体-简"/>
        <charset val="134"/>
      </rPr>
      <t>路缘石</t>
    </r>
    <r>
      <rPr>
        <sz val="10"/>
        <rFont val="Arial"/>
        <charset val="134"/>
      </rPr>
      <t xml:space="preserve"> / </t>
    </r>
    <r>
      <rPr>
        <sz val="10"/>
        <rFont val="宋体-简"/>
        <charset val="134"/>
      </rPr>
      <t>路缘石及排水沟</t>
    </r>
  </si>
  <si>
    <t>- Concrete</t>
  </si>
  <si>
    <r>
      <rPr>
        <sz val="10"/>
        <color rgb="FFFF0000"/>
        <rFont val="Arial"/>
        <charset val="134"/>
      </rPr>
      <t xml:space="preserve">— </t>
    </r>
    <r>
      <rPr>
        <sz val="10"/>
        <color rgb="FFFF0000"/>
        <rFont val="宋体"/>
        <charset val="134"/>
      </rPr>
      <t>混凝土</t>
    </r>
  </si>
  <si>
    <t>F.1.9</t>
  </si>
  <si>
    <t>Edge Restraints</t>
  </si>
  <si>
    <t>边缘限制</t>
  </si>
  <si>
    <t>F.1.9.1</t>
  </si>
  <si>
    <t>External Pavement Edge Restraint</t>
  </si>
  <si>
    <t>外部路面边缘限制</t>
  </si>
  <si>
    <t>F.1.9.2</t>
  </si>
  <si>
    <t>Internal Pavement Edge Restraint</t>
  </si>
  <si>
    <t>内部路面边缘限制</t>
  </si>
  <si>
    <t>SUBTOTAL - Pavement</t>
  </si>
  <si>
    <r>
      <rPr>
        <b/>
        <sz val="10"/>
        <rFont val="宋体-简"/>
        <charset val="134"/>
      </rPr>
      <t>小计</t>
    </r>
    <r>
      <rPr>
        <b/>
        <sz val="10"/>
        <rFont val="Arial"/>
        <charset val="134"/>
      </rPr>
      <t xml:space="preserve"> - </t>
    </r>
    <r>
      <rPr>
        <b/>
        <sz val="10"/>
        <rFont val="宋体-简"/>
        <charset val="134"/>
      </rPr>
      <t>路面</t>
    </r>
  </si>
  <si>
    <t>F.2</t>
  </si>
  <si>
    <t>Storm Water Drainage system (PER 006B)</t>
  </si>
  <si>
    <r>
      <rPr>
        <b/>
        <sz val="10"/>
        <rFont val="宋体-简"/>
        <charset val="162"/>
      </rPr>
      <t>雨水排水系统（</t>
    </r>
    <r>
      <rPr>
        <b/>
        <sz val="10"/>
        <rFont val="Arial"/>
        <charset val="162"/>
      </rPr>
      <t>PER 006B</t>
    </r>
    <r>
      <rPr>
        <b/>
        <sz val="10"/>
        <rFont val="宋体-简"/>
        <charset val="162"/>
      </rPr>
      <t>）</t>
    </r>
  </si>
  <si>
    <t>F.2.1</t>
  </si>
  <si>
    <t>Galvanized steel grooved drainage ditch, DN600</t>
  </si>
  <si>
    <r>
      <rPr>
        <sz val="10"/>
        <rFont val="宋体-简"/>
        <charset val="134"/>
      </rPr>
      <t>镀锌钢制带槽排水沟，</t>
    </r>
    <r>
      <rPr>
        <sz val="10"/>
        <rFont val="Arial"/>
        <charset val="134"/>
      </rPr>
      <t>DN600</t>
    </r>
  </si>
  <si>
    <t>F.2.2</t>
  </si>
  <si>
    <t>Stormwater pipes</t>
  </si>
  <si>
    <t>雨水管</t>
  </si>
  <si>
    <t>F.2.2.1</t>
  </si>
  <si>
    <t>HDPE drainage pipe DN400, ring stiffness ≥12.5 kN/m²</t>
  </si>
  <si>
    <r>
      <rPr>
        <sz val="10"/>
        <rFont val="Arial"/>
        <charset val="134"/>
      </rPr>
      <t>HDPE</t>
    </r>
    <r>
      <rPr>
        <sz val="10"/>
        <rFont val="宋体-简"/>
        <charset val="134"/>
      </rPr>
      <t>排水管</t>
    </r>
    <r>
      <rPr>
        <sz val="10"/>
        <rFont val="Arial"/>
        <charset val="134"/>
      </rPr>
      <t xml:space="preserve"> DN400</t>
    </r>
    <r>
      <rPr>
        <sz val="10"/>
        <rFont val="宋体-简"/>
        <charset val="134"/>
      </rPr>
      <t>，环刚度</t>
    </r>
    <r>
      <rPr>
        <sz val="10"/>
        <rFont val="Arial"/>
        <charset val="134"/>
      </rPr>
      <t>≥12.5 kN/m²</t>
    </r>
  </si>
  <si>
    <t>F.2.2.2</t>
  </si>
  <si>
    <t>HDPE drainage pipe DN600, ring stiffness ≥12.5 kN/m²</t>
  </si>
  <si>
    <r>
      <rPr>
        <sz val="10"/>
        <rFont val="Arial"/>
        <charset val="134"/>
      </rPr>
      <t>HDPE</t>
    </r>
    <r>
      <rPr>
        <sz val="10"/>
        <rFont val="宋体-简"/>
        <charset val="134"/>
      </rPr>
      <t>排水管</t>
    </r>
    <r>
      <rPr>
        <sz val="10"/>
        <rFont val="Arial"/>
        <charset val="134"/>
      </rPr>
      <t xml:space="preserve"> DN600</t>
    </r>
    <r>
      <rPr>
        <sz val="10"/>
        <rFont val="宋体-简"/>
        <charset val="134"/>
      </rPr>
      <t>，环刚度</t>
    </r>
    <r>
      <rPr>
        <sz val="10"/>
        <rFont val="Arial"/>
        <charset val="134"/>
      </rPr>
      <t>≥12.5 kN/m²</t>
    </r>
  </si>
  <si>
    <t>F.2.2.3</t>
  </si>
  <si>
    <t>HDPE drainage pipe DN800, ring stiffness ≥12.5 kN/m²</t>
  </si>
  <si>
    <r>
      <rPr>
        <sz val="10"/>
        <rFont val="Arial"/>
        <charset val="134"/>
      </rPr>
      <t>HDPE</t>
    </r>
    <r>
      <rPr>
        <sz val="10"/>
        <rFont val="宋体-简"/>
        <charset val="134"/>
      </rPr>
      <t>排水管</t>
    </r>
    <r>
      <rPr>
        <sz val="10"/>
        <rFont val="Arial"/>
        <charset val="134"/>
      </rPr>
      <t xml:space="preserve"> DN800</t>
    </r>
    <r>
      <rPr>
        <sz val="10"/>
        <rFont val="宋体-简"/>
        <charset val="134"/>
      </rPr>
      <t>，环刚度</t>
    </r>
    <r>
      <rPr>
        <sz val="10"/>
        <rFont val="Arial"/>
        <charset val="134"/>
      </rPr>
      <t>≥12.5 kN/m²</t>
    </r>
  </si>
  <si>
    <t>F.2.2.4</t>
  </si>
  <si>
    <t>HDPE drainage pipe DN900, ring stiffness ≥12.5 kN/m²</t>
  </si>
  <si>
    <r>
      <rPr>
        <sz val="10"/>
        <rFont val="Arial"/>
        <charset val="134"/>
      </rPr>
      <t>HDPE</t>
    </r>
    <r>
      <rPr>
        <sz val="10"/>
        <rFont val="宋体-简"/>
        <charset val="134"/>
      </rPr>
      <t>排水管</t>
    </r>
    <r>
      <rPr>
        <sz val="10"/>
        <rFont val="Arial"/>
        <charset val="134"/>
      </rPr>
      <t xml:space="preserve"> DN900</t>
    </r>
    <r>
      <rPr>
        <sz val="10"/>
        <rFont val="宋体-简"/>
        <charset val="134"/>
      </rPr>
      <t>，环刚度</t>
    </r>
    <r>
      <rPr>
        <sz val="10"/>
        <rFont val="Arial"/>
        <charset val="134"/>
      </rPr>
      <t>≥12.5 kN/m²</t>
    </r>
  </si>
  <si>
    <t>F.2.2.5</t>
  </si>
  <si>
    <t>HDPE drainage pipe DN1000, ring stiffness ≥12.5 kN/m²</t>
  </si>
  <si>
    <r>
      <rPr>
        <sz val="10"/>
        <rFont val="Arial"/>
        <charset val="134"/>
      </rPr>
      <t>HDPE</t>
    </r>
    <r>
      <rPr>
        <sz val="10"/>
        <rFont val="宋体-简"/>
        <charset val="134"/>
      </rPr>
      <t>排水管</t>
    </r>
    <r>
      <rPr>
        <sz val="10"/>
        <rFont val="Arial"/>
        <charset val="134"/>
      </rPr>
      <t xml:space="preserve"> DN1000</t>
    </r>
    <r>
      <rPr>
        <sz val="10"/>
        <rFont val="宋体-简"/>
        <charset val="134"/>
      </rPr>
      <t>，环刚度</t>
    </r>
    <r>
      <rPr>
        <sz val="10"/>
        <rFont val="Arial"/>
        <charset val="134"/>
      </rPr>
      <t>≥12.5 kN/m²</t>
    </r>
  </si>
  <si>
    <t>F.2.2.6</t>
  </si>
  <si>
    <t>HDPE drainage pipe DN1100, ring stiffness ≥12.5 kN/m²</t>
  </si>
  <si>
    <r>
      <rPr>
        <sz val="10"/>
        <rFont val="Arial"/>
        <charset val="134"/>
      </rPr>
      <t>HDPE</t>
    </r>
    <r>
      <rPr>
        <sz val="10"/>
        <rFont val="宋体-简"/>
        <charset val="134"/>
      </rPr>
      <t>排水管</t>
    </r>
    <r>
      <rPr>
        <sz val="10"/>
        <rFont val="Arial"/>
        <charset val="134"/>
      </rPr>
      <t xml:space="preserve"> DN1100</t>
    </r>
    <r>
      <rPr>
        <sz val="10"/>
        <rFont val="宋体-简"/>
        <charset val="134"/>
      </rPr>
      <t>，环刚度</t>
    </r>
    <r>
      <rPr>
        <sz val="10"/>
        <rFont val="Arial"/>
        <charset val="134"/>
      </rPr>
      <t>≥12.5 kN/m²</t>
    </r>
  </si>
  <si>
    <t>F.2.3</t>
  </si>
  <si>
    <t>Manhole</t>
  </si>
  <si>
    <t>检查井</t>
  </si>
  <si>
    <r>
      <rPr>
        <sz val="10"/>
        <rFont val="Arial"/>
        <charset val="134"/>
      </rPr>
      <t>Manhole</t>
    </r>
    <r>
      <rPr>
        <sz val="10"/>
        <rFont val="宋体"/>
        <charset val="134"/>
      </rPr>
      <t>（</t>
    </r>
    <r>
      <rPr>
        <sz val="10"/>
        <rFont val="Arial"/>
        <charset val="134"/>
      </rPr>
      <t>2.0m*1.5m*1.9m</t>
    </r>
    <r>
      <rPr>
        <sz val="10"/>
        <rFont val="宋体"/>
        <charset val="134"/>
      </rPr>
      <t>）</t>
    </r>
  </si>
  <si>
    <r>
      <rPr>
        <sz val="10"/>
        <rFont val="宋体-简"/>
        <charset val="134"/>
      </rPr>
      <t>检查井（</t>
    </r>
    <r>
      <rPr>
        <sz val="10"/>
        <rFont val="Arial"/>
        <charset val="134"/>
      </rPr>
      <t>2.0</t>
    </r>
    <r>
      <rPr>
        <sz val="10"/>
        <rFont val="宋体-简"/>
        <charset val="134"/>
      </rPr>
      <t>米</t>
    </r>
    <r>
      <rPr>
        <sz val="10"/>
        <rFont val="Arial"/>
        <charset val="134"/>
      </rPr>
      <t>*1.5</t>
    </r>
    <r>
      <rPr>
        <sz val="10"/>
        <rFont val="宋体-简"/>
        <charset val="134"/>
      </rPr>
      <t>米</t>
    </r>
    <r>
      <rPr>
        <sz val="10"/>
        <rFont val="Arial"/>
        <charset val="134"/>
      </rPr>
      <t>*1.9</t>
    </r>
    <r>
      <rPr>
        <sz val="10"/>
        <rFont val="宋体-简"/>
        <charset val="134"/>
      </rPr>
      <t>米）</t>
    </r>
  </si>
  <si>
    <t>Mechanical earth excavation</t>
  </si>
  <si>
    <t>机械开挖</t>
  </si>
  <si>
    <t>Earthwork backfilling</t>
  </si>
  <si>
    <t>土方回填</t>
  </si>
  <si>
    <t>Excess soil spoil &amp; haul away</t>
  </si>
  <si>
    <t>多余土方弃土及运输</t>
  </si>
  <si>
    <t>Cast-in-situ concrete blinding/bedding layer</t>
  </si>
  <si>
    <t>现浇混凝土垫层</t>
  </si>
  <si>
    <t>Concrete bedding formwork</t>
  </si>
  <si>
    <t>混凝土垫层模板</t>
  </si>
  <si>
    <t>Concrete structure works</t>
  </si>
  <si>
    <t>混凝土结构工程</t>
  </si>
  <si>
    <t>Structural formwork</t>
  </si>
  <si>
    <t>结构模板</t>
  </si>
  <si>
    <t>Reinforcement / Rebar</t>
  </si>
  <si>
    <t>钢筋</t>
  </si>
  <si>
    <t>Manhole cover</t>
  </si>
  <si>
    <t>人孔盖</t>
  </si>
  <si>
    <t>个</t>
  </si>
  <si>
    <t>Pre-embedded steel inserts / Embedded iron fittings</t>
  </si>
  <si>
    <r>
      <rPr>
        <sz val="10"/>
        <color rgb="FFFF0000"/>
        <rFont val="宋体-简"/>
        <charset val="134"/>
      </rPr>
      <t>预埋钢件</t>
    </r>
    <r>
      <rPr>
        <sz val="10"/>
        <color rgb="FFFF0000"/>
        <rFont val="Arial"/>
        <charset val="134"/>
      </rPr>
      <t xml:space="preserve"> / </t>
    </r>
    <r>
      <rPr>
        <sz val="10"/>
        <color rgb="FFFF0000"/>
        <rFont val="宋体-简"/>
        <charset val="134"/>
      </rPr>
      <t>预埋铁件</t>
    </r>
  </si>
  <si>
    <t>Cover slab / Deck slab</t>
  </si>
  <si>
    <r>
      <rPr>
        <sz val="10"/>
        <color rgb="FFFF0000"/>
        <rFont val="宋体-简"/>
        <charset val="134"/>
      </rPr>
      <t>盖板</t>
    </r>
    <r>
      <rPr>
        <sz val="10"/>
        <color rgb="FFFF0000"/>
        <rFont val="Arial"/>
        <charset val="134"/>
      </rPr>
      <t xml:space="preserve"> / </t>
    </r>
    <r>
      <rPr>
        <sz val="10"/>
        <color rgb="FFFF0000"/>
        <rFont val="宋体-简"/>
        <charset val="134"/>
      </rPr>
      <t>楼板</t>
    </r>
  </si>
  <si>
    <t>Steel-reinforced concrete drainage inspection well: 1400x1200x3000</t>
  </si>
  <si>
    <r>
      <rPr>
        <sz val="10"/>
        <rFont val="宋体-简"/>
        <charset val="134"/>
      </rPr>
      <t>钢筋混凝土排水检查井：</t>
    </r>
    <r>
      <rPr>
        <sz val="10"/>
        <rFont val="Arial"/>
        <charset val="134"/>
      </rPr>
      <t>1400x1200x3000</t>
    </r>
  </si>
  <si>
    <t>Steel-reinforced concrete drainage inspection well: 1800x1600x3000</t>
  </si>
  <si>
    <r>
      <rPr>
        <sz val="10"/>
        <rFont val="宋体-简"/>
        <charset val="134"/>
      </rPr>
      <t>钢筋混凝土排水检查井：</t>
    </r>
    <r>
      <rPr>
        <sz val="10"/>
        <rFont val="Arial"/>
        <charset val="134"/>
      </rPr>
      <t>1800x1600x3000</t>
    </r>
  </si>
  <si>
    <t>F.2.4</t>
  </si>
  <si>
    <t>Grilled drainage and collection opening: 700 mm x 400 mm x 1000 mm</t>
  </si>
  <si>
    <r>
      <rPr>
        <sz val="10"/>
        <rFont val="宋体-简"/>
        <charset val="134"/>
      </rPr>
      <t>格栅式排水及集水口：</t>
    </r>
    <r>
      <rPr>
        <sz val="10"/>
        <rFont val="Arial"/>
        <charset val="134"/>
      </rPr>
      <t>700 mm x 400 mm x 1000 mm</t>
    </r>
  </si>
  <si>
    <t>F.2.5</t>
  </si>
  <si>
    <t>Drainage control pit (including shut-off valves and fittings)</t>
  </si>
  <si>
    <t>排水控制井（含截止阀及附件）</t>
  </si>
  <si>
    <t>F.2.5.1</t>
  </si>
  <si>
    <t>Hand-operated cast iron gate DN1100</t>
  </si>
  <si>
    <r>
      <rPr>
        <sz val="10"/>
        <rFont val="宋体-简"/>
        <charset val="134"/>
      </rPr>
      <t>手动铸铁闸阀</t>
    </r>
    <r>
      <rPr>
        <sz val="10"/>
        <rFont val="Arial"/>
        <charset val="134"/>
      </rPr>
      <t xml:space="preserve"> DN1100</t>
    </r>
  </si>
  <si>
    <t>F.2.5.2</t>
  </si>
  <si>
    <t>Hand-operated cast iron gate DN1000</t>
  </si>
  <si>
    <r>
      <rPr>
        <sz val="10"/>
        <rFont val="宋体-简"/>
        <charset val="134"/>
      </rPr>
      <t>手动铸铁闸阀</t>
    </r>
    <r>
      <rPr>
        <sz val="10"/>
        <rFont val="Arial"/>
        <charset val="134"/>
      </rPr>
      <t xml:space="preserve"> DN1000</t>
    </r>
  </si>
  <si>
    <t>F.2.5.3</t>
  </si>
  <si>
    <t>Reinforced concrete valve well, dimensions 2400x2400x3500</t>
  </si>
  <si>
    <r>
      <rPr>
        <sz val="10"/>
        <rFont val="宋体-简"/>
        <charset val="134"/>
      </rPr>
      <t>钢筋混凝土阀井，尺寸</t>
    </r>
    <r>
      <rPr>
        <sz val="10"/>
        <rFont val="Arial"/>
        <charset val="134"/>
      </rPr>
      <t>2400×2400×3500</t>
    </r>
  </si>
  <si>
    <t>F.2.6</t>
  </si>
  <si>
    <t>Outfall</t>
  </si>
  <si>
    <t>排水口</t>
  </si>
  <si>
    <t>F.2.6.1</t>
  </si>
  <si>
    <r>
      <rPr>
        <sz val="10"/>
        <rFont val="Arial"/>
        <charset val="134"/>
      </rPr>
      <t>DN1100</t>
    </r>
    <r>
      <rPr>
        <sz val="10"/>
        <rFont val="宋体"/>
        <charset val="134"/>
      </rPr>
      <t>（</t>
    </r>
    <r>
      <rPr>
        <sz val="10"/>
        <rFont val="Arial"/>
        <charset val="134"/>
      </rPr>
      <t>1m,HDPE</t>
    </r>
    <r>
      <rPr>
        <sz val="10"/>
        <rFont val="宋体"/>
        <charset val="134"/>
      </rPr>
      <t>）</t>
    </r>
  </si>
  <si>
    <r>
      <rPr>
        <sz val="10"/>
        <rFont val="Arial"/>
        <charset val="134"/>
      </rPr>
      <t>DN1100</t>
    </r>
    <r>
      <rPr>
        <sz val="10"/>
        <rFont val="宋体-简"/>
        <charset val="134"/>
      </rPr>
      <t>（</t>
    </r>
    <r>
      <rPr>
        <sz val="10"/>
        <rFont val="Arial"/>
        <charset val="134"/>
      </rPr>
      <t>1</t>
    </r>
    <r>
      <rPr>
        <sz val="10"/>
        <rFont val="宋体-简"/>
        <charset val="134"/>
      </rPr>
      <t>米，</t>
    </r>
    <r>
      <rPr>
        <sz val="10"/>
        <rFont val="Arial"/>
        <charset val="134"/>
      </rPr>
      <t>HDPE</t>
    </r>
    <r>
      <rPr>
        <sz val="10"/>
        <rFont val="宋体-简"/>
        <charset val="134"/>
      </rPr>
      <t>）</t>
    </r>
  </si>
  <si>
    <t>F.2.6.2</t>
  </si>
  <si>
    <r>
      <rPr>
        <sz val="10"/>
        <rFont val="Arial"/>
        <charset val="134"/>
      </rPr>
      <t>DN1000</t>
    </r>
    <r>
      <rPr>
        <sz val="10"/>
        <rFont val="宋体"/>
        <charset val="134"/>
      </rPr>
      <t>（</t>
    </r>
    <r>
      <rPr>
        <sz val="10"/>
        <rFont val="Arial"/>
        <charset val="134"/>
      </rPr>
      <t>1m,HDPE</t>
    </r>
    <r>
      <rPr>
        <sz val="10"/>
        <rFont val="宋体"/>
        <charset val="134"/>
      </rPr>
      <t>）</t>
    </r>
  </si>
  <si>
    <r>
      <rPr>
        <sz val="10"/>
        <rFont val="Arial"/>
        <charset val="134"/>
      </rPr>
      <t>DN1000</t>
    </r>
    <r>
      <rPr>
        <sz val="10"/>
        <rFont val="宋体-简"/>
        <charset val="134"/>
      </rPr>
      <t>（</t>
    </r>
    <r>
      <rPr>
        <sz val="10"/>
        <rFont val="Arial"/>
        <charset val="134"/>
      </rPr>
      <t>1</t>
    </r>
    <r>
      <rPr>
        <sz val="10"/>
        <rFont val="宋体-简"/>
        <charset val="134"/>
      </rPr>
      <t>米，</t>
    </r>
    <r>
      <rPr>
        <sz val="10"/>
        <rFont val="Arial"/>
        <charset val="134"/>
      </rPr>
      <t>HDPE</t>
    </r>
    <r>
      <rPr>
        <sz val="10"/>
        <rFont val="宋体-简"/>
        <charset val="134"/>
      </rPr>
      <t>）</t>
    </r>
  </si>
  <si>
    <t>F.2.7</t>
  </si>
  <si>
    <r>
      <rPr>
        <sz val="10"/>
        <rFont val="Arial"/>
        <charset val="134"/>
      </rPr>
      <t xml:space="preserve">Bypass Separator
</t>
    </r>
    <r>
      <rPr>
        <sz val="10"/>
        <rFont val="宋体"/>
        <charset val="134"/>
      </rPr>
      <t>（</t>
    </r>
    <r>
      <rPr>
        <sz val="10"/>
        <rFont val="Arial"/>
        <charset val="134"/>
      </rPr>
      <t>Integrated bypass separator, Type S-I-P, NS200, GRP material, maximum residual oil content of effluent 5 mg/L</t>
    </r>
    <r>
      <rPr>
        <sz val="10"/>
        <rFont val="宋体"/>
        <charset val="134"/>
      </rPr>
      <t>）</t>
    </r>
  </si>
  <si>
    <r>
      <rPr>
        <sz val="10"/>
        <rFont val="宋体-简"/>
        <charset val="134"/>
      </rPr>
      <t>旁通分离器</t>
    </r>
    <r>
      <rPr>
        <sz val="10"/>
        <rFont val="Arial"/>
        <charset val="134"/>
      </rPr>
      <t xml:space="preserve">
</t>
    </r>
    <r>
      <rPr>
        <sz val="10"/>
        <rFont val="宋体-简"/>
        <charset val="134"/>
      </rPr>
      <t>（一体式旁通分离器，型号</t>
    </r>
    <r>
      <rPr>
        <sz val="10"/>
        <rFont val="Arial"/>
        <charset val="134"/>
      </rPr>
      <t>S-I-P</t>
    </r>
    <r>
      <rPr>
        <sz val="10"/>
        <rFont val="宋体-简"/>
        <charset val="134"/>
      </rPr>
      <t>，规格</t>
    </r>
    <r>
      <rPr>
        <sz val="10"/>
        <rFont val="Arial"/>
        <charset val="134"/>
      </rPr>
      <t>NS200</t>
    </r>
    <r>
      <rPr>
        <sz val="10"/>
        <rFont val="宋体-简"/>
        <charset val="134"/>
      </rPr>
      <t>，</t>
    </r>
    <r>
      <rPr>
        <sz val="10"/>
        <rFont val="Arial"/>
        <charset val="134"/>
      </rPr>
      <t>GRP</t>
    </r>
    <r>
      <rPr>
        <sz val="10"/>
        <rFont val="宋体-简"/>
        <charset val="134"/>
      </rPr>
      <t>材质，排放液油含量不超过</t>
    </r>
    <r>
      <rPr>
        <sz val="10"/>
        <rFont val="Arial"/>
        <charset val="134"/>
      </rPr>
      <t>5</t>
    </r>
    <r>
      <rPr>
        <sz val="10"/>
        <rFont val="宋体-简"/>
        <charset val="134"/>
      </rPr>
      <t>毫克</t>
    </r>
    <r>
      <rPr>
        <sz val="10"/>
        <rFont val="Arial"/>
        <charset val="134"/>
      </rPr>
      <t>/</t>
    </r>
    <r>
      <rPr>
        <sz val="10"/>
        <rFont val="宋体-简"/>
        <charset val="134"/>
      </rPr>
      <t>升）</t>
    </r>
  </si>
  <si>
    <t>F.2.8</t>
  </si>
  <si>
    <r>
      <rPr>
        <sz val="10"/>
        <rFont val="Arial"/>
        <charset val="134"/>
      </rPr>
      <t>Box Culvert (Upstream to the existing box culvert)</t>
    </r>
    <r>
      <rPr>
        <sz val="10"/>
        <rFont val="宋体"/>
        <charset val="134"/>
      </rPr>
      <t>，</t>
    </r>
    <r>
      <rPr>
        <sz val="10"/>
        <rFont val="Arial"/>
        <charset val="134"/>
      </rPr>
      <t>C40</t>
    </r>
    <r>
      <rPr>
        <sz val="10"/>
        <rFont val="宋体"/>
        <charset val="134"/>
      </rPr>
      <t>，</t>
    </r>
    <r>
      <rPr>
        <sz val="10"/>
        <rFont val="Arial"/>
        <charset val="134"/>
      </rPr>
      <t>Cross-sectional area: 7.1 m²</t>
    </r>
  </si>
  <si>
    <r>
      <rPr>
        <sz val="10"/>
        <rFont val="宋体-简"/>
        <charset val="134"/>
      </rPr>
      <t>箱涵（上游连接至现有箱涵），</t>
    </r>
    <r>
      <rPr>
        <sz val="10"/>
        <rFont val="Arial"/>
        <charset val="134"/>
      </rPr>
      <t>C40</t>
    </r>
    <r>
      <rPr>
        <sz val="10"/>
        <rFont val="宋体-简"/>
        <charset val="134"/>
      </rPr>
      <t>，截面面积：</t>
    </r>
    <r>
      <rPr>
        <sz val="10"/>
        <rFont val="Arial"/>
        <charset val="134"/>
      </rPr>
      <t>7.1</t>
    </r>
    <r>
      <rPr>
        <sz val="10"/>
        <rFont val="宋体-简"/>
        <charset val="134"/>
      </rPr>
      <t>平方米</t>
    </r>
  </si>
  <si>
    <r>
      <rPr>
        <sz val="10"/>
        <color rgb="FFFF0000"/>
        <rFont val="Arial"/>
        <charset val="134"/>
      </rPr>
      <t>- Concrete</t>
    </r>
    <r>
      <rPr>
        <sz val="10"/>
        <color rgb="FFFF0000"/>
        <rFont val="宋体"/>
        <charset val="134"/>
      </rPr>
      <t>，</t>
    </r>
    <r>
      <rPr>
        <sz val="10"/>
        <color rgb="FFFF0000"/>
        <rFont val="Arial"/>
        <charset val="134"/>
      </rPr>
      <t>C40</t>
    </r>
    <r>
      <rPr>
        <sz val="10"/>
        <color rgb="FFFF0000"/>
        <rFont val="宋体"/>
        <charset val="134"/>
      </rPr>
      <t>，</t>
    </r>
    <r>
      <rPr>
        <sz val="10"/>
        <color rgb="FFFF0000"/>
        <rFont val="Arial"/>
        <charset val="134"/>
      </rPr>
      <t>Cross-sectional area: 7.1 m²</t>
    </r>
  </si>
  <si>
    <r>
      <rPr>
        <sz val="10"/>
        <color rgb="FFFF0000"/>
        <rFont val="Arial"/>
        <charset val="134"/>
      </rPr>
      <t xml:space="preserve">— </t>
    </r>
    <r>
      <rPr>
        <sz val="10"/>
        <color rgb="FFFF0000"/>
        <rFont val="宋体"/>
        <charset val="134"/>
      </rPr>
      <t>混凝土，</t>
    </r>
    <r>
      <rPr>
        <sz val="10"/>
        <color rgb="FFFF0000"/>
        <rFont val="Arial"/>
        <charset val="134"/>
      </rPr>
      <t>C40</t>
    </r>
    <r>
      <rPr>
        <sz val="10"/>
        <color rgb="FFFF0000"/>
        <rFont val="宋体"/>
        <charset val="134"/>
      </rPr>
      <t>，截面面积：</t>
    </r>
    <r>
      <rPr>
        <sz val="10"/>
        <color rgb="FFFF0000"/>
        <rFont val="Arial"/>
        <charset val="134"/>
      </rPr>
      <t>7.1</t>
    </r>
    <r>
      <rPr>
        <sz val="10"/>
        <color rgb="FFFF0000"/>
        <rFont val="宋体"/>
        <charset val="134"/>
      </rPr>
      <t>平方米</t>
    </r>
  </si>
  <si>
    <t>F.2.9</t>
  </si>
  <si>
    <r>
      <rPr>
        <sz val="10"/>
        <rFont val="Arial"/>
        <charset val="134"/>
      </rPr>
      <t>Box Culvert (Downstream to the river)</t>
    </r>
    <r>
      <rPr>
        <sz val="10"/>
        <rFont val="宋体"/>
        <charset val="134"/>
      </rPr>
      <t>，</t>
    </r>
    <r>
      <rPr>
        <sz val="10"/>
        <rFont val="Arial"/>
        <charset val="134"/>
      </rPr>
      <t>C40</t>
    </r>
    <r>
      <rPr>
        <sz val="10"/>
        <rFont val="宋体"/>
        <charset val="134"/>
      </rPr>
      <t>，</t>
    </r>
    <r>
      <rPr>
        <sz val="10"/>
        <rFont val="Arial"/>
        <charset val="134"/>
      </rPr>
      <t>Cross-sectional area: 7.1 m²</t>
    </r>
  </si>
  <si>
    <r>
      <rPr>
        <sz val="10"/>
        <rFont val="宋体-简"/>
        <charset val="134"/>
      </rPr>
      <t>箱涵（下游至河道），</t>
    </r>
    <r>
      <rPr>
        <sz val="10"/>
        <rFont val="Arial"/>
        <charset val="134"/>
      </rPr>
      <t>C40</t>
    </r>
    <r>
      <rPr>
        <sz val="10"/>
        <rFont val="宋体-简"/>
        <charset val="134"/>
      </rPr>
      <t>，截面面积：</t>
    </r>
    <r>
      <rPr>
        <sz val="10"/>
        <rFont val="Arial"/>
        <charset val="134"/>
      </rPr>
      <t>7.1</t>
    </r>
    <r>
      <rPr>
        <sz val="10"/>
        <rFont val="宋体-简"/>
        <charset val="134"/>
      </rPr>
      <t>平方米</t>
    </r>
  </si>
  <si>
    <t>F.2.10</t>
  </si>
  <si>
    <t>Open channel cleaning and maintenance (as required to make good)</t>
  </si>
  <si>
    <t>明渠清理及维护（按要求进行修复）</t>
  </si>
  <si>
    <t>F.2.11</t>
  </si>
  <si>
    <t>Existing Box drain and outfall to drainage channel to be maintained or releved and reinstated</t>
  </si>
  <si>
    <t>现有箱涵及排水渠出水口保持、清理并恢复</t>
  </si>
  <si>
    <t>SUBTOTAL - Stormwater Drainage System</t>
  </si>
  <si>
    <r>
      <rPr>
        <b/>
        <sz val="10"/>
        <rFont val="宋体-简"/>
        <charset val="134"/>
      </rPr>
      <t>小计</t>
    </r>
    <r>
      <rPr>
        <b/>
        <sz val="10"/>
        <rFont val="Arial"/>
        <charset val="134"/>
      </rPr>
      <t xml:space="preserve"> - </t>
    </r>
    <r>
      <rPr>
        <b/>
        <sz val="10"/>
        <rFont val="宋体-简"/>
        <charset val="134"/>
      </rPr>
      <t>雨水排水系统</t>
    </r>
  </si>
  <si>
    <t>F.3</t>
  </si>
  <si>
    <t>Electrical Services (civil works) (PER 006C)</t>
  </si>
  <si>
    <r>
      <rPr>
        <b/>
        <sz val="10"/>
        <rFont val="宋体-简"/>
        <charset val="162"/>
      </rPr>
      <t>电气服务（土建工程）（</t>
    </r>
    <r>
      <rPr>
        <b/>
        <sz val="10"/>
        <rFont val="Arial"/>
        <charset val="162"/>
      </rPr>
      <t>PER 006C</t>
    </r>
    <r>
      <rPr>
        <b/>
        <sz val="10"/>
        <rFont val="宋体-简"/>
        <charset val="162"/>
      </rPr>
      <t>）</t>
    </r>
  </si>
  <si>
    <t>F.3.1</t>
  </si>
  <si>
    <t>HV Electrical Tench and Conduits</t>
  </si>
  <si>
    <t>高压电气沟槽及管道</t>
  </si>
  <si>
    <t>F.3.1.1</t>
  </si>
  <si>
    <r>
      <rPr>
        <sz val="10"/>
        <rFont val="Arial"/>
        <charset val="134"/>
      </rPr>
      <t xml:space="preserve">HV Electrical Tench </t>
    </r>
    <r>
      <rPr>
        <sz val="10"/>
        <rFont val="宋体"/>
        <charset val="134"/>
      </rPr>
      <t>（</t>
    </r>
    <r>
      <rPr>
        <sz val="10"/>
        <rFont val="Arial"/>
        <charset val="134"/>
      </rPr>
      <t>1.3×1.1</t>
    </r>
    <r>
      <rPr>
        <sz val="10"/>
        <rFont val="宋体"/>
        <charset val="134"/>
      </rPr>
      <t>）</t>
    </r>
    <r>
      <rPr>
        <sz val="10"/>
        <rFont val="Arial"/>
        <charset val="134"/>
      </rPr>
      <t>m</t>
    </r>
  </si>
  <si>
    <r>
      <rPr>
        <sz val="10"/>
        <rFont val="宋体-简"/>
        <charset val="134"/>
      </rPr>
      <t>高压电气沟槽</t>
    </r>
    <r>
      <rPr>
        <sz val="10"/>
        <rFont val="Arial"/>
        <charset val="134"/>
      </rPr>
      <t xml:space="preserve"> </t>
    </r>
    <r>
      <rPr>
        <sz val="10"/>
        <rFont val="宋体-简"/>
        <charset val="134"/>
      </rPr>
      <t>（</t>
    </r>
    <r>
      <rPr>
        <sz val="10"/>
        <rFont val="Arial"/>
        <charset val="134"/>
      </rPr>
      <t>1.3×1.1</t>
    </r>
    <r>
      <rPr>
        <sz val="10"/>
        <rFont val="宋体-简"/>
        <charset val="134"/>
      </rPr>
      <t>）米</t>
    </r>
  </si>
  <si>
    <t>F.3.1.2</t>
  </si>
  <si>
    <t>HV  Conduitsu   uPVC,SN8,DN150</t>
  </si>
  <si>
    <r>
      <rPr>
        <sz val="10"/>
        <rFont val="宋体-简"/>
        <charset val="134"/>
      </rPr>
      <t>高压电气管道</t>
    </r>
    <r>
      <rPr>
        <sz val="10"/>
        <rFont val="Arial"/>
        <charset val="134"/>
      </rPr>
      <t xml:space="preserve"> uPVC</t>
    </r>
    <r>
      <rPr>
        <sz val="10"/>
        <rFont val="宋体-简"/>
        <charset val="134"/>
      </rPr>
      <t>，</t>
    </r>
    <r>
      <rPr>
        <sz val="10"/>
        <rFont val="Arial"/>
        <charset val="134"/>
      </rPr>
      <t>SN8</t>
    </r>
    <r>
      <rPr>
        <sz val="10"/>
        <rFont val="宋体-简"/>
        <charset val="134"/>
      </rPr>
      <t>，</t>
    </r>
    <r>
      <rPr>
        <sz val="10"/>
        <rFont val="Arial"/>
        <charset val="134"/>
      </rPr>
      <t>DN150</t>
    </r>
  </si>
  <si>
    <t>F.3.2</t>
  </si>
  <si>
    <t>LV/ Communications Electrical Trench and Conduits</t>
  </si>
  <si>
    <t>低压／通信电气沟槽及管道</t>
  </si>
  <si>
    <t>F.3.2.1</t>
  </si>
  <si>
    <r>
      <rPr>
        <sz val="10"/>
        <rFont val="Arial"/>
        <charset val="134"/>
      </rPr>
      <t xml:space="preserve">LV Electrical Tench </t>
    </r>
    <r>
      <rPr>
        <sz val="10"/>
        <rFont val="宋体"/>
        <charset val="134"/>
      </rPr>
      <t>（</t>
    </r>
    <r>
      <rPr>
        <sz val="10"/>
        <rFont val="Arial"/>
        <charset val="134"/>
      </rPr>
      <t>1.3×1.1</t>
    </r>
    <r>
      <rPr>
        <sz val="10"/>
        <rFont val="宋体"/>
        <charset val="134"/>
      </rPr>
      <t>）</t>
    </r>
    <r>
      <rPr>
        <sz val="10"/>
        <rFont val="Arial"/>
        <charset val="134"/>
      </rPr>
      <t>m</t>
    </r>
  </si>
  <si>
    <r>
      <rPr>
        <sz val="10"/>
        <rFont val="宋体-简"/>
        <charset val="134"/>
      </rPr>
      <t>低压电气沟槽</t>
    </r>
    <r>
      <rPr>
        <sz val="10"/>
        <rFont val="Arial"/>
        <charset val="134"/>
      </rPr>
      <t xml:space="preserve"> </t>
    </r>
    <r>
      <rPr>
        <sz val="10"/>
        <rFont val="宋体-简"/>
        <charset val="134"/>
      </rPr>
      <t>（</t>
    </r>
    <r>
      <rPr>
        <sz val="10"/>
        <rFont val="Arial"/>
        <charset val="134"/>
      </rPr>
      <t>1.3×1.1</t>
    </r>
    <r>
      <rPr>
        <sz val="10"/>
        <rFont val="宋体-简"/>
        <charset val="134"/>
      </rPr>
      <t>）米</t>
    </r>
  </si>
  <si>
    <t>F.3.2.2</t>
  </si>
  <si>
    <t>LV Conduits  uPVC,SN8,DN150</t>
  </si>
  <si>
    <r>
      <rPr>
        <sz val="10"/>
        <rFont val="宋体-简"/>
        <charset val="134"/>
      </rPr>
      <t>低压导管</t>
    </r>
    <r>
      <rPr>
        <sz val="10"/>
        <rFont val="Arial"/>
        <charset val="134"/>
      </rPr>
      <t xml:space="preserve"> uPVC</t>
    </r>
    <r>
      <rPr>
        <sz val="10"/>
        <rFont val="宋体-简"/>
        <charset val="134"/>
      </rPr>
      <t>，</t>
    </r>
    <r>
      <rPr>
        <sz val="10"/>
        <rFont val="Arial"/>
        <charset val="134"/>
      </rPr>
      <t>SN8</t>
    </r>
    <r>
      <rPr>
        <sz val="10"/>
        <rFont val="宋体-简"/>
        <charset val="134"/>
      </rPr>
      <t>，</t>
    </r>
    <r>
      <rPr>
        <sz val="10"/>
        <rFont val="Arial"/>
        <charset val="134"/>
      </rPr>
      <t>DN150</t>
    </r>
  </si>
  <si>
    <t>F.3.3</t>
  </si>
  <si>
    <t>Communications Trench and Conduits</t>
  </si>
  <si>
    <t>通信管槽及导管</t>
  </si>
  <si>
    <t>- Apprival Material Backfill</t>
  </si>
  <si>
    <r>
      <rPr>
        <sz val="10"/>
        <color rgb="FFFF0000"/>
        <rFont val="Arial"/>
        <charset val="134"/>
      </rPr>
      <t xml:space="preserve">- </t>
    </r>
    <r>
      <rPr>
        <sz val="10"/>
        <color rgb="FFFF0000"/>
        <rFont val="宋体"/>
        <charset val="134"/>
      </rPr>
      <t>批准材料回填</t>
    </r>
  </si>
  <si>
    <t>- Warning Tape</t>
  </si>
  <si>
    <r>
      <rPr>
        <sz val="10"/>
        <color rgb="FFFF0000"/>
        <rFont val="Arial"/>
        <charset val="134"/>
      </rPr>
      <t xml:space="preserve">- </t>
    </r>
    <r>
      <rPr>
        <sz val="10"/>
        <color rgb="FFFF0000"/>
        <rFont val="宋体"/>
        <charset val="134"/>
      </rPr>
      <t>警示带</t>
    </r>
  </si>
  <si>
    <t>F.3.4</t>
  </si>
  <si>
    <t>HV Electrical Pit</t>
  </si>
  <si>
    <t>高压电气井</t>
  </si>
  <si>
    <t>F.3.4.1</t>
  </si>
  <si>
    <r>
      <rPr>
        <sz val="10"/>
        <rFont val="Arial"/>
        <charset val="134"/>
      </rPr>
      <t xml:space="preserve">HV Electrical Pit </t>
    </r>
    <r>
      <rPr>
        <sz val="10"/>
        <rFont val="宋体"/>
        <charset val="134"/>
      </rPr>
      <t>（</t>
    </r>
    <r>
      <rPr>
        <sz val="10"/>
        <rFont val="Arial"/>
        <charset val="134"/>
      </rPr>
      <t>2.0×1.5×1.9</t>
    </r>
    <r>
      <rPr>
        <sz val="10"/>
        <rFont val="宋体"/>
        <charset val="134"/>
      </rPr>
      <t>）</t>
    </r>
    <r>
      <rPr>
        <sz val="10"/>
        <rFont val="Arial"/>
        <charset val="134"/>
      </rPr>
      <t>m</t>
    </r>
  </si>
  <si>
    <r>
      <rPr>
        <sz val="10"/>
        <rFont val="宋体-简"/>
        <charset val="134"/>
      </rPr>
      <t>高压电气井</t>
    </r>
    <r>
      <rPr>
        <sz val="10"/>
        <rFont val="Arial"/>
        <charset val="134"/>
      </rPr>
      <t xml:space="preserve"> </t>
    </r>
    <r>
      <rPr>
        <sz val="10"/>
        <rFont val="宋体-简"/>
        <charset val="134"/>
      </rPr>
      <t>（</t>
    </r>
    <r>
      <rPr>
        <sz val="10"/>
        <rFont val="Arial"/>
        <charset val="134"/>
      </rPr>
      <t>2.0×1.5×1.9</t>
    </r>
    <r>
      <rPr>
        <sz val="10"/>
        <rFont val="宋体-简"/>
        <charset val="134"/>
      </rPr>
      <t>）米</t>
    </r>
  </si>
  <si>
    <t>F.3.5</t>
  </si>
  <si>
    <t>LV/Comms Electrical Pit</t>
  </si>
  <si>
    <r>
      <rPr>
        <sz val="10"/>
        <rFont val="宋体-简"/>
        <charset val="134"/>
      </rPr>
      <t>低压</t>
    </r>
    <r>
      <rPr>
        <sz val="10"/>
        <rFont val="Arial"/>
        <charset val="134"/>
      </rPr>
      <t>/</t>
    </r>
    <r>
      <rPr>
        <sz val="10"/>
        <rFont val="宋体-简"/>
        <charset val="134"/>
      </rPr>
      <t>通信电气井</t>
    </r>
  </si>
  <si>
    <t>F.3.5.1</t>
  </si>
  <si>
    <r>
      <rPr>
        <sz val="10"/>
        <rFont val="Arial"/>
        <charset val="134"/>
      </rPr>
      <t xml:space="preserve">LV Electrical Pit </t>
    </r>
    <r>
      <rPr>
        <sz val="10"/>
        <rFont val="宋体"/>
        <charset val="134"/>
      </rPr>
      <t>（</t>
    </r>
    <r>
      <rPr>
        <sz val="10"/>
        <rFont val="Arial"/>
        <charset val="134"/>
      </rPr>
      <t>2.0×1.5×1.9</t>
    </r>
    <r>
      <rPr>
        <sz val="10"/>
        <rFont val="宋体"/>
        <charset val="134"/>
      </rPr>
      <t>）</t>
    </r>
    <r>
      <rPr>
        <sz val="10"/>
        <rFont val="Arial"/>
        <charset val="134"/>
      </rPr>
      <t>m</t>
    </r>
  </si>
  <si>
    <r>
      <rPr>
        <sz val="10"/>
        <rFont val="宋体-简"/>
        <charset val="134"/>
      </rPr>
      <t>低压电气井</t>
    </r>
    <r>
      <rPr>
        <sz val="10"/>
        <rFont val="Arial"/>
        <charset val="134"/>
      </rPr>
      <t xml:space="preserve"> </t>
    </r>
    <r>
      <rPr>
        <sz val="10"/>
        <rFont val="宋体-简"/>
        <charset val="134"/>
      </rPr>
      <t>（</t>
    </r>
    <r>
      <rPr>
        <sz val="10"/>
        <rFont val="Arial"/>
        <charset val="134"/>
      </rPr>
      <t>2.0×1.5×1.9</t>
    </r>
    <r>
      <rPr>
        <sz val="10"/>
        <rFont val="宋体-简"/>
        <charset val="134"/>
      </rPr>
      <t>）米</t>
    </r>
  </si>
  <si>
    <t>F.3.5.2</t>
  </si>
  <si>
    <r>
      <rPr>
        <sz val="10"/>
        <rFont val="Arial"/>
        <charset val="134"/>
      </rPr>
      <t xml:space="preserve">LV Electrical Pit </t>
    </r>
    <r>
      <rPr>
        <sz val="10"/>
        <rFont val="宋体"/>
        <charset val="134"/>
      </rPr>
      <t>（</t>
    </r>
    <r>
      <rPr>
        <sz val="10"/>
        <rFont val="Arial"/>
        <charset val="134"/>
      </rPr>
      <t>1.5×1.2×1.5</t>
    </r>
    <r>
      <rPr>
        <sz val="10"/>
        <rFont val="宋体"/>
        <charset val="134"/>
      </rPr>
      <t>）</t>
    </r>
    <r>
      <rPr>
        <sz val="10"/>
        <rFont val="Arial"/>
        <charset val="134"/>
      </rPr>
      <t>m</t>
    </r>
  </si>
  <si>
    <r>
      <rPr>
        <sz val="10"/>
        <rFont val="宋体-简"/>
        <charset val="134"/>
      </rPr>
      <t>低压电气井</t>
    </r>
    <r>
      <rPr>
        <sz val="10"/>
        <rFont val="Arial"/>
        <charset val="134"/>
      </rPr>
      <t xml:space="preserve"> </t>
    </r>
    <r>
      <rPr>
        <sz val="10"/>
        <rFont val="宋体-简"/>
        <charset val="134"/>
      </rPr>
      <t>（</t>
    </r>
    <r>
      <rPr>
        <sz val="10"/>
        <rFont val="Arial"/>
        <charset val="134"/>
      </rPr>
      <t>1.5×1.2×1.5</t>
    </r>
    <r>
      <rPr>
        <sz val="10"/>
        <rFont val="宋体-简"/>
        <charset val="134"/>
      </rPr>
      <t>）米</t>
    </r>
  </si>
  <si>
    <t>F.3.6</t>
  </si>
  <si>
    <t>IT/Communications Pit</t>
  </si>
  <si>
    <r>
      <rPr>
        <sz val="10"/>
        <rFont val="宋体-简"/>
        <charset val="134"/>
      </rPr>
      <t>信息技术</t>
    </r>
    <r>
      <rPr>
        <sz val="10"/>
        <rFont val="Arial"/>
        <charset val="134"/>
      </rPr>
      <t>/</t>
    </r>
    <r>
      <rPr>
        <sz val="10"/>
        <rFont val="宋体-简"/>
        <charset val="134"/>
      </rPr>
      <t>通信电气井</t>
    </r>
  </si>
  <si>
    <t>F.3.6.1</t>
  </si>
  <si>
    <r>
      <rPr>
        <sz val="10"/>
        <rFont val="Arial"/>
        <charset val="134"/>
      </rPr>
      <t>IT/Communications Pit</t>
    </r>
    <r>
      <rPr>
        <sz val="10"/>
        <rFont val="宋体"/>
        <charset val="134"/>
      </rPr>
      <t>（</t>
    </r>
    <r>
      <rPr>
        <sz val="10"/>
        <rFont val="Arial"/>
        <charset val="134"/>
      </rPr>
      <t>1600mmx1600mmx1600mm</t>
    </r>
    <r>
      <rPr>
        <sz val="10"/>
        <rFont val="宋体"/>
        <charset val="134"/>
      </rPr>
      <t>）</t>
    </r>
  </si>
  <si>
    <r>
      <rPr>
        <sz val="10"/>
        <rFont val="宋体-简"/>
        <charset val="134"/>
      </rPr>
      <t>信息技术</t>
    </r>
    <r>
      <rPr>
        <sz val="10"/>
        <rFont val="Arial"/>
        <charset val="134"/>
      </rPr>
      <t>/</t>
    </r>
    <r>
      <rPr>
        <sz val="10"/>
        <rFont val="宋体-简"/>
        <charset val="134"/>
      </rPr>
      <t>通信电气井（</t>
    </r>
    <r>
      <rPr>
        <sz val="10"/>
        <rFont val="Arial"/>
        <charset val="134"/>
      </rPr>
      <t>1600</t>
    </r>
    <r>
      <rPr>
        <sz val="10"/>
        <rFont val="宋体-简"/>
        <charset val="134"/>
      </rPr>
      <t>毫米</t>
    </r>
    <r>
      <rPr>
        <sz val="10"/>
        <rFont val="Arial"/>
        <charset val="134"/>
      </rPr>
      <t>×1600</t>
    </r>
    <r>
      <rPr>
        <sz val="10"/>
        <rFont val="宋体-简"/>
        <charset val="134"/>
      </rPr>
      <t>毫米</t>
    </r>
    <r>
      <rPr>
        <sz val="10"/>
        <rFont val="Arial"/>
        <charset val="134"/>
      </rPr>
      <t>×1600</t>
    </r>
    <r>
      <rPr>
        <sz val="10"/>
        <rFont val="宋体-简"/>
        <charset val="134"/>
      </rPr>
      <t>毫米）</t>
    </r>
  </si>
  <si>
    <t>F.3.6.2</t>
  </si>
  <si>
    <r>
      <rPr>
        <sz val="10"/>
        <rFont val="Arial"/>
        <charset val="134"/>
      </rPr>
      <t>IT/Communications Pit</t>
    </r>
    <r>
      <rPr>
        <sz val="10"/>
        <rFont val="宋体"/>
        <charset val="134"/>
      </rPr>
      <t>（</t>
    </r>
    <r>
      <rPr>
        <sz val="10"/>
        <rFont val="Arial"/>
        <charset val="134"/>
      </rPr>
      <t>2700mmx1900mmx2500mm</t>
    </r>
    <r>
      <rPr>
        <sz val="10"/>
        <rFont val="宋体"/>
        <charset val="134"/>
      </rPr>
      <t>）</t>
    </r>
  </si>
  <si>
    <r>
      <rPr>
        <sz val="10"/>
        <rFont val="宋体-简"/>
        <charset val="134"/>
      </rPr>
      <t>信息技术</t>
    </r>
    <r>
      <rPr>
        <sz val="10"/>
        <rFont val="Arial"/>
        <charset val="134"/>
      </rPr>
      <t>/</t>
    </r>
    <r>
      <rPr>
        <sz val="10"/>
        <rFont val="宋体-简"/>
        <charset val="134"/>
      </rPr>
      <t>通信电气井（</t>
    </r>
    <r>
      <rPr>
        <sz val="10"/>
        <rFont val="Arial"/>
        <charset val="134"/>
      </rPr>
      <t>2700mmx1900mmx2500mm</t>
    </r>
    <r>
      <rPr>
        <sz val="10"/>
        <rFont val="宋体-简"/>
        <charset val="134"/>
      </rPr>
      <t>）</t>
    </r>
  </si>
  <si>
    <t>F.3.7</t>
  </si>
  <si>
    <r>
      <rPr>
        <sz val="10"/>
        <rFont val="Arial"/>
        <charset val="134"/>
      </rPr>
      <t>110mm Sleeve</t>
    </r>
    <r>
      <rPr>
        <sz val="10"/>
        <rFont val="宋体"/>
        <charset val="134"/>
      </rPr>
      <t>（</t>
    </r>
    <r>
      <rPr>
        <sz val="10"/>
        <rFont val="Arial"/>
        <charset val="134"/>
      </rPr>
      <t>Material:HDPE</t>
    </r>
    <r>
      <rPr>
        <sz val="10"/>
        <rFont val="宋体"/>
        <charset val="134"/>
      </rPr>
      <t>）</t>
    </r>
  </si>
  <si>
    <r>
      <rPr>
        <sz val="10"/>
        <rFont val="Arial"/>
        <charset val="134"/>
      </rPr>
      <t xml:space="preserve">110mm </t>
    </r>
    <r>
      <rPr>
        <sz val="10"/>
        <rFont val="宋体-简"/>
        <charset val="134"/>
      </rPr>
      <t>套管（材料：</t>
    </r>
    <r>
      <rPr>
        <sz val="10"/>
        <rFont val="Arial"/>
        <charset val="134"/>
      </rPr>
      <t>HDPE</t>
    </r>
    <r>
      <rPr>
        <sz val="10"/>
        <rFont val="宋体-简"/>
        <charset val="134"/>
      </rPr>
      <t>）</t>
    </r>
  </si>
  <si>
    <t>F.3.8</t>
  </si>
  <si>
    <r>
      <rPr>
        <sz val="10"/>
        <rFont val="Arial"/>
        <charset val="134"/>
      </rPr>
      <t>50mm Sleeve</t>
    </r>
    <r>
      <rPr>
        <sz val="10"/>
        <rFont val="宋体"/>
        <charset val="134"/>
      </rPr>
      <t>（</t>
    </r>
    <r>
      <rPr>
        <sz val="10"/>
        <rFont val="Arial"/>
        <charset val="134"/>
      </rPr>
      <t>Material:HDPE</t>
    </r>
    <r>
      <rPr>
        <sz val="10"/>
        <rFont val="宋体"/>
        <charset val="134"/>
      </rPr>
      <t>）</t>
    </r>
  </si>
  <si>
    <r>
      <rPr>
        <sz val="10"/>
        <rFont val="Arial"/>
        <charset val="134"/>
      </rPr>
      <t xml:space="preserve">50mm </t>
    </r>
    <r>
      <rPr>
        <sz val="10"/>
        <rFont val="宋体-简"/>
        <charset val="134"/>
      </rPr>
      <t>套管（材料：</t>
    </r>
    <r>
      <rPr>
        <sz val="10"/>
        <rFont val="Arial"/>
        <charset val="134"/>
      </rPr>
      <t>HDPE</t>
    </r>
    <r>
      <rPr>
        <sz val="10"/>
        <rFont val="宋体-简"/>
        <charset val="134"/>
      </rPr>
      <t>）</t>
    </r>
  </si>
  <si>
    <t>SUBTOTAL - Electrical services</t>
  </si>
  <si>
    <r>
      <rPr>
        <b/>
        <sz val="10"/>
        <rFont val="宋体-简"/>
        <charset val="134"/>
      </rPr>
      <t>小计</t>
    </r>
    <r>
      <rPr>
        <b/>
        <sz val="10"/>
        <rFont val="Arial"/>
        <charset val="134"/>
      </rPr>
      <t xml:space="preserve"> - </t>
    </r>
    <r>
      <rPr>
        <b/>
        <sz val="10"/>
        <rFont val="宋体-简"/>
        <charset val="134"/>
      </rPr>
      <t>电气服务</t>
    </r>
  </si>
  <si>
    <t>F.4</t>
  </si>
  <si>
    <t>Reefer Racks and Foundations (PER 006D)</t>
  </si>
  <si>
    <r>
      <rPr>
        <b/>
        <sz val="10"/>
        <rFont val="宋体-简"/>
        <charset val="134"/>
      </rPr>
      <t>冷藏货架及基础（按</t>
    </r>
    <r>
      <rPr>
        <b/>
        <sz val="10"/>
        <rFont val="Arial"/>
        <charset val="134"/>
      </rPr>
      <t>006D</t>
    </r>
    <r>
      <rPr>
        <b/>
        <sz val="10"/>
        <rFont val="宋体-简"/>
        <charset val="134"/>
      </rPr>
      <t>单元）</t>
    </r>
  </si>
  <si>
    <t>F.4.1</t>
  </si>
  <si>
    <t>F.4.1.1</t>
  </si>
  <si>
    <t>Reefer rack - steel frames</t>
  </si>
  <si>
    <r>
      <rPr>
        <sz val="10"/>
        <rFont val="宋体-简"/>
        <charset val="134"/>
      </rPr>
      <t>冷藏货架</t>
    </r>
    <r>
      <rPr>
        <sz val="10"/>
        <rFont val="Arial"/>
        <charset val="134"/>
      </rPr>
      <t xml:space="preserve"> - </t>
    </r>
    <r>
      <rPr>
        <sz val="10"/>
        <rFont val="宋体-简"/>
        <charset val="134"/>
      </rPr>
      <t>钢结构框架</t>
    </r>
  </si>
  <si>
    <t>Square tube steel column</t>
  </si>
  <si>
    <t>方管钢柱</t>
  </si>
  <si>
    <t>Steel beam</t>
  </si>
  <si>
    <t>钢梁</t>
  </si>
  <si>
    <t>Miscellaneous steel components</t>
  </si>
  <si>
    <t>杂项钢构件</t>
  </si>
  <si>
    <t>Metal handrail, railing and balustrade</t>
  </si>
  <si>
    <t>金属扶手、栏杆及栏板</t>
  </si>
  <si>
    <t>Steel ladder / Steel staircase</t>
  </si>
  <si>
    <r>
      <rPr>
        <sz val="10"/>
        <color rgb="FFFF0000"/>
        <rFont val="宋体-简"/>
        <charset val="134"/>
      </rPr>
      <t>钢梯</t>
    </r>
    <r>
      <rPr>
        <sz val="10"/>
        <color rgb="FFFF0000"/>
        <rFont val="Arial"/>
        <charset val="134"/>
      </rPr>
      <t xml:space="preserve"> / </t>
    </r>
    <r>
      <rPr>
        <sz val="10"/>
        <color rgb="FFFF0000"/>
        <rFont val="宋体-简"/>
        <charset val="134"/>
      </rPr>
      <t>钢楼梯</t>
    </r>
  </si>
  <si>
    <t>F.4.1.2</t>
  </si>
  <si>
    <t>Reefer rack - foundations</t>
  </si>
  <si>
    <r>
      <rPr>
        <sz val="10"/>
        <rFont val="宋体-简"/>
        <charset val="134"/>
      </rPr>
      <t>冷藏货架</t>
    </r>
    <r>
      <rPr>
        <sz val="10"/>
        <rFont val="Arial"/>
        <charset val="134"/>
      </rPr>
      <t xml:space="preserve"> - </t>
    </r>
    <r>
      <rPr>
        <sz val="10"/>
        <rFont val="宋体-简"/>
        <charset val="134"/>
      </rPr>
      <t>基础</t>
    </r>
  </si>
  <si>
    <t>F.4.1.3</t>
  </si>
  <si>
    <t>Reefer tunnels - 40' (including all modifcations and connections)</t>
  </si>
  <si>
    <r>
      <rPr>
        <sz val="10"/>
        <rFont val="宋体-简"/>
        <charset val="134"/>
      </rPr>
      <t>冷藏通道</t>
    </r>
    <r>
      <rPr>
        <sz val="10"/>
        <rFont val="Arial"/>
        <charset val="134"/>
      </rPr>
      <t xml:space="preserve"> - 40</t>
    </r>
    <r>
      <rPr>
        <sz val="10"/>
        <rFont val="宋体-简"/>
        <charset val="134"/>
      </rPr>
      <t>英尺（含所有修改与连接）</t>
    </r>
  </si>
  <si>
    <t>Baseplate</t>
  </si>
  <si>
    <t>基础板</t>
  </si>
  <si>
    <t>Steel Column</t>
  </si>
  <si>
    <t>钢柱</t>
  </si>
  <si>
    <t>Steel Beam</t>
  </si>
  <si>
    <t>Steel Handrails+kickplate</t>
  </si>
  <si>
    <t>钢制扶手及踢脚板</t>
  </si>
  <si>
    <t>Roof metal sheet</t>
  </si>
  <si>
    <t>屋面金属板</t>
  </si>
  <si>
    <t>Steel Plate or grout slope to prevent trip hazard</t>
  </si>
  <si>
    <t>防绊钢板或灌浆斜坡</t>
  </si>
  <si>
    <t>Non-Slip Steel Grating Floor (Hot Dip Galvanised) Maximum 10˚ slope</t>
  </si>
  <si>
    <r>
      <rPr>
        <sz val="10"/>
        <color rgb="FFFF0000"/>
        <rFont val="宋体-简"/>
        <charset val="134"/>
      </rPr>
      <t>防滑钢格栅地面（热浸镀锌），最大跨度</t>
    </r>
    <r>
      <rPr>
        <sz val="10"/>
        <color rgb="FFFF0000"/>
        <rFont val="Arial"/>
        <charset val="134"/>
      </rPr>
      <t xml:space="preserve">10˚ </t>
    </r>
    <r>
      <rPr>
        <sz val="10"/>
        <color rgb="FFFF0000"/>
        <rFont val="宋体-简"/>
        <charset val="134"/>
      </rPr>
      <t>坡度</t>
    </r>
  </si>
  <si>
    <t>Hinge</t>
  </si>
  <si>
    <t>铰链</t>
  </si>
  <si>
    <t>Welded steel mesh full height between Reefer Tunnels on RTG side only</t>
  </si>
  <si>
    <r>
      <rPr>
        <sz val="10"/>
        <color rgb="FFFF0000"/>
        <rFont val="宋体-简"/>
        <charset val="134"/>
      </rPr>
      <t>仅</t>
    </r>
    <r>
      <rPr>
        <sz val="10"/>
        <color rgb="FFFF0000"/>
        <rFont val="Arial"/>
        <charset val="134"/>
      </rPr>
      <t>RTG</t>
    </r>
    <r>
      <rPr>
        <sz val="10"/>
        <color rgb="FFFF0000"/>
        <rFont val="宋体-简"/>
        <charset val="134"/>
      </rPr>
      <t>侧冷藏隧道间全高焊接钢网</t>
    </r>
  </si>
  <si>
    <t>Steel grating to bridge the gap</t>
  </si>
  <si>
    <t>钢格栅桥接间隙</t>
  </si>
  <si>
    <t>F.4.1.4</t>
  </si>
  <si>
    <t>Reefer tunnels - 20' (including all modifcations and connections)</t>
  </si>
  <si>
    <r>
      <rPr>
        <sz val="10"/>
        <rFont val="宋体-简"/>
        <charset val="134"/>
      </rPr>
      <t>冷藏隧道</t>
    </r>
    <r>
      <rPr>
        <sz val="10"/>
        <rFont val="Arial"/>
        <charset val="134"/>
      </rPr>
      <t xml:space="preserve"> - 20</t>
    </r>
    <r>
      <rPr>
        <sz val="10"/>
        <rFont val="宋体-简"/>
        <charset val="134"/>
      </rPr>
      <t>英寸（含所有改造及连接）</t>
    </r>
  </si>
  <si>
    <t>Container walk tunnel</t>
  </si>
  <si>
    <t>集装箱步行通道</t>
  </si>
  <si>
    <t>F.4.2</t>
  </si>
  <si>
    <t>Secondary Substation Support Structures</t>
  </si>
  <si>
    <t>二次变电站支撑结构</t>
  </si>
  <si>
    <t>F.4.2.1</t>
  </si>
  <si>
    <r>
      <rPr>
        <sz val="10"/>
        <rFont val="Arial"/>
        <charset val="134"/>
      </rPr>
      <t>Quayside Substation</t>
    </r>
    <r>
      <rPr>
        <sz val="10"/>
        <rFont val="宋体"/>
        <charset val="134"/>
      </rPr>
      <t>（</t>
    </r>
    <r>
      <rPr>
        <sz val="10"/>
        <rFont val="Arial"/>
        <charset val="134"/>
      </rPr>
      <t>32×2</t>
    </r>
    <r>
      <rPr>
        <sz val="10"/>
        <rFont val="宋体"/>
        <charset val="134"/>
      </rPr>
      <t>）</t>
    </r>
    <r>
      <rPr>
        <sz val="10"/>
        <rFont val="Arial"/>
        <charset val="134"/>
      </rPr>
      <t>m</t>
    </r>
  </si>
  <si>
    <t>码头侧变电站（32×2）米</t>
  </si>
  <si>
    <t>F.4.2.2</t>
  </si>
  <si>
    <r>
      <rPr>
        <sz val="10"/>
        <rFont val="Arial"/>
        <charset val="134"/>
      </rPr>
      <t xml:space="preserve">Reefer Substation </t>
    </r>
    <r>
      <rPr>
        <sz val="10"/>
        <rFont val="宋体"/>
        <charset val="134"/>
      </rPr>
      <t>（</t>
    </r>
    <r>
      <rPr>
        <sz val="10"/>
        <rFont val="Arial"/>
        <charset val="134"/>
      </rPr>
      <t>12×2</t>
    </r>
    <r>
      <rPr>
        <sz val="10"/>
        <rFont val="宋体"/>
        <charset val="134"/>
      </rPr>
      <t>）</t>
    </r>
    <r>
      <rPr>
        <sz val="10"/>
        <rFont val="Arial"/>
        <charset val="134"/>
      </rPr>
      <t>m</t>
    </r>
  </si>
  <si>
    <r>
      <rPr>
        <sz val="10"/>
        <rFont val="宋体-简"/>
        <charset val="134"/>
      </rPr>
      <t>冷藏变电站</t>
    </r>
    <r>
      <rPr>
        <sz val="10"/>
        <rFont val="Arial"/>
        <charset val="134"/>
      </rPr>
      <t xml:space="preserve"> </t>
    </r>
    <r>
      <rPr>
        <sz val="10"/>
        <rFont val="宋体-简"/>
        <charset val="134"/>
      </rPr>
      <t>（</t>
    </r>
    <r>
      <rPr>
        <sz val="10"/>
        <rFont val="Arial"/>
        <charset val="134"/>
      </rPr>
      <t>12×2</t>
    </r>
    <r>
      <rPr>
        <sz val="10"/>
        <rFont val="宋体-简"/>
        <charset val="134"/>
      </rPr>
      <t>）米</t>
    </r>
  </si>
  <si>
    <t>F.4.2.3</t>
  </si>
  <si>
    <r>
      <rPr>
        <sz val="10"/>
        <rFont val="Arial"/>
        <charset val="134"/>
      </rPr>
      <t xml:space="preserve">ERTG Substation </t>
    </r>
    <r>
      <rPr>
        <sz val="10"/>
        <rFont val="宋体"/>
        <charset val="134"/>
      </rPr>
      <t>（</t>
    </r>
    <r>
      <rPr>
        <sz val="10"/>
        <rFont val="Arial"/>
        <charset val="134"/>
      </rPr>
      <t>12×2</t>
    </r>
    <r>
      <rPr>
        <sz val="10"/>
        <rFont val="宋体"/>
        <charset val="134"/>
      </rPr>
      <t>）</t>
    </r>
    <r>
      <rPr>
        <sz val="10"/>
        <rFont val="Arial"/>
        <charset val="134"/>
      </rPr>
      <t>m</t>
    </r>
  </si>
  <si>
    <r>
      <rPr>
        <sz val="10"/>
        <rFont val="Arial"/>
        <charset val="134"/>
      </rPr>
      <t>eRTG</t>
    </r>
    <r>
      <rPr>
        <sz val="10"/>
        <rFont val="宋体-简"/>
        <charset val="134"/>
      </rPr>
      <t>变电站</t>
    </r>
    <r>
      <rPr>
        <sz val="10"/>
        <rFont val="Arial"/>
        <charset val="134"/>
      </rPr>
      <t xml:space="preserve"> </t>
    </r>
    <r>
      <rPr>
        <sz val="10"/>
        <rFont val="宋体-简"/>
        <charset val="134"/>
      </rPr>
      <t>（</t>
    </r>
    <r>
      <rPr>
        <sz val="10"/>
        <rFont val="Arial"/>
        <charset val="134"/>
      </rPr>
      <t>12×2</t>
    </r>
    <r>
      <rPr>
        <sz val="10"/>
        <rFont val="宋体-简"/>
        <charset val="134"/>
      </rPr>
      <t>）米</t>
    </r>
  </si>
  <si>
    <t>F.4.2.4</t>
  </si>
  <si>
    <r>
      <rPr>
        <sz val="10"/>
        <rFont val="Arial"/>
        <charset val="134"/>
      </rPr>
      <t xml:space="preserve">DIESEL GENERATOR,PLUS SPARE </t>
    </r>
    <r>
      <rPr>
        <sz val="10"/>
        <rFont val="宋体"/>
        <charset val="134"/>
      </rPr>
      <t>（</t>
    </r>
    <r>
      <rPr>
        <sz val="10"/>
        <rFont val="Arial"/>
        <charset val="134"/>
      </rPr>
      <t>14×4</t>
    </r>
    <r>
      <rPr>
        <sz val="10"/>
        <rFont val="宋体"/>
        <charset val="134"/>
      </rPr>
      <t>）</t>
    </r>
    <r>
      <rPr>
        <sz val="10"/>
        <rFont val="Arial"/>
        <charset val="134"/>
      </rPr>
      <t>m</t>
    </r>
  </si>
  <si>
    <r>
      <rPr>
        <sz val="10"/>
        <rFont val="宋体-简"/>
        <charset val="134"/>
      </rPr>
      <t>柴油发电机组，含备用</t>
    </r>
    <r>
      <rPr>
        <sz val="10"/>
        <rFont val="Arial"/>
        <charset val="134"/>
      </rPr>
      <t xml:space="preserve"> </t>
    </r>
    <r>
      <rPr>
        <sz val="10"/>
        <rFont val="宋体-简"/>
        <charset val="134"/>
      </rPr>
      <t>（</t>
    </r>
    <r>
      <rPr>
        <sz val="10"/>
        <rFont val="Arial"/>
        <charset val="134"/>
      </rPr>
      <t>14×4</t>
    </r>
    <r>
      <rPr>
        <sz val="10"/>
        <rFont val="宋体-简"/>
        <charset val="134"/>
      </rPr>
      <t>）米</t>
    </r>
  </si>
  <si>
    <t>F.4.2.5</t>
  </si>
  <si>
    <r>
      <rPr>
        <sz val="10"/>
        <rFont val="Arial"/>
        <charset val="134"/>
      </rPr>
      <t>FIELD EQUIPMENT CABINET</t>
    </r>
    <r>
      <rPr>
        <sz val="10"/>
        <rFont val="宋体"/>
        <charset val="134"/>
      </rPr>
      <t>（</t>
    </r>
    <r>
      <rPr>
        <sz val="10"/>
        <rFont val="Arial"/>
        <charset val="134"/>
      </rPr>
      <t>1.2×0.6</t>
    </r>
    <r>
      <rPr>
        <sz val="10"/>
        <rFont val="宋体"/>
        <charset val="134"/>
      </rPr>
      <t>）</t>
    </r>
    <r>
      <rPr>
        <sz val="10"/>
        <rFont val="Arial"/>
        <charset val="134"/>
      </rPr>
      <t>m</t>
    </r>
  </si>
  <si>
    <r>
      <rPr>
        <sz val="10"/>
        <rFont val="宋体-简"/>
        <charset val="134"/>
      </rPr>
      <t>现场设备柜（</t>
    </r>
    <r>
      <rPr>
        <sz val="10"/>
        <rFont val="Arial"/>
        <charset val="134"/>
      </rPr>
      <t>1.2×0.6</t>
    </r>
    <r>
      <rPr>
        <sz val="10"/>
        <rFont val="宋体-简"/>
        <charset val="134"/>
      </rPr>
      <t>）米</t>
    </r>
  </si>
  <si>
    <t>SUBTOTAL - Reefer Racks and Foundations</t>
  </si>
  <si>
    <r>
      <rPr>
        <b/>
        <sz val="10"/>
        <rFont val="宋体-简"/>
        <charset val="134"/>
      </rPr>
      <t>小计</t>
    </r>
    <r>
      <rPr>
        <b/>
        <sz val="10"/>
        <rFont val="Arial"/>
        <charset val="134"/>
      </rPr>
      <t xml:space="preserve"> - </t>
    </r>
    <r>
      <rPr>
        <b/>
        <sz val="10"/>
        <rFont val="宋体-简"/>
        <charset val="134"/>
      </rPr>
      <t>冷藏货架及基础</t>
    </r>
  </si>
  <si>
    <t>F.5</t>
  </si>
  <si>
    <t>Leaking Container Bund (PER 006E)</t>
  </si>
  <si>
    <r>
      <rPr>
        <b/>
        <sz val="10"/>
        <rFont val="宋体-简"/>
        <charset val="134"/>
      </rPr>
      <t>泄漏集装箱围堰（</t>
    </r>
    <r>
      <rPr>
        <b/>
        <sz val="10"/>
        <rFont val="Arial"/>
        <charset val="134"/>
      </rPr>
      <t>PER 006E</t>
    </r>
    <r>
      <rPr>
        <b/>
        <sz val="10"/>
        <rFont val="宋体-简"/>
        <charset val="134"/>
      </rPr>
      <t>）</t>
    </r>
  </si>
  <si>
    <t>F.5.1</t>
  </si>
  <si>
    <t>Leaking Container Bund is 36m long and 4.8m wide, with 2 compartments.
Supports and drainage slopes are arranged at the bottom.
Peripheral cofferdams are constructed, 300mm wide and 1200mm high.
Steps and guardrails are installed at the inlet and outlet of cofferdam.
Anti-seepage and anti-corrosion treatment is applied inside the cofferdam.
Anti-collision columns are arranged outside the site.</t>
  </si>
  <si>
    <r>
      <rPr>
        <sz val="10"/>
        <rFont val="宋体-简"/>
        <charset val="134"/>
      </rPr>
      <t>泄漏集装箱围堰长</t>
    </r>
    <r>
      <rPr>
        <sz val="10"/>
        <rFont val="Arial"/>
        <charset val="134"/>
      </rPr>
      <t>36</t>
    </r>
    <r>
      <rPr>
        <sz val="10"/>
        <rFont val="宋体-简"/>
        <charset val="134"/>
      </rPr>
      <t>米，宽</t>
    </r>
    <r>
      <rPr>
        <sz val="10"/>
        <rFont val="Arial"/>
        <charset val="134"/>
      </rPr>
      <t>4.8</t>
    </r>
    <r>
      <rPr>
        <sz val="10"/>
        <rFont val="宋体-简"/>
        <charset val="134"/>
      </rPr>
      <t>米，设有两个隔舱。</t>
    </r>
    <r>
      <rPr>
        <sz val="10"/>
        <rFont val="Arial"/>
        <charset val="134"/>
      </rPr>
      <t xml:space="preserve">
</t>
    </r>
    <r>
      <rPr>
        <sz val="10"/>
        <rFont val="宋体-简"/>
        <charset val="134"/>
      </rPr>
      <t>底部布置有支承结构及排水坡度。</t>
    </r>
    <r>
      <rPr>
        <sz val="10"/>
        <rFont val="Arial"/>
        <charset val="134"/>
      </rPr>
      <t xml:space="preserve">
</t>
    </r>
    <r>
      <rPr>
        <sz val="10"/>
        <rFont val="宋体-简"/>
        <charset val="134"/>
      </rPr>
      <t>外围构筑围堰，宽</t>
    </r>
    <r>
      <rPr>
        <sz val="10"/>
        <rFont val="Arial"/>
        <charset val="134"/>
      </rPr>
      <t>300</t>
    </r>
    <r>
      <rPr>
        <sz val="10"/>
        <rFont val="宋体-简"/>
        <charset val="134"/>
      </rPr>
      <t>毫米，高</t>
    </r>
    <r>
      <rPr>
        <sz val="10"/>
        <rFont val="Arial"/>
        <charset val="134"/>
      </rPr>
      <t>1200</t>
    </r>
    <r>
      <rPr>
        <sz val="10"/>
        <rFont val="宋体-简"/>
        <charset val="134"/>
      </rPr>
      <t>毫米。</t>
    </r>
    <r>
      <rPr>
        <sz val="10"/>
        <rFont val="Arial"/>
        <charset val="134"/>
      </rPr>
      <t xml:space="preserve">
</t>
    </r>
    <r>
      <rPr>
        <sz val="10"/>
        <rFont val="宋体-简"/>
        <charset val="134"/>
      </rPr>
      <t>围堰进出口设有踏步及护栏。</t>
    </r>
    <r>
      <rPr>
        <sz val="10"/>
        <rFont val="Arial"/>
        <charset val="134"/>
      </rPr>
      <t xml:space="preserve">
</t>
    </r>
    <r>
      <rPr>
        <sz val="10"/>
        <rFont val="宋体-简"/>
        <charset val="134"/>
      </rPr>
      <t>围堰内部实施防渗及防腐措施。</t>
    </r>
    <r>
      <rPr>
        <sz val="10"/>
        <rFont val="Arial"/>
        <charset val="134"/>
      </rPr>
      <t xml:space="preserve">
</t>
    </r>
    <r>
      <rPr>
        <sz val="10"/>
        <rFont val="宋体-简"/>
        <charset val="134"/>
      </rPr>
      <t>场地外围设置防撞柱。</t>
    </r>
  </si>
  <si>
    <t>F.5.2</t>
  </si>
  <si>
    <t>retention tank GRP body lined with PTFE, volume 15000 L</t>
  </si>
  <si>
    <r>
      <rPr>
        <sz val="10"/>
        <rFont val="宋体-简"/>
        <charset val="134"/>
      </rPr>
      <t>衬有聚四氟乙烯（</t>
    </r>
    <r>
      <rPr>
        <sz val="10"/>
        <rFont val="Arial"/>
        <charset val="134"/>
      </rPr>
      <t>PTFE</t>
    </r>
    <r>
      <rPr>
        <sz val="10"/>
        <rFont val="宋体-简"/>
        <charset val="134"/>
      </rPr>
      <t>）的玻璃钢（</t>
    </r>
    <r>
      <rPr>
        <sz val="10"/>
        <rFont val="Arial"/>
        <charset val="134"/>
      </rPr>
      <t>GRP</t>
    </r>
    <r>
      <rPr>
        <sz val="10"/>
        <rFont val="宋体-简"/>
        <charset val="134"/>
      </rPr>
      <t>）蓄水池，容积</t>
    </r>
    <r>
      <rPr>
        <sz val="10"/>
        <rFont val="Arial"/>
        <charset val="134"/>
      </rPr>
      <t>15000</t>
    </r>
    <r>
      <rPr>
        <sz val="10"/>
        <rFont val="宋体-简"/>
        <charset val="134"/>
      </rPr>
      <t>升</t>
    </r>
  </si>
  <si>
    <t>F.5.3</t>
  </si>
  <si>
    <t>Electric shut-off valve  DN200, equipped with control cabinet, available for manual and electric operation</t>
  </si>
  <si>
    <r>
      <rPr>
        <sz val="10"/>
        <rFont val="Arial"/>
        <charset val="134"/>
      </rPr>
      <t>DN200</t>
    </r>
    <r>
      <rPr>
        <sz val="10"/>
        <rFont val="宋体-简"/>
        <charset val="134"/>
      </rPr>
      <t>电动切断阀，配备控制柜，具备手动及电动操作功能</t>
    </r>
  </si>
  <si>
    <t>F.5.4</t>
  </si>
  <si>
    <t>Clay pipe lined with PTFE, nominal diameter DN200</t>
  </si>
  <si>
    <r>
      <rPr>
        <sz val="10"/>
        <rFont val="宋体-简"/>
        <charset val="134"/>
      </rPr>
      <t>内衬聚四氟乙烯（</t>
    </r>
    <r>
      <rPr>
        <sz val="10"/>
        <rFont val="Arial"/>
        <charset val="134"/>
      </rPr>
      <t>PTFE</t>
    </r>
    <r>
      <rPr>
        <sz val="10"/>
        <rFont val="宋体-简"/>
        <charset val="134"/>
      </rPr>
      <t>）的黏土管，公称直径</t>
    </r>
    <r>
      <rPr>
        <sz val="10"/>
        <rFont val="Arial"/>
        <charset val="134"/>
      </rPr>
      <t>DN200</t>
    </r>
  </si>
  <si>
    <t>F.5.5</t>
  </si>
  <si>
    <t>Auxiliary materials include elbows, tees, waterproof sleeves, etc.</t>
  </si>
  <si>
    <t>辅助材料包括弯头、三通、防水套管等。</t>
  </si>
  <si>
    <t>F.6</t>
  </si>
  <si>
    <t>Light Tower &amp; CCTV Tower Foundations (PER 006F)</t>
  </si>
  <si>
    <r>
      <rPr>
        <b/>
        <sz val="10"/>
        <rFont val="宋体-简"/>
        <charset val="134"/>
      </rPr>
      <t>灯塔及闭路电视塔基础（编号</t>
    </r>
    <r>
      <rPr>
        <b/>
        <sz val="10"/>
        <rFont val="Arial"/>
        <charset val="134"/>
      </rPr>
      <t>PER 006F</t>
    </r>
    <r>
      <rPr>
        <b/>
        <sz val="10"/>
        <rFont val="宋体-简"/>
        <charset val="134"/>
      </rPr>
      <t>）</t>
    </r>
  </si>
  <si>
    <t>F.6.1</t>
  </si>
  <si>
    <t>Light Tower Foundations (45m High Light Tower)</t>
  </si>
  <si>
    <r>
      <rPr>
        <sz val="10"/>
        <rFont val="宋体-简"/>
        <charset val="134"/>
      </rPr>
      <t>灯塔基础（</t>
    </r>
    <r>
      <rPr>
        <sz val="10"/>
        <rFont val="Arial"/>
        <charset val="134"/>
      </rPr>
      <t>45</t>
    </r>
    <r>
      <rPr>
        <sz val="10"/>
        <rFont val="宋体-简"/>
        <charset val="134"/>
      </rPr>
      <t>米高灯塔）</t>
    </r>
  </si>
  <si>
    <t>Pile Foundation</t>
  </si>
  <si>
    <t>桩基</t>
  </si>
  <si>
    <t>High mast light crash barrier</t>
  </si>
  <si>
    <t>高杆灯防撞栏</t>
  </si>
  <si>
    <t>F.6.2</t>
  </si>
  <si>
    <t>Light Tower Foundations (25m High Light Tower)</t>
  </si>
  <si>
    <r>
      <rPr>
        <sz val="10"/>
        <rFont val="宋体-简"/>
        <charset val="134"/>
      </rPr>
      <t>灯塔基础（</t>
    </r>
    <r>
      <rPr>
        <sz val="10"/>
        <rFont val="Arial"/>
        <charset val="134"/>
      </rPr>
      <t>25</t>
    </r>
    <r>
      <rPr>
        <sz val="10"/>
        <rFont val="宋体-简"/>
        <charset val="134"/>
      </rPr>
      <t>米高灯塔）</t>
    </r>
  </si>
  <si>
    <t>F.6.3</t>
  </si>
  <si>
    <r>
      <rPr>
        <sz val="10"/>
        <rFont val="Arial"/>
        <charset val="134"/>
      </rPr>
      <t>CCTV Tower foundations</t>
    </r>
    <r>
      <rPr>
        <sz val="10"/>
        <rFont val="宋体"/>
        <charset val="134"/>
      </rPr>
      <t>（</t>
    </r>
    <r>
      <rPr>
        <sz val="10"/>
        <rFont val="Arial"/>
        <charset val="134"/>
      </rPr>
      <t>Including the foundation of the CCTV tower.</t>
    </r>
    <r>
      <rPr>
        <sz val="10"/>
        <rFont val="宋体"/>
        <charset val="134"/>
      </rPr>
      <t>）</t>
    </r>
  </si>
  <si>
    <t>闭路电视塔基础（包括闭路电视塔基础。）</t>
  </si>
  <si>
    <t>- Protective Bollard</t>
  </si>
  <si>
    <r>
      <rPr>
        <sz val="10"/>
        <color rgb="FFFF0000"/>
        <rFont val="Arial"/>
        <charset val="134"/>
      </rPr>
      <t xml:space="preserve">- </t>
    </r>
    <r>
      <rPr>
        <sz val="10"/>
        <color rgb="FFFF0000"/>
        <rFont val="宋体"/>
        <charset val="134"/>
      </rPr>
      <t>保护柱</t>
    </r>
  </si>
  <si>
    <t>F.6.4</t>
  </si>
  <si>
    <t>Street light foundations</t>
  </si>
  <si>
    <t>路灯基础</t>
  </si>
  <si>
    <t>SUBTOTAL - Light Tower &amp; CCTV Tower Foundations</t>
  </si>
  <si>
    <t>小计 - 灯塔及闭路电视塔基础</t>
  </si>
  <si>
    <t>F.7</t>
  </si>
  <si>
    <t>Fencing and Barriers (PER 006G)</t>
  </si>
  <si>
    <r>
      <rPr>
        <b/>
        <sz val="10"/>
        <rFont val="宋体-简"/>
        <charset val="134"/>
      </rPr>
      <t>围栏及障碍物（</t>
    </r>
    <r>
      <rPr>
        <b/>
        <sz val="10"/>
        <rFont val="Arial"/>
        <charset val="134"/>
      </rPr>
      <t>PER 006G</t>
    </r>
    <r>
      <rPr>
        <b/>
        <sz val="10"/>
        <rFont val="宋体-简"/>
        <charset val="134"/>
      </rPr>
      <t>）</t>
    </r>
  </si>
  <si>
    <t>F.7.1</t>
  </si>
  <si>
    <t>Fence</t>
  </si>
  <si>
    <t>围栏</t>
  </si>
  <si>
    <t>F.7.1.1</t>
  </si>
  <si>
    <t>ISPS boundary wall</t>
  </si>
  <si>
    <r>
      <rPr>
        <sz val="10"/>
        <rFont val="Arial"/>
        <charset val="134"/>
      </rPr>
      <t>ISPS</t>
    </r>
    <r>
      <rPr>
        <sz val="10"/>
        <rFont val="宋体-简"/>
        <charset val="134"/>
      </rPr>
      <t>边界墙</t>
    </r>
  </si>
  <si>
    <t>- Weep Holes in Block B  Seaside wall only</t>
  </si>
  <si>
    <r>
      <rPr>
        <sz val="10"/>
        <color rgb="FFFF0000"/>
        <rFont val="Arial"/>
        <charset val="134"/>
      </rPr>
      <t>- B</t>
    </r>
    <r>
      <rPr>
        <sz val="10"/>
        <color rgb="FFFF0000"/>
        <rFont val="宋体"/>
        <charset val="134"/>
      </rPr>
      <t>区排水孔，仅限海侧墙</t>
    </r>
  </si>
  <si>
    <t>- Reinforced blockwork wall fill void with concrete</t>
  </si>
  <si>
    <r>
      <rPr>
        <sz val="10"/>
        <color rgb="FFFF0000"/>
        <rFont val="Arial"/>
        <charset val="134"/>
      </rPr>
      <t xml:space="preserve">- </t>
    </r>
    <r>
      <rPr>
        <sz val="10"/>
        <color rgb="FFFF0000"/>
        <rFont val="宋体"/>
        <charset val="134"/>
      </rPr>
      <t>钢筋砌块墙体空隙以混凝土填充</t>
    </r>
  </si>
  <si>
    <t>- Steel Y- Post cast into Top of concrete column</t>
  </si>
  <si>
    <r>
      <rPr>
        <sz val="10"/>
        <color rgb="FFFF0000"/>
        <rFont val="Arial"/>
        <charset val="134"/>
      </rPr>
      <t xml:space="preserve">- </t>
    </r>
    <r>
      <rPr>
        <sz val="10"/>
        <color rgb="FFFF0000"/>
        <rFont val="宋体-简"/>
        <charset val="134"/>
      </rPr>
      <t>钢制</t>
    </r>
    <r>
      <rPr>
        <sz val="10"/>
        <color rgb="FFFF0000"/>
        <rFont val="Arial"/>
        <charset val="134"/>
      </rPr>
      <t>Y</t>
    </r>
    <r>
      <rPr>
        <sz val="10"/>
        <color rgb="FFFF0000"/>
        <rFont val="宋体-简"/>
        <charset val="134"/>
      </rPr>
      <t>型柱浇筑于混凝土柱顶</t>
    </r>
  </si>
  <si>
    <t>- 2 Layers of galvanised concertina coil barbed wire with straining wires</t>
  </si>
  <si>
    <r>
      <rPr>
        <sz val="10"/>
        <color rgb="FFFF0000"/>
        <rFont val="Arial"/>
        <charset val="134"/>
      </rPr>
      <t xml:space="preserve">- </t>
    </r>
    <r>
      <rPr>
        <sz val="10"/>
        <color rgb="FFFF0000"/>
        <rFont val="宋体-简"/>
        <charset val="134"/>
      </rPr>
      <t>两层镀锌蛇形刺丝带及拉紧丝</t>
    </r>
  </si>
  <si>
    <t>F.7.1.2</t>
  </si>
  <si>
    <t>ISPS mesh fence</t>
  </si>
  <si>
    <r>
      <rPr>
        <sz val="10"/>
        <rFont val="Arial"/>
        <charset val="134"/>
      </rPr>
      <t>ISPS</t>
    </r>
    <r>
      <rPr>
        <sz val="10"/>
        <rFont val="宋体-简"/>
        <charset val="134"/>
      </rPr>
      <t>网状围栏</t>
    </r>
  </si>
  <si>
    <t xml:space="preserve"> - Straining Post</t>
  </si>
  <si>
    <r>
      <rPr>
        <sz val="10"/>
        <color rgb="FFFF0000"/>
        <rFont val="Arial"/>
        <charset val="134"/>
      </rPr>
      <t xml:space="preserve"> - </t>
    </r>
    <r>
      <rPr>
        <sz val="10"/>
        <color rgb="FFFF0000"/>
        <rFont val="宋体-简"/>
        <charset val="134"/>
      </rPr>
      <t>拉紧柱</t>
    </r>
  </si>
  <si>
    <t xml:space="preserve"> - Intermediate Post</t>
  </si>
  <si>
    <r>
      <rPr>
        <sz val="10"/>
        <color rgb="FFFF0000"/>
        <rFont val="Arial"/>
        <charset val="134"/>
      </rPr>
      <t xml:space="preserve"> - </t>
    </r>
    <r>
      <rPr>
        <sz val="10"/>
        <color rgb="FFFF0000"/>
        <rFont val="宋体-简"/>
        <charset val="134"/>
      </rPr>
      <t>中间柱</t>
    </r>
  </si>
  <si>
    <t xml:space="preserve"> - Strut</t>
  </si>
  <si>
    <r>
      <rPr>
        <sz val="10"/>
        <color rgb="FFFF0000"/>
        <rFont val="Arial"/>
        <charset val="134"/>
      </rPr>
      <t xml:space="preserve"> - </t>
    </r>
    <r>
      <rPr>
        <sz val="10"/>
        <color rgb="FFFF0000"/>
        <rFont val="宋体-简"/>
        <charset val="134"/>
      </rPr>
      <t>支撑杆</t>
    </r>
  </si>
  <si>
    <t xml:space="preserve"> - Stretcher bar with Bolt to be burred over</t>
  </si>
  <si>
    <r>
      <rPr>
        <sz val="10"/>
        <color rgb="FFFF0000"/>
        <rFont val="Arial"/>
        <charset val="134"/>
      </rPr>
      <t xml:space="preserve"> - </t>
    </r>
    <r>
      <rPr>
        <sz val="10"/>
        <color rgb="FFFF0000"/>
        <rFont val="宋体-简"/>
        <charset val="134"/>
      </rPr>
      <t>螺栓固定的拉伸杆，头部需掩盖</t>
    </r>
  </si>
  <si>
    <t xml:space="preserve"> - HDG Welded Mesh 4mm. Wire with 12.7mm. x 76.2mm.  Appertures</t>
  </si>
  <si>
    <r>
      <rPr>
        <sz val="10"/>
        <color rgb="FFFF0000"/>
        <rFont val="Arial"/>
        <charset val="134"/>
      </rPr>
      <t xml:space="preserve"> - </t>
    </r>
    <r>
      <rPr>
        <sz val="10"/>
        <color rgb="FFFF0000"/>
        <rFont val="宋体-简"/>
        <charset val="134"/>
      </rPr>
      <t>热镀锌焊接网，丝径</t>
    </r>
    <r>
      <rPr>
        <sz val="10"/>
        <color rgb="FFFF0000"/>
        <rFont val="Arial"/>
        <charset val="134"/>
      </rPr>
      <t>4</t>
    </r>
    <r>
      <rPr>
        <sz val="10"/>
        <color rgb="FFFF0000"/>
        <rFont val="宋体-简"/>
        <charset val="134"/>
      </rPr>
      <t>毫米，孔径</t>
    </r>
    <r>
      <rPr>
        <sz val="10"/>
        <color rgb="FFFF0000"/>
        <rFont val="Arial"/>
        <charset val="134"/>
      </rPr>
      <t>12.7</t>
    </r>
    <r>
      <rPr>
        <sz val="10"/>
        <color rgb="FFFF0000"/>
        <rFont val="宋体-简"/>
        <charset val="134"/>
      </rPr>
      <t>毫米</t>
    </r>
    <r>
      <rPr>
        <sz val="10"/>
        <color rgb="FFFF0000"/>
        <rFont val="Arial"/>
        <charset val="134"/>
      </rPr>
      <t xml:space="preserve"> × 76.2</t>
    </r>
    <r>
      <rPr>
        <sz val="10"/>
        <color rgb="FFFF0000"/>
        <rFont val="宋体-简"/>
        <charset val="134"/>
      </rPr>
      <t>毫米</t>
    </r>
  </si>
  <si>
    <t xml:space="preserve"> - Galvanized Concertina Coil Barbed Wire</t>
  </si>
  <si>
    <r>
      <rPr>
        <sz val="10"/>
        <color rgb="FFFF0000"/>
        <rFont val="Arial"/>
        <charset val="134"/>
      </rPr>
      <t xml:space="preserve"> - </t>
    </r>
    <r>
      <rPr>
        <sz val="10"/>
        <color rgb="FFFF0000"/>
        <rFont val="宋体-简"/>
        <charset val="134"/>
      </rPr>
      <t>镀锌螺旋刺丝带刺铁丝</t>
    </r>
  </si>
  <si>
    <t>F.7.1.3</t>
  </si>
  <si>
    <t>Non-ISPS Internal fence</t>
  </si>
  <si>
    <t>非ISPS内部围栏</t>
  </si>
  <si>
    <t xml:space="preserve"> - Goose Necked Stay Galvanized Steel Tube Welded to Posts</t>
  </si>
  <si>
    <r>
      <rPr>
        <sz val="10"/>
        <color rgb="FFFF0000"/>
        <rFont val="Arial"/>
        <charset val="134"/>
      </rPr>
      <t xml:space="preserve"> - </t>
    </r>
    <r>
      <rPr>
        <sz val="10"/>
        <color rgb="FFFF0000"/>
        <rFont val="宋体-简"/>
        <charset val="134"/>
      </rPr>
      <t>焊接于桩柱的鹅颈形镀锌钢管撑杆</t>
    </r>
  </si>
  <si>
    <t>F.7.2</t>
  </si>
  <si>
    <t>Barriers</t>
  </si>
  <si>
    <t>护栏</t>
  </si>
  <si>
    <t>F.7.2.1</t>
  </si>
  <si>
    <t>Vehicle guardrail</t>
  </si>
  <si>
    <t>车辆护栏</t>
  </si>
  <si>
    <t>- Flex Beam Guardrial</t>
  </si>
  <si>
    <r>
      <rPr>
        <sz val="10"/>
        <color rgb="FFFF0000"/>
        <rFont val="Arial"/>
        <charset val="134"/>
      </rPr>
      <t xml:space="preserve">- </t>
    </r>
    <r>
      <rPr>
        <sz val="10"/>
        <color rgb="FFFF0000"/>
        <rFont val="宋体"/>
        <charset val="134"/>
      </rPr>
      <t>弹性梁护栏</t>
    </r>
  </si>
  <si>
    <t>- I Beam Post</t>
  </si>
  <si>
    <r>
      <rPr>
        <sz val="10"/>
        <color rgb="FFFF0000"/>
        <rFont val="Arial"/>
        <charset val="134"/>
      </rPr>
      <t xml:space="preserve">- </t>
    </r>
    <r>
      <rPr>
        <sz val="10"/>
        <color rgb="FFFF0000"/>
        <rFont val="宋体"/>
        <charset val="134"/>
      </rPr>
      <t>工字钢立柱</t>
    </r>
  </si>
  <si>
    <t>F.7.2.2</t>
  </si>
  <si>
    <t>Concrete moveable barriers</t>
  </si>
  <si>
    <t>混凝土可移动护栏</t>
  </si>
  <si>
    <t>F.7.2.3</t>
  </si>
  <si>
    <t>Concrete fixed barriers</t>
  </si>
  <si>
    <t>混凝土固定护栏</t>
  </si>
  <si>
    <t>F.7.2.4</t>
  </si>
  <si>
    <t>Handrails</t>
  </si>
  <si>
    <t>扶手</t>
  </si>
  <si>
    <t>- Steel Pipe Dia.= 40 mm.</t>
  </si>
  <si>
    <r>
      <rPr>
        <sz val="10"/>
        <color rgb="FFFF0000"/>
        <rFont val="Arial"/>
        <charset val="134"/>
      </rPr>
      <t xml:space="preserve">- </t>
    </r>
    <r>
      <rPr>
        <sz val="10"/>
        <color rgb="FFFF0000"/>
        <rFont val="宋体"/>
        <charset val="134"/>
      </rPr>
      <t>钢管直径</t>
    </r>
    <r>
      <rPr>
        <sz val="10"/>
        <color rgb="FFFF0000"/>
        <rFont val="Arial"/>
        <charset val="134"/>
      </rPr>
      <t>=40</t>
    </r>
    <r>
      <rPr>
        <sz val="10"/>
        <color rgb="FFFF0000"/>
        <rFont val="宋体"/>
        <charset val="134"/>
      </rPr>
      <t>毫米</t>
    </r>
  </si>
  <si>
    <t>- Steel Pipe Dia.= 60 mm.</t>
  </si>
  <si>
    <r>
      <rPr>
        <sz val="10"/>
        <color rgb="FFFF0000"/>
        <rFont val="Arial"/>
        <charset val="134"/>
      </rPr>
      <t xml:space="preserve">- </t>
    </r>
    <r>
      <rPr>
        <sz val="10"/>
        <color rgb="FFFF0000"/>
        <rFont val="宋体"/>
        <charset val="134"/>
      </rPr>
      <t>钢管直径</t>
    </r>
    <r>
      <rPr>
        <sz val="10"/>
        <color rgb="FFFF0000"/>
        <rFont val="Arial"/>
        <charset val="134"/>
      </rPr>
      <t>=60</t>
    </r>
    <r>
      <rPr>
        <sz val="10"/>
        <color rgb="FFFF0000"/>
        <rFont val="宋体"/>
        <charset val="134"/>
      </rPr>
      <t>毫米</t>
    </r>
  </si>
  <si>
    <t>- Expansion Bolt</t>
  </si>
  <si>
    <r>
      <rPr>
        <sz val="10"/>
        <color rgb="FFFF0000"/>
        <rFont val="Arial"/>
        <charset val="134"/>
      </rPr>
      <t xml:space="preserve">- </t>
    </r>
    <r>
      <rPr>
        <sz val="10"/>
        <color rgb="FFFF0000"/>
        <rFont val="宋体"/>
        <charset val="134"/>
      </rPr>
      <t>膨胀螺栓</t>
    </r>
  </si>
  <si>
    <t>F.7.3</t>
  </si>
  <si>
    <t>Gates</t>
  </si>
  <si>
    <t>大门</t>
  </si>
  <si>
    <t>F.7.3.1</t>
  </si>
  <si>
    <t>8m (clear opening) ISPS Gate</t>
  </si>
  <si>
    <r>
      <rPr>
        <sz val="10"/>
        <rFont val="Arial"/>
        <charset val="134"/>
      </rPr>
      <t>8</t>
    </r>
    <r>
      <rPr>
        <sz val="10"/>
        <rFont val="宋体-简"/>
        <charset val="134"/>
      </rPr>
      <t>米（净开口）</t>
    </r>
    <r>
      <rPr>
        <sz val="10"/>
        <rFont val="Arial"/>
        <charset val="134"/>
      </rPr>
      <t>ISPS</t>
    </r>
    <r>
      <rPr>
        <sz val="10"/>
        <rFont val="宋体-简"/>
        <charset val="134"/>
      </rPr>
      <t>门</t>
    </r>
  </si>
  <si>
    <t xml:space="preserve"> - Steel gate frame with Hinges</t>
  </si>
  <si>
    <r>
      <rPr>
        <sz val="10"/>
        <color rgb="FFFF0000"/>
        <rFont val="Arial"/>
        <charset val="134"/>
      </rPr>
      <t xml:space="preserve"> - </t>
    </r>
    <r>
      <rPr>
        <sz val="10"/>
        <color rgb="FFFF0000"/>
        <rFont val="宋体-简"/>
        <charset val="134"/>
      </rPr>
      <t>带铰链的钢门框</t>
    </r>
  </si>
  <si>
    <t xml:space="preserve"> - Lock (To be protected and prevent hand/Foot holds)</t>
  </si>
  <si>
    <r>
      <rPr>
        <sz val="10"/>
        <color rgb="FFFF0000"/>
        <rFont val="Arial"/>
        <charset val="134"/>
      </rPr>
      <t xml:space="preserve"> - </t>
    </r>
    <r>
      <rPr>
        <sz val="10"/>
        <color rgb="FFFF0000"/>
        <rFont val="宋体-简"/>
        <charset val="134"/>
      </rPr>
      <t>锁（须防护，防止人手及脚抓持）</t>
    </r>
  </si>
  <si>
    <t xml:space="preserve"> - Drop bolts on leaves into easy clean sockets</t>
  </si>
  <si>
    <r>
      <rPr>
        <sz val="10"/>
        <color rgb="FFFF0000"/>
        <rFont val="Arial"/>
        <charset val="134"/>
      </rPr>
      <t xml:space="preserve"> - </t>
    </r>
    <r>
      <rPr>
        <sz val="10"/>
        <color rgb="FFFF0000"/>
        <rFont val="宋体-简"/>
        <charset val="134"/>
      </rPr>
      <t>门扇上的落销嵌入易清洁孔座内</t>
    </r>
  </si>
  <si>
    <t>F.7.3.2</t>
  </si>
  <si>
    <t>12m (clear opening) ISPS Gate</t>
  </si>
  <si>
    <r>
      <rPr>
        <sz val="10"/>
        <rFont val="Arial"/>
        <charset val="134"/>
      </rPr>
      <t>12</t>
    </r>
    <r>
      <rPr>
        <sz val="10"/>
        <rFont val="宋体-简"/>
        <charset val="134"/>
      </rPr>
      <t>米（净开口）</t>
    </r>
    <r>
      <rPr>
        <sz val="10"/>
        <rFont val="Arial"/>
        <charset val="134"/>
      </rPr>
      <t>ISPS</t>
    </r>
    <r>
      <rPr>
        <sz val="10"/>
        <rFont val="宋体-简"/>
        <charset val="134"/>
      </rPr>
      <t>门</t>
    </r>
  </si>
  <si>
    <t>F.7.3.3</t>
  </si>
  <si>
    <t>3.5m (clear opening) ISPS Gates (out-gate complex)</t>
  </si>
  <si>
    <r>
      <rPr>
        <sz val="10"/>
        <rFont val="Arial"/>
        <charset val="134"/>
      </rPr>
      <t>3.5</t>
    </r>
    <r>
      <rPr>
        <sz val="10"/>
        <rFont val="宋体-简"/>
        <charset val="134"/>
      </rPr>
      <t>米（净开口）</t>
    </r>
    <r>
      <rPr>
        <sz val="10"/>
        <rFont val="Arial"/>
        <charset val="134"/>
      </rPr>
      <t>ISPS</t>
    </r>
    <r>
      <rPr>
        <sz val="10"/>
        <rFont val="宋体-简"/>
        <charset val="134"/>
      </rPr>
      <t>门（出门区综合体）</t>
    </r>
  </si>
  <si>
    <t>F.7.3.4</t>
  </si>
  <si>
    <t>4m (clear opening) Non-ISPS Gate</t>
  </si>
  <si>
    <r>
      <rPr>
        <sz val="10"/>
        <rFont val="Arial"/>
        <charset val="134"/>
      </rPr>
      <t>4</t>
    </r>
    <r>
      <rPr>
        <sz val="10"/>
        <rFont val="宋体-简"/>
        <charset val="134"/>
      </rPr>
      <t>米（净开口）非</t>
    </r>
    <r>
      <rPr>
        <sz val="10"/>
        <rFont val="Arial"/>
        <charset val="134"/>
      </rPr>
      <t>ISPS</t>
    </r>
    <r>
      <rPr>
        <sz val="10"/>
        <rFont val="宋体-简"/>
        <charset val="134"/>
      </rPr>
      <t>门</t>
    </r>
  </si>
  <si>
    <t>F.7.3.5</t>
  </si>
  <si>
    <t>Non-ISPS Pedestrian Gates (1.2m)</t>
  </si>
  <si>
    <r>
      <rPr>
        <sz val="10"/>
        <rFont val="宋体-简"/>
        <charset val="134"/>
      </rPr>
      <t>非</t>
    </r>
    <r>
      <rPr>
        <sz val="10"/>
        <rFont val="Arial"/>
        <charset val="134"/>
      </rPr>
      <t>ISPS</t>
    </r>
    <r>
      <rPr>
        <sz val="10"/>
        <rFont val="宋体-简"/>
        <charset val="134"/>
      </rPr>
      <t>步行门（</t>
    </r>
    <r>
      <rPr>
        <sz val="10"/>
        <rFont val="Arial"/>
        <charset val="134"/>
      </rPr>
      <t>1.2</t>
    </r>
    <r>
      <rPr>
        <sz val="10"/>
        <rFont val="宋体-简"/>
        <charset val="134"/>
      </rPr>
      <t>米）</t>
    </r>
  </si>
  <si>
    <t>F.7.3.6</t>
  </si>
  <si>
    <t>Non-ISPS Pedestrian Gates (1.5m)</t>
  </si>
  <si>
    <r>
      <rPr>
        <sz val="10"/>
        <rFont val="宋体-简"/>
        <charset val="134"/>
      </rPr>
      <t>非</t>
    </r>
    <r>
      <rPr>
        <sz val="10"/>
        <rFont val="Arial"/>
        <charset val="134"/>
      </rPr>
      <t>ISPS</t>
    </r>
    <r>
      <rPr>
        <sz val="10"/>
        <rFont val="宋体-简"/>
        <charset val="134"/>
      </rPr>
      <t>步行门（</t>
    </r>
    <r>
      <rPr>
        <sz val="10"/>
        <rFont val="Arial"/>
        <charset val="134"/>
      </rPr>
      <t>1.5</t>
    </r>
    <r>
      <rPr>
        <sz val="10"/>
        <rFont val="宋体-简"/>
        <charset val="134"/>
      </rPr>
      <t>米）</t>
    </r>
  </si>
  <si>
    <t>SUBTOTAL - Fencing and Barriers</t>
  </si>
  <si>
    <r>
      <rPr>
        <b/>
        <sz val="10"/>
        <rFont val="宋体-简"/>
        <charset val="134"/>
      </rPr>
      <t>小计</t>
    </r>
    <r>
      <rPr>
        <b/>
        <sz val="10"/>
        <rFont val="Arial"/>
        <charset val="134"/>
      </rPr>
      <t xml:space="preserve"> - </t>
    </r>
    <r>
      <rPr>
        <b/>
        <sz val="10"/>
        <rFont val="宋体-简"/>
        <charset val="134"/>
      </rPr>
      <t>围栏及障碍物</t>
    </r>
  </si>
  <si>
    <t>F.8</t>
  </si>
  <si>
    <t>Linemarking and Signage (PER 006J)</t>
  </si>
  <si>
    <r>
      <rPr>
        <b/>
        <sz val="10"/>
        <rFont val="宋体-简"/>
        <charset val="134"/>
      </rPr>
      <t>线迹标识及标牌（依据</t>
    </r>
    <r>
      <rPr>
        <b/>
        <sz val="10"/>
        <rFont val="Arial"/>
        <charset val="134"/>
      </rPr>
      <t xml:space="preserve"> 006J</t>
    </r>
    <r>
      <rPr>
        <b/>
        <sz val="10"/>
        <rFont val="宋体-简"/>
        <charset val="134"/>
      </rPr>
      <t>）</t>
    </r>
  </si>
  <si>
    <t>F.8.1</t>
  </si>
  <si>
    <t>Linemarking</t>
  </si>
  <si>
    <t>线迹标识</t>
  </si>
  <si>
    <t>F.8.1.1</t>
  </si>
  <si>
    <t>Column and Row Numbers</t>
  </si>
  <si>
    <t>列号及行号</t>
  </si>
  <si>
    <t>F.8.1.2</t>
  </si>
  <si>
    <t>Block Numbers</t>
  </si>
  <si>
    <t>分区编号</t>
  </si>
  <si>
    <t>F.8.1.3</t>
  </si>
  <si>
    <t>Typical Container Corner Marking (per set of 4 marks)</t>
  </si>
  <si>
    <r>
      <rPr>
        <sz val="10"/>
        <rFont val="宋体-简"/>
        <charset val="134"/>
      </rPr>
      <t>集装箱典型角标（每套</t>
    </r>
    <r>
      <rPr>
        <sz val="10"/>
        <rFont val="Arial"/>
        <charset val="134"/>
      </rPr>
      <t>4</t>
    </r>
    <r>
      <rPr>
        <sz val="10"/>
        <rFont val="宋体-简"/>
        <charset val="134"/>
      </rPr>
      <t>个标记）</t>
    </r>
  </si>
  <si>
    <t>F.8.1.4</t>
  </si>
  <si>
    <t>Typical Container Corner Marking (per set of 6 marks)</t>
  </si>
  <si>
    <r>
      <rPr>
        <sz val="10"/>
        <rFont val="宋体-简"/>
        <charset val="134"/>
      </rPr>
      <t>集装箱典型角标（每套</t>
    </r>
    <r>
      <rPr>
        <sz val="10"/>
        <rFont val="Arial"/>
        <charset val="134"/>
      </rPr>
      <t>6</t>
    </r>
    <r>
      <rPr>
        <sz val="10"/>
        <rFont val="宋体-简"/>
        <charset val="134"/>
      </rPr>
      <t>个标记）</t>
    </r>
  </si>
  <si>
    <t>F.8.1.5</t>
  </si>
  <si>
    <t>F.8.1.6</t>
  </si>
  <si>
    <t>Painted Give Way Triangle Road Marking</t>
  </si>
  <si>
    <t>涂装让行三角形路面标线</t>
  </si>
  <si>
    <t>F.8.1.7</t>
  </si>
  <si>
    <t>Typical Painted Road Centre Line and Edge Line Markings</t>
  </si>
  <si>
    <t>典型涂装路面中心线及边线标线</t>
  </si>
  <si>
    <t>F.8.1.8</t>
  </si>
  <si>
    <t>RTG Track</t>
  </si>
  <si>
    <r>
      <rPr>
        <sz val="10"/>
        <rFont val="Arial"/>
        <charset val="134"/>
      </rPr>
      <t>RTG</t>
    </r>
    <r>
      <rPr>
        <sz val="10"/>
        <rFont val="宋体"/>
        <charset val="134"/>
      </rPr>
      <t>轨道</t>
    </r>
  </si>
  <si>
    <t>F.8.1.9</t>
  </si>
  <si>
    <t>F.8.1.11</t>
  </si>
  <si>
    <t>F.8.1.12</t>
  </si>
  <si>
    <t>Car Park Marking</t>
  </si>
  <si>
    <t>停车场标线</t>
  </si>
  <si>
    <t>F.8.1.13</t>
  </si>
  <si>
    <t>Truck Park Marking</t>
  </si>
  <si>
    <t>卡车停车标线</t>
  </si>
  <si>
    <t>F.8.1.14</t>
  </si>
  <si>
    <t>Pedestrian Walkway</t>
  </si>
  <si>
    <t>人行通道</t>
  </si>
  <si>
    <t>F.8.1.15</t>
  </si>
  <si>
    <t>Traffic Speed Marking</t>
  </si>
  <si>
    <t>交通限速标线</t>
  </si>
  <si>
    <t>F.8.2</t>
  </si>
  <si>
    <t>F.8.2.1</t>
  </si>
  <si>
    <t>SUBTOTAL - Linemarking and Signage</t>
  </si>
  <si>
    <r>
      <rPr>
        <b/>
        <sz val="10"/>
        <rFont val="宋体-简"/>
        <charset val="134"/>
      </rPr>
      <t>小计</t>
    </r>
    <r>
      <rPr>
        <b/>
        <sz val="10"/>
        <rFont val="Arial"/>
        <charset val="134"/>
      </rPr>
      <t xml:space="preserve"> - </t>
    </r>
    <r>
      <rPr>
        <b/>
        <sz val="10"/>
        <rFont val="宋体-简"/>
        <charset val="134"/>
      </rPr>
      <t>标线及标志</t>
    </r>
  </si>
  <si>
    <t>F.9</t>
  </si>
  <si>
    <t>Lashing Dojo</t>
  </si>
  <si>
    <t>系固作业区</t>
  </si>
  <si>
    <t>F.9.1</t>
  </si>
  <si>
    <t>Steel access platform</t>
  </si>
  <si>
    <t>钢结构登高平台</t>
  </si>
  <si>
    <t>- HDG Steel Structure</t>
  </si>
  <si>
    <r>
      <rPr>
        <sz val="10"/>
        <color rgb="FFFF0000"/>
        <rFont val="Arial"/>
        <charset val="134"/>
      </rPr>
      <t xml:space="preserve">- </t>
    </r>
    <r>
      <rPr>
        <sz val="10"/>
        <color rgb="FFFF0000"/>
        <rFont val="宋体"/>
        <charset val="134"/>
      </rPr>
      <t>热浸锌钢结构</t>
    </r>
  </si>
  <si>
    <t>- HDG Steel Platform</t>
  </si>
  <si>
    <r>
      <rPr>
        <sz val="10"/>
        <color rgb="FFFF0000"/>
        <rFont val="Arial"/>
        <charset val="134"/>
      </rPr>
      <t xml:space="preserve">- </t>
    </r>
    <r>
      <rPr>
        <sz val="10"/>
        <color rgb="FFFF0000"/>
        <rFont val="宋体"/>
        <charset val="134"/>
      </rPr>
      <t>热浸锌钢平台</t>
    </r>
  </si>
  <si>
    <t>F.9.2</t>
  </si>
  <si>
    <t>Concrete slab (unless not included in pavements or quay deck)</t>
  </si>
  <si>
    <t>混凝土板（若未包含于路面或码头甲板中）</t>
  </si>
  <si>
    <t>Subsoil drains</t>
  </si>
  <si>
    <t>地下排水管</t>
  </si>
  <si>
    <t>Secondary Substation Support Structures-EV Charger</t>
  </si>
  <si>
    <r>
      <rPr>
        <sz val="10"/>
        <color rgb="FFFF0000"/>
        <rFont val="宋体-简"/>
        <charset val="134"/>
      </rPr>
      <t>二级变电站支撑结构</t>
    </r>
    <r>
      <rPr>
        <sz val="10"/>
        <color rgb="FFFF0000"/>
        <rFont val="Arial"/>
        <charset val="134"/>
      </rPr>
      <t>—</t>
    </r>
    <r>
      <rPr>
        <sz val="10"/>
        <color rgb="FFFF0000"/>
        <rFont val="宋体-简"/>
        <charset val="134"/>
      </rPr>
      <t>电动车充电桩</t>
    </r>
  </si>
  <si>
    <r>
      <rPr>
        <sz val="10"/>
        <color rgb="FFFF0000"/>
        <rFont val="宋体-简"/>
        <charset val="134"/>
      </rPr>
      <t>泄漏集装箱围堰（</t>
    </r>
    <r>
      <rPr>
        <sz val="10"/>
        <color rgb="FFFF0000"/>
        <rFont val="Arial"/>
        <charset val="134"/>
      </rPr>
      <t>PER 006E</t>
    </r>
    <r>
      <rPr>
        <sz val="10"/>
        <color rgb="FFFF0000"/>
        <rFont val="宋体-简"/>
        <charset val="134"/>
      </rPr>
      <t>）</t>
    </r>
  </si>
  <si>
    <t>Concrete Barrier w/Internal Fence</t>
  </si>
  <si>
    <t>带内部围栏的混凝土隔离栏</t>
  </si>
  <si>
    <t>Truck Line Marking</t>
  </si>
  <si>
    <t>卡车车道标线</t>
  </si>
  <si>
    <t>Combine Service</t>
  </si>
  <si>
    <t>综合服务</t>
  </si>
  <si>
    <t>-Fire Water Pipe</t>
  </si>
  <si>
    <r>
      <rPr>
        <sz val="10"/>
        <color rgb="FFFF0000"/>
        <rFont val="Arial"/>
        <charset val="134"/>
      </rPr>
      <t xml:space="preserve">- </t>
    </r>
    <r>
      <rPr>
        <sz val="10"/>
        <color rgb="FFFF0000"/>
        <rFont val="宋体"/>
        <charset val="134"/>
      </rPr>
      <t>消防给水管道</t>
    </r>
  </si>
  <si>
    <t>-Hydrant with 50 mm. radius</t>
  </si>
  <si>
    <r>
      <rPr>
        <sz val="10"/>
        <color rgb="FFFF0000"/>
        <rFont val="Arial"/>
        <charset val="134"/>
      </rPr>
      <t>- 50</t>
    </r>
    <r>
      <rPr>
        <sz val="10"/>
        <color rgb="FFFF0000"/>
        <rFont val="宋体"/>
        <charset val="134"/>
      </rPr>
      <t>毫米半径消防栓</t>
    </r>
  </si>
  <si>
    <t>-Building Connection Point</t>
  </si>
  <si>
    <r>
      <rPr>
        <sz val="10"/>
        <color rgb="FFFF0000"/>
        <rFont val="Arial"/>
        <charset val="134"/>
      </rPr>
      <t xml:space="preserve">- </t>
    </r>
    <r>
      <rPr>
        <sz val="10"/>
        <color rgb="FFFF0000"/>
        <rFont val="宋体"/>
        <charset val="134"/>
      </rPr>
      <t>建筑连接点</t>
    </r>
  </si>
  <si>
    <t>-Hose Box</t>
  </si>
  <si>
    <r>
      <rPr>
        <sz val="10"/>
        <color rgb="FFFF0000"/>
        <rFont val="Arial"/>
        <charset val="134"/>
      </rPr>
      <t xml:space="preserve">- </t>
    </r>
    <r>
      <rPr>
        <sz val="10"/>
        <color rgb="FFFF0000"/>
        <rFont val="宋体"/>
        <charset val="134"/>
      </rPr>
      <t>水带箱</t>
    </r>
  </si>
  <si>
    <t>-Fire Extinguisher</t>
  </si>
  <si>
    <r>
      <rPr>
        <sz val="10"/>
        <color rgb="FFFF0000"/>
        <rFont val="Arial"/>
        <charset val="134"/>
      </rPr>
      <t xml:space="preserve">- </t>
    </r>
    <r>
      <rPr>
        <sz val="10"/>
        <color rgb="FFFF0000"/>
        <rFont val="宋体"/>
        <charset val="134"/>
      </rPr>
      <t>灭火器</t>
    </r>
  </si>
  <si>
    <t>-Earthwork for Fire Water Pipe under the Existing Slab</t>
  </si>
  <si>
    <r>
      <rPr>
        <sz val="10"/>
        <color rgb="FFFF0000"/>
        <rFont val="Arial"/>
        <charset val="134"/>
      </rPr>
      <t xml:space="preserve">- </t>
    </r>
    <r>
      <rPr>
        <sz val="10"/>
        <color rgb="FFFF0000"/>
        <rFont val="宋体"/>
        <charset val="134"/>
      </rPr>
      <t>现有混凝土板下消防给水管土方作业</t>
    </r>
  </si>
  <si>
    <t>TOTAL</t>
  </si>
  <si>
    <t>合计</t>
  </si>
  <si>
    <t>CLASS G</t>
  </si>
  <si>
    <t>ELECTRICAL, IT &amp; MECHANICAL (PER 007)</t>
  </si>
  <si>
    <r>
      <rPr>
        <b/>
        <sz val="10"/>
        <rFont val="宋体-简"/>
        <charset val="134"/>
      </rPr>
      <t>电气、信息技术及机械（编号</t>
    </r>
    <r>
      <rPr>
        <b/>
        <sz val="10"/>
        <rFont val="Arial"/>
        <charset val="134"/>
      </rPr>
      <t>007</t>
    </r>
    <r>
      <rPr>
        <b/>
        <sz val="10"/>
        <rFont val="宋体-简"/>
        <charset val="134"/>
      </rPr>
      <t>）</t>
    </r>
  </si>
  <si>
    <t>G.1</t>
  </si>
  <si>
    <t>Main Substation</t>
  </si>
  <si>
    <t>主变电站</t>
  </si>
  <si>
    <t>G.1.1</t>
  </si>
  <si>
    <t>Power Transformer (Design, Supply and installation and testing)</t>
  </si>
  <si>
    <t>电力变压器（设计、供应、安装及试验）</t>
  </si>
  <si>
    <t>G.1.1.1</t>
  </si>
  <si>
    <t>33/11.5 kV, 20/25 MVA, ONAN/ONAF, Dyn11 Power Transformers with OLTC (Approved European make) including Remote Tap Changer Control (RTCC) Panels with AVR (Approved European make). (including all accessories and commissioning)</t>
  </si>
  <si>
    <r>
      <rPr>
        <sz val="10"/>
        <rFont val="Arial"/>
        <charset val="134"/>
      </rPr>
      <t>33/11.5</t>
    </r>
    <r>
      <rPr>
        <sz val="10"/>
        <rFont val="宋体-简"/>
        <charset val="134"/>
      </rPr>
      <t>千伏，</t>
    </r>
    <r>
      <rPr>
        <sz val="10"/>
        <rFont val="Arial"/>
        <charset val="134"/>
      </rPr>
      <t>20/25</t>
    </r>
    <r>
      <rPr>
        <sz val="10"/>
        <rFont val="宋体-简"/>
        <charset val="134"/>
      </rPr>
      <t>兆伏安，</t>
    </r>
    <r>
      <rPr>
        <sz val="10"/>
        <rFont val="Arial"/>
        <charset val="134"/>
      </rPr>
      <t>ONAN/ONAF</t>
    </r>
    <r>
      <rPr>
        <sz val="10"/>
        <rFont val="宋体-简"/>
        <charset val="134"/>
      </rPr>
      <t>，</t>
    </r>
    <r>
      <rPr>
        <sz val="10"/>
        <rFont val="Arial"/>
        <charset val="134"/>
      </rPr>
      <t>Dyn11</t>
    </r>
    <r>
      <rPr>
        <sz val="10"/>
        <rFont val="宋体-简"/>
        <charset val="134"/>
      </rPr>
      <t>带</t>
    </r>
    <r>
      <rPr>
        <sz val="10"/>
        <rFont val="Arial"/>
        <charset val="134"/>
      </rPr>
      <t>OLTC</t>
    </r>
    <r>
      <rPr>
        <sz val="10"/>
        <rFont val="宋体-简"/>
        <charset val="134"/>
      </rPr>
      <t>电力变压器（经批准的欧洲品牌），含带</t>
    </r>
    <r>
      <rPr>
        <sz val="10"/>
        <rFont val="Arial"/>
        <charset val="134"/>
      </rPr>
      <t>AVR</t>
    </r>
    <r>
      <rPr>
        <sz val="10"/>
        <rFont val="宋体-简"/>
        <charset val="134"/>
      </rPr>
      <t>的远程分接头控制（</t>
    </r>
    <r>
      <rPr>
        <sz val="10"/>
        <rFont val="Arial"/>
        <charset val="134"/>
      </rPr>
      <t>RTCC</t>
    </r>
    <r>
      <rPr>
        <sz val="10"/>
        <rFont val="宋体-简"/>
        <charset val="134"/>
      </rPr>
      <t>）面板（经批准的欧洲品牌）（含全部附件及调试）</t>
    </r>
  </si>
  <si>
    <t>G.1.2</t>
  </si>
  <si>
    <t>33kV Main Switchboard (Design, Supply and installation and testing)</t>
  </si>
  <si>
    <r>
      <rPr>
        <b/>
        <sz val="10"/>
        <rFont val="Arial"/>
        <charset val="134"/>
      </rPr>
      <t>33</t>
    </r>
    <r>
      <rPr>
        <b/>
        <sz val="10"/>
        <rFont val="宋体-简"/>
        <charset val="134"/>
      </rPr>
      <t>千伏主配电盘（设计、供应、安装及试验）</t>
    </r>
  </si>
  <si>
    <t>G.1.2.1</t>
  </si>
  <si>
    <t>33kV Main Switchboard as per PERs and drawings.</t>
  </si>
  <si>
    <r>
      <rPr>
        <sz val="10"/>
        <rFont val="宋体-简"/>
        <charset val="134"/>
      </rPr>
      <t>符合</t>
    </r>
    <r>
      <rPr>
        <sz val="10"/>
        <rFont val="Arial"/>
        <charset val="134"/>
      </rPr>
      <t>PER</t>
    </r>
    <r>
      <rPr>
        <sz val="10"/>
        <rFont val="宋体-简"/>
        <charset val="134"/>
      </rPr>
      <t>及图纸要求的</t>
    </r>
    <r>
      <rPr>
        <sz val="10"/>
        <rFont val="Arial"/>
        <charset val="134"/>
      </rPr>
      <t>33</t>
    </r>
    <r>
      <rPr>
        <sz val="10"/>
        <rFont val="宋体-简"/>
        <charset val="134"/>
      </rPr>
      <t>千伏主配电盘</t>
    </r>
  </si>
  <si>
    <t>Sets</t>
  </si>
  <si>
    <t>G.1.3</t>
  </si>
  <si>
    <t>33kV Control &amp; Relay Panels (Design, Supply and installation and testing)</t>
  </si>
  <si>
    <r>
      <rPr>
        <b/>
        <sz val="10"/>
        <rFont val="Arial"/>
        <charset val="134"/>
      </rPr>
      <t>33</t>
    </r>
    <r>
      <rPr>
        <b/>
        <sz val="10"/>
        <rFont val="宋体-简"/>
        <charset val="134"/>
      </rPr>
      <t>千伏控制及继电保护面板（设计、供应、安装及试验）</t>
    </r>
  </si>
  <si>
    <t>G.1.3.1</t>
  </si>
  <si>
    <t>33kV Control, Relay, and Protection panel for 33kV Main Switchboard as per PERs and drawings.</t>
  </si>
  <si>
    <r>
      <rPr>
        <sz val="10"/>
        <rFont val="宋体-简"/>
        <charset val="134"/>
      </rPr>
      <t>符合</t>
    </r>
    <r>
      <rPr>
        <sz val="10"/>
        <rFont val="Arial"/>
        <charset val="134"/>
      </rPr>
      <t>PER</t>
    </r>
    <r>
      <rPr>
        <sz val="10"/>
        <rFont val="宋体-简"/>
        <charset val="134"/>
      </rPr>
      <t>及图纸要求的</t>
    </r>
    <r>
      <rPr>
        <sz val="10"/>
        <rFont val="Arial"/>
        <charset val="134"/>
      </rPr>
      <t>33</t>
    </r>
    <r>
      <rPr>
        <sz val="10"/>
        <rFont val="宋体-简"/>
        <charset val="134"/>
      </rPr>
      <t>千伏主配电盘控制、继电保护面板</t>
    </r>
  </si>
  <si>
    <t>G.1.4</t>
  </si>
  <si>
    <r>
      <rPr>
        <b/>
        <sz val="10"/>
        <rFont val="Arial"/>
        <charset val="134"/>
      </rPr>
      <t>11kV Main Switchboard</t>
    </r>
    <r>
      <rPr>
        <sz val="10"/>
        <rFont val="Arial"/>
        <charset val="134"/>
      </rPr>
      <t xml:space="preserve"> (Design, Supply and installation and testing)</t>
    </r>
  </si>
  <si>
    <r>
      <rPr>
        <b/>
        <sz val="10"/>
        <rFont val="Arial"/>
        <charset val="134"/>
      </rPr>
      <t>11</t>
    </r>
    <r>
      <rPr>
        <b/>
        <sz val="10"/>
        <rFont val="宋体-简"/>
        <charset val="134"/>
      </rPr>
      <t>千伏主配电盘</t>
    </r>
    <r>
      <rPr>
        <b/>
        <sz val="10"/>
        <rFont val="Arial"/>
        <charset val="134"/>
      </rPr>
      <t xml:space="preserve"> </t>
    </r>
    <r>
      <rPr>
        <b/>
        <sz val="10"/>
        <rFont val="宋体-简"/>
        <charset val="134"/>
      </rPr>
      <t>（设计、供应、安装及试验）</t>
    </r>
  </si>
  <si>
    <t>G.1.4.1</t>
  </si>
  <si>
    <t>11kV Main Switchboard as per PERs and drawings.</t>
  </si>
  <si>
    <r>
      <rPr>
        <sz val="10"/>
        <rFont val="宋体-简"/>
        <charset val="134"/>
      </rPr>
      <t>依据</t>
    </r>
    <r>
      <rPr>
        <sz val="10"/>
        <rFont val="Arial"/>
        <charset val="134"/>
      </rPr>
      <t>PER</t>
    </r>
    <r>
      <rPr>
        <sz val="10"/>
        <rFont val="宋体-简"/>
        <charset val="134"/>
      </rPr>
      <t>及图纸的</t>
    </r>
    <r>
      <rPr>
        <sz val="10"/>
        <rFont val="Arial"/>
        <charset val="134"/>
      </rPr>
      <t>11</t>
    </r>
    <r>
      <rPr>
        <sz val="10"/>
        <rFont val="宋体-简"/>
        <charset val="134"/>
      </rPr>
      <t>千伏主配电盘。</t>
    </r>
  </si>
  <si>
    <t>G.1.5</t>
  </si>
  <si>
    <r>
      <rPr>
        <b/>
        <sz val="10"/>
        <rFont val="Arial"/>
        <charset val="134"/>
      </rPr>
      <t xml:space="preserve">11kV Generator Switchboard </t>
    </r>
    <r>
      <rPr>
        <sz val="10"/>
        <rFont val="Arial"/>
        <charset val="134"/>
      </rPr>
      <t>(Design, Supply and installation and testing)</t>
    </r>
  </si>
  <si>
    <r>
      <rPr>
        <b/>
        <sz val="10"/>
        <rFont val="Arial"/>
        <charset val="134"/>
      </rPr>
      <t>11</t>
    </r>
    <r>
      <rPr>
        <b/>
        <sz val="10"/>
        <rFont val="宋体-简"/>
        <charset val="134"/>
      </rPr>
      <t>千伏发电机配电盘</t>
    </r>
    <r>
      <rPr>
        <b/>
        <sz val="10"/>
        <rFont val="Arial"/>
        <charset val="134"/>
      </rPr>
      <t xml:space="preserve"> </t>
    </r>
    <r>
      <rPr>
        <b/>
        <sz val="10"/>
        <rFont val="宋体-简"/>
        <charset val="134"/>
      </rPr>
      <t>（设计、供应、安装及测试）</t>
    </r>
  </si>
  <si>
    <t>G.1.5.1</t>
  </si>
  <si>
    <t>11kV Generator Switchboard as per PERs and drawings.</t>
  </si>
  <si>
    <r>
      <rPr>
        <sz val="10"/>
        <rFont val="宋体-简"/>
        <charset val="134"/>
      </rPr>
      <t>依据</t>
    </r>
    <r>
      <rPr>
        <sz val="10"/>
        <rFont val="Arial"/>
        <charset val="134"/>
      </rPr>
      <t>PER</t>
    </r>
    <r>
      <rPr>
        <sz val="10"/>
        <rFont val="宋体-简"/>
        <charset val="134"/>
      </rPr>
      <t>及图纸的</t>
    </r>
    <r>
      <rPr>
        <sz val="10"/>
        <rFont val="Arial"/>
        <charset val="134"/>
      </rPr>
      <t>11</t>
    </r>
    <r>
      <rPr>
        <sz val="10"/>
        <rFont val="宋体-简"/>
        <charset val="134"/>
      </rPr>
      <t>千伏发电机配电盘。</t>
    </r>
  </si>
  <si>
    <t>G.1.6</t>
  </si>
  <si>
    <r>
      <rPr>
        <b/>
        <sz val="10"/>
        <rFont val="Arial"/>
        <charset val="134"/>
      </rPr>
      <t xml:space="preserve">11kV Diesel Generator Sets </t>
    </r>
    <r>
      <rPr>
        <sz val="10"/>
        <rFont val="Arial"/>
        <charset val="134"/>
      </rPr>
      <t>(Design, Supply and installation and testing) NOTE: LV Diesel Generators with step up transformer also accepted</t>
    </r>
  </si>
  <si>
    <r>
      <rPr>
        <b/>
        <sz val="10"/>
        <rFont val="Arial"/>
        <charset val="134"/>
      </rPr>
      <t>11</t>
    </r>
    <r>
      <rPr>
        <b/>
        <sz val="10"/>
        <rFont val="宋体-简"/>
        <charset val="134"/>
      </rPr>
      <t>千伏柴油发电机组</t>
    </r>
    <r>
      <rPr>
        <b/>
        <sz val="10"/>
        <rFont val="Arial"/>
        <charset val="134"/>
      </rPr>
      <t xml:space="preserve"> </t>
    </r>
    <r>
      <rPr>
        <b/>
        <sz val="10"/>
        <rFont val="宋体-简"/>
        <charset val="134"/>
      </rPr>
      <t>（设计、供应、安装及测试）注：亦接受带升压变压器的低压柴油发电机组</t>
    </r>
  </si>
  <si>
    <t>G.1.6.1</t>
  </si>
  <si>
    <t>2.5MVA 11kV DG SET, complete with Containorised enclosure, base mounted/side mounted day tank, all other ancillary equipment including exhaust silensor and stack lead to safe distance as per local environment regulation.</t>
  </si>
  <si>
    <r>
      <rPr>
        <sz val="10"/>
        <rFont val="Arial"/>
        <charset val="134"/>
      </rPr>
      <t>2.5MVA 11</t>
    </r>
    <r>
      <rPr>
        <sz val="10"/>
        <rFont val="宋体-简"/>
        <charset val="134"/>
      </rPr>
      <t>千伏柴油发电机组，包含集装箱式机组外壳、基础安装或侧置日油箱及所有其他辅助设备，包括排气消声器和排气管道，排至符合当地环境法规的安全距离。</t>
    </r>
  </si>
  <si>
    <t>G.1.6.2</t>
  </si>
  <si>
    <t>11kV Neutral earthing resistor with Switch panel</t>
  </si>
  <si>
    <r>
      <rPr>
        <sz val="10"/>
        <rFont val="Arial"/>
        <charset val="134"/>
      </rPr>
      <t>11</t>
    </r>
    <r>
      <rPr>
        <sz val="10"/>
        <rFont val="宋体-简"/>
        <charset val="134"/>
      </rPr>
      <t>千伏中性点接地电阻及开关柜</t>
    </r>
  </si>
  <si>
    <t>G.1.6.3</t>
  </si>
  <si>
    <t>2MW Resistive load bank including resistor and transformer</t>
  </si>
  <si>
    <r>
      <rPr>
        <sz val="10"/>
        <rFont val="Arial"/>
        <charset val="134"/>
      </rPr>
      <t>2MW</t>
    </r>
    <r>
      <rPr>
        <sz val="10"/>
        <rFont val="宋体-简"/>
        <charset val="134"/>
      </rPr>
      <t>电阻负载组，包含电阻及变压器</t>
    </r>
  </si>
  <si>
    <t>G.1.7</t>
  </si>
  <si>
    <r>
      <rPr>
        <b/>
        <sz val="10"/>
        <rFont val="Arial"/>
        <charset val="134"/>
      </rPr>
      <t>LV Diesel Generator Set</t>
    </r>
    <r>
      <rPr>
        <sz val="10"/>
        <rFont val="Arial"/>
        <charset val="134"/>
      </rPr>
      <t xml:space="preserve"> (Design, Supply and installation and testing)</t>
    </r>
  </si>
  <si>
    <r>
      <rPr>
        <b/>
        <sz val="10"/>
        <rFont val="宋体-简"/>
        <charset val="134"/>
      </rPr>
      <t>低压柴油发电机组</t>
    </r>
    <r>
      <rPr>
        <b/>
        <sz val="10"/>
        <rFont val="Arial"/>
        <charset val="134"/>
      </rPr>
      <t xml:space="preserve"> </t>
    </r>
    <r>
      <rPr>
        <b/>
        <sz val="10"/>
        <rFont val="宋体-简"/>
        <charset val="134"/>
      </rPr>
      <t>（设计、供应、安装及试验）</t>
    </r>
  </si>
  <si>
    <t>G.1.7.1</t>
  </si>
  <si>
    <t>500kVA LV DG SET, complete with Containorised enclosure, base mounted/side mounted day tank, all other ancillary equipment including exhaust silensor and stack lead to safe distance as per local environment regulation.</t>
  </si>
  <si>
    <r>
      <rPr>
        <sz val="10"/>
        <rFont val="Arial"/>
        <charset val="134"/>
      </rPr>
      <t xml:space="preserve">500kVA </t>
    </r>
    <r>
      <rPr>
        <sz val="10"/>
        <rFont val="宋体-简"/>
        <charset val="134"/>
      </rPr>
      <t>低压柴油发电机组，配备集装箱式外壳、基座安装或侧面安装的日用油箱，及所有其他辅助设备，包括排气消声器和排气筒，排放引至安全距离，符合当地环境法规。</t>
    </r>
  </si>
  <si>
    <t>G.1.8</t>
  </si>
  <si>
    <t>Auxiliary Transformer (Design, Supply and installation and testing)</t>
  </si>
  <si>
    <t>辅助变压器（设计、供应、安装及测试）</t>
  </si>
  <si>
    <t>G.1.8.1</t>
  </si>
  <si>
    <t>Supply Installation, Testing, and commissioning of 11/0.415 kV, 500 kVA ONAN, Dyn11 Station Auxiliary Transformers.</t>
  </si>
  <si>
    <r>
      <rPr>
        <sz val="10"/>
        <rFont val="宋体-简"/>
        <charset val="134"/>
      </rPr>
      <t>供应、安装、测试及调试</t>
    </r>
    <r>
      <rPr>
        <sz val="10"/>
        <rFont val="Arial"/>
        <charset val="134"/>
      </rPr>
      <t>11/0.415 kV</t>
    </r>
    <r>
      <rPr>
        <sz val="10"/>
        <rFont val="宋体-简"/>
        <charset val="134"/>
      </rPr>
      <t>，</t>
    </r>
    <r>
      <rPr>
        <sz val="10"/>
        <rFont val="Arial"/>
        <charset val="134"/>
      </rPr>
      <t>500 kVA ONAN</t>
    </r>
    <r>
      <rPr>
        <sz val="10"/>
        <rFont val="宋体-简"/>
        <charset val="134"/>
      </rPr>
      <t>，</t>
    </r>
    <r>
      <rPr>
        <sz val="10"/>
        <rFont val="Arial"/>
        <charset val="134"/>
      </rPr>
      <t>Dyn11</t>
    </r>
    <r>
      <rPr>
        <sz val="10"/>
        <rFont val="宋体-简"/>
        <charset val="134"/>
      </rPr>
      <t>型车站辅助变压器。</t>
    </r>
  </si>
  <si>
    <t>G.1.9</t>
  </si>
  <si>
    <t>LV Main Switchboard (Design, Supply and installation and testing)</t>
  </si>
  <si>
    <t>低压主配电板（设计、供应、安装及测试）</t>
  </si>
  <si>
    <t>G.1.9.1</t>
  </si>
  <si>
    <t>LV Main Switchboard as per project specifications and SLD.</t>
  </si>
  <si>
    <t>符合项目规格及单线图要求的低压主配电板。</t>
  </si>
  <si>
    <t>G.1.9.2</t>
  </si>
  <si>
    <t>Power Factor correction</t>
  </si>
  <si>
    <t>功率因数校正</t>
  </si>
  <si>
    <t>G.1.9.3</t>
  </si>
  <si>
    <t>High Mast switchboard</t>
  </si>
  <si>
    <t>高桅杆配电板</t>
  </si>
  <si>
    <t>G.1.10</t>
  </si>
  <si>
    <t>UPS (Design, Supply and installation and testing)</t>
  </si>
  <si>
    <t>不间断电源（设计、供应、安装及测试）</t>
  </si>
  <si>
    <t>G.1.10.1</t>
  </si>
  <si>
    <t>TBC kVA UPS including batteries</t>
  </si>
  <si>
    <r>
      <rPr>
        <sz val="10"/>
        <rFont val="宋体-简"/>
        <charset val="134"/>
      </rPr>
      <t>待定功率</t>
    </r>
    <r>
      <rPr>
        <sz val="10"/>
        <rFont val="Arial"/>
        <charset val="134"/>
      </rPr>
      <t>kVA</t>
    </r>
    <r>
      <rPr>
        <sz val="10"/>
        <rFont val="宋体-简"/>
        <charset val="134"/>
      </rPr>
      <t>不间断电源，包括电池。</t>
    </r>
  </si>
  <si>
    <t>G.1.11</t>
  </si>
  <si>
    <r>
      <rPr>
        <b/>
        <sz val="10"/>
        <rFont val="Arial"/>
        <charset val="134"/>
      </rPr>
      <t xml:space="preserve">DC Battery &amp; Charger </t>
    </r>
    <r>
      <rPr>
        <sz val="10"/>
        <rFont val="Arial"/>
        <charset val="134"/>
      </rPr>
      <t>(Design, Supply and installation and testing)</t>
    </r>
  </si>
  <si>
    <r>
      <rPr>
        <b/>
        <sz val="10"/>
        <rFont val="宋体-简"/>
        <charset val="134"/>
      </rPr>
      <t>直流电池及充电器</t>
    </r>
    <r>
      <rPr>
        <b/>
        <sz val="10"/>
        <rFont val="Arial"/>
        <charset val="134"/>
      </rPr>
      <t xml:space="preserve"> </t>
    </r>
    <r>
      <rPr>
        <b/>
        <sz val="10"/>
        <rFont val="宋体-简"/>
        <charset val="134"/>
      </rPr>
      <t>（设计、供应、安装及测试）</t>
    </r>
  </si>
  <si>
    <t>G.1.11.1</t>
  </si>
  <si>
    <t>DC systems comprising of batteries (M-type Battery) , chargers, DC distribution boards and fuse box as per the PERs and Drawings.</t>
  </si>
  <si>
    <r>
      <rPr>
        <sz val="10"/>
        <rFont val="宋体-简"/>
        <charset val="134"/>
      </rPr>
      <t>直流系统，包括电池（</t>
    </r>
    <r>
      <rPr>
        <sz val="10"/>
        <rFont val="Arial"/>
        <charset val="134"/>
      </rPr>
      <t>M</t>
    </r>
    <r>
      <rPr>
        <sz val="10"/>
        <rFont val="宋体-简"/>
        <charset val="134"/>
      </rPr>
      <t>型电池）、充电器、直流配电盘及熔断器箱，依据</t>
    </r>
    <r>
      <rPr>
        <sz val="10"/>
        <rFont val="Arial"/>
        <charset val="134"/>
      </rPr>
      <t>PER</t>
    </r>
    <r>
      <rPr>
        <sz val="10"/>
        <rFont val="宋体-简"/>
        <charset val="134"/>
      </rPr>
      <t>及图纸要求。</t>
    </r>
  </si>
  <si>
    <t>G.1.12</t>
  </si>
  <si>
    <t>LVAC Installation (Design, Supply and installation and testing)</t>
  </si>
  <si>
    <t>低压交流安装（设计、供应、安装及测试）</t>
  </si>
  <si>
    <t>G.1.12.1</t>
  </si>
  <si>
    <t>Complete LVAC installation inclusive of distribution boards, Normal and Emergency light fixtures, sockets, cable trays, accessories; and, support systems for a complete and operable installation (including all LV, data and signal cabling within the substation.)</t>
  </si>
  <si>
    <t>完整的低压交流安装，包括配电盘、正常及应急灯具、插座、电缆桥架及配件；以及支持系统，确保安装完整且可操作（含变电所内部所有低压、电力、数据及信号电缆敷设）。</t>
  </si>
  <si>
    <t>Lot</t>
  </si>
  <si>
    <t>G.1.13</t>
  </si>
  <si>
    <t>Containment (Design, Supply and installation and testing)</t>
  </si>
  <si>
    <t>夹套（设计、供应、安装及测试）</t>
  </si>
  <si>
    <t>G.1.13.1</t>
  </si>
  <si>
    <t>Hot-dip galvanized cable tray works (Perforated/Ladder type) for all power/control cables laid in concrete trench/cable cellar including necessary supports &amp; its accessories, cables ladders and draw pits.</t>
  </si>
  <si>
    <r>
      <rPr>
        <sz val="10"/>
        <rFont val="宋体-简"/>
        <charset val="134"/>
      </rPr>
      <t>热浸镀锌电缆桥架工程（穿孔</t>
    </r>
    <r>
      <rPr>
        <sz val="10"/>
        <rFont val="Arial"/>
        <charset val="134"/>
      </rPr>
      <t>/</t>
    </r>
    <r>
      <rPr>
        <sz val="10"/>
        <rFont val="宋体-简"/>
        <charset val="134"/>
      </rPr>
      <t>梯式），适用于所有埋设于混凝土沟槽或电缆地下室内的动力及控制电缆，包括必要的支撑及其附件、电缆梯和拉挖井。</t>
    </r>
  </si>
  <si>
    <t>G.1.14</t>
  </si>
  <si>
    <t>Fire alarms (Design, Supply and installation and testing)</t>
  </si>
  <si>
    <t>火灾报警系统（设计、供应、安装及测试）</t>
  </si>
  <si>
    <t>G.1.14.1</t>
  </si>
  <si>
    <t>Fire detection &amp; alarm system, to cover the, DG areas, elelctrical rooms, transformer yards etc, as per NFPA, and local requirements</t>
  </si>
  <si>
    <r>
      <rPr>
        <sz val="10"/>
        <rFont val="宋体-简"/>
        <charset val="134"/>
      </rPr>
      <t>消防探测及报警系统，覆盖柴油发电机区、电气室、变压器场等，符合</t>
    </r>
    <r>
      <rPr>
        <sz val="10"/>
        <rFont val="Arial"/>
        <charset val="134"/>
      </rPr>
      <t>NFPA</t>
    </r>
    <r>
      <rPr>
        <sz val="10"/>
        <rFont val="宋体-简"/>
        <charset val="134"/>
      </rPr>
      <t>及当地相关要求</t>
    </r>
  </si>
  <si>
    <t>G.1.15</t>
  </si>
  <si>
    <t>Mechanical Installation (Design, Supply and installation and testing)</t>
  </si>
  <si>
    <t>机械安装（设计、供应、安装及测试）</t>
  </si>
  <si>
    <t>G.1.15.1</t>
  </si>
  <si>
    <t>Heating Ventilation and Air conditioning(HVAC) systems in accordance with the PERs and Drawings. Ten sets of split-type floor-standing air conditioners shall be provided, each with a cooling capacity of 7.2kW.
Six sets of split-type wall-mounted air conditioners shall be provided, each with a cooling capacity of 3.5kW.</t>
  </si>
  <si>
    <r>
      <rPr>
        <sz val="10"/>
        <rFont val="宋体-简"/>
        <charset val="134"/>
      </rPr>
      <t>暖通空调（</t>
    </r>
    <r>
      <rPr>
        <sz val="10"/>
        <rFont val="Arial"/>
        <charset val="134"/>
      </rPr>
      <t>HVAC</t>
    </r>
    <r>
      <rPr>
        <sz val="10"/>
        <rFont val="宋体-简"/>
        <charset val="134"/>
      </rPr>
      <t>）系统，符合</t>
    </r>
    <r>
      <rPr>
        <sz val="10"/>
        <rFont val="Arial"/>
        <charset val="134"/>
      </rPr>
      <t>PER</t>
    </r>
    <r>
      <rPr>
        <sz val="10"/>
        <rFont val="宋体-简"/>
        <charset val="134"/>
      </rPr>
      <t>及图纸要求。提供十套分体式立地空调，每套制冷量</t>
    </r>
    <r>
      <rPr>
        <sz val="10"/>
        <rFont val="Arial"/>
        <charset val="134"/>
      </rPr>
      <t>7.2 kW</t>
    </r>
    <r>
      <rPr>
        <sz val="10"/>
        <rFont val="宋体-简"/>
        <charset val="134"/>
      </rPr>
      <t>；提供六套分体式挂壁空调，每套制冷量</t>
    </r>
    <r>
      <rPr>
        <sz val="10"/>
        <rFont val="Arial"/>
        <charset val="134"/>
      </rPr>
      <t>3.5 kW</t>
    </r>
    <r>
      <rPr>
        <sz val="10"/>
        <rFont val="宋体-简"/>
        <charset val="134"/>
      </rPr>
      <t>。</t>
    </r>
  </si>
  <si>
    <t>G.1.15.2</t>
  </si>
  <si>
    <t>Industrial type, acid proof, Explosion proof Exhaust fan with Auto timer operation) with non-returnable louvers in Battery room.Air volume 5000 m³/h, pressure 250 Pa</t>
  </si>
  <si>
    <r>
      <rPr>
        <sz val="10"/>
        <rFont val="宋体-简"/>
        <charset val="134"/>
      </rPr>
      <t>电池房配备工业型耐酸、防爆排风扇（带自动定时器），设有防回流百叶。风量</t>
    </r>
    <r>
      <rPr>
        <sz val="10"/>
        <rFont val="Arial"/>
        <charset val="134"/>
      </rPr>
      <t>5000 m³/h</t>
    </r>
    <r>
      <rPr>
        <sz val="10"/>
        <rFont val="宋体-简"/>
        <charset val="134"/>
      </rPr>
      <t>，风压</t>
    </r>
    <r>
      <rPr>
        <sz val="10"/>
        <rFont val="Arial"/>
        <charset val="134"/>
      </rPr>
      <t>250 Pa</t>
    </r>
    <r>
      <rPr>
        <sz val="10"/>
        <rFont val="宋体-简"/>
        <charset val="134"/>
      </rPr>
      <t>。</t>
    </r>
  </si>
  <si>
    <t>G.1.15.3</t>
  </si>
  <si>
    <t>Industrial type, acid proof, Explosion proof Exhaust fan with Auto timer operation) with non-returnable louvers in Basement.Air volume 2000 m³/h, static pressure 250 Pa</t>
  </si>
  <si>
    <r>
      <rPr>
        <sz val="10"/>
        <rFont val="宋体-简"/>
        <charset val="134"/>
      </rPr>
      <t>地下室配备工业型耐酸、防爆排风扇（带自动定时器），设有防回流百叶。风量</t>
    </r>
    <r>
      <rPr>
        <sz val="10"/>
        <rFont val="Arial"/>
        <charset val="134"/>
      </rPr>
      <t>2000 m³/h</t>
    </r>
    <r>
      <rPr>
        <sz val="10"/>
        <rFont val="宋体-简"/>
        <charset val="134"/>
      </rPr>
      <t>，静压</t>
    </r>
    <r>
      <rPr>
        <sz val="10"/>
        <rFont val="Arial"/>
        <charset val="134"/>
      </rPr>
      <t>250 Pa</t>
    </r>
    <r>
      <rPr>
        <sz val="10"/>
        <rFont val="宋体-简"/>
        <charset val="134"/>
      </rPr>
      <t>。</t>
    </r>
  </si>
  <si>
    <t>G.1.15.4</t>
  </si>
  <si>
    <t>Supply, Installation, Testing and commissioning of an under ground double bunded steel oil storage tank with all appertunances, instruments, flame arrestor, vent, drain, inlet, outlet nozzles, fixing bolts on the foundation, required sacrificial anode type cathodic protection,earthing boss and all other accessories in accordance with the PERs and Drawings.</t>
  </si>
  <si>
    <r>
      <rPr>
        <sz val="10"/>
        <rFont val="宋体-简"/>
        <charset val="134"/>
      </rPr>
      <t>供应、安装、测试及调试一座地下双层钢制油罐，配备所有附属设备、仪表、阻火器、通风口、排水口、进出口法兰、基础固定螺栓、所需牺牲阳极式阴极保护装置、接地端子及依据</t>
    </r>
    <r>
      <rPr>
        <sz val="10"/>
        <rFont val="Arial"/>
        <charset val="134"/>
      </rPr>
      <t>PERs</t>
    </r>
    <r>
      <rPr>
        <sz val="10"/>
        <rFont val="宋体-简"/>
        <charset val="134"/>
      </rPr>
      <t>及图纸所列的所有其他附件。</t>
    </r>
  </si>
  <si>
    <t>G.1.15.5</t>
  </si>
  <si>
    <t>1 Working +1 Standby fuel oil unloading pumps with required motors, filters, valves,and skid piping, instruments etc.</t>
  </si>
  <si>
    <r>
      <rPr>
        <sz val="10"/>
        <rFont val="Arial"/>
        <charset val="134"/>
      </rPr>
      <t>1</t>
    </r>
    <r>
      <rPr>
        <sz val="10"/>
        <rFont val="宋体-简"/>
        <charset val="134"/>
      </rPr>
      <t>台运行及</t>
    </r>
    <r>
      <rPr>
        <sz val="10"/>
        <rFont val="Arial"/>
        <charset val="134"/>
      </rPr>
      <t>1</t>
    </r>
    <r>
      <rPr>
        <sz val="10"/>
        <rFont val="宋体-简"/>
        <charset val="134"/>
      </rPr>
      <t>台备用燃油卸载泵，配备所需电机、过滤器、阀门、管路滑架、仪表等。</t>
    </r>
  </si>
  <si>
    <t>G.1.15.6</t>
  </si>
  <si>
    <t>1 Working +1 Standby) fuel oil Transfer pumps with motors, filters, valves,and skid piping, instruments etc.</t>
  </si>
  <si>
    <r>
      <rPr>
        <sz val="10"/>
        <rFont val="Arial"/>
        <charset val="134"/>
      </rPr>
      <t>1</t>
    </r>
    <r>
      <rPr>
        <sz val="10"/>
        <rFont val="宋体-简"/>
        <charset val="134"/>
      </rPr>
      <t>台运行及</t>
    </r>
    <r>
      <rPr>
        <sz val="10"/>
        <rFont val="Arial"/>
        <charset val="134"/>
      </rPr>
      <t>1</t>
    </r>
    <r>
      <rPr>
        <sz val="10"/>
        <rFont val="宋体-简"/>
        <charset val="134"/>
      </rPr>
      <t>台备用燃油输送泵，配备电机、过滤器、阀门、管路滑架、仪表等。</t>
    </r>
  </si>
  <si>
    <t>G.1.15.7</t>
  </si>
  <si>
    <t>Supply , Installation, of required portable fire extinguishers to cover the proposed substation compound , DG areas, elelctrical rooms, transformer yards etc, as per NFPA, and local requirements.</t>
  </si>
  <si>
    <r>
      <rPr>
        <sz val="10"/>
        <rFont val="宋体-简"/>
        <charset val="134"/>
      </rPr>
      <t>依据美国消防协会（</t>
    </r>
    <r>
      <rPr>
        <sz val="10"/>
        <rFont val="Arial"/>
        <charset val="134"/>
      </rPr>
      <t>NFPA</t>
    </r>
    <r>
      <rPr>
        <sz val="10"/>
        <rFont val="宋体-简"/>
        <charset val="134"/>
      </rPr>
      <t>）及当地法规要求，供应及安装覆盖拟建变电站厂区、柴油发电机区域、电气室、变压器场地等的便携式灭火器。</t>
    </r>
  </si>
  <si>
    <t>G.1.16</t>
  </si>
  <si>
    <t>Earthing &amp; Lightning Protection (Design, Supply and installation and testing)</t>
  </si>
  <si>
    <t>接地与避雷保护（设计、供应、安装及测试）</t>
  </si>
  <si>
    <t>G.1.16.1</t>
  </si>
  <si>
    <t>Earthing and Lightning protection systems (Indoor and Outdoor) as per the PERs and Drawings.</t>
  </si>
  <si>
    <r>
      <rPr>
        <sz val="10"/>
        <rFont val="宋体-简"/>
        <charset val="134"/>
      </rPr>
      <t>按照</t>
    </r>
    <r>
      <rPr>
        <sz val="10"/>
        <rFont val="Arial"/>
        <charset val="134"/>
      </rPr>
      <t>PERs</t>
    </r>
    <r>
      <rPr>
        <sz val="10"/>
        <rFont val="宋体-简"/>
        <charset val="134"/>
      </rPr>
      <t>和图纸的室内外接地及避雷保护系统。</t>
    </r>
  </si>
  <si>
    <t>G.1.16.1.1</t>
  </si>
  <si>
    <t>25mm x 4mm copper tape</t>
  </si>
  <si>
    <r>
      <rPr>
        <sz val="10"/>
        <rFont val="Arial"/>
        <charset val="134"/>
      </rPr>
      <t>25</t>
    </r>
    <r>
      <rPr>
        <sz val="10"/>
        <rFont val="宋体-简"/>
        <charset val="134"/>
      </rPr>
      <t>毫米</t>
    </r>
    <r>
      <rPr>
        <sz val="10"/>
        <rFont val="Arial"/>
        <charset val="134"/>
      </rPr>
      <t>×4</t>
    </r>
    <r>
      <rPr>
        <sz val="10"/>
        <rFont val="宋体-简"/>
        <charset val="134"/>
      </rPr>
      <t>毫米铜带</t>
    </r>
  </si>
  <si>
    <t>G.1.16.1.2</t>
  </si>
  <si>
    <t>Φ10 Hot-dip Galvanised Steel Rod</t>
  </si>
  <si>
    <r>
      <rPr>
        <sz val="10"/>
        <rFont val="Arial"/>
        <charset val="134"/>
      </rPr>
      <t>Φ10</t>
    </r>
    <r>
      <rPr>
        <sz val="10"/>
        <rFont val="宋体-简"/>
        <charset val="134"/>
      </rPr>
      <t>热浸镀锌钢棒</t>
    </r>
  </si>
  <si>
    <t>G.1.16.1.3</t>
  </si>
  <si>
    <r>
      <rPr>
        <sz val="10"/>
        <rFont val="Arial"/>
        <charset val="134"/>
      </rPr>
      <t>20mm</t>
    </r>
    <r>
      <rPr>
        <sz val="10"/>
        <rFont val="宋体"/>
        <charset val="134"/>
      </rPr>
      <t>，</t>
    </r>
    <r>
      <rPr>
        <sz val="10"/>
        <rFont val="Arial"/>
        <charset val="134"/>
      </rPr>
      <t>3.0M LONG CU,EARTH</t>
    </r>
  </si>
  <si>
    <r>
      <rPr>
        <sz val="10"/>
        <rFont val="Arial"/>
        <charset val="134"/>
      </rPr>
      <t>20</t>
    </r>
    <r>
      <rPr>
        <sz val="10"/>
        <rFont val="宋体-简"/>
        <charset val="134"/>
      </rPr>
      <t>毫米，</t>
    </r>
    <r>
      <rPr>
        <sz val="10"/>
        <rFont val="Arial"/>
        <charset val="134"/>
      </rPr>
      <t>3.0</t>
    </r>
    <r>
      <rPr>
        <sz val="10"/>
        <rFont val="宋体-简"/>
        <charset val="134"/>
      </rPr>
      <t>米长铜接地体</t>
    </r>
  </si>
  <si>
    <t>G.1.16.1.4</t>
  </si>
  <si>
    <r>
      <rPr>
        <sz val="10"/>
        <rFont val="Arial"/>
        <charset val="134"/>
      </rPr>
      <t>20mm</t>
    </r>
    <r>
      <rPr>
        <sz val="10"/>
        <rFont val="宋体"/>
        <charset val="134"/>
      </rPr>
      <t>，</t>
    </r>
    <r>
      <rPr>
        <sz val="10"/>
        <rFont val="Arial"/>
        <charset val="134"/>
      </rPr>
      <t>DIA,3600mm long CU ground rod with cover</t>
    </r>
  </si>
  <si>
    <r>
      <rPr>
        <sz val="10"/>
        <rFont val="Arial"/>
        <charset val="134"/>
      </rPr>
      <t>20</t>
    </r>
    <r>
      <rPr>
        <sz val="10"/>
        <rFont val="宋体-简"/>
        <charset val="134"/>
      </rPr>
      <t>毫米，直径，</t>
    </r>
    <r>
      <rPr>
        <sz val="10"/>
        <rFont val="Arial"/>
        <charset val="134"/>
      </rPr>
      <t>3600</t>
    </r>
    <r>
      <rPr>
        <sz val="10"/>
        <rFont val="宋体-简"/>
        <charset val="134"/>
      </rPr>
      <t>毫米长带盖铜接地棒</t>
    </r>
  </si>
  <si>
    <t>G.1.16.1.5</t>
  </si>
  <si>
    <t>Bare copper conductor, 95mm²</t>
  </si>
  <si>
    <r>
      <rPr>
        <sz val="10"/>
        <rFont val="宋体-简"/>
        <charset val="134"/>
      </rPr>
      <t>裸铜导体，</t>
    </r>
    <r>
      <rPr>
        <sz val="10"/>
        <rFont val="Arial"/>
        <charset val="134"/>
      </rPr>
      <t>95</t>
    </r>
    <r>
      <rPr>
        <sz val="10"/>
        <rFont val="宋体-简"/>
        <charset val="134"/>
      </rPr>
      <t>平方毫米</t>
    </r>
  </si>
  <si>
    <t>G.1.16.1.6</t>
  </si>
  <si>
    <t>COPPER WIRE, 70mm²</t>
  </si>
  <si>
    <r>
      <rPr>
        <sz val="10"/>
        <rFont val="宋体-简"/>
        <charset val="134"/>
      </rPr>
      <t>铜线，</t>
    </r>
    <r>
      <rPr>
        <sz val="10"/>
        <rFont val="Arial"/>
        <charset val="134"/>
      </rPr>
      <t>70</t>
    </r>
    <r>
      <rPr>
        <sz val="10"/>
        <rFont val="宋体-简"/>
        <charset val="134"/>
      </rPr>
      <t>平方毫米</t>
    </r>
  </si>
  <si>
    <t>G.1.17.1</t>
  </si>
  <si>
    <t>Miscellaneous works not identified above but required to make the installation complete for achieving fully functional substation as per PERs and Drawings (Contractor to list the activities and indicate the item wise price for the same in the respective column).</t>
  </si>
  <si>
    <r>
      <rPr>
        <sz val="10"/>
        <rFont val="宋体-简"/>
        <charset val="134"/>
      </rPr>
      <t>上述未明确列出但根据</t>
    </r>
    <r>
      <rPr>
        <sz val="10"/>
        <rFont val="Arial"/>
        <charset val="134"/>
      </rPr>
      <t>PER</t>
    </r>
    <r>
      <rPr>
        <sz val="10"/>
        <rFont val="宋体-简"/>
        <charset val="134"/>
      </rPr>
      <t>和图纸要求，为实现变电站完全功能所需完成的零星工程（承包商应列出各项活动，并在相应栏中标明逐项价格）。</t>
    </r>
  </si>
  <si>
    <t>SUBTOTAL - Main Substation</t>
  </si>
  <si>
    <r>
      <rPr>
        <b/>
        <sz val="10"/>
        <rFont val="宋体-简"/>
        <charset val="134"/>
      </rPr>
      <t>小计</t>
    </r>
    <r>
      <rPr>
        <b/>
        <sz val="10"/>
        <rFont val="Arial"/>
        <charset val="134"/>
      </rPr>
      <t xml:space="preserve"> - </t>
    </r>
    <r>
      <rPr>
        <b/>
        <sz val="10"/>
        <rFont val="宋体-简"/>
        <charset val="134"/>
      </rPr>
      <t>主变电站</t>
    </r>
  </si>
  <si>
    <t>G.2</t>
  </si>
  <si>
    <t>Secondary Substations</t>
  </si>
  <si>
    <t>次级变电站</t>
  </si>
  <si>
    <t>G.2.1</t>
  </si>
  <si>
    <t>STS Substation (Design, Supply and installation and testing)</t>
  </si>
  <si>
    <r>
      <rPr>
        <b/>
        <sz val="10"/>
        <rFont val="Arial"/>
        <charset val="134"/>
      </rPr>
      <t>STS</t>
    </r>
    <r>
      <rPr>
        <b/>
        <sz val="10"/>
        <rFont val="宋体-简"/>
        <charset val="134"/>
      </rPr>
      <t>变电站（设计、供应、安装及测试）</t>
    </r>
  </si>
  <si>
    <t>G.2.1.1</t>
  </si>
  <si>
    <t>11kV STS Containerised switchroom
Standard ISO 40' or High Cube Container or Metal Containerised Electrical Substation Building comprising of following but not limited to:
1. 11KV GIS Switchboard
2. Earthing and Lightning protection systems (Indoor and Outdoor) as per the PERs and Drawings.
3. All other equipment as detailed in the PERs and Drawings.</t>
  </si>
  <si>
    <r>
      <rPr>
        <sz val="10"/>
        <rFont val="Arial"/>
        <charset val="134"/>
      </rPr>
      <t>11kV STS</t>
    </r>
    <r>
      <rPr>
        <sz val="10"/>
        <rFont val="宋体-简"/>
        <charset val="134"/>
      </rPr>
      <t>集装箱式开关室</t>
    </r>
    <r>
      <rPr>
        <sz val="10"/>
        <rFont val="Arial"/>
        <charset val="134"/>
      </rPr>
      <t xml:space="preserve">
</t>
    </r>
    <r>
      <rPr>
        <sz val="10"/>
        <rFont val="宋体-简"/>
        <charset val="134"/>
      </rPr>
      <t>标准</t>
    </r>
    <r>
      <rPr>
        <sz val="10"/>
        <rFont val="Arial"/>
        <charset val="134"/>
      </rPr>
      <t>ISO 40</t>
    </r>
    <r>
      <rPr>
        <sz val="10"/>
        <rFont val="宋体-简"/>
        <charset val="134"/>
      </rPr>
      <t>英尺或高箱集装箱，或金属集装箱式电气变电站建筑，包括但不限于：</t>
    </r>
    <r>
      <rPr>
        <sz val="10"/>
        <rFont val="Arial"/>
        <charset val="134"/>
      </rPr>
      <t xml:space="preserve">
1. 11kV GIS</t>
    </r>
    <r>
      <rPr>
        <sz val="10"/>
        <rFont val="宋体-简"/>
        <charset val="134"/>
      </rPr>
      <t>开关柜</t>
    </r>
    <r>
      <rPr>
        <sz val="10"/>
        <rFont val="Arial"/>
        <charset val="134"/>
      </rPr>
      <t xml:space="preserve">
2. </t>
    </r>
    <r>
      <rPr>
        <sz val="10"/>
        <rFont val="宋体-简"/>
        <charset val="134"/>
      </rPr>
      <t>根据</t>
    </r>
    <r>
      <rPr>
        <sz val="10"/>
        <rFont val="Arial"/>
        <charset val="134"/>
      </rPr>
      <t>PER</t>
    </r>
    <r>
      <rPr>
        <sz val="10"/>
        <rFont val="宋体-简"/>
        <charset val="134"/>
      </rPr>
      <t>和图纸的接地及防雷系统（室内与室外）。</t>
    </r>
    <r>
      <rPr>
        <sz val="10"/>
        <rFont val="Arial"/>
        <charset val="134"/>
      </rPr>
      <t xml:space="preserve">
3. PER</t>
    </r>
    <r>
      <rPr>
        <sz val="10"/>
        <rFont val="宋体-简"/>
        <charset val="134"/>
      </rPr>
      <t>和图纸中详细列明的所有其他设备。</t>
    </r>
  </si>
  <si>
    <t>G.2.1.2</t>
  </si>
  <si>
    <t>LV STS Containerised switchroom
Standard ISO 40' or High Cube Container or Metal Containerised Electrical Substation Building comprising of following but not limited to:
1. Hermatically Sealed 11/1 kV, 500KVA, Indoor duty suitable, ONAN, Dyn11, Off Circuit Tap Link +5 to -10% @ 2.5% step, Oil cooled Transformer
2. LV Switchboard
3. Distrbution Board - LDB, PDB etc. within enclosure
4. Earthing and Lightning protection systems (Indoor and Outdoor) as per the PERs and Drawings.
5. All other equipment as detailed in the PERs and Drawings.</t>
  </si>
  <si>
    <r>
      <rPr>
        <sz val="10"/>
        <rFont val="宋体-简"/>
        <charset val="134"/>
      </rPr>
      <t>低压</t>
    </r>
    <r>
      <rPr>
        <sz val="10"/>
        <rFont val="Arial"/>
        <charset val="134"/>
      </rPr>
      <t>STS</t>
    </r>
    <r>
      <rPr>
        <sz val="10"/>
        <rFont val="宋体-简"/>
        <charset val="134"/>
      </rPr>
      <t>集装箱式开关室</t>
    </r>
    <r>
      <rPr>
        <sz val="10"/>
        <rFont val="Arial"/>
        <charset val="134"/>
      </rPr>
      <t xml:space="preserve">
</t>
    </r>
    <r>
      <rPr>
        <sz val="10"/>
        <rFont val="宋体-简"/>
        <charset val="134"/>
      </rPr>
      <t>标准</t>
    </r>
    <r>
      <rPr>
        <sz val="10"/>
        <rFont val="Arial"/>
        <charset val="134"/>
      </rPr>
      <t>ISO 40</t>
    </r>
    <r>
      <rPr>
        <sz val="10"/>
        <rFont val="宋体-简"/>
        <charset val="134"/>
      </rPr>
      <t>英尺或高箱集装箱，或金属集装箱式电气变电站建筑，包括但不限于：</t>
    </r>
    <r>
      <rPr>
        <sz val="10"/>
        <rFont val="Arial"/>
        <charset val="134"/>
      </rPr>
      <t xml:space="preserve">
1. </t>
    </r>
    <r>
      <rPr>
        <sz val="10"/>
        <rFont val="宋体-简"/>
        <charset val="134"/>
      </rPr>
      <t>气密封</t>
    </r>
    <r>
      <rPr>
        <sz val="10"/>
        <rFont val="Arial"/>
        <charset val="134"/>
      </rPr>
      <t>11/1</t>
    </r>
    <r>
      <rPr>
        <sz val="10"/>
        <rFont val="宋体-简"/>
        <charset val="134"/>
      </rPr>
      <t>千伏，</t>
    </r>
    <r>
      <rPr>
        <sz val="10"/>
        <rFont val="Arial"/>
        <charset val="134"/>
      </rPr>
      <t>500KVA</t>
    </r>
    <r>
      <rPr>
        <sz val="10"/>
        <rFont val="宋体-简"/>
        <charset val="134"/>
      </rPr>
      <t>，适用于室内工作，</t>
    </r>
    <r>
      <rPr>
        <sz val="10"/>
        <rFont val="Arial"/>
        <charset val="134"/>
      </rPr>
      <t>ONAN</t>
    </r>
    <r>
      <rPr>
        <sz val="10"/>
        <rFont val="宋体-简"/>
        <charset val="134"/>
      </rPr>
      <t>，</t>
    </r>
    <r>
      <rPr>
        <sz val="10"/>
        <rFont val="Arial"/>
        <charset val="134"/>
      </rPr>
      <t>Dyn11</t>
    </r>
    <r>
      <rPr>
        <sz val="10"/>
        <rFont val="宋体-简"/>
        <charset val="134"/>
      </rPr>
      <t>，断路器旁路抽头</t>
    </r>
    <r>
      <rPr>
        <sz val="10"/>
        <rFont val="Arial"/>
        <charset val="134"/>
      </rPr>
      <t>+5%</t>
    </r>
    <r>
      <rPr>
        <sz val="10"/>
        <rFont val="宋体-简"/>
        <charset val="134"/>
      </rPr>
      <t>至</t>
    </r>
    <r>
      <rPr>
        <sz val="10"/>
        <rFont val="Arial"/>
        <charset val="134"/>
      </rPr>
      <t>-10%</t>
    </r>
    <r>
      <rPr>
        <sz val="10"/>
        <rFont val="宋体-简"/>
        <charset val="134"/>
      </rPr>
      <t>，步长</t>
    </r>
    <r>
      <rPr>
        <sz val="10"/>
        <rFont val="Arial"/>
        <charset val="134"/>
      </rPr>
      <t>2.5%</t>
    </r>
    <r>
      <rPr>
        <sz val="10"/>
        <rFont val="宋体-简"/>
        <charset val="134"/>
      </rPr>
      <t>，油冷变压器</t>
    </r>
    <r>
      <rPr>
        <sz val="10"/>
        <rFont val="Arial"/>
        <charset val="134"/>
      </rPr>
      <t xml:space="preserve">
2. </t>
    </r>
    <r>
      <rPr>
        <sz val="10"/>
        <rFont val="宋体-简"/>
        <charset val="134"/>
      </rPr>
      <t>低压配电盘</t>
    </r>
    <r>
      <rPr>
        <sz val="10"/>
        <rFont val="Arial"/>
        <charset val="134"/>
      </rPr>
      <t xml:space="preserve">
3. </t>
    </r>
    <r>
      <rPr>
        <sz val="10"/>
        <rFont val="宋体-简"/>
        <charset val="134"/>
      </rPr>
      <t>配电板</t>
    </r>
    <r>
      <rPr>
        <sz val="10"/>
        <rFont val="Arial"/>
        <charset val="134"/>
      </rPr>
      <t xml:space="preserve"> - LDB</t>
    </r>
    <r>
      <rPr>
        <sz val="10"/>
        <rFont val="宋体-简"/>
        <charset val="134"/>
      </rPr>
      <t>、</t>
    </r>
    <r>
      <rPr>
        <sz val="10"/>
        <rFont val="Arial"/>
        <charset val="134"/>
      </rPr>
      <t>PDB</t>
    </r>
    <r>
      <rPr>
        <sz val="10"/>
        <rFont val="宋体-简"/>
        <charset val="134"/>
      </rPr>
      <t>等，带机壳</t>
    </r>
    <r>
      <rPr>
        <sz val="10"/>
        <rFont val="Arial"/>
        <charset val="134"/>
      </rPr>
      <t xml:space="preserve">
4. </t>
    </r>
    <r>
      <rPr>
        <sz val="10"/>
        <rFont val="宋体-简"/>
        <charset val="134"/>
      </rPr>
      <t>接地及防雷系统（室内及室外），符合相关规范及图纸。</t>
    </r>
    <r>
      <rPr>
        <sz val="10"/>
        <rFont val="Arial"/>
        <charset val="134"/>
      </rPr>
      <t xml:space="preserve">
5. PER</t>
    </r>
    <r>
      <rPr>
        <sz val="10"/>
        <rFont val="宋体-简"/>
        <charset val="134"/>
      </rPr>
      <t>和图纸中详细列明的所有其他设备。</t>
    </r>
  </si>
  <si>
    <t>G.2.1.3</t>
  </si>
  <si>
    <t>G.2.2</t>
  </si>
  <si>
    <t>eRTG Substations (Design, Supply and installation and testing)</t>
  </si>
  <si>
    <r>
      <rPr>
        <b/>
        <sz val="10"/>
        <rFont val="Arial"/>
        <charset val="134"/>
      </rPr>
      <t xml:space="preserve">eRTG </t>
    </r>
    <r>
      <rPr>
        <b/>
        <sz val="10"/>
        <rFont val="宋体-简"/>
        <charset val="134"/>
      </rPr>
      <t>变电站（设计、供应、安装及试验）</t>
    </r>
  </si>
  <si>
    <t>G.2.2.1</t>
  </si>
  <si>
    <t>2000 kVA 11kV/1000V eRTG Containerized substation
Standard ISO 40' or High Cube Container or Metal Containerised Electrical Substation Building comprising of following but not limited to:
1. 11KV Ring Main Unit (RMU)
2. Hermatically Sealed 11/1 kV, 2000KVA, Indoor duty suitable, ONAN, Dyn11, Off Circuit Tap Link +5 to -10% @ 2.5% step, Oil cooled Transformer
3. LV Switchboard
4. Auxilary Transformer and Distrbution Board - LDB, PDB etc. within enclosure
5. Earthing and Lightning protection systems (Indoor and Outdoor) as per the PERs and Drawings.
6. All other equipment as detailed in the PERs and Drawings.</t>
  </si>
  <si>
    <r>
      <rPr>
        <sz val="10"/>
        <rFont val="Arial"/>
        <charset val="134"/>
      </rPr>
      <t xml:space="preserve">2000 kVA 11kV/1000V eRTG </t>
    </r>
    <r>
      <rPr>
        <sz val="10"/>
        <rFont val="宋体-简"/>
        <charset val="134"/>
      </rPr>
      <t>集装箱式变电站</t>
    </r>
    <r>
      <rPr>
        <sz val="10"/>
        <rFont val="Arial"/>
        <charset val="134"/>
      </rPr>
      <t xml:space="preserve">
</t>
    </r>
    <r>
      <rPr>
        <sz val="10"/>
        <rFont val="宋体-简"/>
        <charset val="134"/>
      </rPr>
      <t>符合</t>
    </r>
    <r>
      <rPr>
        <sz val="10"/>
        <rFont val="Arial"/>
        <charset val="134"/>
      </rPr>
      <t>ISO</t>
    </r>
    <r>
      <rPr>
        <sz val="10"/>
        <rFont val="宋体-简"/>
        <charset val="134"/>
      </rPr>
      <t>标准的</t>
    </r>
    <r>
      <rPr>
        <sz val="10"/>
        <rFont val="Arial"/>
        <charset val="134"/>
      </rPr>
      <t>40</t>
    </r>
    <r>
      <rPr>
        <sz val="10"/>
        <rFont val="宋体-简"/>
        <charset val="134"/>
      </rPr>
      <t>英尺或高箱集装箱，或金属集装箱式电气变电站建筑，包括但不限于：</t>
    </r>
    <r>
      <rPr>
        <sz val="10"/>
        <rFont val="Arial"/>
        <charset val="134"/>
      </rPr>
      <t xml:space="preserve">
1. 11kV </t>
    </r>
    <r>
      <rPr>
        <sz val="10"/>
        <rFont val="宋体-简"/>
        <charset val="134"/>
      </rPr>
      <t>环网单元</t>
    </r>
    <r>
      <rPr>
        <sz val="10"/>
        <rFont val="Arial"/>
        <charset val="134"/>
      </rPr>
      <t xml:space="preserve"> (RMU)
2. </t>
    </r>
    <r>
      <rPr>
        <sz val="10"/>
        <rFont val="宋体-简"/>
        <charset val="134"/>
      </rPr>
      <t>气密封</t>
    </r>
    <r>
      <rPr>
        <sz val="10"/>
        <rFont val="Arial"/>
        <charset val="134"/>
      </rPr>
      <t xml:space="preserve"> 11/1 </t>
    </r>
    <r>
      <rPr>
        <sz val="10"/>
        <rFont val="宋体-简"/>
        <charset val="134"/>
      </rPr>
      <t>千伏、</t>
    </r>
    <r>
      <rPr>
        <sz val="10"/>
        <rFont val="Arial"/>
        <charset val="134"/>
      </rPr>
      <t>2000 kVA</t>
    </r>
    <r>
      <rPr>
        <sz val="10"/>
        <rFont val="宋体-简"/>
        <charset val="134"/>
      </rPr>
      <t>、适用于室内工作的</t>
    </r>
    <r>
      <rPr>
        <sz val="10"/>
        <rFont val="Arial"/>
        <charset val="134"/>
      </rPr>
      <t xml:space="preserve"> ONAN</t>
    </r>
    <r>
      <rPr>
        <sz val="10"/>
        <rFont val="宋体-简"/>
        <charset val="134"/>
      </rPr>
      <t>、</t>
    </r>
    <r>
      <rPr>
        <sz val="10"/>
        <rFont val="Arial"/>
        <charset val="134"/>
      </rPr>
      <t>Dyn11</t>
    </r>
    <r>
      <rPr>
        <sz val="10"/>
        <rFont val="宋体-简"/>
        <charset val="134"/>
      </rPr>
      <t>、断路器旁路抽头</t>
    </r>
    <r>
      <rPr>
        <sz val="10"/>
        <rFont val="Arial"/>
        <charset val="134"/>
      </rPr>
      <t xml:space="preserve"> +5%</t>
    </r>
    <r>
      <rPr>
        <sz val="10"/>
        <rFont val="宋体-简"/>
        <charset val="134"/>
      </rPr>
      <t>至</t>
    </r>
    <r>
      <rPr>
        <sz val="10"/>
        <rFont val="Arial"/>
        <charset val="134"/>
      </rPr>
      <t xml:space="preserve"> -10% @ 2.5% </t>
    </r>
    <r>
      <rPr>
        <sz val="10"/>
        <rFont val="宋体-简"/>
        <charset val="134"/>
      </rPr>
      <t>步长的油浸式变压器</t>
    </r>
    <r>
      <rPr>
        <sz val="10"/>
        <rFont val="Arial"/>
        <charset val="134"/>
      </rPr>
      <t xml:space="preserve">
3. </t>
    </r>
    <r>
      <rPr>
        <sz val="10"/>
        <rFont val="宋体-简"/>
        <charset val="134"/>
      </rPr>
      <t>低压配电盘</t>
    </r>
    <r>
      <rPr>
        <sz val="10"/>
        <rFont val="Arial"/>
        <charset val="134"/>
      </rPr>
      <t xml:space="preserve">
4. </t>
    </r>
    <r>
      <rPr>
        <sz val="10"/>
        <rFont val="宋体-简"/>
        <charset val="134"/>
      </rPr>
      <t>辅助变压器及配电盘</t>
    </r>
    <r>
      <rPr>
        <sz val="10"/>
        <rFont val="Arial"/>
        <charset val="134"/>
      </rPr>
      <t>——LDB</t>
    </r>
    <r>
      <rPr>
        <sz val="10"/>
        <rFont val="宋体-简"/>
        <charset val="134"/>
      </rPr>
      <t>、</t>
    </r>
    <r>
      <rPr>
        <sz val="10"/>
        <rFont val="Arial"/>
        <charset val="134"/>
      </rPr>
      <t xml:space="preserve">PDB </t>
    </r>
    <r>
      <rPr>
        <sz val="10"/>
        <rFont val="宋体-简"/>
        <charset val="134"/>
      </rPr>
      <t>等，均置于封闭箱体内</t>
    </r>
    <r>
      <rPr>
        <sz val="10"/>
        <rFont val="Arial"/>
        <charset val="134"/>
      </rPr>
      <t xml:space="preserve">
5. </t>
    </r>
    <r>
      <rPr>
        <sz val="10"/>
        <rFont val="宋体-简"/>
        <charset val="134"/>
      </rPr>
      <t>接地及防雷系统（室内及室外），根据</t>
    </r>
    <r>
      <rPr>
        <sz val="10"/>
        <rFont val="Arial"/>
        <charset val="134"/>
      </rPr>
      <t>PER</t>
    </r>
    <r>
      <rPr>
        <sz val="10"/>
        <rFont val="宋体-简"/>
        <charset val="134"/>
      </rPr>
      <t>及图纸要求。</t>
    </r>
    <r>
      <rPr>
        <sz val="10"/>
        <rFont val="Arial"/>
        <charset val="134"/>
      </rPr>
      <t xml:space="preserve">
6. PER</t>
    </r>
    <r>
      <rPr>
        <sz val="10"/>
        <rFont val="宋体-简"/>
        <charset val="134"/>
      </rPr>
      <t>和图纸中详细列明的所有其他设备。</t>
    </r>
  </si>
  <si>
    <t>G.2.3</t>
  </si>
  <si>
    <t>Reefer Substations (Design, Supply and installation and testing)</t>
  </si>
  <si>
    <t>冷藏变电站（设计、供应、安装及测试）</t>
  </si>
  <si>
    <t>G.2.3.1</t>
  </si>
  <si>
    <t>1600 kVA 11kV/1000V eRTG Containerized substation
Standard ISO 40' or High Cube Container or Metal Containerised Electrical Substation Building comprising of following but not limited to:
1. 11KV Ring Main Unit (RMU)
2. Hermatically Sealed 11/1 kV, 1600KVA, Indoor duty suitable, ONAN, Dyn11, Off Circuit Tap Link +5 to -10% @ 2.5% step, Oil cooled Transformer
3. LV Switchboard
4. Distrbution Board - LDB, PDB etc. within enclosure
5. Earthing and Lightning protection systems (Indoor and Outdoor) as per the PERs and Drawings.
6. All other equipment as detailed in the PERs and Drawings.</t>
  </si>
  <si>
    <r>
      <rPr>
        <sz val="10"/>
        <rFont val="Arial"/>
        <charset val="134"/>
      </rPr>
      <t>1600 kVA 11kV/1000V eRTG</t>
    </r>
    <r>
      <rPr>
        <sz val="10"/>
        <rFont val="宋体-简"/>
        <charset val="134"/>
      </rPr>
      <t>集装箱式变电站</t>
    </r>
    <r>
      <rPr>
        <sz val="10"/>
        <rFont val="Arial"/>
        <charset val="134"/>
      </rPr>
      <t xml:space="preserve">
</t>
    </r>
    <r>
      <rPr>
        <sz val="10"/>
        <rFont val="宋体-简"/>
        <charset val="134"/>
      </rPr>
      <t>符合</t>
    </r>
    <r>
      <rPr>
        <sz val="10"/>
        <rFont val="Arial"/>
        <charset val="134"/>
      </rPr>
      <t>ISO</t>
    </r>
    <r>
      <rPr>
        <sz val="10"/>
        <rFont val="宋体-简"/>
        <charset val="134"/>
      </rPr>
      <t>标准</t>
    </r>
    <r>
      <rPr>
        <sz val="10"/>
        <rFont val="Arial"/>
        <charset val="134"/>
      </rPr>
      <t>40</t>
    </r>
    <r>
      <rPr>
        <sz val="10"/>
        <rFont val="宋体-简"/>
        <charset val="134"/>
      </rPr>
      <t>英尺或高箱集装箱，或金属集装箱式电气变电站建筑，包含但不限于以下内容：</t>
    </r>
    <r>
      <rPr>
        <sz val="10"/>
        <rFont val="Arial"/>
        <charset val="134"/>
      </rPr>
      <t xml:space="preserve">
1. 11kV</t>
    </r>
    <r>
      <rPr>
        <sz val="10"/>
        <rFont val="宋体-简"/>
        <charset val="134"/>
      </rPr>
      <t>环网单元（</t>
    </r>
    <r>
      <rPr>
        <sz val="10"/>
        <rFont val="Arial"/>
        <charset val="134"/>
      </rPr>
      <t>RMU</t>
    </r>
    <r>
      <rPr>
        <sz val="10"/>
        <rFont val="宋体-简"/>
        <charset val="134"/>
      </rPr>
      <t>）</t>
    </r>
    <r>
      <rPr>
        <sz val="10"/>
        <rFont val="Arial"/>
        <charset val="134"/>
      </rPr>
      <t xml:space="preserve">
2. </t>
    </r>
    <r>
      <rPr>
        <sz val="10"/>
        <rFont val="宋体-简"/>
        <charset val="134"/>
      </rPr>
      <t>气密封</t>
    </r>
    <r>
      <rPr>
        <sz val="10"/>
        <rFont val="Arial"/>
        <charset val="134"/>
      </rPr>
      <t>11/1</t>
    </r>
    <r>
      <rPr>
        <sz val="10"/>
        <rFont val="宋体-简"/>
        <charset val="134"/>
      </rPr>
      <t>千伏，</t>
    </r>
    <r>
      <rPr>
        <sz val="10"/>
        <rFont val="Arial"/>
        <charset val="134"/>
      </rPr>
      <t>1600 kVA</t>
    </r>
    <r>
      <rPr>
        <sz val="10"/>
        <rFont val="宋体-简"/>
        <charset val="134"/>
      </rPr>
      <t>，适用于室内工作，</t>
    </r>
    <r>
      <rPr>
        <sz val="10"/>
        <rFont val="Arial"/>
        <charset val="134"/>
      </rPr>
      <t>ONAN</t>
    </r>
    <r>
      <rPr>
        <sz val="10"/>
        <rFont val="宋体-简"/>
        <charset val="134"/>
      </rPr>
      <t>油浸式变压器，</t>
    </r>
    <r>
      <rPr>
        <sz val="10"/>
        <rFont val="Arial"/>
        <charset val="134"/>
      </rPr>
      <t>Dyn11</t>
    </r>
    <r>
      <rPr>
        <sz val="10"/>
        <rFont val="宋体-简"/>
        <charset val="134"/>
      </rPr>
      <t>联结，带离线抽头开关</t>
    </r>
    <r>
      <rPr>
        <sz val="10"/>
        <rFont val="Arial"/>
        <charset val="134"/>
      </rPr>
      <t>+5%</t>
    </r>
    <r>
      <rPr>
        <sz val="10"/>
        <rFont val="宋体-简"/>
        <charset val="134"/>
      </rPr>
      <t>至</t>
    </r>
    <r>
      <rPr>
        <sz val="10"/>
        <rFont val="Arial"/>
        <charset val="134"/>
      </rPr>
      <t>-10%</t>
    </r>
    <r>
      <rPr>
        <sz val="10"/>
        <rFont val="宋体-简"/>
        <charset val="134"/>
      </rPr>
      <t>，步进幅度</t>
    </r>
    <r>
      <rPr>
        <sz val="10"/>
        <rFont val="Arial"/>
        <charset val="134"/>
      </rPr>
      <t xml:space="preserve">2.5%
3. </t>
    </r>
    <r>
      <rPr>
        <sz val="10"/>
        <rFont val="宋体-简"/>
        <charset val="134"/>
      </rPr>
      <t>低压配电盘</t>
    </r>
    <r>
      <rPr>
        <sz val="10"/>
        <rFont val="Arial"/>
        <charset val="134"/>
      </rPr>
      <t xml:space="preserve">
4. </t>
    </r>
    <r>
      <rPr>
        <sz val="10"/>
        <rFont val="宋体-简"/>
        <charset val="134"/>
      </rPr>
      <t>配电板</t>
    </r>
    <r>
      <rPr>
        <sz val="10"/>
        <rFont val="Arial"/>
        <charset val="134"/>
      </rPr>
      <t>——</t>
    </r>
    <r>
      <rPr>
        <sz val="10"/>
        <rFont val="宋体-简"/>
        <charset val="134"/>
      </rPr>
      <t>低压配电箱（</t>
    </r>
    <r>
      <rPr>
        <sz val="10"/>
        <rFont val="Arial"/>
        <charset val="134"/>
      </rPr>
      <t>LDB</t>
    </r>
    <r>
      <rPr>
        <sz val="10"/>
        <rFont val="宋体-简"/>
        <charset val="134"/>
      </rPr>
      <t>）、功率配电板（</t>
    </r>
    <r>
      <rPr>
        <sz val="10"/>
        <rFont val="Arial"/>
        <charset val="134"/>
      </rPr>
      <t>PDB</t>
    </r>
    <r>
      <rPr>
        <sz val="10"/>
        <rFont val="宋体-简"/>
        <charset val="134"/>
      </rPr>
      <t>）等，均安装于箱体内</t>
    </r>
    <r>
      <rPr>
        <sz val="10"/>
        <rFont val="Arial"/>
        <charset val="134"/>
      </rPr>
      <t xml:space="preserve">
5. </t>
    </r>
    <r>
      <rPr>
        <sz val="10"/>
        <rFont val="宋体-简"/>
        <charset val="134"/>
      </rPr>
      <t>接地及防雷系统（室内及室外），根据</t>
    </r>
    <r>
      <rPr>
        <sz val="10"/>
        <rFont val="Arial"/>
        <charset val="134"/>
      </rPr>
      <t>PER</t>
    </r>
    <r>
      <rPr>
        <sz val="10"/>
        <rFont val="宋体-简"/>
        <charset val="134"/>
      </rPr>
      <t>及图纸要求。</t>
    </r>
    <r>
      <rPr>
        <sz val="10"/>
        <rFont val="Arial"/>
        <charset val="134"/>
      </rPr>
      <t xml:space="preserve">
6. PER</t>
    </r>
    <r>
      <rPr>
        <sz val="10"/>
        <rFont val="宋体-简"/>
        <charset val="134"/>
      </rPr>
      <t>和图纸中详细列明的所有其他设备。</t>
    </r>
  </si>
  <si>
    <t>SUBTOTAL - Secondary Substations</t>
  </si>
  <si>
    <r>
      <rPr>
        <b/>
        <sz val="10"/>
        <rFont val="宋体-简"/>
        <charset val="134"/>
      </rPr>
      <t>小计</t>
    </r>
    <r>
      <rPr>
        <b/>
        <sz val="10"/>
        <rFont val="Arial"/>
        <charset val="134"/>
      </rPr>
      <t xml:space="preserve"> - </t>
    </r>
    <r>
      <rPr>
        <b/>
        <sz val="10"/>
        <rFont val="宋体-简"/>
        <charset val="134"/>
      </rPr>
      <t>次级变电站</t>
    </r>
  </si>
  <si>
    <t>G.3</t>
  </si>
  <si>
    <t>HV Cabling</t>
  </si>
  <si>
    <t>高压电缆</t>
  </si>
  <si>
    <t>G.3.1</t>
  </si>
  <si>
    <r>
      <rPr>
        <b/>
        <sz val="10"/>
        <rFont val="Arial"/>
        <charset val="134"/>
      </rPr>
      <t xml:space="preserve">HV Cabling from Main Substation </t>
    </r>
    <r>
      <rPr>
        <sz val="10"/>
        <rFont val="Arial"/>
        <charset val="134"/>
      </rPr>
      <t>(Design, Supply, installation and testing)</t>
    </r>
  </si>
  <si>
    <r>
      <rPr>
        <b/>
        <sz val="10"/>
        <rFont val="宋体-简"/>
        <charset val="134"/>
      </rPr>
      <t>主变电站高压电缆</t>
    </r>
    <r>
      <rPr>
        <b/>
        <sz val="10"/>
        <rFont val="Arial"/>
        <charset val="134"/>
      </rPr>
      <t xml:space="preserve"> (</t>
    </r>
    <r>
      <rPr>
        <b/>
        <sz val="10"/>
        <rFont val="宋体-简"/>
        <charset val="134"/>
      </rPr>
      <t>设计、供应、安装及测试</t>
    </r>
    <r>
      <rPr>
        <b/>
        <sz val="10"/>
        <rFont val="Arial"/>
        <charset val="134"/>
      </rPr>
      <t>)</t>
    </r>
  </si>
  <si>
    <t>G.3.1.1</t>
  </si>
  <si>
    <t>HV Cabling from 33kV Main Switchboard to TX-1 (Contractor to quantify and itemise)
ZR-YJV32-21/35kV 2(3x185)</t>
  </si>
  <si>
    <r>
      <rPr>
        <sz val="10"/>
        <rFont val="Arial"/>
        <charset val="134"/>
      </rPr>
      <t>33</t>
    </r>
    <r>
      <rPr>
        <sz val="10"/>
        <rFont val="宋体-简"/>
        <charset val="134"/>
      </rPr>
      <t>千伏主配电盘至</t>
    </r>
    <r>
      <rPr>
        <sz val="10"/>
        <rFont val="Arial"/>
        <charset val="134"/>
      </rPr>
      <t>TX-1</t>
    </r>
    <r>
      <rPr>
        <sz val="10"/>
        <rFont val="宋体-简"/>
        <charset val="134"/>
      </rPr>
      <t>高压电缆（承包商负责计量及列项）</t>
    </r>
    <r>
      <rPr>
        <sz val="10"/>
        <rFont val="Arial"/>
        <charset val="134"/>
      </rPr>
      <t xml:space="preserve">
ZR-YJV32-21/35kV 2(3x185)</t>
    </r>
  </si>
  <si>
    <t>G.3.1.2</t>
  </si>
  <si>
    <t>HV Cabling from 33kV Main Switchboard to TX-2 (Contractor to quantify and itemise)
ZR-YJV22-21/35kV 2(3x185)</t>
  </si>
  <si>
    <r>
      <rPr>
        <sz val="10"/>
        <rFont val="Arial"/>
        <charset val="134"/>
      </rPr>
      <t>33</t>
    </r>
    <r>
      <rPr>
        <sz val="10"/>
        <rFont val="宋体-简"/>
        <charset val="134"/>
      </rPr>
      <t>千伏主配电盘至</t>
    </r>
    <r>
      <rPr>
        <sz val="10"/>
        <rFont val="Arial"/>
        <charset val="134"/>
      </rPr>
      <t>TX-2</t>
    </r>
    <r>
      <rPr>
        <sz val="10"/>
        <rFont val="宋体-简"/>
        <charset val="134"/>
      </rPr>
      <t>高压电缆（承包商负责计量及列项）</t>
    </r>
    <r>
      <rPr>
        <sz val="10"/>
        <rFont val="Arial"/>
        <charset val="134"/>
      </rPr>
      <t xml:space="preserve">
ZR-YJV22-21/35kV 2(3x185)</t>
    </r>
  </si>
  <si>
    <t>G.3.1.3</t>
  </si>
  <si>
    <t>HV Cabling from TX-1 to 11kV Main Switchboard Bus-A (Contractor to quantify and itemise)
ZR-YJV22-8.7/15kV  4(3x185)</t>
  </si>
  <si>
    <r>
      <rPr>
        <sz val="10"/>
        <rFont val="Arial"/>
        <charset val="134"/>
      </rPr>
      <t>TX-1</t>
    </r>
    <r>
      <rPr>
        <sz val="10"/>
        <rFont val="宋体-简"/>
        <charset val="134"/>
      </rPr>
      <t>至</t>
    </r>
    <r>
      <rPr>
        <sz val="10"/>
        <rFont val="Arial"/>
        <charset val="134"/>
      </rPr>
      <t>11</t>
    </r>
    <r>
      <rPr>
        <sz val="10"/>
        <rFont val="宋体-简"/>
        <charset val="134"/>
      </rPr>
      <t>千伏主配电盘母线</t>
    </r>
    <r>
      <rPr>
        <sz val="10"/>
        <rFont val="Arial"/>
        <charset val="134"/>
      </rPr>
      <t>-A</t>
    </r>
    <r>
      <rPr>
        <sz val="10"/>
        <rFont val="宋体-简"/>
        <charset val="134"/>
      </rPr>
      <t>高压电缆（承包商负责计量及列项）</t>
    </r>
    <r>
      <rPr>
        <sz val="10"/>
        <rFont val="Arial"/>
        <charset val="134"/>
      </rPr>
      <t xml:space="preserve">
ZR-YJV22-8.7/15kV 4(3x185)</t>
    </r>
  </si>
  <si>
    <t>G.3.1.4</t>
  </si>
  <si>
    <t>HV Cabling from TX-2 to 11kV Main Switchboard Bus-B (Contractor to quantify and itemise)
ZR-YJV22-8.7/15kV  4(3x185)</t>
  </si>
  <si>
    <r>
      <rPr>
        <sz val="10"/>
        <rFont val="Arial"/>
        <charset val="134"/>
      </rPr>
      <t>TX-2</t>
    </r>
    <r>
      <rPr>
        <sz val="10"/>
        <rFont val="宋体-简"/>
        <charset val="134"/>
      </rPr>
      <t>至</t>
    </r>
    <r>
      <rPr>
        <sz val="10"/>
        <rFont val="Arial"/>
        <charset val="134"/>
      </rPr>
      <t>11</t>
    </r>
    <r>
      <rPr>
        <sz val="10"/>
        <rFont val="宋体-简"/>
        <charset val="134"/>
      </rPr>
      <t>千伏主配电盘母线</t>
    </r>
    <r>
      <rPr>
        <sz val="10"/>
        <rFont val="Arial"/>
        <charset val="134"/>
      </rPr>
      <t>-B</t>
    </r>
    <r>
      <rPr>
        <sz val="10"/>
        <rFont val="宋体-简"/>
        <charset val="134"/>
      </rPr>
      <t>高压电缆（承包商负责计量及列项）</t>
    </r>
    <r>
      <rPr>
        <sz val="10"/>
        <rFont val="Arial"/>
        <charset val="134"/>
      </rPr>
      <t xml:space="preserve">
ZR-YJV22-8.7/15kV 4(3x185)</t>
    </r>
  </si>
  <si>
    <t>G.3.1.5</t>
  </si>
  <si>
    <t>HV Cabling from 11kV Main Switchboard Bus-A to 11kV Generator Switchboard (Contractor to quantify and itemise)
ZR-YJV22-8.7/15kV   2(3x240)</t>
  </si>
  <si>
    <r>
      <rPr>
        <sz val="10"/>
        <rFont val="宋体-简"/>
        <charset val="134"/>
      </rPr>
      <t>从</t>
    </r>
    <r>
      <rPr>
        <sz val="10"/>
        <rFont val="Arial"/>
        <charset val="134"/>
      </rPr>
      <t>11</t>
    </r>
    <r>
      <rPr>
        <sz val="10"/>
        <rFont val="宋体-简"/>
        <charset val="134"/>
      </rPr>
      <t>千伏主配电盘母线</t>
    </r>
    <r>
      <rPr>
        <sz val="10"/>
        <rFont val="Arial"/>
        <charset val="134"/>
      </rPr>
      <t>-A</t>
    </r>
    <r>
      <rPr>
        <sz val="10"/>
        <rFont val="宋体-简"/>
        <charset val="134"/>
      </rPr>
      <t>至</t>
    </r>
    <r>
      <rPr>
        <sz val="10"/>
        <rFont val="Arial"/>
        <charset val="134"/>
      </rPr>
      <t>11</t>
    </r>
    <r>
      <rPr>
        <sz val="10"/>
        <rFont val="宋体-简"/>
        <charset val="134"/>
      </rPr>
      <t>千伏发电机配电盘的高压电缆（由承包商自行计量并分项列明）</t>
    </r>
    <r>
      <rPr>
        <sz val="10"/>
        <rFont val="Arial"/>
        <charset val="134"/>
      </rPr>
      <t xml:space="preserve">
ZR-YJV22-8.7/15kV   2(3x240)</t>
    </r>
  </si>
  <si>
    <t>G.3.1.6</t>
  </si>
  <si>
    <t>HV Cabling from 11kV Main Switchboard Bus-B to 11kV Generator Switchboard (Contractor to quantify and itemise)
ZR-YJV22-8.7/15kV   2(3x240)</t>
  </si>
  <si>
    <r>
      <rPr>
        <sz val="10"/>
        <rFont val="宋体-简"/>
        <charset val="134"/>
      </rPr>
      <t>从</t>
    </r>
    <r>
      <rPr>
        <sz val="10"/>
        <rFont val="Arial"/>
        <charset val="134"/>
      </rPr>
      <t>11</t>
    </r>
    <r>
      <rPr>
        <sz val="10"/>
        <rFont val="宋体-简"/>
        <charset val="134"/>
      </rPr>
      <t>千伏主配电盘母线</t>
    </r>
    <r>
      <rPr>
        <sz val="10"/>
        <rFont val="Arial"/>
        <charset val="134"/>
      </rPr>
      <t>-B</t>
    </r>
    <r>
      <rPr>
        <sz val="10"/>
        <rFont val="宋体-简"/>
        <charset val="134"/>
      </rPr>
      <t>至</t>
    </r>
    <r>
      <rPr>
        <sz val="10"/>
        <rFont val="Arial"/>
        <charset val="134"/>
      </rPr>
      <t>11</t>
    </r>
    <r>
      <rPr>
        <sz val="10"/>
        <rFont val="宋体-简"/>
        <charset val="134"/>
      </rPr>
      <t>千伏发电机配电盘的高压电缆（由承包商自行计量并分项列明）</t>
    </r>
    <r>
      <rPr>
        <sz val="10"/>
        <rFont val="Arial"/>
        <charset val="134"/>
      </rPr>
      <t xml:space="preserve">
ZR-YJV22-8.7/15kV   2(3x240)</t>
    </r>
  </si>
  <si>
    <t>G.3.1.7</t>
  </si>
  <si>
    <t>HV Cabling from 11kV Main Switchboard Bus-A to Aux-Tx (Contractor to quantify and itemise)
ZR-YJV22-8.7/15kV  3x95</t>
  </si>
  <si>
    <r>
      <rPr>
        <sz val="10"/>
        <rFont val="宋体-简"/>
        <charset val="134"/>
      </rPr>
      <t>从</t>
    </r>
    <r>
      <rPr>
        <sz val="10"/>
        <rFont val="Arial"/>
        <charset val="134"/>
      </rPr>
      <t>11</t>
    </r>
    <r>
      <rPr>
        <sz val="10"/>
        <rFont val="宋体-简"/>
        <charset val="134"/>
      </rPr>
      <t>千伏主配电盘母线</t>
    </r>
    <r>
      <rPr>
        <sz val="10"/>
        <rFont val="Arial"/>
        <charset val="134"/>
      </rPr>
      <t>-A</t>
    </r>
    <r>
      <rPr>
        <sz val="10"/>
        <rFont val="宋体-简"/>
        <charset val="134"/>
      </rPr>
      <t>至辅助变压器的高压电缆（由承包商自行计量并分项列明）</t>
    </r>
    <r>
      <rPr>
        <sz val="10"/>
        <rFont val="Arial"/>
        <charset val="134"/>
      </rPr>
      <t xml:space="preserve">
ZR-YJV22-8.7/15kV  3x95</t>
    </r>
  </si>
  <si>
    <t>G.3.1.8</t>
  </si>
  <si>
    <t>HV Cabling from 11kV Main Switchboard Bus-B to Aux-Tx (Contractor to quantify and itemise)
ZR-YJV22-8.7/15kV  3x95</t>
  </si>
  <si>
    <r>
      <rPr>
        <sz val="10"/>
        <rFont val="宋体-简"/>
        <charset val="134"/>
      </rPr>
      <t>从</t>
    </r>
    <r>
      <rPr>
        <sz val="10"/>
        <rFont val="Arial"/>
        <charset val="134"/>
      </rPr>
      <t>11</t>
    </r>
    <r>
      <rPr>
        <sz val="10"/>
        <rFont val="宋体-简"/>
        <charset val="134"/>
      </rPr>
      <t>千伏主配电盘母线</t>
    </r>
    <r>
      <rPr>
        <sz val="10"/>
        <rFont val="Arial"/>
        <charset val="134"/>
      </rPr>
      <t>-B</t>
    </r>
    <r>
      <rPr>
        <sz val="10"/>
        <rFont val="宋体-简"/>
        <charset val="134"/>
      </rPr>
      <t>至辅助变压器的高压电缆（由承包商自行计量并分项列明）</t>
    </r>
    <r>
      <rPr>
        <sz val="10"/>
        <rFont val="Arial"/>
        <charset val="134"/>
      </rPr>
      <t xml:space="preserve">
ZR-YJV22-8.7/15kV  3x95</t>
    </r>
  </si>
  <si>
    <t>G.3.1.9</t>
  </si>
  <si>
    <t>HV Cabling from 11kV Main Switchboard Bus-A to SS-eRTG-01  (Contractor to quantify and itemise)
ZR-YJV22-8.7/15kV   2(3x240)</t>
  </si>
  <si>
    <r>
      <rPr>
        <sz val="10"/>
        <rFont val="宋体-简"/>
        <charset val="134"/>
      </rPr>
      <t>从</t>
    </r>
    <r>
      <rPr>
        <sz val="10"/>
        <rFont val="Arial"/>
        <charset val="134"/>
      </rPr>
      <t>11</t>
    </r>
    <r>
      <rPr>
        <sz val="10"/>
        <rFont val="宋体-简"/>
        <charset val="134"/>
      </rPr>
      <t>千伏主配电盘母线</t>
    </r>
    <r>
      <rPr>
        <sz val="10"/>
        <rFont val="Arial"/>
        <charset val="134"/>
      </rPr>
      <t>-A</t>
    </r>
    <r>
      <rPr>
        <sz val="10"/>
        <rFont val="宋体-简"/>
        <charset val="134"/>
      </rPr>
      <t>至</t>
    </r>
    <r>
      <rPr>
        <sz val="10"/>
        <rFont val="Arial"/>
        <charset val="134"/>
      </rPr>
      <t>SS-eRTG-01</t>
    </r>
    <r>
      <rPr>
        <sz val="10"/>
        <rFont val="宋体-简"/>
        <charset val="134"/>
      </rPr>
      <t>的高压电缆（承包商负责计量并逐项列明）</t>
    </r>
    <r>
      <rPr>
        <sz val="10"/>
        <rFont val="Arial"/>
        <charset val="134"/>
      </rPr>
      <t xml:space="preserve">
ZR-YJV22-8.7/15kV   2(3x240)</t>
    </r>
  </si>
  <si>
    <t>G.3.1.10</t>
  </si>
  <si>
    <t>HV Cabling from 11kV eRTG-SS-01 to SS-eRTG-02  (Contractor to quantify and itemise)
ZR-YJV22-8.7/15kV   2(3x240)</t>
  </si>
  <si>
    <r>
      <rPr>
        <sz val="10"/>
        <rFont val="宋体-简"/>
        <charset val="134"/>
      </rPr>
      <t>从</t>
    </r>
    <r>
      <rPr>
        <sz val="10"/>
        <rFont val="Arial"/>
        <charset val="134"/>
      </rPr>
      <t>11</t>
    </r>
    <r>
      <rPr>
        <sz val="10"/>
        <rFont val="宋体-简"/>
        <charset val="134"/>
      </rPr>
      <t>千伏</t>
    </r>
    <r>
      <rPr>
        <sz val="10"/>
        <rFont val="Arial"/>
        <charset val="134"/>
      </rPr>
      <t>eRTG-SS-01</t>
    </r>
    <r>
      <rPr>
        <sz val="10"/>
        <rFont val="宋体-简"/>
        <charset val="134"/>
      </rPr>
      <t>至</t>
    </r>
    <r>
      <rPr>
        <sz val="10"/>
        <rFont val="Arial"/>
        <charset val="134"/>
      </rPr>
      <t>SS-eRTG-02</t>
    </r>
    <r>
      <rPr>
        <sz val="10"/>
        <rFont val="宋体-简"/>
        <charset val="134"/>
      </rPr>
      <t>的高压电缆（承包商负责计量并逐项列明）</t>
    </r>
    <r>
      <rPr>
        <sz val="10"/>
        <rFont val="Arial"/>
        <charset val="134"/>
      </rPr>
      <t xml:space="preserve">
ZR-YJV22-8.7/15kV   2(3x240)</t>
    </r>
  </si>
  <si>
    <t>G.3.1.11</t>
  </si>
  <si>
    <t>HV Cabling from 11kV eRTG-SS-02 to SS-eRTG-03  (Contractor to quantify and itemise)
ZR-YJV22-8.7/15kV   3x240</t>
  </si>
  <si>
    <r>
      <rPr>
        <sz val="10"/>
        <rFont val="宋体-简"/>
        <charset val="134"/>
      </rPr>
      <t>从</t>
    </r>
    <r>
      <rPr>
        <sz val="10"/>
        <rFont val="Arial"/>
        <charset val="134"/>
      </rPr>
      <t>11</t>
    </r>
    <r>
      <rPr>
        <sz val="10"/>
        <rFont val="宋体-简"/>
        <charset val="134"/>
      </rPr>
      <t>千伏</t>
    </r>
    <r>
      <rPr>
        <sz val="10"/>
        <rFont val="Arial"/>
        <charset val="134"/>
      </rPr>
      <t>eRTG-SS-02</t>
    </r>
    <r>
      <rPr>
        <sz val="10"/>
        <rFont val="宋体-简"/>
        <charset val="134"/>
      </rPr>
      <t>至</t>
    </r>
    <r>
      <rPr>
        <sz val="10"/>
        <rFont val="Arial"/>
        <charset val="134"/>
      </rPr>
      <t>SS-eRTG-03</t>
    </r>
    <r>
      <rPr>
        <sz val="10"/>
        <rFont val="宋体-简"/>
        <charset val="134"/>
      </rPr>
      <t>的高压电缆（承包商负责计量并逐项列明）</t>
    </r>
    <r>
      <rPr>
        <sz val="10"/>
        <rFont val="Arial"/>
        <charset val="134"/>
      </rPr>
      <t xml:space="preserve">
ZR-YJV22-8.7/15kV   3x240</t>
    </r>
  </si>
  <si>
    <t>G.3.1.12</t>
  </si>
  <si>
    <t>HV Cabling from 11kV eRTG-SS-03 to SS-eRTG-04  (Contractor to quantify and itemise)
ZR-YJV22-8.7/15kV   2(3x240)</t>
  </si>
  <si>
    <r>
      <rPr>
        <sz val="10"/>
        <rFont val="宋体-简"/>
        <charset val="134"/>
      </rPr>
      <t>从</t>
    </r>
    <r>
      <rPr>
        <sz val="10"/>
        <rFont val="Arial"/>
        <charset val="134"/>
      </rPr>
      <t>11</t>
    </r>
    <r>
      <rPr>
        <sz val="10"/>
        <rFont val="宋体-简"/>
        <charset val="134"/>
      </rPr>
      <t>千伏</t>
    </r>
    <r>
      <rPr>
        <sz val="10"/>
        <rFont val="Arial"/>
        <charset val="134"/>
      </rPr>
      <t>eRTG-SS-03</t>
    </r>
    <r>
      <rPr>
        <sz val="10"/>
        <rFont val="宋体-简"/>
        <charset val="134"/>
      </rPr>
      <t>至</t>
    </r>
    <r>
      <rPr>
        <sz val="10"/>
        <rFont val="Arial"/>
        <charset val="134"/>
      </rPr>
      <t>SS-eRTG-04</t>
    </r>
    <r>
      <rPr>
        <sz val="10"/>
        <rFont val="宋体-简"/>
        <charset val="134"/>
      </rPr>
      <t>的高压电缆（承包商负责计量并逐项列明）</t>
    </r>
    <r>
      <rPr>
        <sz val="10"/>
        <rFont val="Arial"/>
        <charset val="134"/>
      </rPr>
      <t xml:space="preserve">
ZR-YJV22-8.7/15kV   2(3x240)</t>
    </r>
  </si>
  <si>
    <t>G.3.1.13</t>
  </si>
  <si>
    <t>HV Cabling from 11kV eRTG-SS-04 to 11kV Main Switchboard Bus-B  (Contractor to quantify and itemise)
ZR-YJV22-8.7/15kV   2(3x240)</t>
  </si>
  <si>
    <r>
      <rPr>
        <sz val="10"/>
        <rFont val="宋体-简"/>
        <charset val="134"/>
      </rPr>
      <t>从</t>
    </r>
    <r>
      <rPr>
        <sz val="10"/>
        <rFont val="Arial"/>
        <charset val="134"/>
      </rPr>
      <t>11kV eRTG-SS-04</t>
    </r>
    <r>
      <rPr>
        <sz val="10"/>
        <rFont val="宋体-简"/>
        <charset val="134"/>
      </rPr>
      <t>至</t>
    </r>
    <r>
      <rPr>
        <sz val="10"/>
        <rFont val="Arial"/>
        <charset val="134"/>
      </rPr>
      <t>11kV</t>
    </r>
    <r>
      <rPr>
        <sz val="10"/>
        <rFont val="宋体-简"/>
        <charset val="134"/>
      </rPr>
      <t>主配电盘母线</t>
    </r>
    <r>
      <rPr>
        <sz val="10"/>
        <rFont val="Arial"/>
        <charset val="134"/>
      </rPr>
      <t>-B</t>
    </r>
    <r>
      <rPr>
        <sz val="10"/>
        <rFont val="宋体-简"/>
        <charset val="134"/>
      </rPr>
      <t>的高压电缆（由承包商计量及列项）</t>
    </r>
    <r>
      <rPr>
        <sz val="10"/>
        <rFont val="Arial"/>
        <charset val="134"/>
      </rPr>
      <t xml:space="preserve">
ZR-YJV22-8.7/15kV   2(3x240)</t>
    </r>
  </si>
  <si>
    <t>G.3.1.14</t>
  </si>
  <si>
    <t>HV Cabling from 11kV Main Switchboard Bus-A to SS-REF-01  (Contractor to quantify and itemise)
ZR-YJV22-8.7/15kV   2(3x240)</t>
  </si>
  <si>
    <r>
      <rPr>
        <sz val="10"/>
        <rFont val="宋体-简"/>
        <charset val="134"/>
      </rPr>
      <t>从</t>
    </r>
    <r>
      <rPr>
        <sz val="10"/>
        <rFont val="Arial"/>
        <charset val="134"/>
      </rPr>
      <t>11kV</t>
    </r>
    <r>
      <rPr>
        <sz val="10"/>
        <rFont val="宋体-简"/>
        <charset val="134"/>
      </rPr>
      <t>主配电盘母线</t>
    </r>
    <r>
      <rPr>
        <sz val="10"/>
        <rFont val="Arial"/>
        <charset val="134"/>
      </rPr>
      <t>-A</t>
    </r>
    <r>
      <rPr>
        <sz val="10"/>
        <rFont val="宋体-简"/>
        <charset val="134"/>
      </rPr>
      <t>至</t>
    </r>
    <r>
      <rPr>
        <sz val="10"/>
        <rFont val="Arial"/>
        <charset val="134"/>
      </rPr>
      <t>SS-REF-01</t>
    </r>
    <r>
      <rPr>
        <sz val="10"/>
        <rFont val="宋体-简"/>
        <charset val="134"/>
      </rPr>
      <t>的高压电缆（由承包商计量及列项）</t>
    </r>
    <r>
      <rPr>
        <sz val="10"/>
        <rFont val="Arial"/>
        <charset val="134"/>
      </rPr>
      <t xml:space="preserve">
ZR-YJV22-8.7/15kV   2(3x240)</t>
    </r>
  </si>
  <si>
    <t>G.3.1.15</t>
  </si>
  <si>
    <t>HV Cabling from 11kV SS-REF-01 to SS-REF-02  (Contractor to quantify and itemise)
ZR-YJV22-8.7/15kV   2(3x185)</t>
  </si>
  <si>
    <r>
      <rPr>
        <sz val="10"/>
        <rFont val="宋体-简"/>
        <charset val="134"/>
      </rPr>
      <t>从</t>
    </r>
    <r>
      <rPr>
        <sz val="10"/>
        <rFont val="Arial"/>
        <charset val="134"/>
      </rPr>
      <t>11kV SS-REF-01</t>
    </r>
    <r>
      <rPr>
        <sz val="10"/>
        <rFont val="宋体-简"/>
        <charset val="134"/>
      </rPr>
      <t>至</t>
    </r>
    <r>
      <rPr>
        <sz val="10"/>
        <rFont val="Arial"/>
        <charset val="134"/>
      </rPr>
      <t>SS-REF-02</t>
    </r>
    <r>
      <rPr>
        <sz val="10"/>
        <rFont val="宋体-简"/>
        <charset val="134"/>
      </rPr>
      <t>的高压电缆（由承包商计量及列项）</t>
    </r>
    <r>
      <rPr>
        <sz val="10"/>
        <rFont val="Arial"/>
        <charset val="134"/>
      </rPr>
      <t xml:space="preserve">
ZR-YJV22-8.7/15kV   2(3x185)</t>
    </r>
  </si>
  <si>
    <t>G.3.1.16</t>
  </si>
  <si>
    <t>HV Cabling from 11kV SS-REF-02 to SS-REF-03  (Contractor to quantify and itemise)
ZR-YJV22-8.7/15kV   3x240</t>
  </si>
  <si>
    <r>
      <rPr>
        <sz val="10"/>
        <rFont val="宋体-简"/>
        <charset val="134"/>
      </rPr>
      <t>从</t>
    </r>
    <r>
      <rPr>
        <sz val="10"/>
        <rFont val="Arial"/>
        <charset val="134"/>
      </rPr>
      <t>11kV SS-REF-02</t>
    </r>
    <r>
      <rPr>
        <sz val="10"/>
        <rFont val="宋体-简"/>
        <charset val="134"/>
      </rPr>
      <t>至</t>
    </r>
    <r>
      <rPr>
        <sz val="10"/>
        <rFont val="Arial"/>
        <charset val="134"/>
      </rPr>
      <t>SS-REF-03</t>
    </r>
    <r>
      <rPr>
        <sz val="10"/>
        <rFont val="宋体-简"/>
        <charset val="134"/>
      </rPr>
      <t>的高压电缆（由承包商计量及列项）</t>
    </r>
    <r>
      <rPr>
        <sz val="10"/>
        <rFont val="Arial"/>
        <charset val="134"/>
      </rPr>
      <t xml:space="preserve">
ZR-YJV22-8.7/15kV   3x240</t>
    </r>
  </si>
  <si>
    <t>G.3.1.17</t>
  </si>
  <si>
    <t>HV Cabling from 11kV SS-REF-03 to SS-REF-04  (Contractor to quantify and itemise)
ZR-YJV22-8.7/15kV   2(3x185)</t>
  </si>
  <si>
    <r>
      <rPr>
        <sz val="10"/>
        <rFont val="宋体-简"/>
        <charset val="134"/>
      </rPr>
      <t>从</t>
    </r>
    <r>
      <rPr>
        <sz val="10"/>
        <rFont val="Arial"/>
        <charset val="134"/>
      </rPr>
      <t>11</t>
    </r>
    <r>
      <rPr>
        <sz val="10"/>
        <rFont val="宋体-简"/>
        <charset val="134"/>
      </rPr>
      <t>千伏</t>
    </r>
    <r>
      <rPr>
        <sz val="10"/>
        <rFont val="Arial"/>
        <charset val="134"/>
      </rPr>
      <t>SS-REF-03</t>
    </r>
    <r>
      <rPr>
        <sz val="10"/>
        <rFont val="宋体-简"/>
        <charset val="134"/>
      </rPr>
      <t>到</t>
    </r>
    <r>
      <rPr>
        <sz val="10"/>
        <rFont val="Arial"/>
        <charset val="134"/>
      </rPr>
      <t>SS-REF-04</t>
    </r>
    <r>
      <rPr>
        <sz val="10"/>
        <rFont val="宋体-简"/>
        <charset val="134"/>
      </rPr>
      <t>的高压电缆（承包商需计算并分项列明）</t>
    </r>
    <r>
      <rPr>
        <sz val="10"/>
        <rFont val="Arial"/>
        <charset val="134"/>
      </rPr>
      <t xml:space="preserve">
ZR-YJV22-8.7/15kV  2(3x185)</t>
    </r>
  </si>
  <si>
    <t>G.3.1.18</t>
  </si>
  <si>
    <t>G.3.1.19</t>
  </si>
  <si>
    <t>HV Cabling from 11kV Main Switchboard Bus-A to SS-STS-01  (Contractor to quantify and itemise)
ZR-YJV22-8.7/15kV   3(3x240)</t>
  </si>
  <si>
    <r>
      <rPr>
        <sz val="10"/>
        <rFont val="宋体-简"/>
        <charset val="134"/>
      </rPr>
      <t>从</t>
    </r>
    <r>
      <rPr>
        <sz val="10"/>
        <rFont val="Arial"/>
        <charset val="134"/>
      </rPr>
      <t>11</t>
    </r>
    <r>
      <rPr>
        <sz val="10"/>
        <rFont val="宋体-简"/>
        <charset val="134"/>
      </rPr>
      <t>千伏主配电盘母线</t>
    </r>
    <r>
      <rPr>
        <sz val="10"/>
        <rFont val="Arial"/>
        <charset val="134"/>
      </rPr>
      <t>-A</t>
    </r>
    <r>
      <rPr>
        <sz val="10"/>
        <rFont val="宋体-简"/>
        <charset val="134"/>
      </rPr>
      <t>到</t>
    </r>
    <r>
      <rPr>
        <sz val="10"/>
        <rFont val="Arial"/>
        <charset val="134"/>
      </rPr>
      <t>SS-STS-01</t>
    </r>
    <r>
      <rPr>
        <sz val="10"/>
        <rFont val="宋体-简"/>
        <charset val="134"/>
      </rPr>
      <t>的高压电缆（承包商需计算并分项列明）</t>
    </r>
    <r>
      <rPr>
        <sz val="10"/>
        <rFont val="Arial"/>
        <charset val="134"/>
      </rPr>
      <t xml:space="preserve">
ZR-YJV22-8.7/15kV  3(3x240)</t>
    </r>
  </si>
  <si>
    <t>G.3.1.20</t>
  </si>
  <si>
    <t>HV Cabling from 11kV SS-STS-01 to 11kV Main Switchboard Bus-B  (Contractor to quantify and itemise)
ZR-YJV22-8.7/15kV   2(3x240)</t>
  </si>
  <si>
    <r>
      <rPr>
        <sz val="10"/>
        <rFont val="宋体-简"/>
        <charset val="134"/>
      </rPr>
      <t>从</t>
    </r>
    <r>
      <rPr>
        <sz val="10"/>
        <rFont val="Arial"/>
        <charset val="134"/>
      </rPr>
      <t>11</t>
    </r>
    <r>
      <rPr>
        <sz val="10"/>
        <rFont val="宋体-简"/>
        <charset val="134"/>
      </rPr>
      <t>千伏</t>
    </r>
    <r>
      <rPr>
        <sz val="10"/>
        <rFont val="Arial"/>
        <charset val="134"/>
      </rPr>
      <t>SS-STS-01</t>
    </r>
    <r>
      <rPr>
        <sz val="10"/>
        <rFont val="宋体-简"/>
        <charset val="134"/>
      </rPr>
      <t>到</t>
    </r>
    <r>
      <rPr>
        <sz val="10"/>
        <rFont val="Arial"/>
        <charset val="134"/>
      </rPr>
      <t>11</t>
    </r>
    <r>
      <rPr>
        <sz val="10"/>
        <rFont val="宋体-简"/>
        <charset val="134"/>
      </rPr>
      <t>千伏主配电盘母线</t>
    </r>
    <r>
      <rPr>
        <sz val="10"/>
        <rFont val="Arial"/>
        <charset val="134"/>
      </rPr>
      <t>-B</t>
    </r>
    <r>
      <rPr>
        <sz val="10"/>
        <rFont val="宋体-简"/>
        <charset val="134"/>
      </rPr>
      <t>的高压电缆（承包商需计算并分项列明）</t>
    </r>
    <r>
      <rPr>
        <sz val="10"/>
        <rFont val="Arial"/>
        <charset val="134"/>
      </rPr>
      <t xml:space="preserve">
ZR-YJV22-8.7/15kV  2(3x240)</t>
    </r>
  </si>
  <si>
    <t>G.3.1.21</t>
  </si>
  <si>
    <t>HV Cabling from 11kV Generator Switchboard to EDG-1  (Contractor to quantify and itemise)
ZR-YJV22-8.7/15kV   2(3x240)</t>
  </si>
  <si>
    <r>
      <rPr>
        <sz val="10"/>
        <rFont val="宋体-简"/>
        <charset val="134"/>
      </rPr>
      <t>从</t>
    </r>
    <r>
      <rPr>
        <sz val="10"/>
        <rFont val="Arial"/>
        <charset val="134"/>
      </rPr>
      <t>11</t>
    </r>
    <r>
      <rPr>
        <sz val="10"/>
        <rFont val="宋体-简"/>
        <charset val="134"/>
      </rPr>
      <t>千伏发电机配电盘到</t>
    </r>
    <r>
      <rPr>
        <sz val="10"/>
        <rFont val="Arial"/>
        <charset val="134"/>
      </rPr>
      <t>EDG-1</t>
    </r>
    <r>
      <rPr>
        <sz val="10"/>
        <rFont val="宋体-简"/>
        <charset val="134"/>
      </rPr>
      <t>的高压电缆（承包商需计算并分项列明）</t>
    </r>
    <r>
      <rPr>
        <sz val="10"/>
        <rFont val="Arial"/>
        <charset val="134"/>
      </rPr>
      <t xml:space="preserve">
ZR-YJV22-8.7/15kV  2(3x240)</t>
    </r>
  </si>
  <si>
    <t>G.3.1.22</t>
  </si>
  <si>
    <t>HV Cabling from 11kV Generator Switchboard to EDG-2  (Contractor to quantify and itemise)
ZR-YJV22-8.7/15kV   2(3x240)</t>
  </si>
  <si>
    <r>
      <rPr>
        <sz val="10"/>
        <rFont val="宋体-简"/>
        <charset val="134"/>
      </rPr>
      <t>从</t>
    </r>
    <r>
      <rPr>
        <sz val="10"/>
        <rFont val="Arial"/>
        <charset val="134"/>
      </rPr>
      <t>11</t>
    </r>
    <r>
      <rPr>
        <sz val="10"/>
        <rFont val="宋体-简"/>
        <charset val="134"/>
      </rPr>
      <t>千伏发电机配电盘至</t>
    </r>
    <r>
      <rPr>
        <sz val="10"/>
        <rFont val="Arial"/>
        <charset val="134"/>
      </rPr>
      <t>EDG-2</t>
    </r>
    <r>
      <rPr>
        <sz val="10"/>
        <rFont val="宋体-简"/>
        <charset val="134"/>
      </rPr>
      <t>的高压电缆（承包商负责计量及列项）</t>
    </r>
    <r>
      <rPr>
        <sz val="10"/>
        <rFont val="Arial"/>
        <charset val="134"/>
      </rPr>
      <t xml:space="preserve">
ZR-YJV22-8.7/15kV 2(3x240)</t>
    </r>
  </si>
  <si>
    <t>G.3.1.23</t>
  </si>
  <si>
    <t>HV Cabling from 11kV Generator Switchboard to Loadbank  (Contractor to quantify and itemise)
ZR-YJV22-8.7/15kV   2(3x240)</t>
  </si>
  <si>
    <r>
      <rPr>
        <sz val="10"/>
        <rFont val="宋体-简"/>
        <charset val="134"/>
      </rPr>
      <t>从</t>
    </r>
    <r>
      <rPr>
        <sz val="10"/>
        <rFont val="Arial"/>
        <charset val="134"/>
      </rPr>
      <t>11</t>
    </r>
    <r>
      <rPr>
        <sz val="10"/>
        <rFont val="宋体-简"/>
        <charset val="134"/>
      </rPr>
      <t>千伏发电机配电盘至负载箱的高压电缆（承包商负责计量及列项）</t>
    </r>
    <r>
      <rPr>
        <sz val="10"/>
        <rFont val="Arial"/>
        <charset val="134"/>
      </rPr>
      <t xml:space="preserve">
ZR-YJV22-8.7/15kV 2(3x240)</t>
    </r>
  </si>
  <si>
    <t>G.3.2</t>
  </si>
  <si>
    <r>
      <rPr>
        <b/>
        <sz val="10"/>
        <rFont val="Arial"/>
        <charset val="134"/>
      </rPr>
      <t xml:space="preserve">HV Cabling from STS Substation </t>
    </r>
    <r>
      <rPr>
        <sz val="10"/>
        <rFont val="Arial"/>
        <charset val="134"/>
      </rPr>
      <t>(Design, Supply, installation and testing)</t>
    </r>
  </si>
  <si>
    <r>
      <rPr>
        <b/>
        <sz val="10"/>
        <rFont val="宋体-简"/>
        <charset val="134"/>
      </rPr>
      <t>来自</t>
    </r>
    <r>
      <rPr>
        <b/>
        <sz val="10"/>
        <rFont val="Arial"/>
        <charset val="134"/>
      </rPr>
      <t>STS</t>
    </r>
    <r>
      <rPr>
        <b/>
        <sz val="10"/>
        <rFont val="宋体-简"/>
        <charset val="134"/>
      </rPr>
      <t>变电站的高压电缆</t>
    </r>
    <r>
      <rPr>
        <b/>
        <sz val="10"/>
        <rFont val="Arial"/>
        <charset val="134"/>
      </rPr>
      <t xml:space="preserve"> (</t>
    </r>
    <r>
      <rPr>
        <b/>
        <sz val="10"/>
        <rFont val="宋体-简"/>
        <charset val="134"/>
      </rPr>
      <t>设计、供应、安装及测试</t>
    </r>
    <r>
      <rPr>
        <b/>
        <sz val="10"/>
        <rFont val="Arial"/>
        <charset val="134"/>
      </rPr>
      <t>)</t>
    </r>
  </si>
  <si>
    <t>G.3.2.1</t>
  </si>
  <si>
    <t>HV Cabling from 11kV SS-STS-01 to STS-PIT-01  (Contractor to quantify and itemise)
ZR-YJV22-8.7/15kV  3x95</t>
  </si>
  <si>
    <r>
      <rPr>
        <sz val="10"/>
        <rFont val="宋体-简"/>
        <charset val="134"/>
      </rPr>
      <t>从</t>
    </r>
    <r>
      <rPr>
        <sz val="10"/>
        <rFont val="Arial"/>
        <charset val="134"/>
      </rPr>
      <t>11</t>
    </r>
    <r>
      <rPr>
        <sz val="10"/>
        <rFont val="宋体-简"/>
        <charset val="134"/>
      </rPr>
      <t>千伏</t>
    </r>
    <r>
      <rPr>
        <sz val="10"/>
        <rFont val="Arial"/>
        <charset val="134"/>
      </rPr>
      <t>STS-STS-01</t>
    </r>
    <r>
      <rPr>
        <sz val="10"/>
        <rFont val="宋体-简"/>
        <charset val="134"/>
      </rPr>
      <t>至</t>
    </r>
    <r>
      <rPr>
        <sz val="10"/>
        <rFont val="Arial"/>
        <charset val="134"/>
      </rPr>
      <t>STS-PIT-01</t>
    </r>
    <r>
      <rPr>
        <sz val="10"/>
        <rFont val="宋体-简"/>
        <charset val="134"/>
      </rPr>
      <t>的高压电缆（承包商负责计量及列项）</t>
    </r>
    <r>
      <rPr>
        <sz val="10"/>
        <rFont val="Arial"/>
        <charset val="134"/>
      </rPr>
      <t xml:space="preserve">
ZR-YJV22-8.7/15kV 3x95</t>
    </r>
  </si>
  <si>
    <t>G.3.2.2</t>
  </si>
  <si>
    <t>G.3.2.3</t>
  </si>
  <si>
    <t>HV Cabling from 11kV SS-STS-01 to STS-PIT-02  (Contractor to quantify and itemise)
ZR-YJV22-8.7/15kV  3x95</t>
  </si>
  <si>
    <r>
      <rPr>
        <sz val="10"/>
        <rFont val="宋体-简"/>
        <charset val="134"/>
      </rPr>
      <t>从</t>
    </r>
    <r>
      <rPr>
        <sz val="10"/>
        <rFont val="Arial"/>
        <charset val="134"/>
      </rPr>
      <t>11</t>
    </r>
    <r>
      <rPr>
        <sz val="10"/>
        <rFont val="宋体-简"/>
        <charset val="134"/>
      </rPr>
      <t>千伏</t>
    </r>
    <r>
      <rPr>
        <sz val="10"/>
        <rFont val="Arial"/>
        <charset val="134"/>
      </rPr>
      <t>STS-STS-01</t>
    </r>
    <r>
      <rPr>
        <sz val="10"/>
        <rFont val="宋体-简"/>
        <charset val="134"/>
      </rPr>
      <t>至</t>
    </r>
    <r>
      <rPr>
        <sz val="10"/>
        <rFont val="Arial"/>
        <charset val="134"/>
      </rPr>
      <t>STS-PIT-02</t>
    </r>
    <r>
      <rPr>
        <sz val="10"/>
        <rFont val="宋体-简"/>
        <charset val="134"/>
      </rPr>
      <t>的高压电缆（承包商负责计量及列项）</t>
    </r>
    <r>
      <rPr>
        <sz val="10"/>
        <rFont val="Arial"/>
        <charset val="134"/>
      </rPr>
      <t xml:space="preserve">
ZR-YJV22-8.7/15kV 3x95</t>
    </r>
  </si>
  <si>
    <t>G.3.2.4</t>
  </si>
  <si>
    <t>G.3.2.5</t>
  </si>
  <si>
    <t>HV Cabling from 11kV SS-STS-01 to STS-PIT-03  (Contractor to quantify and itemise)
ZR-YJV22-8.7/15kV  3x95</t>
  </si>
  <si>
    <r>
      <rPr>
        <sz val="10"/>
        <rFont val="宋体-简"/>
        <charset val="134"/>
      </rPr>
      <t>从</t>
    </r>
    <r>
      <rPr>
        <sz val="10"/>
        <rFont val="Arial"/>
        <charset val="134"/>
      </rPr>
      <t>11kV</t>
    </r>
    <r>
      <rPr>
        <sz val="10"/>
        <rFont val="宋体-简"/>
        <charset val="134"/>
      </rPr>
      <t>主变电站</t>
    </r>
    <r>
      <rPr>
        <sz val="10"/>
        <rFont val="Arial"/>
        <charset val="134"/>
      </rPr>
      <t>SS-STS-01</t>
    </r>
    <r>
      <rPr>
        <sz val="10"/>
        <rFont val="宋体-简"/>
        <charset val="134"/>
      </rPr>
      <t>至</t>
    </r>
    <r>
      <rPr>
        <sz val="10"/>
        <rFont val="Arial"/>
        <charset val="134"/>
      </rPr>
      <t>STS-PIT-03</t>
    </r>
    <r>
      <rPr>
        <sz val="10"/>
        <rFont val="宋体-简"/>
        <charset val="134"/>
      </rPr>
      <t>的高压电缆（承包商计量并分项列出）</t>
    </r>
    <r>
      <rPr>
        <sz val="10"/>
        <rFont val="Arial"/>
        <charset val="134"/>
      </rPr>
      <t xml:space="preserve">
ZR-YJV22-8.7/15kV 3x95</t>
    </r>
  </si>
  <si>
    <t>G.3.2.6</t>
  </si>
  <si>
    <t>G.3.2.7</t>
  </si>
  <si>
    <t>HV Cabling from 11kV SS-STS-01 to STS-PIT-04  (Contractor to quantify and itemise)
ZR-YJV22-8.7/15kV  3x95</t>
  </si>
  <si>
    <r>
      <rPr>
        <sz val="10"/>
        <rFont val="宋体-简"/>
        <charset val="134"/>
      </rPr>
      <t>从</t>
    </r>
    <r>
      <rPr>
        <sz val="10"/>
        <rFont val="Arial"/>
        <charset val="134"/>
      </rPr>
      <t>11kV</t>
    </r>
    <r>
      <rPr>
        <sz val="10"/>
        <rFont val="宋体-简"/>
        <charset val="134"/>
      </rPr>
      <t>主变电站</t>
    </r>
    <r>
      <rPr>
        <sz val="10"/>
        <rFont val="Arial"/>
        <charset val="134"/>
      </rPr>
      <t>SS-STS-01</t>
    </r>
    <r>
      <rPr>
        <sz val="10"/>
        <rFont val="宋体-简"/>
        <charset val="134"/>
      </rPr>
      <t>至</t>
    </r>
    <r>
      <rPr>
        <sz val="10"/>
        <rFont val="Arial"/>
        <charset val="134"/>
      </rPr>
      <t>STS-PIT-04</t>
    </r>
    <r>
      <rPr>
        <sz val="10"/>
        <rFont val="宋体-简"/>
        <charset val="134"/>
      </rPr>
      <t>的高压电缆（承包商计量并分项列出）</t>
    </r>
    <r>
      <rPr>
        <sz val="10"/>
        <rFont val="Arial"/>
        <charset val="134"/>
      </rPr>
      <t xml:space="preserve">
ZR-YJV22-8.7/15kV 3x95</t>
    </r>
  </si>
  <si>
    <t>SUBTOTAL - HV Cabling</t>
  </si>
  <si>
    <t>高压电缆小计</t>
  </si>
  <si>
    <t>G.4</t>
  </si>
  <si>
    <t>LV Cabling - External to substations</t>
  </si>
  <si>
    <t>外部至变电站的低压电缆</t>
  </si>
  <si>
    <t>G.4.1</t>
  </si>
  <si>
    <r>
      <rPr>
        <b/>
        <sz val="10"/>
        <rFont val="Arial"/>
        <charset val="134"/>
      </rPr>
      <t xml:space="preserve">LV Cabling from Main Substation </t>
    </r>
    <r>
      <rPr>
        <sz val="10"/>
        <rFont val="Arial"/>
        <charset val="134"/>
      </rPr>
      <t>(Design, Supply, installation and testing)</t>
    </r>
  </si>
  <si>
    <r>
      <rPr>
        <b/>
        <sz val="10"/>
        <rFont val="宋体-简"/>
        <charset val="134"/>
      </rPr>
      <t>来自主变电站的低压电缆</t>
    </r>
    <r>
      <rPr>
        <b/>
        <sz val="10"/>
        <rFont val="Arial"/>
        <charset val="134"/>
      </rPr>
      <t xml:space="preserve"> (</t>
    </r>
    <r>
      <rPr>
        <b/>
        <sz val="10"/>
        <rFont val="宋体-简"/>
        <charset val="134"/>
      </rPr>
      <t>设计、供应、安装及测试</t>
    </r>
    <r>
      <rPr>
        <b/>
        <sz val="10"/>
        <rFont val="Arial"/>
        <charset val="134"/>
      </rPr>
      <t>)</t>
    </r>
  </si>
  <si>
    <t>G.4.1.1</t>
  </si>
  <si>
    <t>LV Cabling from Main Substation LV Switchboard to Out Gate (Contractor to quantify and itemise)
ZR-YJV22-0.6/1kV  3(3x185+95)</t>
  </si>
  <si>
    <r>
      <rPr>
        <sz val="10"/>
        <rFont val="宋体-简"/>
        <charset val="134"/>
      </rPr>
      <t>从主变电站低压配电盘至出入口的低压电缆（承包商计量并分项列出）</t>
    </r>
    <r>
      <rPr>
        <sz val="10"/>
        <rFont val="Arial"/>
        <charset val="134"/>
      </rPr>
      <t xml:space="preserve">
ZR-YJV22-0.6/1kV 3(3x185+95)</t>
    </r>
  </si>
  <si>
    <t>G.4.1.2</t>
  </si>
  <si>
    <t>LV Cabling from Main Substation LV Switchboard to Customs Office (Contractor to quantify and itemise)
ZR-YJV22-0.6/1kV 2(3x185+95)</t>
  </si>
  <si>
    <r>
      <rPr>
        <sz val="10"/>
        <rFont val="宋体-简"/>
        <charset val="134"/>
      </rPr>
      <t>从主变电站低压配电盘至海关办公室的低压电缆（由承包商计算并逐项列出）</t>
    </r>
    <r>
      <rPr>
        <sz val="10"/>
        <rFont val="Arial"/>
        <charset val="134"/>
      </rPr>
      <t xml:space="preserve">
ZR-YJV22-0.6/1kV 2(3x185+95)</t>
    </r>
  </si>
  <si>
    <t>G.4.1.3</t>
  </si>
  <si>
    <t>LV Cabling from Main Substation LV Switchboard to Fire Pump House (Contractor to quantify and itemise)
NH-YJV22-0.6/1kV  3x95+95</t>
  </si>
  <si>
    <r>
      <rPr>
        <sz val="10"/>
        <rFont val="宋体-简"/>
        <charset val="134"/>
      </rPr>
      <t>从主变电站低压配电盘至消防泵房的低压电缆（由承包商计算并逐项列出）</t>
    </r>
    <r>
      <rPr>
        <sz val="10"/>
        <rFont val="Arial"/>
        <charset val="134"/>
      </rPr>
      <t xml:space="preserve">
NH-YJV22-0.6/1kV 3x95+95</t>
    </r>
  </si>
  <si>
    <t>G.4.1.4</t>
  </si>
  <si>
    <t>LV Cabling from Main Substation LV Switchboard to Security Office (Contractor to quantify and itemise)
ZR-YJV22-0.6/1kV  3x25+16</t>
  </si>
  <si>
    <r>
      <rPr>
        <sz val="10"/>
        <rFont val="宋体-简"/>
        <charset val="134"/>
      </rPr>
      <t>从主变电站低压配电盘至保安办公室的低压电缆（由承包商计算并逐项列出）</t>
    </r>
    <r>
      <rPr>
        <sz val="10"/>
        <rFont val="Arial"/>
        <charset val="134"/>
      </rPr>
      <t xml:space="preserve">
ZR-YJV22-0.6/1kV 3x25+16</t>
    </r>
  </si>
  <si>
    <t>G.4.1.5</t>
  </si>
  <si>
    <t>LV Cabling from Main Substation High Mast switchboard to High Mast FECs (Contractor to quantify and itemise)
ZR-YJV22-0.6/1kV  3(3x240+2x120)</t>
  </si>
  <si>
    <r>
      <rPr>
        <sz val="10"/>
        <rFont val="宋体-简"/>
        <charset val="134"/>
      </rPr>
      <t>从主变电站高杆开关盘至高杆区</t>
    </r>
    <r>
      <rPr>
        <sz val="10"/>
        <rFont val="Arial"/>
        <charset val="134"/>
      </rPr>
      <t>FEC</t>
    </r>
    <r>
      <rPr>
        <sz val="10"/>
        <rFont val="宋体-简"/>
        <charset val="134"/>
      </rPr>
      <t>的低压电缆（由承包商计算并逐项列出）</t>
    </r>
    <r>
      <rPr>
        <sz val="10"/>
        <rFont val="Arial"/>
        <charset val="134"/>
      </rPr>
      <t xml:space="preserve">
ZR-YJV22-0.6/1kV 3(3x240+2x120)</t>
    </r>
  </si>
  <si>
    <t>G.4.2</t>
  </si>
  <si>
    <r>
      <rPr>
        <b/>
        <sz val="10"/>
        <rFont val="Arial"/>
        <charset val="134"/>
      </rPr>
      <t xml:space="preserve">LV Cabling from STS Substation </t>
    </r>
    <r>
      <rPr>
        <sz val="10"/>
        <rFont val="Arial"/>
        <charset val="134"/>
      </rPr>
      <t>(Design, Supply, installation and testing)</t>
    </r>
  </si>
  <si>
    <r>
      <rPr>
        <b/>
        <sz val="10"/>
        <rFont val="Arial"/>
        <charset val="134"/>
      </rPr>
      <t>STS</t>
    </r>
    <r>
      <rPr>
        <b/>
        <sz val="10"/>
        <rFont val="宋体-简"/>
        <charset val="134"/>
      </rPr>
      <t>变电站低压电缆敷设</t>
    </r>
    <r>
      <rPr>
        <b/>
        <sz val="10"/>
        <rFont val="Arial"/>
        <charset val="134"/>
      </rPr>
      <t xml:space="preserve"> (</t>
    </r>
    <r>
      <rPr>
        <b/>
        <sz val="10"/>
        <rFont val="宋体-简"/>
        <charset val="134"/>
      </rPr>
      <t>设计、供应、安装及测试</t>
    </r>
    <r>
      <rPr>
        <b/>
        <sz val="10"/>
        <rFont val="Arial"/>
        <charset val="134"/>
      </rPr>
      <t>)</t>
    </r>
  </si>
  <si>
    <t>G.4.2.1</t>
  </si>
  <si>
    <t>LV Cabling from STS Substation LV Switchboard to X-Ray scanner (Contractor to quantify and itemise)
ZR-YJV22-0.6/1kV  4x16</t>
  </si>
  <si>
    <r>
      <rPr>
        <sz val="10"/>
        <rFont val="Arial"/>
        <charset val="134"/>
      </rPr>
      <t>STS</t>
    </r>
    <r>
      <rPr>
        <sz val="10"/>
        <rFont val="宋体-简"/>
        <charset val="134"/>
      </rPr>
      <t>变电站低压配电盘至</t>
    </r>
    <r>
      <rPr>
        <sz val="10"/>
        <rFont val="Arial"/>
        <charset val="134"/>
      </rPr>
      <t>X</t>
    </r>
    <r>
      <rPr>
        <sz val="10"/>
        <rFont val="宋体-简"/>
        <charset val="134"/>
      </rPr>
      <t>射线扫描仪的低压电缆敷设（由承包商计量并分项列明）</t>
    </r>
    <r>
      <rPr>
        <sz val="10"/>
        <rFont val="Arial"/>
        <charset val="134"/>
      </rPr>
      <t xml:space="preserve">
ZR-YJV22-0.6/1kV  4x16</t>
    </r>
  </si>
  <si>
    <t>G.4.2.2</t>
  </si>
  <si>
    <t>LV Cabling from STS Substation LV Switchboard to Lashing toilet block (Contractor to quantify and itemise)
ZR-YJV22-0.6/1kV  3x25+16</t>
  </si>
  <si>
    <r>
      <rPr>
        <sz val="10"/>
        <rFont val="Arial"/>
        <charset val="134"/>
      </rPr>
      <t>STS</t>
    </r>
    <r>
      <rPr>
        <sz val="10"/>
        <rFont val="宋体-简"/>
        <charset val="134"/>
      </rPr>
      <t>变电站低压配电盘至捆扎厕所区的低压电缆敷设（由承包商计量并分项列明）</t>
    </r>
    <r>
      <rPr>
        <sz val="10"/>
        <rFont val="Arial"/>
        <charset val="134"/>
      </rPr>
      <t xml:space="preserve">
ZR-YJV22-0.6/1kV  3x25+16</t>
    </r>
  </si>
  <si>
    <t>G.4.2.3</t>
  </si>
  <si>
    <t>LV Cabling from STS Substation LV Switchboard to Fire Pump House (Contractor to quantify and itemise)
NH-YJV22-0.6/1kV  3x25+16</t>
  </si>
  <si>
    <r>
      <rPr>
        <sz val="10"/>
        <rFont val="Arial"/>
        <charset val="134"/>
      </rPr>
      <t>STS</t>
    </r>
    <r>
      <rPr>
        <sz val="10"/>
        <rFont val="宋体-简"/>
        <charset val="134"/>
      </rPr>
      <t>变电站低压配电盘至消防泵房的低压电缆敷设（由承包商计量并分项列明）</t>
    </r>
    <r>
      <rPr>
        <sz val="10"/>
        <rFont val="Arial"/>
        <charset val="134"/>
      </rPr>
      <t xml:space="preserve">
NH-YJV22-0.6/1kV  3x25+16</t>
    </r>
  </si>
  <si>
    <t>G.4.2.4</t>
  </si>
  <si>
    <t>LV Cabling from STS Substation High Mast switchboard to High Mast FECs (Contractor to quantify and itemise)
ZR-YJV22-0.6/1kV  3(3x240+2x120)</t>
  </si>
  <si>
    <r>
      <rPr>
        <sz val="10"/>
        <rFont val="Arial"/>
        <charset val="134"/>
      </rPr>
      <t>STS</t>
    </r>
    <r>
      <rPr>
        <sz val="10"/>
        <rFont val="宋体-简"/>
        <charset val="134"/>
      </rPr>
      <t>变电站高杆灯配电盘至高杆灯</t>
    </r>
    <r>
      <rPr>
        <sz val="10"/>
        <rFont val="Arial"/>
        <charset val="134"/>
      </rPr>
      <t>FEC</t>
    </r>
    <r>
      <rPr>
        <sz val="10"/>
        <rFont val="宋体-简"/>
        <charset val="134"/>
      </rPr>
      <t>的低压电缆敷设（由承包商计量并分项列明）</t>
    </r>
    <r>
      <rPr>
        <sz val="10"/>
        <rFont val="Arial"/>
        <charset val="134"/>
      </rPr>
      <t xml:space="preserve">
ZR-YJV22-0.6/1kV  3(3x240+2x120)</t>
    </r>
  </si>
  <si>
    <t>G.4.3</t>
  </si>
  <si>
    <r>
      <rPr>
        <b/>
        <sz val="10"/>
        <rFont val="Arial"/>
        <charset val="134"/>
      </rPr>
      <t xml:space="preserve">LV Cabling from Reefer Substation </t>
    </r>
    <r>
      <rPr>
        <sz val="10"/>
        <rFont val="Arial"/>
        <charset val="134"/>
      </rPr>
      <t>(Design, Supply, installation and testing)</t>
    </r>
  </si>
  <si>
    <r>
      <rPr>
        <b/>
        <sz val="10"/>
        <rFont val="宋体-简"/>
        <charset val="134"/>
      </rPr>
      <t>冷藏变电站低压电缆</t>
    </r>
    <r>
      <rPr>
        <b/>
        <sz val="10"/>
        <rFont val="Arial"/>
        <charset val="134"/>
      </rPr>
      <t xml:space="preserve"> (</t>
    </r>
    <r>
      <rPr>
        <b/>
        <sz val="10"/>
        <rFont val="宋体-简"/>
        <charset val="134"/>
      </rPr>
      <t>设计、供应、安装及测试</t>
    </r>
    <r>
      <rPr>
        <b/>
        <sz val="10"/>
        <rFont val="Arial"/>
        <charset val="134"/>
      </rPr>
      <t>)</t>
    </r>
  </si>
  <si>
    <t>G.4.3.1</t>
  </si>
  <si>
    <t>LV Cabling from Reefer Substation to Reefer Racks (Contractor to quantify and itemise)
ZR-YJV22-0.6/1kV  3x25+16</t>
  </si>
  <si>
    <r>
      <rPr>
        <sz val="10"/>
        <rFont val="宋体-简"/>
        <charset val="134"/>
      </rPr>
      <t>冷藏变电站至冷藏货架低压电缆（承包商计量及明细列项）</t>
    </r>
    <r>
      <rPr>
        <sz val="10"/>
        <rFont val="Arial"/>
        <charset val="134"/>
      </rPr>
      <t xml:space="preserve">
ZR-YJV22-0.6/1kV  3x25+16</t>
    </r>
  </si>
  <si>
    <t>G.4.4</t>
  </si>
  <si>
    <t>LV Cabling from eRTG Substation (Design, Supply, installation and testing)</t>
  </si>
  <si>
    <r>
      <rPr>
        <b/>
        <sz val="10"/>
        <rFont val="Arial"/>
        <charset val="134"/>
      </rPr>
      <t>eRTG</t>
    </r>
    <r>
      <rPr>
        <b/>
        <sz val="10"/>
        <rFont val="宋体-简"/>
        <charset val="134"/>
      </rPr>
      <t>变电站低压电缆（设计、供应、安装及测试）</t>
    </r>
  </si>
  <si>
    <t>G.4.4.1</t>
  </si>
  <si>
    <t>LV Cabling from eRTG Substations to eRTG Feeder Pillars (Contractor to quantify and itemise)
ZR-YJV22-0.6/1kV  3x185+95</t>
  </si>
  <si>
    <r>
      <rPr>
        <sz val="10"/>
        <rFont val="Arial"/>
        <charset val="134"/>
      </rPr>
      <t>eRTG</t>
    </r>
    <r>
      <rPr>
        <sz val="10"/>
        <rFont val="宋体-简"/>
        <charset val="134"/>
      </rPr>
      <t>变电站至</t>
    </r>
    <r>
      <rPr>
        <sz val="10"/>
        <rFont val="Arial"/>
        <charset val="134"/>
      </rPr>
      <t>eRTG</t>
    </r>
    <r>
      <rPr>
        <sz val="10"/>
        <rFont val="宋体-简"/>
        <charset val="134"/>
      </rPr>
      <t>馈线柱低压电缆（承包商计量及明细列项）</t>
    </r>
    <r>
      <rPr>
        <sz val="10"/>
        <rFont val="Arial"/>
        <charset val="134"/>
      </rPr>
      <t xml:space="preserve">
ZR-YJV22-0.6/1kV  3x185+95</t>
    </r>
  </si>
  <si>
    <t>G.4.5</t>
  </si>
  <si>
    <r>
      <rPr>
        <b/>
        <sz val="10"/>
        <rFont val="Arial"/>
        <charset val="134"/>
      </rPr>
      <t xml:space="preserve">Others </t>
    </r>
    <r>
      <rPr>
        <sz val="10"/>
        <rFont val="Arial"/>
        <charset val="134"/>
      </rPr>
      <t>(Design, Supply, installation and testing)</t>
    </r>
  </si>
  <si>
    <r>
      <rPr>
        <b/>
        <sz val="10"/>
        <rFont val="宋体-简"/>
        <charset val="134"/>
      </rPr>
      <t>其他</t>
    </r>
    <r>
      <rPr>
        <b/>
        <sz val="10"/>
        <rFont val="Arial"/>
        <charset val="134"/>
      </rPr>
      <t xml:space="preserve"> (</t>
    </r>
    <r>
      <rPr>
        <b/>
        <sz val="10"/>
        <rFont val="宋体-简"/>
        <charset val="134"/>
      </rPr>
      <t>设计、供应、安装及测试</t>
    </r>
    <r>
      <rPr>
        <b/>
        <sz val="10"/>
        <rFont val="Arial"/>
        <charset val="134"/>
      </rPr>
      <t>)</t>
    </r>
  </si>
  <si>
    <t>G.4.5.1</t>
  </si>
  <si>
    <t>All other items not covered above which are required to provide a complete installation (Contractor to quantify and itemise)</t>
  </si>
  <si>
    <t>其他完成安装所需项目（承包商计量及明细列项）</t>
  </si>
  <si>
    <t>SUBTOTAL - LV Cabling</t>
  </si>
  <si>
    <t>低压电缆小计</t>
  </si>
  <si>
    <t>G.5</t>
  </si>
  <si>
    <t>Lighting</t>
  </si>
  <si>
    <t>照明</t>
  </si>
  <si>
    <t>G.5.1</t>
  </si>
  <si>
    <r>
      <rPr>
        <b/>
        <sz val="10"/>
        <rFont val="Arial"/>
        <charset val="134"/>
      </rPr>
      <t xml:space="preserve">High Mast Tower </t>
    </r>
    <r>
      <rPr>
        <sz val="10"/>
        <rFont val="Arial"/>
        <charset val="134"/>
      </rPr>
      <t>(Design, Supply, installation and testing)</t>
    </r>
  </si>
  <si>
    <r>
      <rPr>
        <b/>
        <sz val="10"/>
        <rFont val="宋体-简"/>
        <charset val="134"/>
      </rPr>
      <t>高杆灯塔</t>
    </r>
    <r>
      <rPr>
        <b/>
        <sz val="10"/>
        <rFont val="Arial"/>
        <charset val="134"/>
      </rPr>
      <t xml:space="preserve"> (</t>
    </r>
    <r>
      <rPr>
        <b/>
        <sz val="10"/>
        <rFont val="宋体-简"/>
        <charset val="134"/>
      </rPr>
      <t>设计、供应、安装及测试</t>
    </r>
    <r>
      <rPr>
        <b/>
        <sz val="10"/>
        <rFont val="Arial"/>
        <charset val="134"/>
      </rPr>
      <t>)</t>
    </r>
  </si>
  <si>
    <t>G.5.1.1</t>
  </si>
  <si>
    <t>High Mast 45m with lowerable headframe</t>
  </si>
  <si>
    <r>
      <rPr>
        <sz val="10"/>
        <rFont val="宋体-简"/>
        <charset val="134"/>
      </rPr>
      <t>带可降式顶部架的</t>
    </r>
    <r>
      <rPr>
        <sz val="10"/>
        <rFont val="Arial"/>
        <charset val="134"/>
      </rPr>
      <t>45</t>
    </r>
    <r>
      <rPr>
        <sz val="10"/>
        <rFont val="宋体-简"/>
        <charset val="134"/>
      </rPr>
      <t>米高杆灯</t>
    </r>
  </si>
  <si>
    <t>G.5.1.2</t>
  </si>
  <si>
    <t>High Mast 25m with lowerable headframe</t>
  </si>
  <si>
    <r>
      <rPr>
        <sz val="10"/>
        <rFont val="宋体-简"/>
        <charset val="134"/>
      </rPr>
      <t>带可降式顶部架的</t>
    </r>
    <r>
      <rPr>
        <sz val="10"/>
        <rFont val="Arial"/>
        <charset val="134"/>
      </rPr>
      <t>25</t>
    </r>
    <r>
      <rPr>
        <sz val="10"/>
        <rFont val="宋体-简"/>
        <charset val="134"/>
      </rPr>
      <t>米高杆灯</t>
    </r>
  </si>
  <si>
    <t>G.5.2</t>
  </si>
  <si>
    <r>
      <rPr>
        <b/>
        <sz val="10"/>
        <rFont val="Arial"/>
        <charset val="134"/>
      </rPr>
      <t xml:space="preserve">High Mast Light fittings </t>
    </r>
    <r>
      <rPr>
        <sz val="10"/>
        <rFont val="Arial"/>
        <charset val="134"/>
      </rPr>
      <t>(Design, Supply, installation and testing)</t>
    </r>
  </si>
  <si>
    <r>
      <rPr>
        <b/>
        <sz val="10"/>
        <rFont val="宋体-简"/>
        <charset val="134"/>
      </rPr>
      <t>高杆灯灯具</t>
    </r>
    <r>
      <rPr>
        <b/>
        <sz val="10"/>
        <rFont val="Arial"/>
        <charset val="134"/>
      </rPr>
      <t xml:space="preserve"> (</t>
    </r>
    <r>
      <rPr>
        <b/>
        <sz val="10"/>
        <rFont val="宋体-简"/>
        <charset val="134"/>
      </rPr>
      <t>设计、供应、安装及测试</t>
    </r>
    <r>
      <rPr>
        <b/>
        <sz val="10"/>
        <rFont val="Arial"/>
        <charset val="134"/>
      </rPr>
      <t>)</t>
    </r>
  </si>
  <si>
    <t>G.5.2.1</t>
  </si>
  <si>
    <t>LED High Mast light fittings including drivers and cabling</t>
  </si>
  <si>
    <r>
      <rPr>
        <sz val="10"/>
        <rFont val="Arial"/>
        <charset val="134"/>
      </rPr>
      <t>LED</t>
    </r>
    <r>
      <rPr>
        <sz val="10"/>
        <rFont val="宋体-简"/>
        <charset val="134"/>
      </rPr>
      <t>高杆灯灯具，包括驱动器和电缆敷设</t>
    </r>
  </si>
  <si>
    <t>G.5.3</t>
  </si>
  <si>
    <r>
      <rPr>
        <b/>
        <sz val="10"/>
        <rFont val="Arial"/>
        <charset val="134"/>
      </rPr>
      <t xml:space="preserve">High Mast Field Equipment Cabinets (FEC) - </t>
    </r>
    <r>
      <rPr>
        <sz val="10"/>
        <rFont val="Arial"/>
        <charset val="134"/>
      </rPr>
      <t>(Design, Supply, installation and testing)</t>
    </r>
  </si>
  <si>
    <r>
      <rPr>
        <b/>
        <sz val="10"/>
        <rFont val="宋体-简"/>
        <charset val="134"/>
      </rPr>
      <t>高杆灯现场设备柜（</t>
    </r>
    <r>
      <rPr>
        <b/>
        <sz val="10"/>
        <rFont val="Arial"/>
        <charset val="134"/>
      </rPr>
      <t>FEC</t>
    </r>
    <r>
      <rPr>
        <b/>
        <sz val="10"/>
        <rFont val="宋体-简"/>
        <charset val="134"/>
      </rPr>
      <t>）</t>
    </r>
    <r>
      <rPr>
        <b/>
        <sz val="10"/>
        <rFont val="Arial"/>
        <charset val="134"/>
      </rPr>
      <t xml:space="preserve"> (</t>
    </r>
    <r>
      <rPr>
        <b/>
        <sz val="10"/>
        <rFont val="宋体-简"/>
        <charset val="134"/>
      </rPr>
      <t>设计、供应、安装及测试</t>
    </r>
    <r>
      <rPr>
        <b/>
        <sz val="10"/>
        <rFont val="Arial"/>
        <charset val="134"/>
      </rPr>
      <t>)</t>
    </r>
  </si>
  <si>
    <t>G.5.3.1</t>
  </si>
  <si>
    <t>Field Equipment cabinet</t>
  </si>
  <si>
    <t>现场设备柜</t>
  </si>
  <si>
    <t>G.5.4</t>
  </si>
  <si>
    <r>
      <rPr>
        <b/>
        <sz val="10"/>
        <rFont val="Arial"/>
        <charset val="134"/>
      </rPr>
      <t xml:space="preserve">Other - </t>
    </r>
    <r>
      <rPr>
        <sz val="10"/>
        <rFont val="Arial"/>
        <charset val="134"/>
      </rPr>
      <t>(Design, Supply, installation and testing)</t>
    </r>
  </si>
  <si>
    <r>
      <rPr>
        <b/>
        <sz val="10"/>
        <rFont val="宋体-简"/>
        <charset val="134"/>
      </rPr>
      <t>其他</t>
    </r>
    <r>
      <rPr>
        <b/>
        <sz val="10"/>
        <rFont val="Arial"/>
        <charset val="134"/>
      </rPr>
      <t xml:space="preserve"> - (</t>
    </r>
    <r>
      <rPr>
        <b/>
        <sz val="10"/>
        <rFont val="宋体-简"/>
        <charset val="134"/>
      </rPr>
      <t>设计、供应、安装及测试</t>
    </r>
    <r>
      <rPr>
        <b/>
        <sz val="10"/>
        <rFont val="Arial"/>
        <charset val="134"/>
      </rPr>
      <t>)</t>
    </r>
  </si>
  <si>
    <t>G.5.4.1</t>
  </si>
  <si>
    <t>All other items not covered above which are required to provide a complete installation (Contractor to itemise)</t>
  </si>
  <si>
    <t>上述未涵盖的所有其他完成安装所需项目（承包商须逐项列明）</t>
  </si>
  <si>
    <t>G.5.4.1.1</t>
  </si>
  <si>
    <t>ZR-YJV22-0.6/1kV  4x16</t>
  </si>
  <si>
    <t>SUBTOTAL - Lighting</t>
  </si>
  <si>
    <r>
      <rPr>
        <b/>
        <sz val="10"/>
        <rFont val="宋体-简"/>
        <charset val="134"/>
      </rPr>
      <t>小计</t>
    </r>
    <r>
      <rPr>
        <b/>
        <sz val="10"/>
        <rFont val="Arial"/>
        <charset val="134"/>
      </rPr>
      <t xml:space="preserve"> - </t>
    </r>
    <r>
      <rPr>
        <b/>
        <sz val="10"/>
        <rFont val="宋体-简"/>
        <charset val="134"/>
      </rPr>
      <t>照明</t>
    </r>
  </si>
  <si>
    <t>G.6</t>
  </si>
  <si>
    <t>STS Pits</t>
  </si>
  <si>
    <r>
      <rPr>
        <b/>
        <sz val="10"/>
        <rFont val="Arial"/>
        <charset val="134"/>
      </rPr>
      <t xml:space="preserve">STS </t>
    </r>
    <r>
      <rPr>
        <b/>
        <sz val="10"/>
        <rFont val="宋体-简"/>
        <charset val="134"/>
      </rPr>
      <t>坑</t>
    </r>
  </si>
  <si>
    <t>G.6.1</t>
  </si>
  <si>
    <r>
      <rPr>
        <b/>
        <sz val="10"/>
        <rFont val="Arial"/>
        <charset val="134"/>
      </rPr>
      <t xml:space="preserve">STS Crane Junction Boxes </t>
    </r>
    <r>
      <rPr>
        <sz val="10"/>
        <rFont val="Arial"/>
        <charset val="134"/>
      </rPr>
      <t>(Design, Supply, installation and testing)</t>
    </r>
  </si>
  <si>
    <r>
      <rPr>
        <b/>
        <sz val="10"/>
        <rFont val="Arial"/>
        <charset val="134"/>
      </rPr>
      <t xml:space="preserve">STS </t>
    </r>
    <r>
      <rPr>
        <b/>
        <sz val="10"/>
        <rFont val="宋体-简"/>
        <charset val="134"/>
      </rPr>
      <t>起重机接线盒</t>
    </r>
    <r>
      <rPr>
        <b/>
        <sz val="10"/>
        <rFont val="Arial"/>
        <charset val="134"/>
      </rPr>
      <t xml:space="preserve"> (</t>
    </r>
    <r>
      <rPr>
        <b/>
        <sz val="10"/>
        <rFont val="宋体-简"/>
        <charset val="134"/>
      </rPr>
      <t>设计、供应、安装及测试</t>
    </r>
    <r>
      <rPr>
        <b/>
        <sz val="10"/>
        <rFont val="Arial"/>
        <charset val="134"/>
      </rPr>
      <t>)</t>
    </r>
  </si>
  <si>
    <t>G.6.1.1</t>
  </si>
  <si>
    <t>11kV STS Pug &amp; Socket</t>
  </si>
  <si>
    <r>
      <rPr>
        <sz val="10"/>
        <rFont val="Arial"/>
        <charset val="134"/>
      </rPr>
      <t xml:space="preserve">11kV STS </t>
    </r>
    <r>
      <rPr>
        <sz val="10"/>
        <rFont val="宋体-简"/>
        <charset val="134"/>
      </rPr>
      <t>插头和插座</t>
    </r>
  </si>
  <si>
    <t>G.6.2</t>
  </si>
  <si>
    <r>
      <rPr>
        <b/>
        <sz val="10"/>
        <rFont val="Arial"/>
        <charset val="134"/>
      </rPr>
      <t xml:space="preserve">STS Pit LVAC Installation </t>
    </r>
    <r>
      <rPr>
        <sz val="10"/>
        <rFont val="Arial"/>
        <charset val="134"/>
      </rPr>
      <t>(Design, Supply, installation and testing)</t>
    </r>
  </si>
  <si>
    <r>
      <rPr>
        <b/>
        <sz val="10"/>
        <rFont val="Arial"/>
        <charset val="134"/>
      </rPr>
      <t xml:space="preserve">STS </t>
    </r>
    <r>
      <rPr>
        <b/>
        <sz val="10"/>
        <rFont val="宋体-简"/>
        <charset val="134"/>
      </rPr>
      <t>坑低压交流安装</t>
    </r>
    <r>
      <rPr>
        <b/>
        <sz val="10"/>
        <rFont val="Arial"/>
        <charset val="134"/>
      </rPr>
      <t xml:space="preserve"> (</t>
    </r>
    <r>
      <rPr>
        <b/>
        <sz val="10"/>
        <rFont val="宋体-简"/>
        <charset val="134"/>
      </rPr>
      <t>设计、供应、安装及测试</t>
    </r>
    <r>
      <rPr>
        <b/>
        <sz val="10"/>
        <rFont val="Arial"/>
        <charset val="134"/>
      </rPr>
      <t>)</t>
    </r>
  </si>
  <si>
    <t>G.6.2.1</t>
  </si>
  <si>
    <t>STS PIT LVAC Installation</t>
  </si>
  <si>
    <r>
      <rPr>
        <sz val="10"/>
        <rFont val="Arial"/>
        <charset val="134"/>
      </rPr>
      <t xml:space="preserve">STS </t>
    </r>
    <r>
      <rPr>
        <sz val="10"/>
        <rFont val="宋体-简"/>
        <charset val="134"/>
      </rPr>
      <t>坑低压交流安装</t>
    </r>
  </si>
  <si>
    <t>G.6.3</t>
  </si>
  <si>
    <r>
      <rPr>
        <b/>
        <sz val="10"/>
        <rFont val="Arial"/>
        <charset val="134"/>
      </rPr>
      <t xml:space="preserve">LV Cabling &amp; Containment </t>
    </r>
    <r>
      <rPr>
        <sz val="10"/>
        <rFont val="Arial"/>
        <charset val="134"/>
      </rPr>
      <t>(Design, Supply, installation and testing)</t>
    </r>
  </si>
  <si>
    <r>
      <rPr>
        <b/>
        <sz val="10"/>
        <rFont val="宋体-简"/>
        <charset val="134"/>
      </rPr>
      <t>低压电缆及夹套</t>
    </r>
    <r>
      <rPr>
        <b/>
        <sz val="10"/>
        <rFont val="Arial"/>
        <charset val="134"/>
      </rPr>
      <t xml:space="preserve"> (</t>
    </r>
    <r>
      <rPr>
        <b/>
        <sz val="10"/>
        <rFont val="宋体-简"/>
        <charset val="134"/>
      </rPr>
      <t>设计、供应、安装及测试</t>
    </r>
    <r>
      <rPr>
        <b/>
        <sz val="10"/>
        <rFont val="Arial"/>
        <charset val="134"/>
      </rPr>
      <t>)</t>
    </r>
  </si>
  <si>
    <t>G.6.3.1</t>
  </si>
  <si>
    <t>All necessary cabling and containment</t>
  </si>
  <si>
    <t>所有必要的电缆敷设及夹套</t>
  </si>
  <si>
    <t>lot</t>
  </si>
  <si>
    <t>G.6.4</t>
  </si>
  <si>
    <r>
      <rPr>
        <b/>
        <sz val="10"/>
        <rFont val="Arial"/>
        <charset val="134"/>
      </rPr>
      <t xml:space="preserve">Other </t>
    </r>
    <r>
      <rPr>
        <sz val="10"/>
        <rFont val="Arial"/>
        <charset val="134"/>
      </rPr>
      <t>(Design, Supply, installation and testing)</t>
    </r>
  </si>
  <si>
    <t>G.6.4.1</t>
  </si>
  <si>
    <t>SUBTOTAL - STS Pits</t>
  </si>
  <si>
    <r>
      <rPr>
        <b/>
        <sz val="10"/>
        <rFont val="宋体-简"/>
        <charset val="134"/>
      </rPr>
      <t>小计</t>
    </r>
    <r>
      <rPr>
        <b/>
        <sz val="10"/>
        <rFont val="Arial"/>
        <charset val="134"/>
      </rPr>
      <t xml:space="preserve"> - STS </t>
    </r>
    <r>
      <rPr>
        <b/>
        <sz val="10"/>
        <rFont val="宋体-简"/>
        <charset val="134"/>
      </rPr>
      <t>凹坑</t>
    </r>
  </si>
  <si>
    <t>G.7</t>
  </si>
  <si>
    <t>Reefer Power Supply</t>
  </si>
  <si>
    <t>冷藏柜电源供应</t>
  </si>
  <si>
    <t>G.7.1</t>
  </si>
  <si>
    <r>
      <rPr>
        <b/>
        <sz val="10"/>
        <rFont val="Arial"/>
        <charset val="134"/>
      </rPr>
      <t>Reefer Rack Main LV Panelboard</t>
    </r>
    <r>
      <rPr>
        <sz val="10"/>
        <rFont val="Arial"/>
        <charset val="134"/>
      </rPr>
      <t xml:space="preserve"> (Design, Supply, installation and testing)</t>
    </r>
  </si>
  <si>
    <r>
      <rPr>
        <b/>
        <sz val="10"/>
        <rFont val="宋体-简"/>
        <charset val="134"/>
      </rPr>
      <t>冷藏柜主低压配电箱</t>
    </r>
    <r>
      <rPr>
        <b/>
        <sz val="10"/>
        <rFont val="Arial"/>
        <charset val="134"/>
      </rPr>
      <t xml:space="preserve"> (</t>
    </r>
    <r>
      <rPr>
        <b/>
        <sz val="10"/>
        <rFont val="宋体-简"/>
        <charset val="134"/>
      </rPr>
      <t>设计、供应、安装及测试</t>
    </r>
    <r>
      <rPr>
        <b/>
        <sz val="10"/>
        <rFont val="Arial"/>
        <charset val="134"/>
      </rPr>
      <t>)</t>
    </r>
  </si>
  <si>
    <t>G.7.1.1</t>
  </si>
  <si>
    <t>630A LV Panel board located at ground floor</t>
  </si>
  <si>
    <r>
      <rPr>
        <sz val="10"/>
        <rFont val="宋体-简"/>
        <charset val="134"/>
      </rPr>
      <t>位于底层的</t>
    </r>
    <r>
      <rPr>
        <sz val="10"/>
        <rFont val="Arial"/>
        <charset val="134"/>
      </rPr>
      <t>630A</t>
    </r>
    <r>
      <rPr>
        <sz val="10"/>
        <rFont val="宋体-简"/>
        <charset val="134"/>
      </rPr>
      <t>低压配电箱</t>
    </r>
  </si>
  <si>
    <t>G.7.2</t>
  </si>
  <si>
    <r>
      <rPr>
        <b/>
        <sz val="10"/>
        <rFont val="Arial"/>
        <charset val="134"/>
      </rPr>
      <t>Reefer Rack Level Panelboards</t>
    </r>
    <r>
      <rPr>
        <sz val="10"/>
        <rFont val="Arial"/>
        <charset val="134"/>
      </rPr>
      <t xml:space="preserve"> (Design, Supply, installation and testing)</t>
    </r>
  </si>
  <si>
    <r>
      <rPr>
        <b/>
        <sz val="10"/>
        <rFont val="宋体-简"/>
        <charset val="134"/>
      </rPr>
      <t>冷藏柜标高配电箱</t>
    </r>
    <r>
      <rPr>
        <b/>
        <sz val="10"/>
        <rFont val="Arial"/>
        <charset val="134"/>
      </rPr>
      <t xml:space="preserve"> (</t>
    </r>
    <r>
      <rPr>
        <b/>
        <sz val="10"/>
        <rFont val="宋体-简"/>
        <charset val="134"/>
      </rPr>
      <t>设计、供应、安装及测试</t>
    </r>
    <r>
      <rPr>
        <b/>
        <sz val="10"/>
        <rFont val="Arial"/>
        <charset val="134"/>
      </rPr>
      <t>)</t>
    </r>
  </si>
  <si>
    <t>G.7.2.1</t>
  </si>
  <si>
    <t>160A LV Panel board located at Level 1</t>
  </si>
  <si>
    <r>
      <rPr>
        <sz val="10"/>
        <rFont val="宋体-简"/>
        <charset val="134"/>
      </rPr>
      <t>位于标高</t>
    </r>
    <r>
      <rPr>
        <sz val="10"/>
        <rFont val="Arial"/>
        <charset val="134"/>
      </rPr>
      <t>1</t>
    </r>
    <r>
      <rPr>
        <sz val="10"/>
        <rFont val="宋体-简"/>
        <charset val="134"/>
      </rPr>
      <t>的</t>
    </r>
    <r>
      <rPr>
        <sz val="10"/>
        <rFont val="Arial"/>
        <charset val="134"/>
      </rPr>
      <t>160A</t>
    </r>
    <r>
      <rPr>
        <sz val="10"/>
        <rFont val="宋体-简"/>
        <charset val="134"/>
      </rPr>
      <t>低压配电箱</t>
    </r>
  </si>
  <si>
    <t>G.7.2.2</t>
  </si>
  <si>
    <t>160A LV Panel board located at Level 2</t>
  </si>
  <si>
    <r>
      <rPr>
        <sz val="10"/>
        <rFont val="宋体-简"/>
        <charset val="134"/>
      </rPr>
      <t>位于标高</t>
    </r>
    <r>
      <rPr>
        <sz val="10"/>
        <rFont val="Arial"/>
        <charset val="134"/>
      </rPr>
      <t>2</t>
    </r>
    <r>
      <rPr>
        <sz val="10"/>
        <rFont val="宋体-简"/>
        <charset val="134"/>
      </rPr>
      <t>的</t>
    </r>
    <r>
      <rPr>
        <sz val="10"/>
        <rFont val="Arial"/>
        <charset val="134"/>
      </rPr>
      <t>160A</t>
    </r>
    <r>
      <rPr>
        <sz val="10"/>
        <rFont val="宋体-简"/>
        <charset val="134"/>
      </rPr>
      <t>低压配电箱</t>
    </r>
  </si>
  <si>
    <t>G.7.2.3</t>
  </si>
  <si>
    <t>160A LV Panel board located at Level 3</t>
  </si>
  <si>
    <r>
      <rPr>
        <sz val="10"/>
        <rFont val="宋体-简"/>
        <charset val="134"/>
      </rPr>
      <t>位于标高</t>
    </r>
    <r>
      <rPr>
        <sz val="10"/>
        <rFont val="Arial"/>
        <charset val="134"/>
      </rPr>
      <t>3</t>
    </r>
    <r>
      <rPr>
        <sz val="10"/>
        <rFont val="宋体-简"/>
        <charset val="134"/>
      </rPr>
      <t>的</t>
    </r>
    <r>
      <rPr>
        <sz val="10"/>
        <rFont val="Arial"/>
        <charset val="134"/>
      </rPr>
      <t>160A</t>
    </r>
    <r>
      <rPr>
        <sz val="10"/>
        <rFont val="宋体-简"/>
        <charset val="134"/>
      </rPr>
      <t>低压配电箱</t>
    </r>
  </si>
  <si>
    <t>G.7.2.4</t>
  </si>
  <si>
    <t>160A LV Panel board located at Level 4</t>
  </si>
  <si>
    <r>
      <rPr>
        <sz val="10"/>
        <rFont val="宋体-简"/>
        <charset val="134"/>
      </rPr>
      <t>位于标高</t>
    </r>
    <r>
      <rPr>
        <sz val="10"/>
        <rFont val="Arial"/>
        <charset val="134"/>
      </rPr>
      <t>4</t>
    </r>
    <r>
      <rPr>
        <sz val="10"/>
        <rFont val="宋体-简"/>
        <charset val="134"/>
      </rPr>
      <t>的</t>
    </r>
    <r>
      <rPr>
        <sz val="10"/>
        <rFont val="Arial"/>
        <charset val="134"/>
      </rPr>
      <t>160A</t>
    </r>
    <r>
      <rPr>
        <sz val="10"/>
        <rFont val="宋体-简"/>
        <charset val="134"/>
      </rPr>
      <t>低压配电箱</t>
    </r>
  </si>
  <si>
    <t>G.7.3</t>
  </si>
  <si>
    <r>
      <rPr>
        <b/>
        <sz val="10"/>
        <rFont val="Arial"/>
        <charset val="134"/>
      </rPr>
      <t>Reefer Sockets</t>
    </r>
    <r>
      <rPr>
        <sz val="10"/>
        <rFont val="Arial"/>
        <charset val="134"/>
      </rPr>
      <t xml:space="preserve"> (Design, Supply, installation and testing)</t>
    </r>
  </si>
  <si>
    <r>
      <rPr>
        <b/>
        <sz val="10"/>
        <rFont val="宋体-简"/>
        <charset val="134"/>
      </rPr>
      <t>冷藏插座</t>
    </r>
    <r>
      <rPr>
        <b/>
        <sz val="10"/>
        <rFont val="Arial"/>
        <charset val="134"/>
      </rPr>
      <t xml:space="preserve"> (</t>
    </r>
    <r>
      <rPr>
        <b/>
        <sz val="10"/>
        <rFont val="宋体-简"/>
        <charset val="134"/>
      </rPr>
      <t>设计、供应、安装及测试</t>
    </r>
    <r>
      <rPr>
        <b/>
        <sz val="10"/>
        <rFont val="Arial"/>
        <charset val="134"/>
      </rPr>
      <t>)</t>
    </r>
  </si>
  <si>
    <t>G.7.3.1</t>
  </si>
  <si>
    <t>32A IP67 Reefer sockets</t>
  </si>
  <si>
    <r>
      <rPr>
        <sz val="10"/>
        <rFont val="Arial"/>
        <charset val="134"/>
      </rPr>
      <t xml:space="preserve">32A IP67 </t>
    </r>
    <r>
      <rPr>
        <sz val="10"/>
        <rFont val="宋体-简"/>
        <charset val="134"/>
      </rPr>
      <t>冷藏插座</t>
    </r>
  </si>
  <si>
    <t>G.7.4</t>
  </si>
  <si>
    <r>
      <rPr>
        <b/>
        <sz val="10"/>
        <rFont val="Arial"/>
        <charset val="134"/>
      </rPr>
      <t>Reefer rack lighting and small power</t>
    </r>
    <r>
      <rPr>
        <sz val="10"/>
        <rFont val="Arial"/>
        <charset val="134"/>
      </rPr>
      <t xml:space="preserve"> (Design, Supply, installation and testing)</t>
    </r>
  </si>
  <si>
    <r>
      <rPr>
        <b/>
        <sz val="10"/>
        <rFont val="宋体-简"/>
        <charset val="134"/>
      </rPr>
      <t>冷藏货架照明及小功率电源</t>
    </r>
    <r>
      <rPr>
        <b/>
        <sz val="10"/>
        <rFont val="Arial"/>
        <charset val="134"/>
      </rPr>
      <t xml:space="preserve"> (</t>
    </r>
    <r>
      <rPr>
        <b/>
        <sz val="10"/>
        <rFont val="宋体-简"/>
        <charset val="134"/>
      </rPr>
      <t>设计、供应、安装及测试</t>
    </r>
    <r>
      <rPr>
        <b/>
        <sz val="10"/>
        <rFont val="Arial"/>
        <charset val="134"/>
      </rPr>
      <t>)</t>
    </r>
  </si>
  <si>
    <t>G.7.4.1</t>
  </si>
  <si>
    <t>LV Distribution Board located at Level 1</t>
  </si>
  <si>
    <r>
      <rPr>
        <sz val="10"/>
        <rFont val="宋体-简"/>
        <charset val="134"/>
      </rPr>
      <t>位于标高</t>
    </r>
    <r>
      <rPr>
        <sz val="10"/>
        <rFont val="Arial"/>
        <charset val="134"/>
      </rPr>
      <t>1</t>
    </r>
    <r>
      <rPr>
        <sz val="10"/>
        <rFont val="宋体-简"/>
        <charset val="134"/>
      </rPr>
      <t>层的低压配电柜</t>
    </r>
  </si>
  <si>
    <t>G.7.4.2</t>
  </si>
  <si>
    <t>LED Light fittings</t>
  </si>
  <si>
    <r>
      <rPr>
        <sz val="10"/>
        <rFont val="Arial"/>
        <charset val="134"/>
      </rPr>
      <t xml:space="preserve">LED </t>
    </r>
    <r>
      <rPr>
        <sz val="10"/>
        <rFont val="宋体-简"/>
        <charset val="134"/>
      </rPr>
      <t>灯具</t>
    </r>
  </si>
  <si>
    <t>G.7.4.3</t>
  </si>
  <si>
    <t>16A IP67 Maintenance sockets</t>
  </si>
  <si>
    <r>
      <rPr>
        <sz val="10"/>
        <rFont val="Arial"/>
        <charset val="134"/>
      </rPr>
      <t xml:space="preserve">16A IP67 </t>
    </r>
    <r>
      <rPr>
        <sz val="10"/>
        <rFont val="宋体-简"/>
        <charset val="134"/>
      </rPr>
      <t>维修插座</t>
    </r>
  </si>
  <si>
    <t>G.7.5</t>
  </si>
  <si>
    <r>
      <rPr>
        <b/>
        <sz val="10"/>
        <rFont val="Arial"/>
        <charset val="134"/>
      </rPr>
      <t>Reefer Rack Cabling</t>
    </r>
    <r>
      <rPr>
        <sz val="10"/>
        <rFont val="Arial"/>
        <charset val="134"/>
      </rPr>
      <t xml:space="preserve"> (Design, Supply, installation and testing)</t>
    </r>
  </si>
  <si>
    <r>
      <rPr>
        <b/>
        <sz val="10"/>
        <rFont val="宋体-简"/>
        <charset val="134"/>
      </rPr>
      <t>冷藏货架电缆敷设</t>
    </r>
    <r>
      <rPr>
        <b/>
        <sz val="10"/>
        <rFont val="Arial"/>
        <charset val="134"/>
      </rPr>
      <t xml:space="preserve"> (</t>
    </r>
    <r>
      <rPr>
        <b/>
        <sz val="10"/>
        <rFont val="宋体-简"/>
        <charset val="134"/>
      </rPr>
      <t>设计、供应、安装及测试</t>
    </r>
    <r>
      <rPr>
        <b/>
        <sz val="10"/>
        <rFont val="Arial"/>
        <charset val="134"/>
      </rPr>
      <t>)</t>
    </r>
  </si>
  <si>
    <t>G.7.5.1</t>
  </si>
  <si>
    <t>LV Cabling to be installed within the reefer racks (Contractor to quantify and itemise)</t>
  </si>
  <si>
    <t>安装于冷藏货架内的低压电缆（承包商负责定量并逐项列出）</t>
  </si>
  <si>
    <t>G.7.5.1.1</t>
  </si>
  <si>
    <t>ZR-YJV22-0.6/1kV  3x150+70</t>
  </si>
  <si>
    <t>G.7.5.1.2</t>
  </si>
  <si>
    <t>ZR-YJV22-0.6/1kV  3x25+16</t>
  </si>
  <si>
    <t>G.7.5.1.3</t>
  </si>
  <si>
    <t>G.7.5.1.4</t>
  </si>
  <si>
    <t>ZR-YJV22-0.6/1kV  4x10</t>
  </si>
  <si>
    <t>G.7.6</t>
  </si>
  <si>
    <r>
      <rPr>
        <b/>
        <sz val="10"/>
        <rFont val="Arial"/>
        <charset val="134"/>
      </rPr>
      <t>Containment</t>
    </r>
    <r>
      <rPr>
        <sz val="10"/>
        <rFont val="Arial"/>
        <charset val="134"/>
      </rPr>
      <t xml:space="preserve"> (Design, Supply, installation and testing)</t>
    </r>
  </si>
  <si>
    <r>
      <rPr>
        <b/>
        <sz val="10"/>
        <rFont val="宋体-简"/>
        <charset val="134"/>
      </rPr>
      <t>夹套</t>
    </r>
    <r>
      <rPr>
        <b/>
        <sz val="10"/>
        <rFont val="Arial"/>
        <charset val="134"/>
      </rPr>
      <t xml:space="preserve"> (</t>
    </r>
    <r>
      <rPr>
        <b/>
        <sz val="10"/>
        <rFont val="宋体-简"/>
        <charset val="134"/>
      </rPr>
      <t>设计、供应、安装及测试</t>
    </r>
    <r>
      <rPr>
        <b/>
        <sz val="10"/>
        <rFont val="Arial"/>
        <charset val="134"/>
      </rPr>
      <t>)</t>
    </r>
  </si>
  <si>
    <t>G.7.6.1</t>
  </si>
  <si>
    <t>Supply and Installation of prefabricated hot-dip galvanized cable tray works (Perforated/Ladder type) for all power/control cables installed on the reefer racks including necessary supports &amp; its accessories, cables ladders and draw pits.</t>
  </si>
  <si>
    <r>
      <rPr>
        <sz val="10"/>
        <rFont val="宋体-简"/>
        <charset val="134"/>
      </rPr>
      <t>预制热浸镀锌（穿孔</t>
    </r>
    <r>
      <rPr>
        <sz val="10"/>
        <rFont val="Arial"/>
        <charset val="134"/>
      </rPr>
      <t>/</t>
    </r>
    <r>
      <rPr>
        <sz val="10"/>
        <rFont val="宋体-简"/>
        <charset val="134"/>
      </rPr>
      <t>梯形）电缆桥架及其必要支架和附件的供应及安装，适用于所有安装在冷藏货架上的动力</t>
    </r>
    <r>
      <rPr>
        <sz val="10"/>
        <rFont val="Arial"/>
        <charset val="134"/>
      </rPr>
      <t>/</t>
    </r>
    <r>
      <rPr>
        <sz val="10"/>
        <rFont val="宋体-简"/>
        <charset val="134"/>
      </rPr>
      <t>控制电缆，包括电缆梯和电缆井。</t>
    </r>
  </si>
  <si>
    <t>G.7.6.1.1</t>
  </si>
  <si>
    <t>400×150 cable tray, aluminum alloy material</t>
  </si>
  <si>
    <r>
      <rPr>
        <b/>
        <sz val="10"/>
        <rFont val="Arial"/>
        <charset val="134"/>
      </rPr>
      <t>400×150</t>
    </r>
    <r>
      <rPr>
        <b/>
        <sz val="10"/>
        <rFont val="宋体-简"/>
        <charset val="134"/>
      </rPr>
      <t>铝合金材质电缆桥架</t>
    </r>
  </si>
  <si>
    <t>G.7.6.1.2</t>
  </si>
  <si>
    <t>φ40 uPVC ELECTRCAL CONDUIT</t>
  </si>
  <si>
    <r>
      <rPr>
        <b/>
        <sz val="10"/>
        <rFont val="Arial"/>
        <charset val="134"/>
      </rPr>
      <t>φ40 uPVC</t>
    </r>
    <r>
      <rPr>
        <b/>
        <sz val="10"/>
        <rFont val="宋体-简"/>
        <charset val="134"/>
      </rPr>
      <t>电气导管</t>
    </r>
  </si>
  <si>
    <t>G.7.7</t>
  </si>
  <si>
    <r>
      <rPr>
        <b/>
        <sz val="10"/>
        <rFont val="Arial"/>
        <charset val="134"/>
      </rPr>
      <t>Reefer Rack Earthing</t>
    </r>
    <r>
      <rPr>
        <sz val="10"/>
        <rFont val="Arial"/>
        <charset val="134"/>
      </rPr>
      <t xml:space="preserve"> (Design, Supply, installation and testing)</t>
    </r>
  </si>
  <si>
    <r>
      <rPr>
        <b/>
        <sz val="10"/>
        <rFont val="宋体-简"/>
        <charset val="134"/>
      </rPr>
      <t>冷藏货架接地</t>
    </r>
    <r>
      <rPr>
        <b/>
        <sz val="10"/>
        <rFont val="Arial"/>
        <charset val="134"/>
      </rPr>
      <t xml:space="preserve"> (</t>
    </r>
    <r>
      <rPr>
        <b/>
        <sz val="10"/>
        <rFont val="宋体-简"/>
        <charset val="134"/>
      </rPr>
      <t>设计、供应、安装及测试</t>
    </r>
    <r>
      <rPr>
        <b/>
        <sz val="10"/>
        <rFont val="Arial"/>
        <charset val="134"/>
      </rPr>
      <t>)</t>
    </r>
  </si>
  <si>
    <t>G.7.7.1</t>
  </si>
  <si>
    <t>Reefer rack earthing as indicated on the PERs and Drawings</t>
  </si>
  <si>
    <t>按照PER和图纸所示进行冷藏货架接地</t>
  </si>
  <si>
    <t>G.7.8</t>
  </si>
  <si>
    <t>G.7.8.1</t>
  </si>
  <si>
    <t>SUBTOTAL - Reefer Power Supply</t>
  </si>
  <si>
    <r>
      <rPr>
        <b/>
        <sz val="10"/>
        <rFont val="宋体-简"/>
        <charset val="134"/>
      </rPr>
      <t>小计</t>
    </r>
    <r>
      <rPr>
        <b/>
        <sz val="10"/>
        <rFont val="Arial"/>
        <charset val="134"/>
      </rPr>
      <t xml:space="preserve"> - </t>
    </r>
    <r>
      <rPr>
        <b/>
        <sz val="10"/>
        <rFont val="宋体-简"/>
        <charset val="134"/>
      </rPr>
      <t>冷藏电源供应</t>
    </r>
  </si>
  <si>
    <t>G.8</t>
  </si>
  <si>
    <t>eRTG Power Supply</t>
  </si>
  <si>
    <r>
      <rPr>
        <b/>
        <sz val="10"/>
        <rFont val="Arial"/>
        <charset val="134"/>
      </rPr>
      <t>eRTG</t>
    </r>
    <r>
      <rPr>
        <b/>
        <sz val="10"/>
        <rFont val="宋体"/>
        <charset val="134"/>
      </rPr>
      <t>电源供应</t>
    </r>
  </si>
  <si>
    <t>G.8.1</t>
  </si>
  <si>
    <r>
      <rPr>
        <b/>
        <sz val="10"/>
        <rFont val="Arial"/>
        <charset val="134"/>
      </rPr>
      <t>eRTG Feeder Pillar</t>
    </r>
    <r>
      <rPr>
        <sz val="10"/>
        <rFont val="Arial"/>
        <charset val="134"/>
      </rPr>
      <t xml:space="preserve"> (Design, Supply, installation and testing)</t>
    </r>
  </si>
  <si>
    <r>
      <rPr>
        <b/>
        <sz val="10"/>
        <rFont val="Arial"/>
        <charset val="134"/>
      </rPr>
      <t>eRTG</t>
    </r>
    <r>
      <rPr>
        <b/>
        <sz val="10"/>
        <rFont val="宋体-简"/>
        <charset val="134"/>
      </rPr>
      <t>馈电柱</t>
    </r>
    <r>
      <rPr>
        <b/>
        <sz val="10"/>
        <rFont val="Arial"/>
        <charset val="134"/>
      </rPr>
      <t xml:space="preserve"> (</t>
    </r>
    <r>
      <rPr>
        <b/>
        <sz val="10"/>
        <rFont val="宋体-简"/>
        <charset val="134"/>
      </rPr>
      <t>设计、供应、安装及测试</t>
    </r>
    <r>
      <rPr>
        <b/>
        <sz val="10"/>
        <rFont val="Arial"/>
        <charset val="134"/>
      </rPr>
      <t>)</t>
    </r>
  </si>
  <si>
    <t>G.8.1.1</t>
  </si>
  <si>
    <t>eRTG Feeder pillar with connections for 4No. eRTGs</t>
  </si>
  <si>
    <r>
      <rPr>
        <sz val="10"/>
        <rFont val="宋体-简"/>
        <charset val="134"/>
      </rPr>
      <t>配备</t>
    </r>
    <r>
      <rPr>
        <sz val="10"/>
        <rFont val="Arial"/>
        <charset val="134"/>
      </rPr>
      <t>4</t>
    </r>
    <r>
      <rPr>
        <sz val="10"/>
        <rFont val="宋体-简"/>
        <charset val="134"/>
      </rPr>
      <t>台</t>
    </r>
    <r>
      <rPr>
        <sz val="10"/>
        <rFont val="Arial"/>
        <charset val="134"/>
      </rPr>
      <t>eRTG</t>
    </r>
    <r>
      <rPr>
        <sz val="10"/>
        <rFont val="宋体-简"/>
        <charset val="134"/>
      </rPr>
      <t>连接的</t>
    </r>
    <r>
      <rPr>
        <sz val="10"/>
        <rFont val="Arial"/>
        <charset val="134"/>
      </rPr>
      <t>eRTG</t>
    </r>
    <r>
      <rPr>
        <sz val="10"/>
        <rFont val="宋体-简"/>
        <charset val="134"/>
      </rPr>
      <t>馈电柱</t>
    </r>
  </si>
  <si>
    <t>G.8.1.1.1</t>
  </si>
  <si>
    <t>ZR-YJV22-0.6/1kV  3(3x240+120)</t>
  </si>
  <si>
    <t>G.8.2</t>
  </si>
  <si>
    <t>G.8.2.1</t>
  </si>
  <si>
    <t>SUBTOTAL - eRTG Power Supply</t>
  </si>
  <si>
    <r>
      <rPr>
        <b/>
        <sz val="10"/>
        <rFont val="Arial"/>
        <charset val="134"/>
      </rPr>
      <t>eRTG</t>
    </r>
    <r>
      <rPr>
        <b/>
        <sz val="10"/>
        <rFont val="宋体-简"/>
        <charset val="134"/>
      </rPr>
      <t>电源供应小计</t>
    </r>
  </si>
  <si>
    <t>G.9</t>
  </si>
  <si>
    <t>SCADA</t>
  </si>
  <si>
    <t>G.9.1</t>
  </si>
  <si>
    <r>
      <rPr>
        <b/>
        <sz val="10"/>
        <rFont val="Arial"/>
        <charset val="134"/>
      </rPr>
      <t>SCADA - Server</t>
    </r>
    <r>
      <rPr>
        <sz val="10"/>
        <rFont val="Arial"/>
        <charset val="134"/>
      </rPr>
      <t xml:space="preserve"> (Design, Supply and installation testing and commissioning)</t>
    </r>
  </si>
  <si>
    <r>
      <rPr>
        <b/>
        <sz val="10"/>
        <rFont val="Arial"/>
        <charset val="134"/>
      </rPr>
      <t>SCADA</t>
    </r>
    <r>
      <rPr>
        <b/>
        <sz val="10"/>
        <rFont val="宋体-简"/>
        <charset val="134"/>
      </rPr>
      <t>服务器</t>
    </r>
    <r>
      <rPr>
        <b/>
        <sz val="10"/>
        <rFont val="Arial"/>
        <charset val="134"/>
      </rPr>
      <t xml:space="preserve"> </t>
    </r>
    <r>
      <rPr>
        <b/>
        <sz val="10"/>
        <rFont val="宋体-简"/>
        <charset val="134"/>
      </rPr>
      <t>（设计、供应及安装测试与调试）</t>
    </r>
  </si>
  <si>
    <t>G.9.1.1</t>
  </si>
  <si>
    <t>SCADA Server</t>
  </si>
  <si>
    <r>
      <rPr>
        <sz val="10"/>
        <rFont val="Arial"/>
        <charset val="134"/>
      </rPr>
      <t>SCADA</t>
    </r>
    <r>
      <rPr>
        <sz val="10"/>
        <rFont val="宋体-简"/>
        <charset val="134"/>
      </rPr>
      <t>服务器</t>
    </r>
  </si>
  <si>
    <t>G.9.1.2</t>
  </si>
  <si>
    <t>SCADA Time Server</t>
  </si>
  <si>
    <r>
      <rPr>
        <sz val="10"/>
        <rFont val="Arial"/>
        <charset val="134"/>
      </rPr>
      <t>SCADA</t>
    </r>
    <r>
      <rPr>
        <sz val="10"/>
        <rFont val="宋体-简"/>
        <charset val="134"/>
      </rPr>
      <t>时间服务器</t>
    </r>
  </si>
  <si>
    <t>G.9.1.3</t>
  </si>
  <si>
    <t>SCADA Rack in Substations</t>
  </si>
  <si>
    <r>
      <rPr>
        <sz val="10"/>
        <rFont val="宋体-简"/>
        <charset val="134"/>
      </rPr>
      <t>变电站内</t>
    </r>
    <r>
      <rPr>
        <sz val="10"/>
        <rFont val="Arial"/>
        <charset val="134"/>
      </rPr>
      <t>SCADA</t>
    </r>
    <r>
      <rPr>
        <sz val="10"/>
        <rFont val="宋体-简"/>
        <charset val="134"/>
      </rPr>
      <t>机架</t>
    </r>
  </si>
  <si>
    <t>G.9.2</t>
  </si>
  <si>
    <r>
      <rPr>
        <b/>
        <sz val="10"/>
        <rFont val="Arial"/>
        <charset val="134"/>
      </rPr>
      <t>SCADA - RTU &amp; Network Racks</t>
    </r>
    <r>
      <rPr>
        <sz val="10"/>
        <rFont val="Arial"/>
        <charset val="134"/>
      </rPr>
      <t xml:space="preserve"> (Design, Supply and installation testing and commissioning)</t>
    </r>
  </si>
  <si>
    <r>
      <rPr>
        <b/>
        <sz val="10"/>
        <rFont val="Arial"/>
        <charset val="134"/>
      </rPr>
      <t>SCADA - RTU</t>
    </r>
    <r>
      <rPr>
        <b/>
        <sz val="10"/>
        <rFont val="宋体-简"/>
        <charset val="134"/>
      </rPr>
      <t>及网络机架</t>
    </r>
    <r>
      <rPr>
        <b/>
        <sz val="10"/>
        <rFont val="Arial"/>
        <charset val="134"/>
      </rPr>
      <t xml:space="preserve"> </t>
    </r>
    <r>
      <rPr>
        <b/>
        <sz val="10"/>
        <rFont val="宋体-简"/>
        <charset val="134"/>
      </rPr>
      <t>（设计、供应及安装测试与调试）</t>
    </r>
  </si>
  <si>
    <t>G.9.2.1</t>
  </si>
  <si>
    <t>SCADA RTU / Marshalling panel - Main Substation</t>
  </si>
  <si>
    <r>
      <rPr>
        <sz val="10"/>
        <rFont val="Arial"/>
        <charset val="134"/>
      </rPr>
      <t>SCADA RTU</t>
    </r>
    <r>
      <rPr>
        <sz val="10"/>
        <rFont val="宋体-简"/>
        <charset val="134"/>
      </rPr>
      <t>及接线面板</t>
    </r>
    <r>
      <rPr>
        <sz val="10"/>
        <rFont val="Arial"/>
        <charset val="134"/>
      </rPr>
      <t>—</t>
    </r>
    <r>
      <rPr>
        <sz val="10"/>
        <rFont val="宋体-简"/>
        <charset val="134"/>
      </rPr>
      <t>主变电站</t>
    </r>
  </si>
  <si>
    <t>G.9.2.2</t>
  </si>
  <si>
    <t>SCADA RTU - STS Substation</t>
  </si>
  <si>
    <r>
      <rPr>
        <sz val="10"/>
        <rFont val="Arial"/>
        <charset val="134"/>
      </rPr>
      <t>SCADA RTU—STS</t>
    </r>
    <r>
      <rPr>
        <sz val="10"/>
        <rFont val="宋体-简"/>
        <charset val="134"/>
      </rPr>
      <t>变电站</t>
    </r>
  </si>
  <si>
    <t>G.9.2.3</t>
  </si>
  <si>
    <t>SCADA RTU - Reefer Substation</t>
  </si>
  <si>
    <r>
      <rPr>
        <sz val="10"/>
        <rFont val="Arial"/>
        <charset val="134"/>
      </rPr>
      <t>SCADA RTU—</t>
    </r>
    <r>
      <rPr>
        <sz val="10"/>
        <rFont val="宋体-简"/>
        <charset val="134"/>
      </rPr>
      <t>冷藏变电站</t>
    </r>
  </si>
  <si>
    <t>G.9.2.4</t>
  </si>
  <si>
    <t>SCADA RTU - eRTG Substation</t>
  </si>
  <si>
    <r>
      <rPr>
        <sz val="10"/>
        <rFont val="Arial"/>
        <charset val="134"/>
      </rPr>
      <t xml:space="preserve">SCADA RTU—eRTG </t>
    </r>
    <r>
      <rPr>
        <sz val="10"/>
        <rFont val="宋体-简"/>
        <charset val="134"/>
      </rPr>
      <t>变电站</t>
    </r>
  </si>
  <si>
    <t>G.9.3</t>
  </si>
  <si>
    <r>
      <rPr>
        <b/>
        <sz val="10"/>
        <rFont val="Arial"/>
        <charset val="134"/>
      </rPr>
      <t>SCADA - Reefer racks</t>
    </r>
    <r>
      <rPr>
        <sz val="10"/>
        <rFont val="Arial"/>
        <charset val="134"/>
      </rPr>
      <t xml:space="preserve"> (Design, Supply and installation testing and commissioning)</t>
    </r>
  </si>
  <si>
    <r>
      <rPr>
        <b/>
        <sz val="10"/>
        <rFont val="Arial"/>
        <charset val="134"/>
      </rPr>
      <t>SCADA—</t>
    </r>
    <r>
      <rPr>
        <b/>
        <sz val="10"/>
        <rFont val="宋体-简"/>
        <charset val="134"/>
      </rPr>
      <t>冷藏货架</t>
    </r>
    <r>
      <rPr>
        <b/>
        <sz val="10"/>
        <rFont val="Arial"/>
        <charset val="134"/>
      </rPr>
      <t xml:space="preserve"> </t>
    </r>
    <r>
      <rPr>
        <b/>
        <sz val="10"/>
        <rFont val="宋体-简"/>
        <charset val="134"/>
      </rPr>
      <t>（设计、供应及安装测试与调试）</t>
    </r>
  </si>
  <si>
    <t>G.9.3.1</t>
  </si>
  <si>
    <t>Marshalling panel Reefer racks including wiring</t>
  </si>
  <si>
    <t>冷藏货架接线面板及布线</t>
  </si>
  <si>
    <t>G.9.4</t>
  </si>
  <si>
    <r>
      <rPr>
        <b/>
        <sz val="10"/>
        <rFont val="Arial"/>
        <charset val="134"/>
      </rPr>
      <t>SCADA - Software</t>
    </r>
    <r>
      <rPr>
        <sz val="10"/>
        <rFont val="Arial"/>
        <charset val="134"/>
      </rPr>
      <t xml:space="preserve"> (Design, Supply and installation testing and commissioning)</t>
    </r>
  </si>
  <si>
    <r>
      <rPr>
        <b/>
        <sz val="10"/>
        <rFont val="Arial"/>
        <charset val="134"/>
      </rPr>
      <t>SCADA—</t>
    </r>
    <r>
      <rPr>
        <b/>
        <sz val="10"/>
        <rFont val="宋体-简"/>
        <charset val="134"/>
      </rPr>
      <t>软件</t>
    </r>
    <r>
      <rPr>
        <b/>
        <sz val="10"/>
        <rFont val="Arial"/>
        <charset val="134"/>
      </rPr>
      <t xml:space="preserve"> </t>
    </r>
    <r>
      <rPr>
        <b/>
        <sz val="10"/>
        <rFont val="宋体-简"/>
        <charset val="134"/>
      </rPr>
      <t>（设计、供应及安装测试与调试）</t>
    </r>
  </si>
  <si>
    <t>G.9.4.1</t>
  </si>
  <si>
    <t>SCADA software platform in accordance with the PERs</t>
  </si>
  <si>
    <r>
      <rPr>
        <sz val="10"/>
        <rFont val="宋体-简"/>
        <charset val="134"/>
      </rPr>
      <t>符合</t>
    </r>
    <r>
      <rPr>
        <sz val="10"/>
        <rFont val="Arial"/>
        <charset val="134"/>
      </rPr>
      <t>PER</t>
    </r>
    <r>
      <rPr>
        <sz val="10"/>
        <rFont val="宋体-简"/>
        <charset val="134"/>
      </rPr>
      <t>规范的</t>
    </r>
    <r>
      <rPr>
        <sz val="10"/>
        <rFont val="Arial"/>
        <charset val="134"/>
      </rPr>
      <t>SCADA</t>
    </r>
    <r>
      <rPr>
        <sz val="10"/>
        <rFont val="宋体-简"/>
        <charset val="134"/>
      </rPr>
      <t>软件平台</t>
    </r>
  </si>
  <si>
    <t>G.9.5</t>
  </si>
  <si>
    <r>
      <rPr>
        <b/>
        <sz val="10"/>
        <rFont val="Arial"/>
        <charset val="134"/>
      </rPr>
      <t>SCADA - Workstation</t>
    </r>
    <r>
      <rPr>
        <sz val="10"/>
        <rFont val="Arial"/>
        <charset val="134"/>
      </rPr>
      <t xml:space="preserve"> (Design, Supply and installation testing and commissioning)</t>
    </r>
  </si>
  <si>
    <r>
      <rPr>
        <b/>
        <sz val="10"/>
        <rFont val="Arial"/>
        <charset val="134"/>
      </rPr>
      <t xml:space="preserve">SCADA </t>
    </r>
    <r>
      <rPr>
        <b/>
        <sz val="10"/>
        <rFont val="宋体-简"/>
        <charset val="134"/>
      </rPr>
      <t>工作站</t>
    </r>
    <r>
      <rPr>
        <b/>
        <sz val="10"/>
        <rFont val="Arial"/>
        <charset val="134"/>
      </rPr>
      <t xml:space="preserve"> </t>
    </r>
    <r>
      <rPr>
        <b/>
        <sz val="10"/>
        <rFont val="宋体-简"/>
        <charset val="134"/>
      </rPr>
      <t>（设计、供应及安装测试与调试）</t>
    </r>
  </si>
  <si>
    <t>G.9.5.1</t>
  </si>
  <si>
    <t>SCADA workstation / industrial PC</t>
  </si>
  <si>
    <r>
      <rPr>
        <sz val="10"/>
        <rFont val="Arial"/>
        <charset val="134"/>
      </rPr>
      <t xml:space="preserve">SCADA </t>
    </r>
    <r>
      <rPr>
        <sz val="10"/>
        <rFont val="宋体-简"/>
        <charset val="134"/>
      </rPr>
      <t>工作站</t>
    </r>
    <r>
      <rPr>
        <sz val="10"/>
        <rFont val="Arial"/>
        <charset val="134"/>
      </rPr>
      <t xml:space="preserve"> / </t>
    </r>
    <r>
      <rPr>
        <sz val="10"/>
        <rFont val="宋体-简"/>
        <charset val="134"/>
      </rPr>
      <t>工业</t>
    </r>
    <r>
      <rPr>
        <sz val="10"/>
        <rFont val="Arial"/>
        <charset val="134"/>
      </rPr>
      <t>PC</t>
    </r>
  </si>
  <si>
    <t>G.9.6</t>
  </si>
  <si>
    <r>
      <rPr>
        <b/>
        <sz val="10"/>
        <rFont val="Arial"/>
        <charset val="134"/>
      </rPr>
      <t>Other</t>
    </r>
    <r>
      <rPr>
        <sz val="10"/>
        <rFont val="Arial"/>
        <charset val="134"/>
      </rPr>
      <t xml:space="preserve"> (Design, Supply and installation and testing)</t>
    </r>
  </si>
  <si>
    <r>
      <rPr>
        <b/>
        <sz val="10"/>
        <rFont val="宋体-简"/>
        <charset val="134"/>
      </rPr>
      <t>其他</t>
    </r>
    <r>
      <rPr>
        <b/>
        <sz val="10"/>
        <rFont val="Arial"/>
        <charset val="134"/>
      </rPr>
      <t xml:space="preserve"> </t>
    </r>
    <r>
      <rPr>
        <b/>
        <sz val="10"/>
        <rFont val="宋体-简"/>
        <charset val="134"/>
      </rPr>
      <t>（设计、供应、安装及试验）</t>
    </r>
  </si>
  <si>
    <t>G.9.6.1</t>
  </si>
  <si>
    <t>All other items not covered above which are required to provide a complete installation</t>
  </si>
  <si>
    <t>所有上述未涵盖但为实现完整安装而必需的其他项目</t>
  </si>
  <si>
    <t>SUBTOTAL - SCADA</t>
  </si>
  <si>
    <r>
      <rPr>
        <b/>
        <sz val="10"/>
        <rFont val="宋体-简"/>
        <charset val="134"/>
      </rPr>
      <t>小计</t>
    </r>
    <r>
      <rPr>
        <b/>
        <sz val="10"/>
        <rFont val="Arial"/>
        <charset val="134"/>
      </rPr>
      <t xml:space="preserve"> - SCADA</t>
    </r>
  </si>
  <si>
    <t>G.10</t>
  </si>
  <si>
    <t>Equipotential bonding</t>
  </si>
  <si>
    <t>等电位连接</t>
  </si>
  <si>
    <t>G.10.1</t>
  </si>
  <si>
    <r>
      <rPr>
        <b/>
        <sz val="10"/>
        <rFont val="Arial"/>
        <charset val="134"/>
      </rPr>
      <t>Equipotential bonding</t>
    </r>
    <r>
      <rPr>
        <sz val="10"/>
        <rFont val="Arial"/>
        <charset val="134"/>
      </rPr>
      <t xml:space="preserve"> (Design, Supply and installation testing and commissioning)</t>
    </r>
  </si>
  <si>
    <r>
      <rPr>
        <b/>
        <sz val="10"/>
        <rFont val="宋体-简"/>
        <charset val="134"/>
      </rPr>
      <t>等电位连接</t>
    </r>
    <r>
      <rPr>
        <b/>
        <sz val="10"/>
        <rFont val="Arial"/>
        <charset val="134"/>
      </rPr>
      <t xml:space="preserve"> </t>
    </r>
    <r>
      <rPr>
        <b/>
        <sz val="10"/>
        <rFont val="宋体-简"/>
        <charset val="134"/>
      </rPr>
      <t>（设计、供应及安装测试与调试）</t>
    </r>
  </si>
  <si>
    <t>G.10.1.1</t>
  </si>
  <si>
    <t>Equipotential bonding as indicated in the PERs and Drawings (Contractor to quantify and itemise)</t>
  </si>
  <si>
    <r>
      <rPr>
        <sz val="10"/>
        <rFont val="宋体-简"/>
        <charset val="134"/>
      </rPr>
      <t>按照</t>
    </r>
    <r>
      <rPr>
        <sz val="10"/>
        <rFont val="Arial"/>
        <charset val="134"/>
      </rPr>
      <t>PER</t>
    </r>
    <r>
      <rPr>
        <sz val="10"/>
        <rFont val="宋体-简"/>
        <charset val="134"/>
      </rPr>
      <t>及图纸所示的等电位连接（承包商需自行计算并明细列项）</t>
    </r>
  </si>
  <si>
    <t>SUBTOTAL - Equipotential Bonding</t>
  </si>
  <si>
    <r>
      <rPr>
        <b/>
        <sz val="10"/>
        <rFont val="宋体-简"/>
        <charset val="134"/>
      </rPr>
      <t>小计</t>
    </r>
    <r>
      <rPr>
        <b/>
        <sz val="10"/>
        <rFont val="Arial"/>
        <charset val="134"/>
      </rPr>
      <t xml:space="preserve"> - </t>
    </r>
    <r>
      <rPr>
        <b/>
        <sz val="10"/>
        <rFont val="宋体-简"/>
        <charset val="134"/>
      </rPr>
      <t>等电位连接</t>
    </r>
  </si>
  <si>
    <t>G.11</t>
  </si>
  <si>
    <t>IT Network and Security (PER 007F)</t>
  </si>
  <si>
    <r>
      <rPr>
        <b/>
        <sz val="10"/>
        <rFont val="Arial"/>
        <charset val="134"/>
      </rPr>
      <t>IT</t>
    </r>
    <r>
      <rPr>
        <b/>
        <sz val="10"/>
        <rFont val="宋体-简"/>
        <charset val="134"/>
      </rPr>
      <t>网络与安全（</t>
    </r>
    <r>
      <rPr>
        <b/>
        <sz val="10"/>
        <rFont val="Arial"/>
        <charset val="134"/>
      </rPr>
      <t>PER 007F</t>
    </r>
    <r>
      <rPr>
        <b/>
        <sz val="10"/>
        <rFont val="宋体-简"/>
        <charset val="134"/>
      </rPr>
      <t>）</t>
    </r>
  </si>
  <si>
    <t>G.11.1</t>
  </si>
  <si>
    <t>Rack Cabinets</t>
  </si>
  <si>
    <t>机架柜</t>
  </si>
  <si>
    <t>G.11.1.1</t>
  </si>
  <si>
    <t>Rack Cabinets (Design, Supply and installation and testing)</t>
  </si>
  <si>
    <t>机架柜（设计、供应、安装及测试）</t>
  </si>
  <si>
    <t>G.11.1.1.1</t>
  </si>
  <si>
    <t>Datacentre 1(42 U CABINET)</t>
  </si>
  <si>
    <r>
      <rPr>
        <sz val="10"/>
        <rFont val="宋体-简"/>
        <charset val="134"/>
      </rPr>
      <t>数据中心</t>
    </r>
    <r>
      <rPr>
        <sz val="10"/>
        <rFont val="Arial"/>
        <charset val="134"/>
      </rPr>
      <t xml:space="preserve"> 1</t>
    </r>
    <r>
      <rPr>
        <sz val="10"/>
        <rFont val="宋体-简"/>
        <charset val="134"/>
      </rPr>
      <t>（</t>
    </r>
    <r>
      <rPr>
        <sz val="10"/>
        <rFont val="Arial"/>
        <charset val="134"/>
      </rPr>
      <t xml:space="preserve">42U </t>
    </r>
    <r>
      <rPr>
        <sz val="10"/>
        <rFont val="宋体-简"/>
        <charset val="134"/>
      </rPr>
      <t>机柜）</t>
    </r>
  </si>
  <si>
    <t>G.11.1.1.2</t>
  </si>
  <si>
    <t>Datacentre 2(42 U CABINET)</t>
  </si>
  <si>
    <r>
      <rPr>
        <sz val="10"/>
        <rFont val="宋体-简"/>
        <charset val="134"/>
      </rPr>
      <t>数据中心</t>
    </r>
    <r>
      <rPr>
        <sz val="10"/>
        <rFont val="Arial"/>
        <charset val="134"/>
      </rPr>
      <t xml:space="preserve"> 2</t>
    </r>
    <r>
      <rPr>
        <sz val="10"/>
        <rFont val="宋体-简"/>
        <charset val="134"/>
      </rPr>
      <t>（</t>
    </r>
    <r>
      <rPr>
        <sz val="10"/>
        <rFont val="Arial"/>
        <charset val="134"/>
      </rPr>
      <t xml:space="preserve">42U </t>
    </r>
    <r>
      <rPr>
        <sz val="10"/>
        <rFont val="宋体-简"/>
        <charset val="134"/>
      </rPr>
      <t>机柜）</t>
    </r>
  </si>
  <si>
    <t>G.11.1.1.3</t>
  </si>
  <si>
    <t>Main Substation(24 U CABINET)</t>
  </si>
  <si>
    <r>
      <rPr>
        <sz val="10"/>
        <rFont val="宋体-简"/>
        <charset val="134"/>
      </rPr>
      <t>主变电站（</t>
    </r>
    <r>
      <rPr>
        <sz val="10"/>
        <rFont val="Arial"/>
        <charset val="134"/>
      </rPr>
      <t xml:space="preserve">24U </t>
    </r>
    <r>
      <rPr>
        <sz val="10"/>
        <rFont val="宋体-简"/>
        <charset val="134"/>
      </rPr>
      <t>机柜）</t>
    </r>
  </si>
  <si>
    <t>G.11.1.1.4</t>
  </si>
  <si>
    <t>STS Substation(24 U CABINET)</t>
  </si>
  <si>
    <r>
      <rPr>
        <sz val="10"/>
        <rFont val="Arial"/>
        <charset val="134"/>
      </rPr>
      <t>STS</t>
    </r>
    <r>
      <rPr>
        <sz val="10"/>
        <rFont val="宋体-简"/>
        <charset val="134"/>
      </rPr>
      <t>变电站（</t>
    </r>
    <r>
      <rPr>
        <sz val="10"/>
        <rFont val="Arial"/>
        <charset val="134"/>
      </rPr>
      <t xml:space="preserve">24U </t>
    </r>
    <r>
      <rPr>
        <sz val="10"/>
        <rFont val="宋体-简"/>
        <charset val="134"/>
      </rPr>
      <t>机柜）</t>
    </r>
  </si>
  <si>
    <t>G.11.1.1.5</t>
  </si>
  <si>
    <t>Reefer Substation(24 U CABINET)</t>
  </si>
  <si>
    <r>
      <rPr>
        <sz val="10"/>
        <rFont val="宋体-简"/>
        <charset val="134"/>
      </rPr>
      <t>冷藏变电站（</t>
    </r>
    <r>
      <rPr>
        <sz val="10"/>
        <rFont val="Arial"/>
        <charset val="134"/>
      </rPr>
      <t xml:space="preserve">24U </t>
    </r>
    <r>
      <rPr>
        <sz val="10"/>
        <rFont val="宋体-简"/>
        <charset val="134"/>
      </rPr>
      <t>机柜）</t>
    </r>
  </si>
  <si>
    <t>G.11.1.1.6</t>
  </si>
  <si>
    <t>eRTG Substation(24 U CABINET)</t>
  </si>
  <si>
    <r>
      <rPr>
        <sz val="10"/>
        <rFont val="Arial"/>
        <charset val="134"/>
      </rPr>
      <t>eRTG</t>
    </r>
    <r>
      <rPr>
        <sz val="10"/>
        <rFont val="宋体-简"/>
        <charset val="134"/>
      </rPr>
      <t>变电站（</t>
    </r>
    <r>
      <rPr>
        <sz val="10"/>
        <rFont val="Arial"/>
        <charset val="134"/>
      </rPr>
      <t xml:space="preserve">24U </t>
    </r>
    <r>
      <rPr>
        <sz val="10"/>
        <rFont val="宋体-简"/>
        <charset val="134"/>
      </rPr>
      <t>机柜）</t>
    </r>
  </si>
  <si>
    <t>G.11.1.1.7</t>
  </si>
  <si>
    <t>Out Gate</t>
  </si>
  <si>
    <t>出门口</t>
  </si>
  <si>
    <t>G.11.1.1.8</t>
  </si>
  <si>
    <t>Fire Pump house(24 U CABINET)</t>
  </si>
  <si>
    <r>
      <rPr>
        <sz val="10"/>
        <rFont val="宋体-简"/>
        <charset val="134"/>
      </rPr>
      <t>消防泵房（</t>
    </r>
    <r>
      <rPr>
        <sz val="10"/>
        <rFont val="Arial"/>
        <charset val="134"/>
      </rPr>
      <t xml:space="preserve">24U </t>
    </r>
    <r>
      <rPr>
        <sz val="10"/>
        <rFont val="宋体-简"/>
        <charset val="134"/>
      </rPr>
      <t>机柜）</t>
    </r>
  </si>
  <si>
    <t>G.11.1.1.9</t>
  </si>
  <si>
    <t>In-Gate</t>
  </si>
  <si>
    <t>入口闸口</t>
  </si>
  <si>
    <t>G.11.1.1.10</t>
  </si>
  <si>
    <t>Security Office(24 U CABINET)</t>
  </si>
  <si>
    <r>
      <rPr>
        <sz val="10"/>
        <rFont val="宋体-简"/>
        <charset val="134"/>
      </rPr>
      <t>保安办公室（</t>
    </r>
    <r>
      <rPr>
        <sz val="10"/>
        <rFont val="Arial"/>
        <charset val="134"/>
      </rPr>
      <t>24U</t>
    </r>
    <r>
      <rPr>
        <sz val="10"/>
        <rFont val="宋体-简"/>
        <charset val="134"/>
      </rPr>
      <t>机柜）</t>
    </r>
  </si>
  <si>
    <t>G.11.1.1.11</t>
  </si>
  <si>
    <t>24 PORT FO PATCH PANEL</t>
  </si>
  <si>
    <r>
      <rPr>
        <sz val="10"/>
        <rFont val="Arial"/>
        <charset val="134"/>
      </rPr>
      <t>24</t>
    </r>
    <r>
      <rPr>
        <sz val="10"/>
        <rFont val="宋体-简"/>
        <charset val="134"/>
      </rPr>
      <t>端口配线架</t>
    </r>
  </si>
  <si>
    <t>G.11.1.1.12</t>
  </si>
  <si>
    <r>
      <rPr>
        <sz val="10"/>
        <rFont val="Arial"/>
        <charset val="134"/>
      </rPr>
      <t>Auxiliary materials for construction</t>
    </r>
    <r>
      <rPr>
        <sz val="10"/>
        <rFont val="宋体"/>
        <charset val="134"/>
      </rPr>
      <t>（</t>
    </r>
    <r>
      <rPr>
        <sz val="10"/>
        <rFont val="Arial"/>
        <charset val="134"/>
      </rPr>
      <t>Including protective devices</t>
    </r>
    <r>
      <rPr>
        <sz val="10"/>
        <rFont val="宋体"/>
        <charset val="134"/>
      </rPr>
      <t>、</t>
    </r>
    <r>
      <rPr>
        <sz val="10"/>
        <rFont val="Arial"/>
        <charset val="134"/>
      </rPr>
      <t>terminations</t>
    </r>
    <r>
      <rPr>
        <sz val="10"/>
        <rFont val="宋体"/>
        <charset val="134"/>
      </rPr>
      <t>、</t>
    </r>
    <r>
      <rPr>
        <sz val="10"/>
        <rFont val="Arial"/>
        <charset val="134"/>
      </rPr>
      <t>electric power equipment and racks.</t>
    </r>
    <r>
      <rPr>
        <sz val="10"/>
        <rFont val="宋体"/>
        <charset val="134"/>
      </rPr>
      <t>）</t>
    </r>
  </si>
  <si>
    <t>施工辅助材料（包括保护装置、端子处理、电力设备及机架。）</t>
  </si>
  <si>
    <t>G.11.2</t>
  </si>
  <si>
    <t>Fibre Optic Cabling</t>
  </si>
  <si>
    <t>光纤敷设</t>
  </si>
  <si>
    <t>G.11.2.1</t>
  </si>
  <si>
    <t>Fibre optic Cabling (Design, Supply and installation and testing)</t>
  </si>
  <si>
    <t>光纤敷设（设计、供应、安装及测试）</t>
  </si>
  <si>
    <t>G.11.2.2</t>
  </si>
  <si>
    <t>Single Mode fibre as indicated on the PERs and Drawings. (Contractor to quantify and itemise)</t>
  </si>
  <si>
    <r>
      <rPr>
        <sz val="10"/>
        <rFont val="宋体-简"/>
        <charset val="134"/>
      </rPr>
      <t>按照</t>
    </r>
    <r>
      <rPr>
        <sz val="10"/>
        <rFont val="Arial"/>
        <charset val="134"/>
      </rPr>
      <t>PERs</t>
    </r>
    <r>
      <rPr>
        <sz val="10"/>
        <rFont val="宋体-简"/>
        <charset val="134"/>
      </rPr>
      <t>及图纸所示的单模光纤。（承包商需量化及分项列出）</t>
    </r>
  </si>
  <si>
    <t>G.11.2.2.1</t>
  </si>
  <si>
    <t>Single Mode Fibre(GYTA53-96B1)</t>
  </si>
  <si>
    <r>
      <rPr>
        <sz val="10"/>
        <rFont val="宋体-简"/>
        <charset val="134"/>
      </rPr>
      <t>单模光纤</t>
    </r>
    <r>
      <rPr>
        <sz val="10"/>
        <rFont val="Arial"/>
        <charset val="134"/>
      </rPr>
      <t>(GYTA53-96B1)</t>
    </r>
  </si>
  <si>
    <t>G.11.2.2.2</t>
  </si>
  <si>
    <t>Single Mode Fibre(GYTA53-72B1)</t>
  </si>
  <si>
    <r>
      <rPr>
        <sz val="10"/>
        <rFont val="宋体-简"/>
        <charset val="134"/>
      </rPr>
      <t>单模光纤</t>
    </r>
    <r>
      <rPr>
        <sz val="10"/>
        <rFont val="Arial"/>
        <charset val="134"/>
      </rPr>
      <t>(GYTA53-72B1)</t>
    </r>
  </si>
  <si>
    <t>G.11.2.2.3</t>
  </si>
  <si>
    <t>Single Mode Fibre(GYTA53-48B1)</t>
  </si>
  <si>
    <r>
      <rPr>
        <sz val="10"/>
        <rFont val="宋体-简"/>
        <charset val="134"/>
      </rPr>
      <t>单模光纤</t>
    </r>
    <r>
      <rPr>
        <sz val="10"/>
        <rFont val="Arial"/>
        <charset val="134"/>
      </rPr>
      <t>(GYTA53-48B1)</t>
    </r>
  </si>
  <si>
    <t>G.11.3</t>
  </si>
  <si>
    <t>CCTV Poles</t>
  </si>
  <si>
    <t>闭路电视杆件</t>
  </si>
  <si>
    <t>G.11.3.1</t>
  </si>
  <si>
    <t>CCTV Poles (Design, Supply and installation and testing)</t>
  </si>
  <si>
    <t>闭路电视杆件（设计、供应、安装及测试）</t>
  </si>
  <si>
    <t>G.11.3.2</t>
  </si>
  <si>
    <t>CCTV Poles including brackets as indicated on the PERs and Drawings. (Contractor to quantify and itemise)</t>
  </si>
  <si>
    <r>
      <rPr>
        <sz val="10"/>
        <rFont val="宋体-简"/>
        <charset val="134"/>
      </rPr>
      <t>闭路电视杆件及</t>
    </r>
    <r>
      <rPr>
        <sz val="10"/>
        <rFont val="Arial"/>
        <charset val="134"/>
      </rPr>
      <t>PER</t>
    </r>
    <r>
      <rPr>
        <sz val="10"/>
        <rFont val="宋体-简"/>
        <charset val="134"/>
      </rPr>
      <t>和图纸中所示支架（承包商应进行量化及明细编制）</t>
    </r>
  </si>
  <si>
    <t>G.11.3.2.1</t>
  </si>
  <si>
    <t>Support brackets</t>
  </si>
  <si>
    <t>支撑支架</t>
  </si>
  <si>
    <t>G.11.3.2.2</t>
  </si>
  <si>
    <t>DIN rail mount</t>
  </si>
  <si>
    <r>
      <rPr>
        <sz val="10"/>
        <rFont val="Arial"/>
        <charset val="134"/>
      </rPr>
      <t>DIN</t>
    </r>
    <r>
      <rPr>
        <sz val="10"/>
        <rFont val="宋体-简"/>
        <charset val="134"/>
      </rPr>
      <t>导轨安装</t>
    </r>
  </si>
  <si>
    <t>G.11.3.2.3</t>
  </si>
  <si>
    <t>Power cable YJV 3×2.5</t>
  </si>
  <si>
    <r>
      <rPr>
        <sz val="10"/>
        <rFont val="宋体-简"/>
        <charset val="134"/>
      </rPr>
      <t>电源电缆</t>
    </r>
    <r>
      <rPr>
        <sz val="10"/>
        <rFont val="Arial"/>
        <charset val="134"/>
      </rPr>
      <t xml:space="preserve"> YJV 3×2.5</t>
    </r>
  </si>
  <si>
    <t>SUBTOTAL - IT Network and Security</t>
  </si>
  <si>
    <r>
      <rPr>
        <b/>
        <sz val="10"/>
        <rFont val="宋体-简"/>
        <charset val="134"/>
      </rPr>
      <t>小计</t>
    </r>
    <r>
      <rPr>
        <b/>
        <sz val="10"/>
        <rFont val="Arial"/>
        <charset val="134"/>
      </rPr>
      <t xml:space="preserve"> - IT</t>
    </r>
    <r>
      <rPr>
        <b/>
        <sz val="10"/>
        <rFont val="宋体-简"/>
        <charset val="134"/>
      </rPr>
      <t>网络及安保</t>
    </r>
  </si>
  <si>
    <t>G.12</t>
  </si>
  <si>
    <t>Firewater Services (PER 007K)</t>
  </si>
  <si>
    <r>
      <rPr>
        <sz val="10"/>
        <rFont val="宋体-简"/>
        <charset val="134"/>
      </rPr>
      <t>消防水服务（</t>
    </r>
    <r>
      <rPr>
        <sz val="10"/>
        <rFont val="Arial"/>
        <charset val="134"/>
      </rPr>
      <t>PER 007K</t>
    </r>
    <r>
      <rPr>
        <sz val="10"/>
        <rFont val="宋体-简"/>
        <charset val="134"/>
      </rPr>
      <t>）</t>
    </r>
  </si>
  <si>
    <t>G.12.1</t>
  </si>
  <si>
    <t>Firewater Pipe (xx diameter / material / rating)</t>
  </si>
  <si>
    <r>
      <rPr>
        <sz val="10"/>
        <rFont val="宋体-简"/>
        <charset val="134"/>
      </rPr>
      <t>消防水管（</t>
    </r>
    <r>
      <rPr>
        <sz val="10"/>
        <rFont val="Arial"/>
        <charset val="134"/>
      </rPr>
      <t>xx</t>
    </r>
    <r>
      <rPr>
        <sz val="10"/>
        <rFont val="宋体-简"/>
        <charset val="134"/>
      </rPr>
      <t>直径／材质／等级）</t>
    </r>
  </si>
  <si>
    <t>G.12.1.1</t>
  </si>
  <si>
    <t>HDPE water supply pipe DN200-1.6</t>
  </si>
  <si>
    <r>
      <rPr>
        <sz val="10"/>
        <rFont val="Arial"/>
        <charset val="134"/>
      </rPr>
      <t>HDPE</t>
    </r>
    <r>
      <rPr>
        <sz val="10"/>
        <rFont val="宋体-简"/>
        <charset val="134"/>
      </rPr>
      <t>给水管</t>
    </r>
    <r>
      <rPr>
        <sz val="10"/>
        <rFont val="Arial"/>
        <charset val="134"/>
      </rPr>
      <t xml:space="preserve"> DN200-1.6</t>
    </r>
  </si>
  <si>
    <t>G.12.1.2</t>
  </si>
  <si>
    <t>HDPE water supply pipe DN150-1.6</t>
  </si>
  <si>
    <r>
      <rPr>
        <sz val="10"/>
        <rFont val="Arial"/>
        <charset val="134"/>
      </rPr>
      <t>HDPE</t>
    </r>
    <r>
      <rPr>
        <sz val="10"/>
        <rFont val="宋体-简"/>
        <charset val="134"/>
      </rPr>
      <t>给水管</t>
    </r>
    <r>
      <rPr>
        <sz val="10"/>
        <rFont val="Arial"/>
        <charset val="134"/>
      </rPr>
      <t xml:space="preserve"> DN150-1.6</t>
    </r>
  </si>
  <si>
    <t>G.12.1.3</t>
  </si>
  <si>
    <t>Ductile iron pipe DN100-1.6</t>
  </si>
  <si>
    <r>
      <rPr>
        <sz val="10"/>
        <rFont val="宋体-简"/>
        <charset val="134"/>
      </rPr>
      <t>球墨铸铁管</t>
    </r>
    <r>
      <rPr>
        <sz val="10"/>
        <rFont val="Arial"/>
        <charset val="134"/>
      </rPr>
      <t xml:space="preserve"> DN100-1.6</t>
    </r>
  </si>
  <si>
    <t>G.12.2</t>
  </si>
  <si>
    <t>Hydrant / Valve Pit (including all valves and fittings)</t>
  </si>
  <si>
    <t>消火栓／阀门井（含所有阀门及配件）</t>
  </si>
  <si>
    <t>G.12.2.1</t>
  </si>
  <si>
    <t>Manual gate valve DN150, model Z451X-25, with matching flange</t>
  </si>
  <si>
    <r>
      <rPr>
        <sz val="10"/>
        <rFont val="宋体-简"/>
        <charset val="134"/>
      </rPr>
      <t>手动闸阀</t>
    </r>
    <r>
      <rPr>
        <sz val="10"/>
        <rFont val="Arial"/>
        <charset val="134"/>
      </rPr>
      <t xml:space="preserve"> DN150</t>
    </r>
    <r>
      <rPr>
        <sz val="10"/>
        <rFont val="宋体-简"/>
        <charset val="134"/>
      </rPr>
      <t>，型号</t>
    </r>
    <r>
      <rPr>
        <sz val="10"/>
        <rFont val="Arial"/>
        <charset val="134"/>
      </rPr>
      <t xml:space="preserve"> Z451X-25</t>
    </r>
    <r>
      <rPr>
        <sz val="10"/>
        <rFont val="宋体-简"/>
        <charset val="134"/>
      </rPr>
      <t>，带配套法兰</t>
    </r>
  </si>
  <si>
    <t>G.12.2.2</t>
  </si>
  <si>
    <t>Manual gate valve DN200, model Z451X-25, with matching flange</t>
  </si>
  <si>
    <r>
      <rPr>
        <sz val="10"/>
        <rFont val="宋体-简"/>
        <charset val="134"/>
      </rPr>
      <t>手动闸阀</t>
    </r>
    <r>
      <rPr>
        <sz val="10"/>
        <rFont val="Arial"/>
        <charset val="134"/>
      </rPr>
      <t xml:space="preserve"> DN200</t>
    </r>
    <r>
      <rPr>
        <sz val="10"/>
        <rFont val="宋体-简"/>
        <charset val="134"/>
      </rPr>
      <t>，型号</t>
    </r>
    <r>
      <rPr>
        <sz val="10"/>
        <rFont val="Arial"/>
        <charset val="134"/>
      </rPr>
      <t xml:space="preserve"> Z451X-25</t>
    </r>
    <r>
      <rPr>
        <sz val="10"/>
        <rFont val="宋体-简"/>
        <charset val="134"/>
      </rPr>
      <t>，带配套法兰</t>
    </r>
  </si>
  <si>
    <t>G.12.2.3</t>
  </si>
  <si>
    <t>Sludge discharge valve DN100-25 with matching flange</t>
  </si>
  <si>
    <r>
      <rPr>
        <sz val="10"/>
        <rFont val="宋体-简"/>
        <charset val="134"/>
      </rPr>
      <t>污泥排放阀</t>
    </r>
    <r>
      <rPr>
        <sz val="10"/>
        <rFont val="Arial"/>
        <charset val="134"/>
      </rPr>
      <t xml:space="preserve"> DN100-25</t>
    </r>
    <r>
      <rPr>
        <sz val="10"/>
        <rFont val="宋体-简"/>
        <charset val="134"/>
      </rPr>
      <t>，带配套法兰</t>
    </r>
  </si>
  <si>
    <t>G.12.2.4</t>
  </si>
  <si>
    <t>Valve: DN25,Pg=2.5 MPa, with matching flange</t>
  </si>
  <si>
    <r>
      <rPr>
        <sz val="10"/>
        <rFont val="宋体-简"/>
        <charset val="134"/>
      </rPr>
      <t>阀门：</t>
    </r>
    <r>
      <rPr>
        <sz val="10"/>
        <rFont val="Arial"/>
        <charset val="134"/>
      </rPr>
      <t>DN25</t>
    </r>
    <r>
      <rPr>
        <sz val="10"/>
        <rFont val="宋体-简"/>
        <charset val="134"/>
      </rPr>
      <t>，公称压力</t>
    </r>
    <r>
      <rPr>
        <sz val="10"/>
        <rFont val="Arial"/>
        <charset val="134"/>
      </rPr>
      <t>2.5 MPa</t>
    </r>
    <r>
      <rPr>
        <sz val="10"/>
        <rFont val="宋体-简"/>
        <charset val="134"/>
      </rPr>
      <t>，配套法兰</t>
    </r>
  </si>
  <si>
    <t>G.12.2.5</t>
  </si>
  <si>
    <t>Reinforced concrete valve well, dimensions 1300x1300x1800</t>
  </si>
  <si>
    <r>
      <rPr>
        <sz val="10"/>
        <rFont val="宋体-简"/>
        <charset val="134"/>
      </rPr>
      <t>钢筋混凝土阀门井，尺寸</t>
    </r>
    <r>
      <rPr>
        <sz val="10"/>
        <rFont val="Arial"/>
        <charset val="134"/>
      </rPr>
      <t>1300×1300×1800</t>
    </r>
  </si>
  <si>
    <t>G.12.2.6</t>
  </si>
  <si>
    <t>Reinforced concrete valve shaft, dimensions 1900x1200x1800</t>
  </si>
  <si>
    <r>
      <rPr>
        <sz val="10"/>
        <rFont val="宋体-简"/>
        <charset val="134"/>
      </rPr>
      <t>钢筋混凝土阀门井筒，尺寸</t>
    </r>
    <r>
      <rPr>
        <sz val="10"/>
        <rFont val="Arial"/>
        <charset val="134"/>
      </rPr>
      <t>1900×1200×1800</t>
    </r>
  </si>
  <si>
    <t>G.12.2.7</t>
  </si>
  <si>
    <t>Reinforced concrete exhaust valve shaft, dimensions 1200x1200x1800</t>
  </si>
  <si>
    <r>
      <rPr>
        <sz val="10"/>
        <rFont val="宋体-简"/>
        <charset val="134"/>
      </rPr>
      <t>钢筋混凝土排气阀井筒，尺寸</t>
    </r>
    <r>
      <rPr>
        <sz val="10"/>
        <rFont val="Arial"/>
        <charset val="134"/>
      </rPr>
      <t>1200×1200×1800</t>
    </r>
  </si>
  <si>
    <t>G.12.2.8</t>
  </si>
  <si>
    <t>Reinforced concrete sludge discharge valve well, dimensions 1200x1200</t>
  </si>
  <si>
    <r>
      <rPr>
        <sz val="10"/>
        <rFont val="宋体-简"/>
        <charset val="134"/>
      </rPr>
      <t>钢筋混凝土污泥排放阀门井，尺寸</t>
    </r>
    <r>
      <rPr>
        <sz val="10"/>
        <rFont val="Arial"/>
        <charset val="134"/>
      </rPr>
      <t>1200×1200</t>
    </r>
  </si>
  <si>
    <t>G.12.2.9</t>
  </si>
  <si>
    <t>Portable powder fire extinguisherMF/ABC8</t>
  </si>
  <si>
    <r>
      <rPr>
        <sz val="10"/>
        <rFont val="宋体-简"/>
        <charset val="134"/>
      </rPr>
      <t>便携式干粉灭火器</t>
    </r>
    <r>
      <rPr>
        <sz val="10"/>
        <rFont val="Arial"/>
        <charset val="134"/>
      </rPr>
      <t>MF/ABC8</t>
    </r>
  </si>
  <si>
    <t>G.12.2.10</t>
  </si>
  <si>
    <t>Underground outdoor fire hydrant100/65-1.6</t>
  </si>
  <si>
    <r>
      <rPr>
        <sz val="10"/>
        <rFont val="宋体-简"/>
        <charset val="134"/>
      </rPr>
      <t>地下户外消防栓</t>
    </r>
    <r>
      <rPr>
        <sz val="10"/>
        <rFont val="Arial"/>
        <charset val="134"/>
      </rPr>
      <t>100/65-1.6</t>
    </r>
  </si>
  <si>
    <t>G.12.3</t>
  </si>
  <si>
    <t>Above-ground outdoor fire hydrant100/65-1.6</t>
  </si>
  <si>
    <r>
      <rPr>
        <sz val="10"/>
        <rFont val="宋体-简"/>
        <charset val="134"/>
      </rPr>
      <t>地上户外消防栓</t>
    </r>
    <r>
      <rPr>
        <sz val="10"/>
        <rFont val="Arial"/>
        <charset val="134"/>
      </rPr>
      <t>100/65-1.6</t>
    </r>
  </si>
  <si>
    <t>G.12.4</t>
  </si>
  <si>
    <r>
      <rPr>
        <sz val="10"/>
        <rFont val="Arial"/>
        <charset val="134"/>
      </rPr>
      <t>Stainless steel flexible hose reel, dimensions 700mm x 600mm, containing 2 sets of 50m-long rubber-lined hoses for DN65</t>
    </r>
    <r>
      <rPr>
        <sz val="10"/>
        <rFont val="宋体"/>
        <charset val="134"/>
      </rPr>
      <t>口径</t>
    </r>
    <r>
      <rPr>
        <sz val="10"/>
        <rFont val="Arial"/>
        <charset val="134"/>
      </rPr>
      <t xml:space="preserve"> 19mm fire hoses.</t>
    </r>
  </si>
  <si>
    <r>
      <rPr>
        <sz val="10"/>
        <rFont val="宋体-简"/>
        <charset val="134"/>
      </rPr>
      <t>不锈钢软管卷盘，尺寸</t>
    </r>
    <r>
      <rPr>
        <sz val="10"/>
        <rFont val="Arial"/>
        <charset val="134"/>
      </rPr>
      <t>700 mm × 600 mm</t>
    </r>
    <r>
      <rPr>
        <sz val="10"/>
        <rFont val="宋体-简"/>
        <charset val="134"/>
      </rPr>
      <t>，含</t>
    </r>
    <r>
      <rPr>
        <sz val="10"/>
        <rFont val="Arial"/>
        <charset val="134"/>
      </rPr>
      <t>2</t>
    </r>
    <r>
      <rPr>
        <sz val="10"/>
        <rFont val="宋体-简"/>
        <charset val="134"/>
      </rPr>
      <t>套</t>
    </r>
    <r>
      <rPr>
        <sz val="10"/>
        <rFont val="Arial"/>
        <charset val="134"/>
      </rPr>
      <t>DN65</t>
    </r>
    <r>
      <rPr>
        <sz val="10"/>
        <rFont val="宋体-简"/>
        <charset val="134"/>
      </rPr>
      <t>橡胶内衬</t>
    </r>
    <r>
      <rPr>
        <sz val="10"/>
        <rFont val="Arial"/>
        <charset val="134"/>
      </rPr>
      <t>50</t>
    </r>
    <r>
      <rPr>
        <sz val="10"/>
        <rFont val="宋体-简"/>
        <charset val="134"/>
      </rPr>
      <t>米软管口径</t>
    </r>
    <r>
      <rPr>
        <sz val="10"/>
        <rFont val="Arial"/>
        <charset val="134"/>
      </rPr>
      <t xml:space="preserve"> 19</t>
    </r>
    <r>
      <rPr>
        <sz val="10"/>
        <rFont val="宋体-简"/>
        <charset val="134"/>
      </rPr>
      <t>毫米消防水带。</t>
    </r>
  </si>
  <si>
    <t>G.12.5</t>
  </si>
  <si>
    <t>Fire Fighting Pump House</t>
  </si>
  <si>
    <t>消防泵房</t>
  </si>
  <si>
    <t>G.12.5.1</t>
  </si>
  <si>
    <t>Pump Station Structural works (including all pumps and fittings, and the covered parking area for the Employer's equipment)
Building area: 242.25 m², steel structure, fire safety height: 7.5 m, Class E industrial building
Foundation adopts pile foundation.</t>
  </si>
  <si>
    <t>泵站结构工程 （包括所有泵及配件，以及业主设备的有顶停车区）
建筑面积：242.25平方米，钢结构，防火高度：7.5米，E类工业建筑
基础采用桩基础。</t>
  </si>
  <si>
    <t>G.12.5.2</t>
  </si>
  <si>
    <r>
      <rPr>
        <b/>
        <sz val="10"/>
        <rFont val="Arial"/>
        <charset val="134"/>
      </rPr>
      <t>Electrical Works</t>
    </r>
    <r>
      <rPr>
        <sz val="10"/>
        <rFont val="Arial"/>
        <charset val="134"/>
      </rPr>
      <t xml:space="preserve"> (Design, Supply and installation testing and commissioning)
Complete LVAC installation inclusive of distribution boards, Normal and Emergency light fixtures, sockets, cable trays, FA system, security system, data network, accessories; and, support systems for a complete and operable installation (including all LV, data and signal cabling within the building.)</t>
    </r>
  </si>
  <si>
    <r>
      <rPr>
        <b/>
        <sz val="10"/>
        <rFont val="宋体-简"/>
        <charset val="134"/>
      </rPr>
      <t>电气工程</t>
    </r>
    <r>
      <rPr>
        <b/>
        <sz val="10"/>
        <rFont val="Arial"/>
        <charset val="134"/>
      </rPr>
      <t xml:space="preserve"> </t>
    </r>
    <r>
      <rPr>
        <b/>
        <sz val="10"/>
        <rFont val="宋体-简"/>
        <charset val="134"/>
      </rPr>
      <t>（设计、供应及安装调试）</t>
    </r>
    <r>
      <rPr>
        <b/>
        <sz val="10"/>
        <rFont val="Arial"/>
        <charset val="134"/>
      </rPr>
      <t xml:space="preserve">
</t>
    </r>
    <r>
      <rPr>
        <b/>
        <sz val="10"/>
        <rFont val="宋体-简"/>
        <charset val="134"/>
      </rPr>
      <t>完整的低压交流配电系统安装，包括配电盘、正常及应急照明灯具、插座、电缆桥架、火灾报警系统、安全系统、数据网络及附件；以及支持系统，以实现完整且可操作的安装（包括建筑内所有低压、电缆敷设及信号电缆）。</t>
    </r>
  </si>
  <si>
    <t>G.12.5.3</t>
  </si>
  <si>
    <r>
      <rPr>
        <b/>
        <sz val="10"/>
        <rFont val="Arial"/>
        <charset val="134"/>
      </rPr>
      <t>Mechanical Equipment</t>
    </r>
    <r>
      <rPr>
        <sz val="10"/>
        <rFont val="Arial"/>
        <charset val="134"/>
      </rPr>
      <t xml:space="preserve"> (Design, Supply and installation testing and commissioning)
Complete mechanical works including main and jockey pumps, pipework and supports, valves and all other ancillary works necessary to provide a complete working system. (Contractor to quantify and itemise)</t>
    </r>
  </si>
  <si>
    <r>
      <rPr>
        <b/>
        <sz val="10"/>
        <rFont val="宋体-简"/>
        <charset val="134"/>
      </rPr>
      <t>机械设备</t>
    </r>
    <r>
      <rPr>
        <b/>
        <sz val="10"/>
        <rFont val="Arial"/>
        <charset val="134"/>
      </rPr>
      <t xml:space="preserve"> </t>
    </r>
    <r>
      <rPr>
        <b/>
        <sz val="10"/>
        <rFont val="宋体-简"/>
        <charset val="134"/>
      </rPr>
      <t>（设计、供应及安装调试）</t>
    </r>
    <r>
      <rPr>
        <b/>
        <sz val="10"/>
        <rFont val="Arial"/>
        <charset val="134"/>
      </rPr>
      <t xml:space="preserve">
</t>
    </r>
    <r>
      <rPr>
        <b/>
        <sz val="10"/>
        <rFont val="宋体-简"/>
        <charset val="134"/>
      </rPr>
      <t>完整的机械工程，包括主泵和辅助泵、管道及支架、阀门及所有其他必要的附属工程，以确保系统完整可运行。（承包商应对工程量进行量化并逐项列示）</t>
    </r>
  </si>
  <si>
    <t>G.12.5.4</t>
  </si>
  <si>
    <r>
      <rPr>
        <b/>
        <sz val="10"/>
        <rFont val="Arial"/>
        <charset val="134"/>
      </rPr>
      <t>T</t>
    </r>
    <r>
      <rPr>
        <sz val="10"/>
        <rFont val="Arial"/>
        <charset val="134"/>
      </rPr>
      <t>esting and commissioning</t>
    </r>
  </si>
  <si>
    <r>
      <rPr>
        <b/>
        <sz val="10"/>
        <rFont val="Arial"/>
        <charset val="134"/>
      </rPr>
      <t>T</t>
    </r>
    <r>
      <rPr>
        <b/>
        <sz val="10"/>
        <rFont val="宋体-简"/>
        <charset val="134"/>
      </rPr>
      <t>测试与调试</t>
    </r>
  </si>
  <si>
    <t>G.12.6</t>
  </si>
  <si>
    <t>Underground Water storage tanks</t>
  </si>
  <si>
    <t>地下水储罐</t>
  </si>
  <si>
    <t>G.12.7</t>
  </si>
  <si>
    <t>Testing and commissioning of complete network (including supply of water, as necessary)</t>
  </si>
  <si>
    <t>完整网络的测试与调试（包括必要时的供水）</t>
  </si>
  <si>
    <t>SUBTOTAL - Firewater Services</t>
  </si>
  <si>
    <r>
      <rPr>
        <b/>
        <sz val="10"/>
        <rFont val="宋体-简"/>
        <charset val="134"/>
      </rPr>
      <t>小计</t>
    </r>
    <r>
      <rPr>
        <b/>
        <sz val="10"/>
        <rFont val="Arial"/>
        <charset val="134"/>
      </rPr>
      <t xml:space="preserve"> - </t>
    </r>
    <r>
      <rPr>
        <b/>
        <sz val="10"/>
        <rFont val="宋体-简"/>
        <charset val="134"/>
      </rPr>
      <t>消防供水系统</t>
    </r>
  </si>
  <si>
    <t>G.13.4</t>
  </si>
  <si>
    <t>Miscellaneous M&amp;E</t>
  </si>
  <si>
    <t>杂项机电</t>
  </si>
  <si>
    <t>G.13.4.1</t>
  </si>
  <si>
    <r>
      <rPr>
        <b/>
        <sz val="10"/>
        <rFont val="Arial"/>
        <charset val="134"/>
      </rPr>
      <t>Other</t>
    </r>
    <r>
      <rPr>
        <sz val="10"/>
        <rFont val="Arial"/>
        <charset val="134"/>
      </rPr>
      <t xml:space="preserve"> (Design, Supply and installation testing and commissioning)
All other items not covered above which are required to provide a complete installation (Contractor to itemise)</t>
    </r>
  </si>
  <si>
    <r>
      <rPr>
        <b/>
        <sz val="10"/>
        <rFont val="宋体-简"/>
        <charset val="134"/>
      </rPr>
      <t>其他</t>
    </r>
    <r>
      <rPr>
        <b/>
        <sz val="10"/>
        <rFont val="Arial"/>
        <charset val="134"/>
      </rPr>
      <t xml:space="preserve"> </t>
    </r>
    <r>
      <rPr>
        <b/>
        <sz val="10"/>
        <rFont val="宋体-简"/>
        <charset val="134"/>
      </rPr>
      <t>（设计、供应及安装的测试与调试）</t>
    </r>
    <r>
      <rPr>
        <b/>
        <sz val="10"/>
        <rFont val="Arial"/>
        <charset val="134"/>
      </rPr>
      <t xml:space="preserve">
</t>
    </r>
    <r>
      <rPr>
        <b/>
        <sz val="10"/>
        <rFont val="宋体-简"/>
        <charset val="134"/>
      </rPr>
      <t>所有未另行涵盖且为完成安装所必需的其他项目（承包商应逐项列示）</t>
    </r>
  </si>
  <si>
    <t>SUBTOTAL - Miscellaneous M&amp;E</t>
  </si>
  <si>
    <r>
      <rPr>
        <b/>
        <sz val="10"/>
        <rFont val="宋体-简"/>
        <charset val="134"/>
      </rPr>
      <t>小计</t>
    </r>
    <r>
      <rPr>
        <b/>
        <sz val="10"/>
        <rFont val="Arial"/>
        <charset val="134"/>
      </rPr>
      <t xml:space="preserve"> - </t>
    </r>
    <r>
      <rPr>
        <b/>
        <sz val="10"/>
        <rFont val="宋体-简"/>
        <charset val="134"/>
      </rPr>
      <t>杂项机电</t>
    </r>
  </si>
  <si>
    <t>G14.1</t>
  </si>
  <si>
    <t>Embedded cable conduit/trench</t>
  </si>
  <si>
    <r>
      <rPr>
        <sz val="10"/>
        <rFont val="宋体-简"/>
        <charset val="134"/>
      </rPr>
      <t>预埋电缆管道</t>
    </r>
    <r>
      <rPr>
        <sz val="10"/>
        <rFont val="Arial"/>
        <charset val="134"/>
      </rPr>
      <t>/</t>
    </r>
    <r>
      <rPr>
        <sz val="10"/>
        <rFont val="宋体-简"/>
        <charset val="134"/>
      </rPr>
      <t>槽道</t>
    </r>
  </si>
  <si>
    <t>G14.2</t>
  </si>
  <si>
    <t>Cable termination for HV/LV</t>
  </si>
  <si>
    <t>高低压电缆端接</t>
  </si>
  <si>
    <t>G14.2.1</t>
  </si>
  <si>
    <t>Cable termination for HV</t>
  </si>
  <si>
    <t>高压电缆终端</t>
  </si>
  <si>
    <t>G14.2.2</t>
  </si>
  <si>
    <t>Cable termination for LV</t>
  </si>
  <si>
    <t>低压电缆终端</t>
  </si>
  <si>
    <t>G14.3</t>
  </si>
  <si>
    <t>Fire extinguisher</t>
  </si>
  <si>
    <t>灭火器</t>
  </si>
  <si>
    <t>Class H</t>
  </si>
  <si>
    <t>BUILDINGS (PER 008)</t>
  </si>
  <si>
    <r>
      <rPr>
        <b/>
        <sz val="10"/>
        <rFont val="宋体-简"/>
        <charset val="134"/>
      </rPr>
      <t>建筑物（按</t>
    </r>
    <r>
      <rPr>
        <b/>
        <sz val="10"/>
        <rFont val="Arial"/>
        <charset val="134"/>
      </rPr>
      <t>008</t>
    </r>
    <r>
      <rPr>
        <b/>
        <sz val="10"/>
        <rFont val="宋体-简"/>
        <charset val="134"/>
      </rPr>
      <t>计价）</t>
    </r>
  </si>
  <si>
    <t>H.1</t>
  </si>
  <si>
    <t>Minor Buildings</t>
  </si>
  <si>
    <t>小型建筑物</t>
  </si>
  <si>
    <t>H.1.1</t>
  </si>
  <si>
    <t>Customs Office
Building area: 63.44 m², reinforced concrete frame structure, fire safety height: 3.9 m, single-storey civil building
Foundation adopts pile foundation.</t>
  </si>
  <si>
    <r>
      <rPr>
        <sz val="10"/>
        <rFont val="宋体-简"/>
        <charset val="134"/>
      </rPr>
      <t>海关办公室</t>
    </r>
    <r>
      <rPr>
        <sz val="10"/>
        <rFont val="Arial"/>
        <charset val="134"/>
      </rPr>
      <t xml:space="preserve">
</t>
    </r>
    <r>
      <rPr>
        <sz val="10"/>
        <rFont val="宋体-简"/>
        <charset val="134"/>
      </rPr>
      <t>建筑面积：</t>
    </r>
    <r>
      <rPr>
        <sz val="10"/>
        <rFont val="Arial"/>
        <charset val="134"/>
      </rPr>
      <t>63.44</t>
    </r>
    <r>
      <rPr>
        <sz val="10"/>
        <rFont val="宋体-简"/>
        <charset val="134"/>
      </rPr>
      <t>平方米，钢筋混凝土框架结构，防火高度：</t>
    </r>
    <r>
      <rPr>
        <sz val="10"/>
        <rFont val="Arial"/>
        <charset val="134"/>
      </rPr>
      <t>3.9</t>
    </r>
    <r>
      <rPr>
        <sz val="10"/>
        <rFont val="宋体-简"/>
        <charset val="134"/>
      </rPr>
      <t>米，单层民用建筑</t>
    </r>
    <r>
      <rPr>
        <sz val="10"/>
        <rFont val="Arial"/>
        <charset val="134"/>
      </rPr>
      <t xml:space="preserve">
</t>
    </r>
    <r>
      <rPr>
        <sz val="10"/>
        <rFont val="宋体-简"/>
        <charset val="134"/>
      </rPr>
      <t>基础采用桩基。</t>
    </r>
  </si>
  <si>
    <t>Structure work</t>
  </si>
  <si>
    <t>结构工程</t>
  </si>
  <si>
    <t>Earth work</t>
  </si>
  <si>
    <t>土方工程</t>
  </si>
  <si>
    <t>Site grading</t>
  </si>
  <si>
    <t>场地平整</t>
  </si>
  <si>
    <t>Excavation</t>
  </si>
  <si>
    <t>开挖</t>
  </si>
  <si>
    <t>Backfill</t>
  </si>
  <si>
    <t>回填</t>
  </si>
  <si>
    <t>Disposal</t>
  </si>
  <si>
    <t>清理</t>
  </si>
  <si>
    <t>Compacted Sand</t>
  </si>
  <si>
    <t>压实砂</t>
  </si>
  <si>
    <t>Lean Concrete</t>
  </si>
  <si>
    <t>素混凝土</t>
  </si>
  <si>
    <t>Concrete work</t>
  </si>
  <si>
    <t>混凝土工程</t>
  </si>
  <si>
    <t>Concrete</t>
  </si>
  <si>
    <t>混凝土</t>
  </si>
  <si>
    <t>Ramp</t>
  </si>
  <si>
    <t>坡道</t>
  </si>
  <si>
    <t>Paving Apron</t>
  </si>
  <si>
    <t>铺装伸缩带</t>
  </si>
  <si>
    <t>Reinforcing bar</t>
  </si>
  <si>
    <t>Miscellenous work</t>
  </si>
  <si>
    <t>杂项工程</t>
  </si>
  <si>
    <t>Waterproofing Engineering</t>
  </si>
  <si>
    <t>防水工程</t>
  </si>
  <si>
    <t>Waterstop</t>
  </si>
  <si>
    <t>止水带</t>
  </si>
  <si>
    <t>Architecture work</t>
  </si>
  <si>
    <t>建筑工程</t>
  </si>
  <si>
    <t>Floor Finishes</t>
  </si>
  <si>
    <t>地面饰面</t>
  </si>
  <si>
    <t>Baseboard</t>
  </si>
  <si>
    <t>踢脚板</t>
  </si>
  <si>
    <t>Skirting</t>
  </si>
  <si>
    <t>踢脚线</t>
  </si>
  <si>
    <t>Ceiling Finishes</t>
  </si>
  <si>
    <t>天花饰面</t>
  </si>
  <si>
    <t>Wall Finishes</t>
  </si>
  <si>
    <t>墙面饰面</t>
  </si>
  <si>
    <t>Brick Foundation (Underground)</t>
  </si>
  <si>
    <t>砖砌基础（地下）</t>
  </si>
  <si>
    <t>Internal wall</t>
  </si>
  <si>
    <t>内墙</t>
  </si>
  <si>
    <t>Soundproof wall</t>
  </si>
  <si>
    <t>隔音墙</t>
  </si>
  <si>
    <t>External wall</t>
  </si>
  <si>
    <t>外墙</t>
  </si>
  <si>
    <t>Internal wall finishes</t>
  </si>
  <si>
    <t>内墙饰面</t>
  </si>
  <si>
    <t>Wall Type 1</t>
  </si>
  <si>
    <r>
      <rPr>
        <sz val="10"/>
        <color rgb="FFFF0000"/>
        <rFont val="宋体-简"/>
        <charset val="134"/>
      </rPr>
      <t>墙体类型</t>
    </r>
    <r>
      <rPr>
        <sz val="10"/>
        <color rgb="FFFF0000"/>
        <rFont val="Arial"/>
        <charset val="134"/>
      </rPr>
      <t>1</t>
    </r>
  </si>
  <si>
    <t>Plastering on the inner side of the parapet wall</t>
  </si>
  <si>
    <t>女儿墙内侧抹灰</t>
  </si>
  <si>
    <t>External wall finishes</t>
  </si>
  <si>
    <t>外墙饰面</t>
  </si>
  <si>
    <t>Wall Type 2</t>
  </si>
  <si>
    <r>
      <rPr>
        <sz val="10"/>
        <color rgb="FFFF0000"/>
        <rFont val="宋体-简"/>
        <charset val="134"/>
      </rPr>
      <t>墙体类型</t>
    </r>
    <r>
      <rPr>
        <sz val="10"/>
        <color rgb="FFFF0000"/>
        <rFont val="Arial"/>
        <charset val="134"/>
      </rPr>
      <t>2</t>
    </r>
  </si>
  <si>
    <t>Roof Finishes</t>
  </si>
  <si>
    <t>屋面饰面</t>
  </si>
  <si>
    <t>Canopy Top Surface</t>
  </si>
  <si>
    <t>雨篷顶面</t>
  </si>
  <si>
    <t>Roof gutter</t>
  </si>
  <si>
    <t>屋面檐槽</t>
  </si>
  <si>
    <t>Downspout</t>
  </si>
  <si>
    <t>落水管</t>
  </si>
  <si>
    <t>Door &amp; Window</t>
  </si>
  <si>
    <t>门窗</t>
  </si>
  <si>
    <t>D1 : Common door</t>
  </si>
  <si>
    <r>
      <rPr>
        <sz val="10"/>
        <color rgb="FFFF0000"/>
        <rFont val="Arial"/>
        <charset val="134"/>
      </rPr>
      <t>D1</t>
    </r>
    <r>
      <rPr>
        <sz val="10"/>
        <color rgb="FFFF0000"/>
        <rFont val="宋体-简"/>
        <charset val="134"/>
      </rPr>
      <t>：普通门</t>
    </r>
  </si>
  <si>
    <t>D2 : Toilet door</t>
  </si>
  <si>
    <r>
      <rPr>
        <sz val="10"/>
        <color rgb="FFFF0000"/>
        <rFont val="Arial"/>
        <charset val="134"/>
      </rPr>
      <t>D2</t>
    </r>
    <r>
      <rPr>
        <sz val="10"/>
        <color rgb="FFFF0000"/>
        <rFont val="宋体-简"/>
        <charset val="134"/>
      </rPr>
      <t>：卫生间门</t>
    </r>
  </si>
  <si>
    <t>W1</t>
  </si>
  <si>
    <t>W2</t>
  </si>
  <si>
    <t>L1 : Louvre Ventilation window with Extractor fan</t>
  </si>
  <si>
    <r>
      <rPr>
        <sz val="10"/>
        <color rgb="FFFF0000"/>
        <rFont val="Arial"/>
        <charset val="134"/>
      </rPr>
      <t>L1</t>
    </r>
    <r>
      <rPr>
        <sz val="10"/>
        <color rgb="FFFF0000"/>
        <rFont val="宋体-简"/>
        <charset val="134"/>
      </rPr>
      <t>：带排风扇的百叶通风窗</t>
    </r>
  </si>
  <si>
    <t>Sanitaryware</t>
  </si>
  <si>
    <t>卫浴洁具</t>
  </si>
  <si>
    <t>Water closet</t>
  </si>
  <si>
    <t>坐便器</t>
  </si>
  <si>
    <t>Piece</t>
  </si>
  <si>
    <t>Bidet spray</t>
  </si>
  <si>
    <t>坐浴喷头</t>
  </si>
  <si>
    <t>Wash basin with Faucet</t>
  </si>
  <si>
    <t>带水龙头的洗面盆</t>
  </si>
  <si>
    <t>Mirror</t>
  </si>
  <si>
    <t>镜面</t>
  </si>
  <si>
    <t>Tissue holder</t>
  </si>
  <si>
    <t>纸巾架</t>
  </si>
  <si>
    <t>Hook</t>
  </si>
  <si>
    <t>挂钩</t>
  </si>
  <si>
    <t>Small Trash</t>
  </si>
  <si>
    <t>小型垃圾桶</t>
  </si>
  <si>
    <t>Floor drain</t>
  </si>
  <si>
    <t>地漏</t>
  </si>
  <si>
    <t>Kitchen sink with Faucet</t>
  </si>
  <si>
    <t>带水龙头的厨房水槽</t>
  </si>
  <si>
    <t>Water Supply And Drainage Pipeline</t>
  </si>
  <si>
    <t>给排水管道</t>
  </si>
  <si>
    <t>Item</t>
  </si>
  <si>
    <t>Lighting fixture</t>
  </si>
  <si>
    <t>照明灯具</t>
  </si>
  <si>
    <t>Switch Socket</t>
  </si>
  <si>
    <t>开关插座</t>
  </si>
  <si>
    <t>Information Socket</t>
  </si>
  <si>
    <t>信息插座</t>
  </si>
  <si>
    <t>Surveillance Camera</t>
  </si>
  <si>
    <t>监控摄像头</t>
  </si>
  <si>
    <t>Distribution Box</t>
  </si>
  <si>
    <t>配电箱</t>
  </si>
  <si>
    <t>Weak Current Box</t>
  </si>
  <si>
    <t>弱电箱</t>
  </si>
  <si>
    <t>Piping And Wiring</t>
  </si>
  <si>
    <t>管道及布线</t>
  </si>
  <si>
    <t>Lightning Protection And Grounding</t>
  </si>
  <si>
    <t>防雷与接地</t>
  </si>
  <si>
    <t>Split Air Conditioner</t>
  </si>
  <si>
    <t>分体式空调</t>
  </si>
  <si>
    <t>Fire Alarm System</t>
  </si>
  <si>
    <t>火灾报警系统</t>
  </si>
  <si>
    <t>Loose furniture</t>
  </si>
  <si>
    <t>非固定家具</t>
  </si>
  <si>
    <t>Working table</t>
  </si>
  <si>
    <t>工作桌</t>
  </si>
  <si>
    <t>Side Cabinet</t>
  </si>
  <si>
    <t>侧柜</t>
  </si>
  <si>
    <t>Working chair</t>
  </si>
  <si>
    <t>工作椅</t>
  </si>
  <si>
    <t>Round table</t>
  </si>
  <si>
    <t>圆桌</t>
  </si>
  <si>
    <t>Guest chair</t>
  </si>
  <si>
    <t>访客椅</t>
  </si>
  <si>
    <t>Cupboard</t>
  </si>
  <si>
    <t>橱柜</t>
  </si>
  <si>
    <t>Coat rack</t>
  </si>
  <si>
    <t>衣帽架</t>
  </si>
  <si>
    <t>Miscellaneous work</t>
  </si>
  <si>
    <t>Steel Access Ladder</t>
  </si>
  <si>
    <t>钢制爬梯</t>
  </si>
  <si>
    <t>Handrail</t>
  </si>
  <si>
    <t>Stair nosing</t>
  </si>
  <si>
    <t>楼梯踏步防滑条</t>
  </si>
  <si>
    <t>Removable access panel to allow access to pipework and septic tank</t>
  </si>
  <si>
    <t>可拆卸检修口，便于进入管道及化粪池</t>
  </si>
  <si>
    <t>Wall groove</t>
  </si>
  <si>
    <t>墙体槽</t>
  </si>
  <si>
    <t>Unit Price Measure Items</t>
  </si>
  <si>
    <t>单价计量项目</t>
  </si>
  <si>
    <t>Comprehensive Scaffolding</t>
  </si>
  <si>
    <t>综合脚手架</t>
  </si>
  <si>
    <t>Full Hall Scaffolding</t>
  </si>
  <si>
    <t>全场脚手架</t>
  </si>
  <si>
    <t>M2</t>
  </si>
  <si>
    <t>Vertical Transportation</t>
  </si>
  <si>
    <t>垂直运输</t>
  </si>
  <si>
    <t>H.1.2</t>
  </si>
  <si>
    <t>Security Ofice
Building area: 63.44 m², reinforced concrete frame structure, fire safety height: 3.9 m, single-storey civil building
Foundation adopts pile foundation.</t>
  </si>
  <si>
    <r>
      <rPr>
        <sz val="10"/>
        <rFont val="宋体-简"/>
        <charset val="134"/>
      </rPr>
      <t>保安办公室</t>
    </r>
    <r>
      <rPr>
        <sz val="10"/>
        <rFont val="Arial"/>
        <charset val="134"/>
      </rPr>
      <t xml:space="preserve">
</t>
    </r>
    <r>
      <rPr>
        <sz val="10"/>
        <rFont val="宋体-简"/>
        <charset val="134"/>
      </rPr>
      <t>建筑面积：</t>
    </r>
    <r>
      <rPr>
        <sz val="10"/>
        <rFont val="Arial"/>
        <charset val="134"/>
      </rPr>
      <t>63.44</t>
    </r>
    <r>
      <rPr>
        <sz val="10"/>
        <rFont val="宋体-简"/>
        <charset val="134"/>
      </rPr>
      <t>平方米，钢筋混凝土框架结构，防火高度</t>
    </r>
    <r>
      <rPr>
        <sz val="10"/>
        <rFont val="Arial"/>
        <charset val="134"/>
      </rPr>
      <t>3.9</t>
    </r>
    <r>
      <rPr>
        <sz val="10"/>
        <rFont val="宋体-简"/>
        <charset val="134"/>
      </rPr>
      <t>米，单层民用建筑</t>
    </r>
    <r>
      <rPr>
        <sz val="10"/>
        <rFont val="Arial"/>
        <charset val="134"/>
      </rPr>
      <t xml:space="preserve">
</t>
    </r>
    <r>
      <rPr>
        <sz val="10"/>
        <rFont val="宋体-简"/>
        <charset val="134"/>
      </rPr>
      <t>基础采用桩基础。</t>
    </r>
  </si>
  <si>
    <t>H.1.3</t>
  </si>
  <si>
    <t>Toubleshooting Office
Building area: 63.44 m², reinforced concrete frame structure, fire safety height: 3.9 m, single-storey civil building
Foundation adopts pile foundation.</t>
  </si>
  <si>
    <r>
      <rPr>
        <sz val="10"/>
        <rFont val="宋体-简"/>
        <charset val="134"/>
      </rPr>
      <t>维修排障办公室</t>
    </r>
    <r>
      <rPr>
        <sz val="10"/>
        <rFont val="Arial"/>
        <charset val="134"/>
      </rPr>
      <t xml:space="preserve">
</t>
    </r>
    <r>
      <rPr>
        <sz val="10"/>
        <rFont val="宋体-简"/>
        <charset val="134"/>
      </rPr>
      <t>建筑面积：</t>
    </r>
    <r>
      <rPr>
        <sz val="10"/>
        <rFont val="Arial"/>
        <charset val="134"/>
      </rPr>
      <t>63.44</t>
    </r>
    <r>
      <rPr>
        <sz val="10"/>
        <rFont val="宋体-简"/>
        <charset val="134"/>
      </rPr>
      <t>平方米，钢筋混凝土框架结构，防火高度</t>
    </r>
    <r>
      <rPr>
        <sz val="10"/>
        <rFont val="Arial"/>
        <charset val="134"/>
      </rPr>
      <t>3.9</t>
    </r>
    <r>
      <rPr>
        <sz val="10"/>
        <rFont val="宋体-简"/>
        <charset val="134"/>
      </rPr>
      <t>米，单层民用建筑</t>
    </r>
    <r>
      <rPr>
        <sz val="10"/>
        <rFont val="Arial"/>
        <charset val="134"/>
      </rPr>
      <t xml:space="preserve">
</t>
    </r>
    <r>
      <rPr>
        <sz val="10"/>
        <rFont val="宋体-简"/>
        <charset val="134"/>
      </rPr>
      <t>基础采用桩基础。</t>
    </r>
  </si>
  <si>
    <t>H.1.4</t>
  </si>
  <si>
    <t>Lashing Welfare Block
Building area: 39.04 m², reinforced concrete frame structure, fire safety height: 3.9 m, single-storey civil building
Ground improvement shall be carried out, and isolated foundations shall be adopted</t>
  </si>
  <si>
    <r>
      <rPr>
        <sz val="10"/>
        <rFont val="宋体-简"/>
        <charset val="134"/>
      </rPr>
      <t>捆扎福利楼</t>
    </r>
    <r>
      <rPr>
        <sz val="10"/>
        <rFont val="Arial"/>
        <charset val="134"/>
      </rPr>
      <t xml:space="preserve">
</t>
    </r>
    <r>
      <rPr>
        <sz val="10"/>
        <rFont val="宋体-简"/>
        <charset val="134"/>
      </rPr>
      <t>建筑面积：</t>
    </r>
    <r>
      <rPr>
        <sz val="10"/>
        <rFont val="Arial"/>
        <charset val="134"/>
      </rPr>
      <t>39.04</t>
    </r>
    <r>
      <rPr>
        <sz val="10"/>
        <rFont val="宋体-简"/>
        <charset val="134"/>
      </rPr>
      <t>平方米，钢筋混凝土框架结构，防火高度</t>
    </r>
    <r>
      <rPr>
        <sz val="10"/>
        <rFont val="Arial"/>
        <charset val="134"/>
      </rPr>
      <t>3.9</t>
    </r>
    <r>
      <rPr>
        <sz val="10"/>
        <rFont val="宋体-简"/>
        <charset val="134"/>
      </rPr>
      <t>米，单层民用建筑</t>
    </r>
    <r>
      <rPr>
        <sz val="10"/>
        <rFont val="Arial"/>
        <charset val="134"/>
      </rPr>
      <t xml:space="preserve">
</t>
    </r>
    <r>
      <rPr>
        <sz val="10"/>
        <rFont val="宋体-简"/>
        <charset val="134"/>
      </rPr>
      <t>进行地基改良，采用独立基础。</t>
    </r>
  </si>
  <si>
    <t>Waterproofing work</t>
  </si>
  <si>
    <t>Urinal</t>
  </si>
  <si>
    <t>小便器</t>
  </si>
  <si>
    <t>Urinal partition</t>
  </si>
  <si>
    <t>小便器隔断</t>
  </si>
  <si>
    <t>Toilet partition</t>
  </si>
  <si>
    <t>卫生间隔断</t>
  </si>
  <si>
    <t>Wash basin with Foot pedal faucet</t>
  </si>
  <si>
    <t>带脚踏式水龙头的洗手盆</t>
  </si>
  <si>
    <t>Mop sink</t>
  </si>
  <si>
    <t>拖布池</t>
  </si>
  <si>
    <t>Bench</t>
  </si>
  <si>
    <t>长凳</t>
  </si>
  <si>
    <t>Water fountain</t>
  </si>
  <si>
    <t>饮水喷泉</t>
  </si>
  <si>
    <t>H.1.5</t>
  </si>
  <si>
    <t>Lashing Storage
40' refurbished container
Ground improvement shall be carried out and strip foundations shall be adopted.</t>
  </si>
  <si>
    <r>
      <rPr>
        <sz val="10"/>
        <rFont val="宋体-简"/>
        <charset val="134"/>
      </rPr>
      <t>系固储存</t>
    </r>
    <r>
      <rPr>
        <sz val="10"/>
        <rFont val="Arial"/>
        <charset val="134"/>
      </rPr>
      <t xml:space="preserve">
40</t>
    </r>
    <r>
      <rPr>
        <sz val="10"/>
        <rFont val="宋体-简"/>
        <charset val="134"/>
      </rPr>
      <t>英尺改造集装箱</t>
    </r>
    <r>
      <rPr>
        <sz val="10"/>
        <rFont val="Arial"/>
        <charset val="134"/>
      </rPr>
      <t xml:space="preserve">
</t>
    </r>
    <r>
      <rPr>
        <sz val="10"/>
        <rFont val="宋体-简"/>
        <charset val="134"/>
      </rPr>
      <t>应进行地基改良，并采用条形基础。</t>
    </r>
  </si>
  <si>
    <t>Empty 40" Container</t>
  </si>
  <si>
    <r>
      <rPr>
        <sz val="10"/>
        <color rgb="FFFF0000"/>
        <rFont val="宋体-简"/>
        <charset val="134"/>
      </rPr>
      <t>空</t>
    </r>
    <r>
      <rPr>
        <sz val="10"/>
        <color rgb="FFFF0000"/>
        <rFont val="Arial"/>
        <charset val="134"/>
      </rPr>
      <t>40"</t>
    </r>
    <r>
      <rPr>
        <sz val="10"/>
        <color rgb="FFFF0000"/>
        <rFont val="宋体-简"/>
        <charset val="134"/>
      </rPr>
      <t>集装箱</t>
    </r>
  </si>
  <si>
    <t>Floor Finishes - Non-Slip Steel grating (Hot drip galvanized)</t>
  </si>
  <si>
    <r>
      <rPr>
        <sz val="10"/>
        <color rgb="FFFF0000"/>
        <rFont val="宋体-简"/>
        <charset val="134"/>
      </rPr>
      <t>地面饰面</t>
    </r>
    <r>
      <rPr>
        <sz val="10"/>
        <color rgb="FFFF0000"/>
        <rFont val="Arial"/>
        <charset val="134"/>
      </rPr>
      <t xml:space="preserve"> - </t>
    </r>
    <r>
      <rPr>
        <sz val="10"/>
        <color rgb="FFFF0000"/>
        <rFont val="宋体-简"/>
        <charset val="134"/>
      </rPr>
      <t>防滑钢格栅（热浸镀锌）</t>
    </r>
  </si>
  <si>
    <t>Fire Extinguisher</t>
  </si>
  <si>
    <t>Ventilation Fan</t>
  </si>
  <si>
    <t>通风风扇</t>
  </si>
  <si>
    <t>H.1.6</t>
  </si>
  <si>
    <t>Guard hut
Building area: 2.89 m², reinforced concrete frame structure, fire safety height: 3.9 m, single-storey civil building
Ground improvement shall be carried out, and isolated foundations shall be adopted</t>
  </si>
  <si>
    <r>
      <rPr>
        <sz val="10"/>
        <rFont val="宋体-简"/>
        <charset val="134"/>
      </rPr>
      <t>值班室</t>
    </r>
    <r>
      <rPr>
        <sz val="10"/>
        <rFont val="Arial"/>
        <charset val="134"/>
      </rPr>
      <t xml:space="preserve">
</t>
    </r>
    <r>
      <rPr>
        <sz val="10"/>
        <rFont val="宋体-简"/>
        <charset val="134"/>
      </rPr>
      <t>建筑面积：</t>
    </r>
    <r>
      <rPr>
        <sz val="10"/>
        <rFont val="Arial"/>
        <charset val="134"/>
      </rPr>
      <t>2.89</t>
    </r>
    <r>
      <rPr>
        <sz val="10"/>
        <rFont val="宋体-简"/>
        <charset val="134"/>
      </rPr>
      <t>平方米，钢筋混凝土框架结构，防火高度：</t>
    </r>
    <r>
      <rPr>
        <sz val="10"/>
        <rFont val="Arial"/>
        <charset val="134"/>
      </rPr>
      <t>3.9</t>
    </r>
    <r>
      <rPr>
        <sz val="10"/>
        <rFont val="宋体-简"/>
        <charset val="134"/>
      </rPr>
      <t>米，单层民用建筑</t>
    </r>
    <r>
      <rPr>
        <sz val="10"/>
        <rFont val="Arial"/>
        <charset val="134"/>
      </rPr>
      <t xml:space="preserve">
</t>
    </r>
    <r>
      <rPr>
        <sz val="10"/>
        <rFont val="宋体-简"/>
        <charset val="134"/>
      </rPr>
      <t>应进行地基改良，采用独立基础。</t>
    </r>
  </si>
  <si>
    <t>Steel Structure</t>
  </si>
  <si>
    <t>钢结构</t>
  </si>
  <si>
    <t>Anchor bolt with Nuts</t>
  </si>
  <si>
    <t>带螺母的锚栓</t>
  </si>
  <si>
    <t>Anti-Rust</t>
  </si>
  <si>
    <t>防锈</t>
  </si>
  <si>
    <t>Door</t>
  </si>
  <si>
    <t>门</t>
  </si>
  <si>
    <t>Window</t>
  </si>
  <si>
    <t>窗</t>
  </si>
  <si>
    <t>Table</t>
  </si>
  <si>
    <t>桌子</t>
  </si>
  <si>
    <t>Chair</t>
  </si>
  <si>
    <t>椅子</t>
  </si>
  <si>
    <t>SUBTOTAL - Minor Buildings</t>
  </si>
  <si>
    <r>
      <rPr>
        <b/>
        <sz val="10"/>
        <rFont val="宋体-简"/>
        <charset val="134"/>
      </rPr>
      <t>小计</t>
    </r>
    <r>
      <rPr>
        <b/>
        <sz val="10"/>
        <rFont val="Arial"/>
        <charset val="134"/>
      </rPr>
      <t xml:space="preserve"> - </t>
    </r>
    <r>
      <rPr>
        <b/>
        <sz val="10"/>
        <rFont val="宋体-简"/>
        <charset val="134"/>
      </rPr>
      <t>小型建筑物</t>
    </r>
  </si>
  <si>
    <t>Firewater Pumphouse - refer section G.12
Foundation adopts pile foundation.</t>
  </si>
  <si>
    <r>
      <rPr>
        <i/>
        <sz val="10"/>
        <rFont val="宋体-简"/>
        <charset val="134"/>
      </rPr>
      <t>消防泵房</t>
    </r>
    <r>
      <rPr>
        <i/>
        <sz val="10"/>
        <rFont val="Arial"/>
        <charset val="134"/>
      </rPr>
      <t xml:space="preserve"> - </t>
    </r>
    <r>
      <rPr>
        <i/>
        <sz val="10"/>
        <rFont val="宋体-简"/>
        <charset val="134"/>
      </rPr>
      <t>参见</t>
    </r>
    <r>
      <rPr>
        <i/>
        <sz val="10"/>
        <rFont val="Arial"/>
        <charset val="134"/>
      </rPr>
      <t>G.12</t>
    </r>
    <r>
      <rPr>
        <i/>
        <sz val="10"/>
        <rFont val="宋体-简"/>
        <charset val="134"/>
      </rPr>
      <t>部分</t>
    </r>
    <r>
      <rPr>
        <i/>
        <sz val="10"/>
        <rFont val="Arial"/>
        <charset val="134"/>
      </rPr>
      <t xml:space="preserve">
</t>
    </r>
    <r>
      <rPr>
        <i/>
        <sz val="10"/>
        <rFont val="宋体-简"/>
        <charset val="134"/>
      </rPr>
      <t>基础采用桩基。</t>
    </r>
  </si>
  <si>
    <t>Complete Set Fire Water Tank</t>
  </si>
  <si>
    <t>完整消防水箱设备</t>
  </si>
  <si>
    <t>Pressurized Water Supply Equipment</t>
  </si>
  <si>
    <t>加压供水设备</t>
  </si>
  <si>
    <t>Main Electrical VT Pump</t>
  </si>
  <si>
    <r>
      <rPr>
        <sz val="10"/>
        <color rgb="FFFF0000"/>
        <rFont val="宋体-简"/>
        <charset val="134"/>
      </rPr>
      <t>主电气</t>
    </r>
    <r>
      <rPr>
        <sz val="10"/>
        <color rgb="FFFF0000"/>
        <rFont val="Arial"/>
        <charset val="134"/>
      </rPr>
      <t>VT</t>
    </r>
    <r>
      <rPr>
        <sz val="10"/>
        <color rgb="FFFF0000"/>
        <rFont val="宋体-简"/>
        <charset val="134"/>
      </rPr>
      <t>泵</t>
    </r>
  </si>
  <si>
    <t>Air Vessel</t>
  </si>
  <si>
    <t>气囊式容器</t>
  </si>
  <si>
    <t>EOT Crane</t>
  </si>
  <si>
    <t>桥式起重机</t>
  </si>
  <si>
    <t>Metal Valve</t>
  </si>
  <si>
    <t>金属阀门</t>
  </si>
  <si>
    <t>Casing</t>
  </si>
  <si>
    <t>套管</t>
  </si>
  <si>
    <t>Pipe Support</t>
  </si>
  <si>
    <t>管道支架</t>
  </si>
  <si>
    <t>Fire Distribution Cabinet</t>
  </si>
  <si>
    <t>消防配电柜</t>
  </si>
  <si>
    <t>Power Cable</t>
  </si>
  <si>
    <t>动力电缆</t>
  </si>
  <si>
    <t>H.1.7</t>
  </si>
  <si>
    <t>Firewater Pumphouse</t>
  </si>
  <si>
    <t>Embedded Steel Parts</t>
  </si>
  <si>
    <t>埋件</t>
  </si>
  <si>
    <t>Steel Structure work</t>
  </si>
  <si>
    <t>钢结构工程</t>
  </si>
  <si>
    <t>steel column</t>
  </si>
  <si>
    <t>steel beam</t>
  </si>
  <si>
    <t>steel bracing</t>
  </si>
  <si>
    <t>钢支撑</t>
  </si>
  <si>
    <t>steel purlin</t>
  </si>
  <si>
    <t>钢檩条</t>
  </si>
  <si>
    <t>Steel ladder</t>
  </si>
  <si>
    <t>钢梯</t>
  </si>
  <si>
    <t>Metal Sheet Roofing</t>
  </si>
  <si>
    <t>金属板屋面</t>
  </si>
  <si>
    <t>Metal Sheet Cladding</t>
  </si>
  <si>
    <t>金属板覆层</t>
  </si>
  <si>
    <t>Non-Shrink grout</t>
  </si>
  <si>
    <t>无收缩灌浆材料</t>
  </si>
  <si>
    <t>Roof Drain</t>
  </si>
  <si>
    <t>屋面排水</t>
  </si>
  <si>
    <t>Roof Overflow Outlet</t>
  </si>
  <si>
    <t>屋面溢流口</t>
  </si>
  <si>
    <t>D4 : Roller Shutter door</t>
  </si>
  <si>
    <r>
      <rPr>
        <sz val="10"/>
        <color rgb="FFFF0000"/>
        <rFont val="Arial"/>
        <charset val="134"/>
      </rPr>
      <t>D4</t>
    </r>
    <r>
      <rPr>
        <sz val="10"/>
        <color rgb="FFFF0000"/>
        <rFont val="宋体-简"/>
        <charset val="134"/>
      </rPr>
      <t>：卷帘门</t>
    </r>
  </si>
  <si>
    <t>H.2</t>
  </si>
  <si>
    <r>
      <rPr>
        <b/>
        <sz val="10"/>
        <rFont val="Arial"/>
        <charset val="134"/>
      </rPr>
      <t xml:space="preserve">Main Substation </t>
    </r>
    <r>
      <rPr>
        <sz val="10"/>
        <rFont val="Arial"/>
        <charset val="134"/>
      </rPr>
      <t>(Structural and architectural details only. Refer section G.1 for M&amp;E elements)
Building area: 519.44 m², reinforced concrete frame structure, fire safety height: 5.7 m, Class D industrial building
Foundation adopts pile foundation.</t>
    </r>
  </si>
  <si>
    <r>
      <rPr>
        <b/>
        <sz val="10"/>
        <rFont val="宋体-简"/>
        <charset val="134"/>
      </rPr>
      <t>主变电站</t>
    </r>
    <r>
      <rPr>
        <b/>
        <sz val="10"/>
        <rFont val="Arial"/>
        <charset val="134"/>
      </rPr>
      <t xml:space="preserve"> </t>
    </r>
    <r>
      <rPr>
        <b/>
        <sz val="10"/>
        <rFont val="宋体-简"/>
        <charset val="134"/>
      </rPr>
      <t>（仅含结构及建筑细节，机电部分详见</t>
    </r>
    <r>
      <rPr>
        <b/>
        <sz val="10"/>
        <rFont val="Arial"/>
        <charset val="134"/>
      </rPr>
      <t>G.1</t>
    </r>
    <r>
      <rPr>
        <b/>
        <sz val="10"/>
        <rFont val="宋体-简"/>
        <charset val="134"/>
      </rPr>
      <t>节）</t>
    </r>
    <r>
      <rPr>
        <b/>
        <sz val="10"/>
        <rFont val="Arial"/>
        <charset val="134"/>
      </rPr>
      <t xml:space="preserve">
</t>
    </r>
    <r>
      <rPr>
        <b/>
        <sz val="10"/>
        <rFont val="宋体-简"/>
        <charset val="134"/>
      </rPr>
      <t>建筑面积：</t>
    </r>
    <r>
      <rPr>
        <b/>
        <sz val="10"/>
        <rFont val="Arial"/>
        <charset val="134"/>
      </rPr>
      <t>519.44</t>
    </r>
    <r>
      <rPr>
        <b/>
        <sz val="10"/>
        <rFont val="宋体-简"/>
        <charset val="134"/>
      </rPr>
      <t>平方米，钢筋混凝土框架结构，防火高度：</t>
    </r>
    <r>
      <rPr>
        <b/>
        <sz val="10"/>
        <rFont val="Arial"/>
        <charset val="134"/>
      </rPr>
      <t>5.7</t>
    </r>
    <r>
      <rPr>
        <b/>
        <sz val="10"/>
        <rFont val="宋体-简"/>
        <charset val="134"/>
      </rPr>
      <t>米，</t>
    </r>
    <r>
      <rPr>
        <b/>
        <sz val="10"/>
        <rFont val="Arial"/>
        <charset val="134"/>
      </rPr>
      <t>D</t>
    </r>
    <r>
      <rPr>
        <b/>
        <sz val="10"/>
        <rFont val="宋体-简"/>
        <charset val="134"/>
      </rPr>
      <t>类工业建筑。</t>
    </r>
    <r>
      <rPr>
        <b/>
        <sz val="10"/>
        <rFont val="Arial"/>
        <charset val="134"/>
      </rPr>
      <t xml:space="preserve">
</t>
    </r>
    <r>
      <rPr>
        <b/>
        <sz val="10"/>
        <rFont val="宋体-简"/>
        <charset val="134"/>
      </rPr>
      <t>基础采用桩基础。</t>
    </r>
  </si>
  <si>
    <t>Pile Foundation Engineering</t>
  </si>
  <si>
    <t>桩基础工程</t>
  </si>
  <si>
    <r>
      <rPr>
        <sz val="10"/>
        <rFont val="Arial"/>
        <charset val="134"/>
      </rPr>
      <t>PHC500 AB 125</t>
    </r>
    <r>
      <rPr>
        <sz val="10"/>
        <rFont val="宋体"/>
        <charset val="134"/>
      </rPr>
      <t>（</t>
    </r>
    <r>
      <rPr>
        <sz val="10"/>
        <rFont val="Arial"/>
        <charset val="134"/>
      </rPr>
      <t>L=24m</t>
    </r>
    <r>
      <rPr>
        <sz val="10"/>
        <rFont val="宋体"/>
        <charset val="134"/>
      </rPr>
      <t>）</t>
    </r>
  </si>
  <si>
    <r>
      <rPr>
        <sz val="10"/>
        <rFont val="Arial"/>
        <charset val="134"/>
      </rPr>
      <t>PHC500 AB 125</t>
    </r>
    <r>
      <rPr>
        <sz val="10"/>
        <rFont val="宋体-简"/>
        <charset val="134"/>
      </rPr>
      <t>（</t>
    </r>
    <r>
      <rPr>
        <sz val="10"/>
        <rFont val="Arial"/>
        <charset val="134"/>
      </rPr>
      <t>L=24m</t>
    </r>
    <r>
      <rPr>
        <sz val="10"/>
        <rFont val="宋体-简"/>
        <charset val="134"/>
      </rPr>
      <t>）</t>
    </r>
  </si>
  <si>
    <t>Cable trench cover plate</t>
  </si>
  <si>
    <t>Chainlink Fence</t>
  </si>
  <si>
    <t>链环围栏</t>
  </si>
  <si>
    <t>Waterproof Coating for Wall Surfaces - Inner and Outer Walls of Cable Trench</t>
  </si>
  <si>
    <t>电缆沟内外墙防水涂层</t>
  </si>
  <si>
    <t>Waterproof Coating - Cable Trench Base Slab</t>
  </si>
  <si>
    <t>电缆沟底板防水涂层</t>
  </si>
  <si>
    <t>D1 : Single swing fire rate door</t>
  </si>
  <si>
    <r>
      <rPr>
        <sz val="10"/>
        <color rgb="FFFF0000"/>
        <rFont val="Arial"/>
        <charset val="134"/>
      </rPr>
      <t>D1</t>
    </r>
    <r>
      <rPr>
        <sz val="10"/>
        <color rgb="FFFF0000"/>
        <rFont val="宋体-简"/>
        <charset val="134"/>
      </rPr>
      <t>：单开防火门</t>
    </r>
  </si>
  <si>
    <t>D2 : Double swing fire rate door</t>
  </si>
  <si>
    <r>
      <rPr>
        <sz val="10"/>
        <color rgb="FFFF0000"/>
        <rFont val="Arial"/>
        <charset val="134"/>
      </rPr>
      <t>D2</t>
    </r>
    <r>
      <rPr>
        <sz val="10"/>
        <color rgb="FFFF0000"/>
        <rFont val="宋体-简"/>
        <charset val="134"/>
      </rPr>
      <t>：双开防火门</t>
    </r>
  </si>
  <si>
    <t>D3 : Emergency door</t>
  </si>
  <si>
    <r>
      <rPr>
        <sz val="10"/>
        <color rgb="FFFF0000"/>
        <rFont val="Arial"/>
        <charset val="134"/>
      </rPr>
      <t>D3</t>
    </r>
    <r>
      <rPr>
        <sz val="10"/>
        <color rgb="FFFF0000"/>
        <rFont val="宋体-简"/>
        <charset val="134"/>
      </rPr>
      <t>：应急门</t>
    </r>
  </si>
  <si>
    <t>Stair Railing</t>
  </si>
  <si>
    <t>楼梯扶手</t>
  </si>
  <si>
    <t>M</t>
  </si>
  <si>
    <t>H.3</t>
  </si>
  <si>
    <t>Miscellaneous</t>
  </si>
  <si>
    <t>杂项</t>
  </si>
  <si>
    <t>H.3.1</t>
  </si>
  <si>
    <t>Diesel generator foundation
Ground improvement shall be carried out, and isolated foundations shall be adopted</t>
  </si>
  <si>
    <r>
      <rPr>
        <sz val="10"/>
        <rFont val="宋体-简"/>
        <charset val="134"/>
      </rPr>
      <t>柴油发电机基础</t>
    </r>
    <r>
      <rPr>
        <sz val="10"/>
        <rFont val="Arial"/>
        <charset val="134"/>
      </rPr>
      <t xml:space="preserve">
</t>
    </r>
    <r>
      <rPr>
        <sz val="10"/>
        <rFont val="宋体-简"/>
        <charset val="134"/>
      </rPr>
      <t>应实施地基改良并采用孤立基础</t>
    </r>
  </si>
  <si>
    <t>H.3.2</t>
  </si>
  <si>
    <r>
      <rPr>
        <sz val="10"/>
        <rFont val="Arial"/>
        <charset val="134"/>
      </rPr>
      <t xml:space="preserve">Load Bank foundation </t>
    </r>
    <r>
      <rPr>
        <sz val="10"/>
        <rFont val="宋体"/>
        <charset val="134"/>
      </rPr>
      <t>（</t>
    </r>
    <r>
      <rPr>
        <sz val="10"/>
        <rFont val="Arial"/>
        <charset val="134"/>
      </rPr>
      <t>6×3</t>
    </r>
    <r>
      <rPr>
        <sz val="10"/>
        <rFont val="宋体"/>
        <charset val="134"/>
      </rPr>
      <t>）</t>
    </r>
    <r>
      <rPr>
        <sz val="10"/>
        <rFont val="Arial"/>
        <charset val="134"/>
      </rPr>
      <t>m
Foundation adopts pile foundation.</t>
    </r>
  </si>
  <si>
    <r>
      <rPr>
        <sz val="10"/>
        <rFont val="宋体-简"/>
        <charset val="134"/>
      </rPr>
      <t>负载箱基础</t>
    </r>
    <r>
      <rPr>
        <sz val="10"/>
        <rFont val="Arial"/>
        <charset val="134"/>
      </rPr>
      <t xml:space="preserve"> </t>
    </r>
    <r>
      <rPr>
        <sz val="10"/>
        <rFont val="宋体-简"/>
        <charset val="134"/>
      </rPr>
      <t>（</t>
    </r>
    <r>
      <rPr>
        <sz val="10"/>
        <rFont val="Arial"/>
        <charset val="134"/>
      </rPr>
      <t>6×3</t>
    </r>
    <r>
      <rPr>
        <sz val="10"/>
        <rFont val="宋体-简"/>
        <charset val="134"/>
      </rPr>
      <t>）</t>
    </r>
    <r>
      <rPr>
        <sz val="10"/>
        <rFont val="Arial"/>
        <charset val="134"/>
      </rPr>
      <t xml:space="preserve">m
</t>
    </r>
    <r>
      <rPr>
        <sz val="10"/>
        <rFont val="宋体-简"/>
        <charset val="134"/>
      </rPr>
      <t>基础采用桩基础。</t>
    </r>
  </si>
  <si>
    <t>H.4</t>
  </si>
  <si>
    <t>Bulidings' Automatic Fire Alarm System</t>
  </si>
  <si>
    <t>建筑物自动火灾报警系统</t>
  </si>
  <si>
    <t>H.4.1</t>
  </si>
  <si>
    <t>Regional Fire Alarm Control Panel</t>
  </si>
  <si>
    <t>区域火灾报警控制盘</t>
  </si>
  <si>
    <t>H.4.2</t>
  </si>
  <si>
    <t>Smoke detector</t>
  </si>
  <si>
    <t>感烟探测器</t>
  </si>
  <si>
    <t>H.4.3</t>
  </si>
  <si>
    <t>Manual call point</t>
  </si>
  <si>
    <t>手动报警按钮</t>
  </si>
  <si>
    <t>H.4.4</t>
  </si>
  <si>
    <t>Audible and visual alarm device</t>
  </si>
  <si>
    <t>声光报警装置</t>
  </si>
  <si>
    <t>H.4.5</t>
  </si>
  <si>
    <t>Fire telephone extension</t>
  </si>
  <si>
    <t>消防电话分机</t>
  </si>
  <si>
    <t>H.4.6</t>
  </si>
  <si>
    <r>
      <rPr>
        <sz val="10"/>
        <rFont val="Arial"/>
        <charset val="134"/>
      </rPr>
      <t>Fire cable</t>
    </r>
    <r>
      <rPr>
        <sz val="10"/>
        <rFont val="宋体"/>
        <charset val="134"/>
      </rPr>
      <t>（</t>
    </r>
    <r>
      <rPr>
        <sz val="10"/>
        <rFont val="Arial"/>
        <charset val="134"/>
      </rPr>
      <t>RVSP 2x1.5</t>
    </r>
    <r>
      <rPr>
        <sz val="10"/>
        <rFont val="宋体"/>
        <charset val="134"/>
      </rPr>
      <t>）</t>
    </r>
  </si>
  <si>
    <r>
      <rPr>
        <sz val="10"/>
        <rFont val="宋体-简"/>
        <charset val="134"/>
      </rPr>
      <t>消防电缆（</t>
    </r>
    <r>
      <rPr>
        <sz val="10"/>
        <rFont val="Arial"/>
        <charset val="134"/>
      </rPr>
      <t>RVSP 2x1.5</t>
    </r>
    <r>
      <rPr>
        <sz val="10"/>
        <rFont val="宋体-简"/>
        <charset val="134"/>
      </rPr>
      <t>）</t>
    </r>
  </si>
  <si>
    <t>H.4.7</t>
  </si>
  <si>
    <r>
      <rPr>
        <sz val="10"/>
        <rFont val="Arial"/>
        <charset val="134"/>
      </rPr>
      <t>Fire Power cable</t>
    </r>
    <r>
      <rPr>
        <sz val="10"/>
        <rFont val="宋体"/>
        <charset val="134"/>
      </rPr>
      <t>（</t>
    </r>
    <r>
      <rPr>
        <sz val="10"/>
        <rFont val="Arial"/>
        <charset val="134"/>
      </rPr>
      <t>BV 2x2.5</t>
    </r>
    <r>
      <rPr>
        <sz val="10"/>
        <rFont val="宋体"/>
        <charset val="134"/>
      </rPr>
      <t>）</t>
    </r>
  </si>
  <si>
    <r>
      <rPr>
        <sz val="10"/>
        <rFont val="宋体-简"/>
        <charset val="134"/>
      </rPr>
      <t>消防电源电缆（</t>
    </r>
    <r>
      <rPr>
        <sz val="10"/>
        <rFont val="Arial"/>
        <charset val="134"/>
      </rPr>
      <t>BV 2x2.5</t>
    </r>
    <r>
      <rPr>
        <sz val="10"/>
        <rFont val="宋体-简"/>
        <charset val="134"/>
      </rPr>
      <t>）</t>
    </r>
  </si>
  <si>
    <t>H.4.8</t>
  </si>
  <si>
    <r>
      <rPr>
        <sz val="10"/>
        <rFont val="Arial"/>
        <charset val="134"/>
      </rPr>
      <t>Fire-resistant optical fiber cable</t>
    </r>
    <r>
      <rPr>
        <sz val="10"/>
        <rFont val="宋体"/>
        <charset val="134"/>
      </rPr>
      <t>（</t>
    </r>
    <r>
      <rPr>
        <sz val="10"/>
        <rFont val="Arial"/>
        <charset val="134"/>
      </rPr>
      <t>ZBN-GYTA53-8B1</t>
    </r>
    <r>
      <rPr>
        <sz val="10"/>
        <rFont val="宋体"/>
        <charset val="134"/>
      </rPr>
      <t>）</t>
    </r>
  </si>
  <si>
    <r>
      <rPr>
        <sz val="10"/>
        <rFont val="宋体-简"/>
        <charset val="134"/>
      </rPr>
      <t>防火光纤电缆（</t>
    </r>
    <r>
      <rPr>
        <sz val="10"/>
        <rFont val="Arial"/>
        <charset val="134"/>
      </rPr>
      <t>ZBN-GYTA53-8B1</t>
    </r>
    <r>
      <rPr>
        <sz val="10"/>
        <rFont val="宋体-简"/>
        <charset val="134"/>
      </rPr>
      <t>）</t>
    </r>
  </si>
  <si>
    <t>H.4.9</t>
  </si>
  <si>
    <t>Construction pipes and conduits</t>
  </si>
  <si>
    <t>施工管道及导管</t>
  </si>
  <si>
    <t>H.5</t>
  </si>
  <si>
    <t>Main Substation's Television System</t>
  </si>
  <si>
    <t>主变电站电视系统</t>
  </si>
  <si>
    <t>H.5.1</t>
  </si>
  <si>
    <r>
      <rPr>
        <sz val="10"/>
        <rFont val="Arial"/>
        <charset val="134"/>
      </rPr>
      <t>Indoor HD Camera</t>
    </r>
    <r>
      <rPr>
        <sz val="10"/>
        <rFont val="宋体"/>
        <charset val="134"/>
      </rPr>
      <t>（</t>
    </r>
    <r>
      <rPr>
        <sz val="10"/>
        <rFont val="Arial"/>
        <charset val="134"/>
      </rPr>
      <t>4 megapixels</t>
    </r>
    <r>
      <rPr>
        <sz val="10"/>
        <rFont val="宋体"/>
        <charset val="134"/>
      </rPr>
      <t>）</t>
    </r>
  </si>
  <si>
    <r>
      <rPr>
        <sz val="10"/>
        <rFont val="宋体-简"/>
        <charset val="134"/>
      </rPr>
      <t>室内高清摄像机（</t>
    </r>
    <r>
      <rPr>
        <sz val="10"/>
        <rFont val="Arial"/>
        <charset val="134"/>
      </rPr>
      <t>400</t>
    </r>
    <r>
      <rPr>
        <sz val="10"/>
        <rFont val="宋体-简"/>
        <charset val="134"/>
      </rPr>
      <t>万像素）</t>
    </r>
  </si>
  <si>
    <t>H.5.2</t>
  </si>
  <si>
    <t>Digital Video Recorder (8-channel)</t>
  </si>
  <si>
    <r>
      <rPr>
        <sz val="10"/>
        <rFont val="宋体-简"/>
        <charset val="134"/>
      </rPr>
      <t>数字录像机（</t>
    </r>
    <r>
      <rPr>
        <sz val="10"/>
        <rFont val="Arial"/>
        <charset val="134"/>
      </rPr>
      <t>8</t>
    </r>
    <r>
      <rPr>
        <sz val="10"/>
        <rFont val="宋体-简"/>
        <charset val="134"/>
      </rPr>
      <t>通道）</t>
    </r>
  </si>
  <si>
    <t>H.5.3</t>
  </si>
  <si>
    <t>H.5.4</t>
  </si>
  <si>
    <t>Cat.6 UTP cable</t>
  </si>
  <si>
    <r>
      <rPr>
        <sz val="10"/>
        <rFont val="Arial"/>
        <charset val="134"/>
      </rPr>
      <t>Cat.6</t>
    </r>
    <r>
      <rPr>
        <sz val="10"/>
        <rFont val="宋体-简"/>
        <charset val="134"/>
      </rPr>
      <t>非屏蔽双绞线电缆</t>
    </r>
  </si>
  <si>
    <t>H.5.5</t>
  </si>
  <si>
    <t>H.6</t>
  </si>
  <si>
    <t>Bulidings' Intruder Alarms</t>
  </si>
  <si>
    <t>建筑物入侵报警系统</t>
  </si>
  <si>
    <t>Firewater Pumphouse - refer section G.12</t>
  </si>
  <si>
    <r>
      <rPr>
        <sz val="10"/>
        <color rgb="FFFF0000"/>
        <rFont val="宋体-简"/>
        <charset val="134"/>
      </rPr>
      <t>消防泵房</t>
    </r>
    <r>
      <rPr>
        <sz val="10"/>
        <color rgb="FFFF0000"/>
        <rFont val="Arial"/>
        <charset val="134"/>
      </rPr>
      <t>——</t>
    </r>
    <r>
      <rPr>
        <sz val="10"/>
        <color rgb="FFFF0000"/>
        <rFont val="宋体-简"/>
        <charset val="134"/>
      </rPr>
      <t>见</t>
    </r>
    <r>
      <rPr>
        <sz val="10"/>
        <color rgb="FFFF0000"/>
        <rFont val="Arial"/>
        <charset val="134"/>
      </rPr>
      <t>G.12</t>
    </r>
    <r>
      <rPr>
        <sz val="10"/>
        <color rgb="FFFF0000"/>
        <rFont val="宋体-简"/>
        <charset val="134"/>
      </rPr>
      <t>节</t>
    </r>
  </si>
  <si>
    <t>-Piling or Ground improvement Work</t>
  </si>
  <si>
    <r>
      <rPr>
        <sz val="10"/>
        <color rgb="FFFF0000"/>
        <rFont val="Arial"/>
        <charset val="134"/>
      </rPr>
      <t>-</t>
    </r>
    <r>
      <rPr>
        <sz val="10"/>
        <color rgb="FFFF0000"/>
        <rFont val="宋体"/>
        <charset val="134"/>
      </rPr>
      <t>桩基或地基改良工程</t>
    </r>
  </si>
  <si>
    <t>-Steel Structure</t>
  </si>
  <si>
    <r>
      <rPr>
        <sz val="10"/>
        <color rgb="FFFF0000"/>
        <rFont val="Arial"/>
        <charset val="134"/>
      </rPr>
      <t>-</t>
    </r>
    <r>
      <rPr>
        <sz val="10"/>
        <color rgb="FFFF0000"/>
        <rFont val="宋体"/>
        <charset val="134"/>
      </rPr>
      <t>钢结构</t>
    </r>
  </si>
  <si>
    <t>-Waterproof System for Water Tank</t>
  </si>
  <si>
    <r>
      <rPr>
        <sz val="10"/>
        <color rgb="FFFF0000"/>
        <rFont val="Arial"/>
        <charset val="134"/>
      </rPr>
      <t>-</t>
    </r>
    <r>
      <rPr>
        <sz val="10"/>
        <color rgb="FFFF0000"/>
        <rFont val="宋体"/>
        <charset val="134"/>
      </rPr>
      <t>水箱防水系统</t>
    </r>
  </si>
  <si>
    <t>-Roof Finished</t>
  </si>
  <si>
    <r>
      <rPr>
        <sz val="10"/>
        <color rgb="FFFF0000"/>
        <rFont val="Arial"/>
        <charset val="134"/>
      </rPr>
      <t>-</t>
    </r>
    <r>
      <rPr>
        <sz val="10"/>
        <color rgb="FFFF0000"/>
        <rFont val="宋体"/>
        <charset val="134"/>
      </rPr>
      <t>屋面完成</t>
    </r>
  </si>
  <si>
    <t>-Floor Fimihed</t>
  </si>
  <si>
    <r>
      <rPr>
        <sz val="10"/>
        <color rgb="FFFF0000"/>
        <rFont val="Arial"/>
        <charset val="134"/>
      </rPr>
      <t>-</t>
    </r>
    <r>
      <rPr>
        <sz val="10"/>
        <color rgb="FFFF0000"/>
        <rFont val="宋体"/>
        <charset val="134"/>
      </rPr>
      <t>地面完成</t>
    </r>
  </si>
  <si>
    <t>-Ceiling</t>
  </si>
  <si>
    <r>
      <rPr>
        <sz val="10"/>
        <color rgb="FFFF0000"/>
        <rFont val="Arial"/>
        <charset val="134"/>
      </rPr>
      <t>-</t>
    </r>
    <r>
      <rPr>
        <sz val="10"/>
        <color rgb="FFFF0000"/>
        <rFont val="宋体"/>
        <charset val="134"/>
      </rPr>
      <t>天棚</t>
    </r>
  </si>
  <si>
    <t>-Wall Finished</t>
  </si>
  <si>
    <r>
      <rPr>
        <sz val="10"/>
        <color rgb="FFFF0000"/>
        <rFont val="Arial"/>
        <charset val="134"/>
      </rPr>
      <t>-</t>
    </r>
    <r>
      <rPr>
        <sz val="10"/>
        <color rgb="FFFF0000"/>
        <rFont val="宋体"/>
        <charset val="134"/>
      </rPr>
      <t>墙面完成</t>
    </r>
  </si>
  <si>
    <t>-Door&amp;Window</t>
  </si>
  <si>
    <r>
      <rPr>
        <sz val="10"/>
        <color rgb="FFFF0000"/>
        <rFont val="Arial"/>
        <charset val="134"/>
      </rPr>
      <t>-</t>
    </r>
    <r>
      <rPr>
        <sz val="10"/>
        <color rgb="FFFF0000"/>
        <rFont val="宋体"/>
        <charset val="134"/>
      </rPr>
      <t>门窗</t>
    </r>
  </si>
  <si>
    <t>-Air Vessel</t>
  </si>
  <si>
    <r>
      <rPr>
        <sz val="10"/>
        <color rgb="FFFF0000"/>
        <rFont val="Arial"/>
        <charset val="134"/>
      </rPr>
      <t>-</t>
    </r>
    <r>
      <rPr>
        <sz val="10"/>
        <color rgb="FFFF0000"/>
        <rFont val="宋体"/>
        <charset val="134"/>
      </rPr>
      <t>气罐</t>
    </r>
  </si>
  <si>
    <t>-Main Electrical VT Pump</t>
  </si>
  <si>
    <r>
      <rPr>
        <sz val="10"/>
        <color rgb="FFFF0000"/>
        <rFont val="Arial"/>
        <charset val="134"/>
      </rPr>
      <t>-</t>
    </r>
    <r>
      <rPr>
        <sz val="10"/>
        <color rgb="FFFF0000"/>
        <rFont val="宋体"/>
        <charset val="134"/>
      </rPr>
      <t>主电气</t>
    </r>
    <r>
      <rPr>
        <sz val="10"/>
        <color rgb="FFFF0000"/>
        <rFont val="Arial"/>
        <charset val="134"/>
      </rPr>
      <t>VT</t>
    </r>
    <r>
      <rPr>
        <sz val="10"/>
        <color rgb="FFFF0000"/>
        <rFont val="宋体"/>
        <charset val="134"/>
      </rPr>
      <t>泵</t>
    </r>
  </si>
  <si>
    <t>-Fuel Tank</t>
  </si>
  <si>
    <r>
      <rPr>
        <sz val="10"/>
        <color rgb="FFFF0000"/>
        <rFont val="Arial"/>
        <charset val="134"/>
      </rPr>
      <t>-</t>
    </r>
    <r>
      <rPr>
        <sz val="10"/>
        <color rgb="FFFF0000"/>
        <rFont val="宋体"/>
        <charset val="134"/>
      </rPr>
      <t>燃油箱</t>
    </r>
  </si>
  <si>
    <t>-Fireproof Barrier</t>
  </si>
  <si>
    <r>
      <rPr>
        <sz val="10"/>
        <color rgb="FFFF0000"/>
        <rFont val="Arial"/>
        <charset val="134"/>
      </rPr>
      <t>-</t>
    </r>
    <r>
      <rPr>
        <sz val="10"/>
        <color rgb="FFFF0000"/>
        <rFont val="宋体"/>
        <charset val="134"/>
      </rPr>
      <t>防火隔断</t>
    </r>
  </si>
  <si>
    <t>-LT Panel</t>
  </si>
  <si>
    <r>
      <rPr>
        <sz val="10"/>
        <color rgb="FFFF0000"/>
        <rFont val="Arial"/>
        <charset val="134"/>
      </rPr>
      <t>-</t>
    </r>
    <r>
      <rPr>
        <sz val="10"/>
        <color rgb="FFFF0000"/>
        <rFont val="宋体"/>
        <charset val="134"/>
      </rPr>
      <t>低压配电柜</t>
    </r>
  </si>
  <si>
    <t>-APFC Panel</t>
  </si>
  <si>
    <r>
      <rPr>
        <sz val="10"/>
        <color rgb="FFFF0000"/>
        <rFont val="Arial"/>
        <charset val="134"/>
      </rPr>
      <t>-APFC</t>
    </r>
    <r>
      <rPr>
        <sz val="10"/>
        <color rgb="FFFF0000"/>
        <rFont val="宋体"/>
        <charset val="134"/>
      </rPr>
      <t>配电柜</t>
    </r>
  </si>
  <si>
    <t>-EOT Crane</t>
  </si>
  <si>
    <r>
      <rPr>
        <sz val="10"/>
        <color rgb="FFFF0000"/>
        <rFont val="Arial"/>
        <charset val="134"/>
      </rPr>
      <t>-EOT</t>
    </r>
    <r>
      <rPr>
        <sz val="10"/>
        <color rgb="FFFF0000"/>
        <rFont val="宋体"/>
        <charset val="134"/>
      </rPr>
      <t>起重机</t>
    </r>
  </si>
  <si>
    <t>-Water Pipe</t>
  </si>
  <si>
    <r>
      <rPr>
        <sz val="10"/>
        <color rgb="FFFF0000"/>
        <rFont val="Arial"/>
        <charset val="134"/>
      </rPr>
      <t>-</t>
    </r>
    <r>
      <rPr>
        <sz val="10"/>
        <color rgb="FFFF0000"/>
        <rFont val="宋体"/>
        <charset val="134"/>
      </rPr>
      <t>给水管道</t>
    </r>
  </si>
  <si>
    <t>-Pressure Relief Pipe</t>
  </si>
  <si>
    <r>
      <rPr>
        <sz val="10"/>
        <color rgb="FFFF0000"/>
        <rFont val="Arial"/>
        <charset val="134"/>
      </rPr>
      <t>-</t>
    </r>
    <r>
      <rPr>
        <sz val="10"/>
        <color rgb="FFFF0000"/>
        <rFont val="宋体"/>
        <charset val="134"/>
      </rPr>
      <t>泄压管道</t>
    </r>
  </si>
  <si>
    <t>-Gate Valve</t>
  </si>
  <si>
    <r>
      <rPr>
        <sz val="10"/>
        <color rgb="FFFF0000"/>
        <rFont val="Arial"/>
        <charset val="134"/>
      </rPr>
      <t>-</t>
    </r>
    <r>
      <rPr>
        <sz val="10"/>
        <color rgb="FFFF0000"/>
        <rFont val="宋体"/>
        <charset val="134"/>
      </rPr>
      <t>闸阀</t>
    </r>
  </si>
  <si>
    <t>-Pressure reducing Valve</t>
  </si>
  <si>
    <r>
      <rPr>
        <sz val="10"/>
        <color rgb="FFFF0000"/>
        <rFont val="Arial"/>
        <charset val="134"/>
      </rPr>
      <t>-</t>
    </r>
    <r>
      <rPr>
        <sz val="10"/>
        <color rgb="FFFF0000"/>
        <rFont val="宋体"/>
        <charset val="134"/>
      </rPr>
      <t>减压阀</t>
    </r>
  </si>
  <si>
    <t>Class I</t>
  </si>
  <si>
    <t>GATE COMPLEX (PER 009)</t>
  </si>
  <si>
    <r>
      <rPr>
        <b/>
        <sz val="10"/>
        <rFont val="宋体-简"/>
        <charset val="134"/>
      </rPr>
      <t>门区综合体（每</t>
    </r>
    <r>
      <rPr>
        <b/>
        <sz val="10"/>
        <rFont val="Arial"/>
        <charset val="134"/>
      </rPr>
      <t>009</t>
    </r>
    <r>
      <rPr>
        <b/>
        <sz val="10"/>
        <rFont val="宋体-简"/>
        <charset val="134"/>
      </rPr>
      <t>）</t>
    </r>
  </si>
  <si>
    <t>I.1</t>
  </si>
  <si>
    <t>Gate Complex Canopy</t>
  </si>
  <si>
    <t>门区综合棚架</t>
  </si>
  <si>
    <t>I.1.1</t>
  </si>
  <si>
    <t>In-Gate Canopy Foundations 
Reinforced Concrete Isolated Footing / Spread Footing</t>
  </si>
  <si>
    <r>
      <rPr>
        <sz val="10"/>
        <rFont val="宋体-简"/>
        <charset val="134"/>
      </rPr>
      <t>进门棚架基础</t>
    </r>
    <r>
      <rPr>
        <sz val="10"/>
        <rFont val="Arial"/>
        <charset val="134"/>
      </rPr>
      <t xml:space="preserve">
</t>
    </r>
    <r>
      <rPr>
        <sz val="10"/>
        <rFont val="宋体-简"/>
        <charset val="134"/>
      </rPr>
      <t>钢筋混凝土独立基础</t>
    </r>
    <r>
      <rPr>
        <sz val="10"/>
        <rFont val="Arial"/>
        <charset val="134"/>
      </rPr>
      <t xml:space="preserve"> / </t>
    </r>
    <r>
      <rPr>
        <sz val="10"/>
        <rFont val="宋体-简"/>
        <charset val="134"/>
      </rPr>
      <t>扩展基础</t>
    </r>
  </si>
  <si>
    <t>Foundation</t>
  </si>
  <si>
    <t>基础</t>
  </si>
  <si>
    <t>Sand cushion</t>
  </si>
  <si>
    <t>砂垫层</t>
  </si>
  <si>
    <t>Lean concrete</t>
  </si>
  <si>
    <t>I.1.2</t>
  </si>
  <si>
    <t>In-Gate Canopy
Projected area: 1265.04 m², steel structure, column top height: 7.5 m, 9 lanes
3.pile foundations are adopted for the foundation.</t>
  </si>
  <si>
    <r>
      <rPr>
        <sz val="10"/>
        <rFont val="宋体-简"/>
        <charset val="134"/>
      </rPr>
      <t>进门棚架</t>
    </r>
    <r>
      <rPr>
        <sz val="10"/>
        <rFont val="Arial"/>
        <charset val="134"/>
      </rPr>
      <t xml:space="preserve">
</t>
    </r>
    <r>
      <rPr>
        <sz val="10"/>
        <rFont val="宋体-简"/>
        <charset val="134"/>
      </rPr>
      <t>投影面积：</t>
    </r>
    <r>
      <rPr>
        <sz val="10"/>
        <rFont val="Arial"/>
        <charset val="134"/>
      </rPr>
      <t>1265.04</t>
    </r>
    <r>
      <rPr>
        <sz val="10"/>
        <rFont val="宋体-简"/>
        <charset val="134"/>
      </rPr>
      <t>平方米，钢结构，柱顶高：</t>
    </r>
    <r>
      <rPr>
        <sz val="10"/>
        <rFont val="Arial"/>
        <charset val="134"/>
      </rPr>
      <t>7.5</t>
    </r>
    <r>
      <rPr>
        <sz val="10"/>
        <rFont val="宋体-简"/>
        <charset val="134"/>
      </rPr>
      <t>米，</t>
    </r>
    <r>
      <rPr>
        <sz val="10"/>
        <rFont val="Arial"/>
        <charset val="134"/>
      </rPr>
      <t>9</t>
    </r>
    <r>
      <rPr>
        <sz val="10"/>
        <rFont val="宋体-简"/>
        <charset val="134"/>
      </rPr>
      <t>车道</t>
    </r>
    <r>
      <rPr>
        <sz val="10"/>
        <rFont val="Arial"/>
        <charset val="134"/>
      </rPr>
      <t xml:space="preserve">
</t>
    </r>
    <r>
      <rPr>
        <sz val="10"/>
        <rFont val="宋体-简"/>
        <charset val="134"/>
      </rPr>
      <t>基础采用</t>
    </r>
    <r>
      <rPr>
        <sz val="10"/>
        <rFont val="Arial"/>
        <charset val="134"/>
      </rPr>
      <t>3</t>
    </r>
    <r>
      <rPr>
        <sz val="10"/>
        <rFont val="宋体-简"/>
        <charset val="134"/>
      </rPr>
      <t>根桩基。</t>
    </r>
  </si>
  <si>
    <t>Steel structure</t>
  </si>
  <si>
    <t>Pipe column xxNB</t>
  </si>
  <si>
    <r>
      <rPr>
        <sz val="10"/>
        <color rgb="FFFF0000"/>
        <rFont val="宋体-简"/>
        <charset val="134"/>
      </rPr>
      <t>管柱</t>
    </r>
    <r>
      <rPr>
        <sz val="10"/>
        <color rgb="FFFF0000"/>
        <rFont val="Arial"/>
        <charset val="134"/>
      </rPr>
      <t xml:space="preserve"> xxNB</t>
    </r>
  </si>
  <si>
    <t>Pipe canopy xxNB</t>
  </si>
  <si>
    <r>
      <rPr>
        <sz val="10"/>
        <color rgb="FFFF0000"/>
        <rFont val="宋体-简"/>
        <charset val="134"/>
      </rPr>
      <t>管状棚架</t>
    </r>
    <r>
      <rPr>
        <sz val="10"/>
        <color rgb="FFFF0000"/>
        <rFont val="Arial"/>
        <charset val="134"/>
      </rPr>
      <t xml:space="preserve"> xxNB</t>
    </r>
  </si>
  <si>
    <t>Baseplate xx mm.</t>
  </si>
  <si>
    <r>
      <rPr>
        <sz val="10"/>
        <color rgb="FFFF0000"/>
        <rFont val="宋体-简"/>
        <charset val="134"/>
      </rPr>
      <t>底板</t>
    </r>
    <r>
      <rPr>
        <sz val="10"/>
        <color rgb="FFFF0000"/>
        <rFont val="Arial"/>
        <charset val="134"/>
      </rPr>
      <t xml:space="preserve"> xx </t>
    </r>
    <r>
      <rPr>
        <sz val="10"/>
        <color rgb="FFFF0000"/>
        <rFont val="宋体-简"/>
        <charset val="134"/>
      </rPr>
      <t>毫米</t>
    </r>
  </si>
  <si>
    <t>Anchor bolt Mxx , Length xx m.</t>
  </si>
  <si>
    <r>
      <rPr>
        <sz val="10"/>
        <color rgb="FFFF0000"/>
        <rFont val="宋体-简"/>
        <charset val="134"/>
      </rPr>
      <t>锚栓</t>
    </r>
    <r>
      <rPr>
        <sz val="10"/>
        <color rgb="FFFF0000"/>
        <rFont val="Arial"/>
        <charset val="134"/>
      </rPr>
      <t xml:space="preserve"> Mxx</t>
    </r>
    <r>
      <rPr>
        <sz val="10"/>
        <color rgb="FFFF0000"/>
        <rFont val="宋体-简"/>
        <charset val="134"/>
      </rPr>
      <t>，长度</t>
    </r>
    <r>
      <rPr>
        <sz val="10"/>
        <color rgb="FFFF0000"/>
        <rFont val="Arial"/>
        <charset val="134"/>
      </rPr>
      <t xml:space="preserve"> xx </t>
    </r>
    <r>
      <rPr>
        <sz val="10"/>
        <color rgb="FFFF0000"/>
        <rFont val="宋体-简"/>
        <charset val="134"/>
      </rPr>
      <t>米</t>
    </r>
  </si>
  <si>
    <t>Cleat Plate xx mm.</t>
  </si>
  <si>
    <r>
      <rPr>
        <sz val="10"/>
        <color rgb="FFFF0000"/>
        <rFont val="宋体-简"/>
        <charset val="134"/>
      </rPr>
      <t>连接板</t>
    </r>
    <r>
      <rPr>
        <sz val="10"/>
        <color rgb="FFFF0000"/>
        <rFont val="Arial"/>
        <charset val="134"/>
      </rPr>
      <t xml:space="preserve"> xx </t>
    </r>
    <r>
      <rPr>
        <sz val="10"/>
        <color rgb="FFFF0000"/>
        <rFont val="宋体-简"/>
        <charset val="134"/>
      </rPr>
      <t>毫米</t>
    </r>
  </si>
  <si>
    <t>Purlin C xxxxx</t>
  </si>
  <si>
    <t>檩条 C xxxxx</t>
  </si>
  <si>
    <t>Bridging</t>
  </si>
  <si>
    <t>支撑</t>
  </si>
  <si>
    <t>Metal sheet x.xx mm. thickness</t>
  </si>
  <si>
    <r>
      <rPr>
        <sz val="10"/>
        <color rgb="FFFF0000"/>
        <rFont val="宋体-简"/>
        <charset val="134"/>
      </rPr>
      <t>金属板</t>
    </r>
    <r>
      <rPr>
        <sz val="10"/>
        <color rgb="FFFF0000"/>
        <rFont val="Arial"/>
        <charset val="134"/>
      </rPr>
      <t xml:space="preserve"> </t>
    </r>
    <r>
      <rPr>
        <sz val="10"/>
        <color rgb="FFFF0000"/>
        <rFont val="宋体-简"/>
        <charset val="134"/>
      </rPr>
      <t>厚度</t>
    </r>
    <r>
      <rPr>
        <sz val="10"/>
        <color rgb="FFFF0000"/>
        <rFont val="Arial"/>
        <charset val="134"/>
      </rPr>
      <t xml:space="preserve"> x.xx </t>
    </r>
    <r>
      <rPr>
        <sz val="10"/>
        <color rgb="FFFF0000"/>
        <rFont val="宋体-简"/>
        <charset val="134"/>
      </rPr>
      <t>毫米</t>
    </r>
  </si>
  <si>
    <t>sq.m.</t>
  </si>
  <si>
    <t>Eave Flashing</t>
  </si>
  <si>
    <t>屋檐泛水</t>
  </si>
  <si>
    <t>Drainage work</t>
  </si>
  <si>
    <t>Stainless gutter size xx x xx m.</t>
  </si>
  <si>
    <r>
      <rPr>
        <sz val="10"/>
        <color rgb="FFFF0000"/>
        <rFont val="宋体-简"/>
        <charset val="134"/>
      </rPr>
      <t>不锈钢檐槽尺寸</t>
    </r>
    <r>
      <rPr>
        <sz val="10"/>
        <color rgb="FFFF0000"/>
        <rFont val="Arial"/>
        <charset val="134"/>
      </rPr>
      <t xml:space="preserve"> xx x xx </t>
    </r>
    <r>
      <rPr>
        <sz val="10"/>
        <color rgb="FFFF0000"/>
        <rFont val="宋体-简"/>
        <charset val="134"/>
      </rPr>
      <t>米</t>
    </r>
  </si>
  <si>
    <t>Rainwater downpipe</t>
  </si>
  <si>
    <t>雨水立管</t>
  </si>
  <si>
    <t>I.1.3</t>
  </si>
  <si>
    <t>Out-Gate Canopy Foundations 
Reinforced Concrete Isolated Footing / Spread Footing</t>
  </si>
  <si>
    <r>
      <rPr>
        <sz val="10"/>
        <rFont val="宋体-简"/>
        <charset val="134"/>
      </rPr>
      <t>出口门廊基础</t>
    </r>
    <r>
      <rPr>
        <sz val="10"/>
        <rFont val="Arial"/>
        <charset val="134"/>
      </rPr>
      <t xml:space="preserve">
</t>
    </r>
    <r>
      <rPr>
        <sz val="10"/>
        <rFont val="宋体-简"/>
        <charset val="134"/>
      </rPr>
      <t>钢筋混凝土独立基础</t>
    </r>
    <r>
      <rPr>
        <sz val="10"/>
        <rFont val="Arial"/>
        <charset val="134"/>
      </rPr>
      <t xml:space="preserve"> / </t>
    </r>
    <r>
      <rPr>
        <sz val="10"/>
        <rFont val="宋体-简"/>
        <charset val="134"/>
      </rPr>
      <t>扩大基础</t>
    </r>
  </si>
  <si>
    <t>I.1.4</t>
  </si>
  <si>
    <t>Out-Gate Canopy
Projected area: 609.84 m², steel structure, column top height: 7.5 m, 4 lanes
3.pile foundations are adopted for the foundation.</t>
  </si>
  <si>
    <r>
      <rPr>
        <sz val="10"/>
        <rFont val="宋体-简"/>
        <charset val="134"/>
      </rPr>
      <t>出口门廊</t>
    </r>
    <r>
      <rPr>
        <sz val="10"/>
        <rFont val="Arial"/>
        <charset val="134"/>
      </rPr>
      <t xml:space="preserve">
</t>
    </r>
    <r>
      <rPr>
        <sz val="10"/>
        <rFont val="宋体-简"/>
        <charset val="134"/>
      </rPr>
      <t>投影面积：</t>
    </r>
    <r>
      <rPr>
        <sz val="10"/>
        <rFont val="Arial"/>
        <charset val="134"/>
      </rPr>
      <t>609.84</t>
    </r>
    <r>
      <rPr>
        <sz val="10"/>
        <rFont val="宋体-简"/>
        <charset val="134"/>
      </rPr>
      <t>平方米，钢结构，柱顶高度：</t>
    </r>
    <r>
      <rPr>
        <sz val="10"/>
        <rFont val="Arial"/>
        <charset val="134"/>
      </rPr>
      <t>7.5</t>
    </r>
    <r>
      <rPr>
        <sz val="10"/>
        <rFont val="宋体-简"/>
        <charset val="134"/>
      </rPr>
      <t>米，</t>
    </r>
    <r>
      <rPr>
        <sz val="10"/>
        <rFont val="Arial"/>
        <charset val="134"/>
      </rPr>
      <t>4</t>
    </r>
    <r>
      <rPr>
        <sz val="10"/>
        <rFont val="宋体-简"/>
        <charset val="134"/>
      </rPr>
      <t>车道</t>
    </r>
    <r>
      <rPr>
        <sz val="10"/>
        <rFont val="Arial"/>
        <charset val="134"/>
      </rPr>
      <t xml:space="preserve">
</t>
    </r>
    <r>
      <rPr>
        <sz val="10"/>
        <rFont val="宋体-简"/>
        <charset val="134"/>
      </rPr>
      <t>基础采用</t>
    </r>
    <r>
      <rPr>
        <sz val="10"/>
        <rFont val="Arial"/>
        <charset val="134"/>
      </rPr>
      <t>3</t>
    </r>
    <r>
      <rPr>
        <sz val="10"/>
        <rFont val="宋体-简"/>
        <charset val="134"/>
      </rPr>
      <t>桩基础</t>
    </r>
  </si>
  <si>
    <t>I.2</t>
  </si>
  <si>
    <t>Gate Complex Equipment foundations</t>
  </si>
  <si>
    <t>大门综合设备基础</t>
  </si>
  <si>
    <t>I.2.1</t>
  </si>
  <si>
    <t>Type 1
Driver Kiosks Foundations 0.8m x 0.9m</t>
  </si>
  <si>
    <r>
      <rPr>
        <sz val="10"/>
        <rFont val="宋体-简"/>
        <charset val="134"/>
      </rPr>
      <t>类型</t>
    </r>
    <r>
      <rPr>
        <sz val="10"/>
        <rFont val="Arial"/>
        <charset val="134"/>
      </rPr>
      <t xml:space="preserve">1
</t>
    </r>
    <r>
      <rPr>
        <sz val="10"/>
        <rFont val="宋体-简"/>
        <charset val="134"/>
      </rPr>
      <t>司机岗亭基础</t>
    </r>
    <r>
      <rPr>
        <sz val="10"/>
        <rFont val="Arial"/>
        <charset val="134"/>
      </rPr>
      <t xml:space="preserve"> 0.8</t>
    </r>
    <r>
      <rPr>
        <sz val="10"/>
        <rFont val="宋体-简"/>
        <charset val="134"/>
      </rPr>
      <t>米</t>
    </r>
    <r>
      <rPr>
        <sz val="10"/>
        <rFont val="Arial"/>
        <charset val="134"/>
      </rPr>
      <t xml:space="preserve"> x 0.9</t>
    </r>
    <r>
      <rPr>
        <sz val="10"/>
        <rFont val="宋体-简"/>
        <charset val="134"/>
      </rPr>
      <t>米</t>
    </r>
  </si>
  <si>
    <t>Electric work</t>
  </si>
  <si>
    <t>LV Duct Ø60mm.</t>
  </si>
  <si>
    <r>
      <rPr>
        <sz val="10"/>
        <color rgb="FFFF0000"/>
        <rFont val="宋体-简"/>
        <charset val="134"/>
      </rPr>
      <t>低压管</t>
    </r>
    <r>
      <rPr>
        <sz val="10"/>
        <color rgb="FFFF0000"/>
        <rFont val="Arial"/>
        <charset val="134"/>
      </rPr>
      <t xml:space="preserve"> Ø60</t>
    </r>
    <r>
      <rPr>
        <sz val="10"/>
        <color rgb="FFFF0000"/>
        <rFont val="宋体-简"/>
        <charset val="134"/>
      </rPr>
      <t>毫米</t>
    </r>
  </si>
  <si>
    <t>Comms Duct Ø60mm.</t>
  </si>
  <si>
    <r>
      <rPr>
        <sz val="10"/>
        <color rgb="FFFF0000"/>
        <rFont val="宋体-简"/>
        <charset val="134"/>
      </rPr>
      <t>通信管</t>
    </r>
    <r>
      <rPr>
        <sz val="10"/>
        <color rgb="FFFF0000"/>
        <rFont val="Arial"/>
        <charset val="134"/>
      </rPr>
      <t xml:space="preserve"> Ø60</t>
    </r>
    <r>
      <rPr>
        <sz val="10"/>
        <color rgb="FFFF0000"/>
        <rFont val="宋体-简"/>
        <charset val="134"/>
      </rPr>
      <t>毫米</t>
    </r>
  </si>
  <si>
    <t>I.2.2</t>
  </si>
  <si>
    <t>Type 2
TRAFFIC BARRIERS AND CAMERAS FOUNDATION 600mmx600mmx600mm</t>
  </si>
  <si>
    <r>
      <rPr>
        <sz val="10"/>
        <rFont val="宋体-简"/>
        <charset val="134"/>
      </rPr>
      <t>类型</t>
    </r>
    <r>
      <rPr>
        <sz val="10"/>
        <rFont val="Arial"/>
        <charset val="134"/>
      </rPr>
      <t xml:space="preserve"> 2
</t>
    </r>
    <r>
      <rPr>
        <sz val="10"/>
        <rFont val="宋体-简"/>
        <charset val="134"/>
      </rPr>
      <t>交通隔离设施及摄像头基础</t>
    </r>
    <r>
      <rPr>
        <sz val="10"/>
        <rFont val="Arial"/>
        <charset val="134"/>
      </rPr>
      <t xml:space="preserve"> 600</t>
    </r>
    <r>
      <rPr>
        <sz val="10"/>
        <rFont val="宋体-简"/>
        <charset val="134"/>
      </rPr>
      <t>毫米</t>
    </r>
    <r>
      <rPr>
        <sz val="10"/>
        <rFont val="Arial"/>
        <charset val="134"/>
      </rPr>
      <t>×600</t>
    </r>
    <r>
      <rPr>
        <sz val="10"/>
        <rFont val="宋体-简"/>
        <charset val="134"/>
      </rPr>
      <t>毫米</t>
    </r>
    <r>
      <rPr>
        <sz val="10"/>
        <rFont val="Arial"/>
        <charset val="134"/>
      </rPr>
      <t>×600</t>
    </r>
    <r>
      <rPr>
        <sz val="10"/>
        <rFont val="宋体-简"/>
        <charset val="134"/>
      </rPr>
      <t>毫米</t>
    </r>
  </si>
  <si>
    <t>I.2.3</t>
  </si>
  <si>
    <t>Type 3
WEIGHBRIDGE PANEL FOUNDATION 300mmx300mmx400mm</t>
  </si>
  <si>
    <r>
      <rPr>
        <sz val="10"/>
        <rFont val="宋体-简"/>
        <charset val="134"/>
      </rPr>
      <t>类型</t>
    </r>
    <r>
      <rPr>
        <sz val="10"/>
        <rFont val="Arial"/>
        <charset val="134"/>
      </rPr>
      <t xml:space="preserve"> 3
</t>
    </r>
    <r>
      <rPr>
        <sz val="10"/>
        <rFont val="宋体-简"/>
        <charset val="134"/>
      </rPr>
      <t>地磅面板基础</t>
    </r>
    <r>
      <rPr>
        <sz val="10"/>
        <rFont val="Arial"/>
        <charset val="134"/>
      </rPr>
      <t xml:space="preserve"> 300</t>
    </r>
    <r>
      <rPr>
        <sz val="10"/>
        <rFont val="宋体-简"/>
        <charset val="134"/>
      </rPr>
      <t>毫米</t>
    </r>
    <r>
      <rPr>
        <sz val="10"/>
        <rFont val="Arial"/>
        <charset val="134"/>
      </rPr>
      <t>×300</t>
    </r>
    <r>
      <rPr>
        <sz val="10"/>
        <rFont val="宋体-简"/>
        <charset val="134"/>
      </rPr>
      <t>毫米</t>
    </r>
    <r>
      <rPr>
        <sz val="10"/>
        <rFont val="Arial"/>
        <charset val="134"/>
      </rPr>
      <t>×400</t>
    </r>
    <r>
      <rPr>
        <sz val="10"/>
        <rFont val="宋体-简"/>
        <charset val="134"/>
      </rPr>
      <t>毫米</t>
    </r>
  </si>
  <si>
    <t>I.2.4</t>
  </si>
  <si>
    <t>Type 4
OCR PORTAL FOUNDATION 2400mmx800mmx1000mm</t>
  </si>
  <si>
    <r>
      <rPr>
        <sz val="10"/>
        <rFont val="宋体-简"/>
        <charset val="134"/>
      </rPr>
      <t>类型</t>
    </r>
    <r>
      <rPr>
        <sz val="10"/>
        <rFont val="Arial"/>
        <charset val="134"/>
      </rPr>
      <t xml:space="preserve"> 4
OCR</t>
    </r>
    <r>
      <rPr>
        <sz val="10"/>
        <rFont val="宋体-简"/>
        <charset val="134"/>
      </rPr>
      <t>门架基础</t>
    </r>
    <r>
      <rPr>
        <sz val="10"/>
        <rFont val="Arial"/>
        <charset val="134"/>
      </rPr>
      <t xml:space="preserve"> 2400</t>
    </r>
    <r>
      <rPr>
        <sz val="10"/>
        <rFont val="宋体-简"/>
        <charset val="134"/>
      </rPr>
      <t>毫米</t>
    </r>
    <r>
      <rPr>
        <sz val="10"/>
        <rFont val="Arial"/>
        <charset val="134"/>
      </rPr>
      <t>×800</t>
    </r>
    <r>
      <rPr>
        <sz val="10"/>
        <rFont val="宋体-简"/>
        <charset val="134"/>
      </rPr>
      <t>毫米</t>
    </r>
    <r>
      <rPr>
        <sz val="10"/>
        <rFont val="Arial"/>
        <charset val="134"/>
      </rPr>
      <t>×1000</t>
    </r>
    <r>
      <rPr>
        <sz val="10"/>
        <rFont val="宋体-简"/>
        <charset val="134"/>
      </rPr>
      <t>毫米</t>
    </r>
  </si>
  <si>
    <t>LV Duct Ø75mm.</t>
  </si>
  <si>
    <r>
      <rPr>
        <sz val="10"/>
        <color rgb="FFFF0000"/>
        <rFont val="宋体-简"/>
        <charset val="134"/>
      </rPr>
      <t>低压电缆管</t>
    </r>
    <r>
      <rPr>
        <sz val="10"/>
        <color rgb="FFFF0000"/>
        <rFont val="Arial"/>
        <charset val="134"/>
      </rPr>
      <t xml:space="preserve"> Ø75</t>
    </r>
    <r>
      <rPr>
        <sz val="10"/>
        <color rgb="FFFF0000"/>
        <rFont val="宋体-简"/>
        <charset val="134"/>
      </rPr>
      <t>毫米</t>
    </r>
  </si>
  <si>
    <t>I.2.5</t>
  </si>
  <si>
    <r>
      <rPr>
        <sz val="10"/>
        <rFont val="Arial"/>
        <charset val="134"/>
      </rPr>
      <t xml:space="preserve">Cable Trench in Island
</t>
    </r>
    <r>
      <rPr>
        <sz val="10"/>
        <rFont val="宋体"/>
        <charset val="134"/>
      </rPr>
      <t>（</t>
    </r>
    <r>
      <rPr>
        <sz val="10"/>
        <rFont val="Arial"/>
        <charset val="134"/>
      </rPr>
      <t>1.3×1.1</t>
    </r>
    <r>
      <rPr>
        <sz val="10"/>
        <rFont val="宋体"/>
        <charset val="134"/>
      </rPr>
      <t>）</t>
    </r>
    <r>
      <rPr>
        <sz val="10"/>
        <rFont val="Arial"/>
        <charset val="134"/>
      </rPr>
      <t>m</t>
    </r>
  </si>
  <si>
    <r>
      <rPr>
        <sz val="10"/>
        <rFont val="宋体-简"/>
        <charset val="134"/>
      </rPr>
      <t>岛内电缆沟槽</t>
    </r>
    <r>
      <rPr>
        <sz val="10"/>
        <rFont val="Arial"/>
        <charset val="134"/>
      </rPr>
      <t xml:space="preserve">
</t>
    </r>
    <r>
      <rPr>
        <sz val="10"/>
        <rFont val="宋体-简"/>
        <charset val="134"/>
      </rPr>
      <t>（</t>
    </r>
    <r>
      <rPr>
        <sz val="10"/>
        <rFont val="Arial"/>
        <charset val="134"/>
      </rPr>
      <t>1.3×1.1</t>
    </r>
    <r>
      <rPr>
        <sz val="10"/>
        <rFont val="宋体-简"/>
        <charset val="134"/>
      </rPr>
      <t>）米</t>
    </r>
  </si>
  <si>
    <t>I.2.6</t>
  </si>
  <si>
    <t>Gate Island Fenders / Protection Bollards
Reinforced concrete anti-collision column, diameter 1.0m, height 1.5m
Reinforced Concrete Isolated Footing</t>
  </si>
  <si>
    <r>
      <rPr>
        <sz val="10"/>
        <rFont val="宋体-简"/>
        <charset val="134"/>
      </rPr>
      <t>门岗岛防撞墩及防护柱</t>
    </r>
    <r>
      <rPr>
        <sz val="10"/>
        <rFont val="Arial"/>
        <charset val="134"/>
      </rPr>
      <t xml:space="preserve">
</t>
    </r>
    <r>
      <rPr>
        <sz val="10"/>
        <rFont val="宋体-简"/>
        <charset val="134"/>
      </rPr>
      <t>钢筋混凝土防撞柱，直径</t>
    </r>
    <r>
      <rPr>
        <sz val="10"/>
        <rFont val="Arial"/>
        <charset val="134"/>
      </rPr>
      <t>1.0</t>
    </r>
    <r>
      <rPr>
        <sz val="10"/>
        <rFont val="宋体-简"/>
        <charset val="134"/>
      </rPr>
      <t>米，高</t>
    </r>
    <r>
      <rPr>
        <sz val="10"/>
        <rFont val="Arial"/>
        <charset val="134"/>
      </rPr>
      <t>1.5</t>
    </r>
    <r>
      <rPr>
        <sz val="10"/>
        <rFont val="宋体-简"/>
        <charset val="134"/>
      </rPr>
      <t>米</t>
    </r>
    <r>
      <rPr>
        <sz val="10"/>
        <rFont val="Arial"/>
        <charset val="134"/>
      </rPr>
      <t xml:space="preserve">
</t>
    </r>
    <r>
      <rPr>
        <sz val="10"/>
        <rFont val="宋体-简"/>
        <charset val="134"/>
      </rPr>
      <t>钢筋混凝土独立基础</t>
    </r>
  </si>
  <si>
    <t>I.3</t>
  </si>
  <si>
    <t>Gate Complex Miscellanous</t>
  </si>
  <si>
    <t>门岗综合杂项</t>
  </si>
  <si>
    <t>I.3.1</t>
  </si>
  <si>
    <t>Handrails 
1.2m high steel handrails</t>
  </si>
  <si>
    <r>
      <rPr>
        <sz val="10"/>
        <rFont val="宋体-简"/>
        <charset val="134"/>
      </rPr>
      <t>扶手</t>
    </r>
    <r>
      <rPr>
        <sz val="10"/>
        <rFont val="Arial"/>
        <charset val="134"/>
      </rPr>
      <t xml:space="preserve">
1.2</t>
    </r>
    <r>
      <rPr>
        <sz val="10"/>
        <rFont val="宋体-简"/>
        <charset val="134"/>
      </rPr>
      <t>米高钢扶手</t>
    </r>
  </si>
  <si>
    <t>Pipe 60NB. Medium class</t>
  </si>
  <si>
    <r>
      <rPr>
        <sz val="10"/>
        <color rgb="FFFF0000"/>
        <rFont val="宋体-简"/>
        <charset val="134"/>
      </rPr>
      <t>管道</t>
    </r>
    <r>
      <rPr>
        <sz val="10"/>
        <color rgb="FFFF0000"/>
        <rFont val="Arial"/>
        <charset val="134"/>
      </rPr>
      <t xml:space="preserve"> 60NB</t>
    </r>
    <r>
      <rPr>
        <sz val="10"/>
        <color rgb="FFFF0000"/>
        <rFont val="宋体-简"/>
        <charset val="134"/>
      </rPr>
      <t>，中等等级</t>
    </r>
  </si>
  <si>
    <t>Pipe 40NB. Medium class</t>
  </si>
  <si>
    <r>
      <rPr>
        <sz val="10"/>
        <color rgb="FFFF0000"/>
        <rFont val="宋体-简"/>
        <charset val="134"/>
      </rPr>
      <t>管道</t>
    </r>
    <r>
      <rPr>
        <sz val="10"/>
        <color rgb="FFFF0000"/>
        <rFont val="Arial"/>
        <charset val="134"/>
      </rPr>
      <t xml:space="preserve"> 40NB</t>
    </r>
    <r>
      <rPr>
        <sz val="10"/>
        <color rgb="FFFF0000"/>
        <rFont val="宋体-简"/>
        <charset val="134"/>
      </rPr>
      <t>，中等等级</t>
    </r>
  </si>
  <si>
    <t>Base Plate</t>
  </si>
  <si>
    <t>Bolts</t>
  </si>
  <si>
    <t>螺栓</t>
  </si>
  <si>
    <t>I.3.2</t>
  </si>
  <si>
    <t>Gates
Steel handrail gate, 1.0m × 1.2m</t>
  </si>
  <si>
    <r>
      <rPr>
        <sz val="10"/>
        <rFont val="宋体-简"/>
        <charset val="134"/>
      </rPr>
      <t>门</t>
    </r>
    <r>
      <rPr>
        <sz val="10"/>
        <rFont val="Arial"/>
        <charset val="134"/>
      </rPr>
      <t xml:space="preserve">
</t>
    </r>
    <r>
      <rPr>
        <sz val="10"/>
        <rFont val="宋体-简"/>
        <charset val="134"/>
      </rPr>
      <t>钢制扶手门，尺寸</t>
    </r>
    <r>
      <rPr>
        <sz val="10"/>
        <rFont val="Arial"/>
        <charset val="134"/>
      </rPr>
      <t>1.0</t>
    </r>
    <r>
      <rPr>
        <sz val="10"/>
        <rFont val="宋体-简"/>
        <charset val="134"/>
      </rPr>
      <t>米</t>
    </r>
    <r>
      <rPr>
        <sz val="10"/>
        <rFont val="Arial"/>
        <charset val="134"/>
      </rPr>
      <t>×1.2</t>
    </r>
    <r>
      <rPr>
        <sz val="10"/>
        <rFont val="宋体-简"/>
        <charset val="134"/>
      </rPr>
      <t>米</t>
    </r>
  </si>
  <si>
    <t>Self-Closing Hinge</t>
  </si>
  <si>
    <t>自闭合铰链</t>
  </si>
  <si>
    <t>Plate weld to gate to prevent opening into roadway</t>
  </si>
  <si>
    <t>焊接钢板于门上以防止门向车道方向开启</t>
  </si>
  <si>
    <t>I.4</t>
  </si>
  <si>
    <t>Weighbridges (including foundations)</t>
  </si>
  <si>
    <t>汽车衡（含基础）</t>
  </si>
  <si>
    <t>I.4.1</t>
  </si>
  <si>
    <t>In/Out-Gate Weighbridges
The platform size of the weighbridge is 18m × 3.4m, which is a 100-ton shallow pit type.</t>
  </si>
  <si>
    <r>
      <rPr>
        <sz val="10"/>
        <rFont val="宋体-简"/>
        <charset val="134"/>
      </rPr>
      <t>进出口汽车衡</t>
    </r>
    <r>
      <rPr>
        <sz val="10"/>
        <rFont val="Arial"/>
        <charset val="134"/>
      </rPr>
      <t xml:space="preserve">
</t>
    </r>
    <r>
      <rPr>
        <sz val="10"/>
        <rFont val="宋体-简"/>
        <charset val="134"/>
      </rPr>
      <t>汽车衡平台尺寸为</t>
    </r>
    <r>
      <rPr>
        <sz val="10"/>
        <rFont val="Arial"/>
        <charset val="134"/>
      </rPr>
      <t>18</t>
    </r>
    <r>
      <rPr>
        <sz val="10"/>
        <rFont val="宋体-简"/>
        <charset val="134"/>
      </rPr>
      <t>米</t>
    </r>
    <r>
      <rPr>
        <sz val="10"/>
        <rFont val="Arial"/>
        <charset val="134"/>
      </rPr>
      <t>×3.4</t>
    </r>
    <r>
      <rPr>
        <sz val="10"/>
        <rFont val="宋体-简"/>
        <charset val="134"/>
      </rPr>
      <t>米，属</t>
    </r>
    <r>
      <rPr>
        <sz val="10"/>
        <rFont val="Arial"/>
        <charset val="134"/>
      </rPr>
      <t>100</t>
    </r>
    <r>
      <rPr>
        <sz val="10"/>
        <rFont val="宋体-简"/>
        <charset val="134"/>
      </rPr>
      <t>吨浅坑式</t>
    </r>
  </si>
  <si>
    <t>I.4.1.1</t>
  </si>
  <si>
    <t>foundations</t>
  </si>
  <si>
    <t>I.4.1.2</t>
  </si>
  <si>
    <t>Weighbridges</t>
  </si>
  <si>
    <t>汽车衡</t>
  </si>
  <si>
    <t>I.4.2</t>
  </si>
  <si>
    <t>Yard weighbridge
The platform size of the weighbridge is 18m × 3.4m, which is a 100-ton shallow pit type</t>
  </si>
  <si>
    <r>
      <rPr>
        <sz val="10"/>
        <rFont val="宋体-简"/>
        <charset val="134"/>
      </rPr>
      <t>场区汽车衡</t>
    </r>
    <r>
      <rPr>
        <sz val="10"/>
        <rFont val="Arial"/>
        <charset val="134"/>
      </rPr>
      <t xml:space="preserve">
</t>
    </r>
    <r>
      <rPr>
        <sz val="10"/>
        <rFont val="宋体-简"/>
        <charset val="134"/>
      </rPr>
      <t>汽车衡平台尺寸为</t>
    </r>
    <r>
      <rPr>
        <sz val="10"/>
        <rFont val="Arial"/>
        <charset val="134"/>
      </rPr>
      <t>18</t>
    </r>
    <r>
      <rPr>
        <sz val="10"/>
        <rFont val="宋体-简"/>
        <charset val="134"/>
      </rPr>
      <t>米</t>
    </r>
    <r>
      <rPr>
        <sz val="10"/>
        <rFont val="Arial"/>
        <charset val="134"/>
      </rPr>
      <t>×3.4</t>
    </r>
    <r>
      <rPr>
        <sz val="10"/>
        <rFont val="宋体-简"/>
        <charset val="134"/>
      </rPr>
      <t>米，属</t>
    </r>
    <r>
      <rPr>
        <sz val="10"/>
        <rFont val="Arial"/>
        <charset val="134"/>
      </rPr>
      <t>100</t>
    </r>
    <r>
      <rPr>
        <sz val="10"/>
        <rFont val="宋体-简"/>
        <charset val="134"/>
      </rPr>
      <t>吨浅坑式</t>
    </r>
  </si>
  <si>
    <t>I.4.2.1</t>
  </si>
  <si>
    <t>I.4.2.2</t>
  </si>
</sst>
</file>

<file path=xl/styles.xml><?xml version="1.0" encoding="utf-8"?>
<styleSheet xmlns="http://schemas.openxmlformats.org/spreadsheetml/2006/main" xmlns:mc="http://schemas.openxmlformats.org/markup-compatibility/2006" xmlns:xr9="http://schemas.microsoft.com/office/spreadsheetml/2016/revision9" mc:Ignorable="xr9">
  <numFmts count="1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2]* #,##0_ ;_ [$€-2]* \-#,##0_ ;_ [$€-2]* &quot;-&quot;??_ "/>
    <numFmt numFmtId="177" formatCode="_(* #,##0.00_);_(* \(#,##0.00\);_(* &quot;-&quot;??_);_(@_)"/>
    <numFmt numFmtId="178" formatCode="_ [$EUR]\ * #,##0_ ;_ [$EUR]\ * \-#,##0_ ;_ [$EUR]\ * &quot;-&quot;??_ ;_ @_ "/>
    <numFmt numFmtId="179" formatCode="_-* #,##0.00_-;\-* #,##0.00_-;_-* \-??_-;_-@_-"/>
    <numFmt numFmtId="180" formatCode="_-* #,##0.00_-;\-* #,##0.00_-;_-* &quot;-&quot;??_-;_-@_-"/>
    <numFmt numFmtId="181" formatCode="0.0_ "/>
    <numFmt numFmtId="182" formatCode="_ * #,##0_ ;_ * \-#,##0_ ;_ * &quot;-&quot;??_ ;_ @_ "/>
    <numFmt numFmtId="183" formatCode="_-* #,##0_-;\-* #,##0_-;_-* &quot;-&quot;??_-;_-@_-"/>
    <numFmt numFmtId="184" formatCode="_-* #,##0_-;\-* #,##0_-;_-* \-??_-;_-@_-"/>
    <numFmt numFmtId="185" formatCode="_ * #,##0.00_ ;_ * \-#,##0.00_ ;_ * &quot;-&quot;??.00_ ;_ @_ "/>
  </numFmts>
  <fonts count="67">
    <font>
      <sz val="11"/>
      <color theme="1"/>
      <name val="微软雅黑"/>
      <charset val="134"/>
    </font>
    <font>
      <sz val="10"/>
      <color theme="1"/>
      <name val="宋体"/>
      <charset val="134"/>
      <scheme val="minor"/>
    </font>
    <font>
      <sz val="10"/>
      <color theme="1"/>
      <name val="微软雅黑"/>
      <charset val="134"/>
    </font>
    <font>
      <b/>
      <sz val="10"/>
      <color theme="1"/>
      <name val="宋体"/>
      <charset val="134"/>
      <scheme val="minor"/>
    </font>
    <font>
      <b/>
      <sz val="10"/>
      <color rgb="FF000000"/>
      <name val="宋体"/>
      <charset val="134"/>
    </font>
    <font>
      <b/>
      <sz val="10"/>
      <name val="Arial"/>
      <charset val="134"/>
    </font>
    <font>
      <sz val="10"/>
      <name val="Arial"/>
      <charset val="134"/>
    </font>
    <font>
      <b/>
      <sz val="10"/>
      <name val="宋体-简"/>
      <charset val="134"/>
    </font>
    <font>
      <sz val="10"/>
      <name val="宋体-简"/>
      <charset val="134"/>
    </font>
    <font>
      <sz val="10"/>
      <name val="Arial "/>
      <charset val="134"/>
    </font>
    <font>
      <sz val="10"/>
      <name val="宋体"/>
      <charset val="134"/>
    </font>
    <font>
      <i/>
      <sz val="10"/>
      <name val="Arial"/>
      <charset val="134"/>
    </font>
    <font>
      <i/>
      <sz val="10"/>
      <name val="宋体-简"/>
      <charset val="134"/>
    </font>
    <font>
      <b/>
      <sz val="10"/>
      <color theme="1"/>
      <name val="Arial"/>
      <charset val="134"/>
    </font>
    <font>
      <b/>
      <sz val="10"/>
      <name val="Arial "/>
      <charset val="134"/>
    </font>
    <font>
      <b/>
      <u/>
      <sz val="10"/>
      <name val="Arial"/>
      <charset val="134"/>
    </font>
    <font>
      <sz val="10"/>
      <color theme="1"/>
      <name val="Arial"/>
      <charset val="134"/>
    </font>
    <font>
      <sz val="10"/>
      <color rgb="FFFF0000"/>
      <name val="Arial"/>
      <charset val="134"/>
    </font>
    <font>
      <sz val="10"/>
      <color rgb="FFFF0000"/>
      <name val="宋体-简"/>
      <charset val="134"/>
    </font>
    <font>
      <i/>
      <sz val="10"/>
      <color rgb="FFFF0000"/>
      <name val="Arial"/>
      <charset val="134"/>
    </font>
    <font>
      <i/>
      <sz val="10"/>
      <color rgb="FFFF0000"/>
      <name val="宋体"/>
      <charset val="134"/>
    </font>
    <font>
      <b/>
      <sz val="10"/>
      <name val="Arial"/>
      <charset val="162"/>
    </font>
    <font>
      <b/>
      <sz val="10"/>
      <name val="宋体"/>
      <charset val="162"/>
    </font>
    <font>
      <b/>
      <sz val="10"/>
      <name val="宋体-简"/>
      <charset val="162"/>
    </font>
    <font>
      <sz val="10"/>
      <color rgb="FFFF0000"/>
      <name val="宋体"/>
      <charset val="134"/>
    </font>
    <font>
      <u/>
      <sz val="10"/>
      <color rgb="FFFF0000"/>
      <name val="Arial"/>
      <charset val="134"/>
    </font>
    <font>
      <u/>
      <sz val="10"/>
      <color rgb="FFFF0000"/>
      <name val="宋体-简"/>
      <charset val="134"/>
    </font>
    <font>
      <sz val="10"/>
      <color theme="1"/>
      <name val="宋体-简"/>
      <charset val="134"/>
    </font>
    <font>
      <b/>
      <u/>
      <sz val="10"/>
      <color rgb="FFFF0000"/>
      <name val="Arial"/>
      <charset val="134"/>
    </font>
    <font>
      <b/>
      <u/>
      <sz val="10"/>
      <color rgb="FFFF0000"/>
      <name val="宋体-简"/>
      <charset val="134"/>
    </font>
    <font>
      <sz val="11"/>
      <color theme="1"/>
      <name val="宋体"/>
      <charset val="134"/>
      <scheme val="minor"/>
    </font>
    <font>
      <b/>
      <sz val="12"/>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sz val="10"/>
      <color indexed="8"/>
      <name val="宋体"/>
      <charset val="134"/>
    </font>
    <font>
      <sz val="10"/>
      <name val="Arial"/>
      <charset val="0"/>
    </font>
    <font>
      <sz val="12"/>
      <name val="Times New Roman"/>
      <charset val="134"/>
    </font>
    <font>
      <sz val="11"/>
      <color indexed="8"/>
      <name val="宋体"/>
      <charset val="134"/>
    </font>
    <font>
      <sz val="11"/>
      <color rgb="FF000000"/>
      <name val="Microsoft YaHei"/>
      <charset val="136"/>
    </font>
    <font>
      <sz val="11"/>
      <color rgb="FF000000"/>
      <name val="新細明體"/>
      <charset val="1"/>
    </font>
    <font>
      <sz val="10"/>
      <name val="Times New Roman"/>
      <charset val="134"/>
    </font>
    <font>
      <sz val="11"/>
      <name val="宋体"/>
      <charset val="134"/>
    </font>
    <font>
      <sz val="10"/>
      <color rgb="FF000000"/>
      <name val="Times New Roman"/>
      <charset val="134"/>
    </font>
    <font>
      <vertAlign val="superscript"/>
      <sz val="10"/>
      <color theme="1"/>
      <name val="Arial"/>
      <charset val="134"/>
    </font>
    <font>
      <vertAlign val="superscript"/>
      <sz val="10"/>
      <color rgb="FFFF0000"/>
      <name val="Arial"/>
      <charset val="134"/>
    </font>
    <font>
      <b/>
      <sz val="10"/>
      <name val="宋体"/>
      <charset val="134"/>
    </font>
    <font>
      <vertAlign val="superscript"/>
      <sz val="10"/>
      <name val="Arial"/>
      <charset val="134"/>
    </font>
    <font>
      <b/>
      <i/>
      <sz val="10"/>
      <name val="Arial"/>
      <charset val="134"/>
    </font>
  </fonts>
  <fills count="41">
    <fill>
      <patternFill patternType="none"/>
    </fill>
    <fill>
      <patternFill patternType="gray125"/>
    </fill>
    <fill>
      <patternFill patternType="solid">
        <fgColor theme="4" tint="0.8"/>
        <bgColor indexed="64"/>
      </patternFill>
    </fill>
    <fill>
      <patternFill patternType="solid">
        <fgColor theme="9" tint="0.8"/>
        <bgColor indexed="64"/>
      </patternFill>
    </fill>
    <fill>
      <patternFill patternType="solid">
        <fgColor rgb="FFFFFF00"/>
        <bgColor indexed="64"/>
      </patternFill>
    </fill>
    <fill>
      <patternFill patternType="solid">
        <fgColor rgb="FF92D050"/>
        <bgColor indexed="64"/>
      </patternFill>
    </fill>
    <fill>
      <patternFill patternType="solid">
        <fgColor theme="0"/>
        <bgColor indexed="64"/>
      </patternFill>
    </fill>
    <fill>
      <patternFill patternType="solid">
        <fgColor rgb="FFD9D9D9"/>
        <bgColor rgb="FFC3D69B"/>
      </patternFill>
    </fill>
    <fill>
      <patternFill patternType="solid">
        <fgColor rgb="FFFFC000"/>
        <bgColor indexed="64"/>
      </patternFill>
    </fill>
    <fill>
      <patternFill patternType="solid">
        <fgColor theme="6"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113">
    <xf numFmtId="0" fontId="0" fillId="0" borderId="0">
      <alignment vertical="center"/>
    </xf>
    <xf numFmtId="43" fontId="30" fillId="0" borderId="0" applyFont="0" applyFill="0" applyBorder="0" applyAlignment="0" applyProtection="0">
      <alignment vertical="center"/>
    </xf>
    <xf numFmtId="44" fontId="30" fillId="0" borderId="0" applyFont="0" applyFill="0" applyBorder="0" applyAlignment="0" applyProtection="0">
      <alignment vertical="center"/>
    </xf>
    <xf numFmtId="9" fontId="30" fillId="0" borderId="0" applyFont="0" applyFill="0" applyBorder="0" applyAlignment="0" applyProtection="0">
      <alignment vertical="center"/>
    </xf>
    <xf numFmtId="41" fontId="30" fillId="0" borderId="0" applyFont="0" applyFill="0" applyBorder="0" applyAlignment="0" applyProtection="0">
      <alignment vertical="center"/>
    </xf>
    <xf numFmtId="42" fontId="30" fillId="0" borderId="0" applyFon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0" fillId="10" borderId="2" applyNumberFormat="0" applyFont="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3" applyNumberFormat="0" applyFill="0" applyAlignment="0" applyProtection="0">
      <alignment vertical="center"/>
    </xf>
    <xf numFmtId="0" fontId="39" fillId="0" borderId="3" applyNumberFormat="0" applyFill="0" applyAlignment="0" applyProtection="0">
      <alignment vertical="center"/>
    </xf>
    <xf numFmtId="0" fontId="40" fillId="0" borderId="4" applyNumberFormat="0" applyFill="0" applyAlignment="0" applyProtection="0">
      <alignment vertical="center"/>
    </xf>
    <xf numFmtId="0" fontId="40" fillId="0" borderId="0" applyNumberFormat="0" applyFill="0" applyBorder="0" applyAlignment="0" applyProtection="0">
      <alignment vertical="center"/>
    </xf>
    <xf numFmtId="0" fontId="41" fillId="11" borderId="5" applyNumberFormat="0" applyAlignment="0" applyProtection="0">
      <alignment vertical="center"/>
    </xf>
    <xf numFmtId="0" fontId="42" fillId="12" borderId="6" applyNumberFormat="0" applyAlignment="0" applyProtection="0">
      <alignment vertical="center"/>
    </xf>
    <xf numFmtId="0" fontId="43" fillId="12" borderId="5" applyNumberFormat="0" applyAlignment="0" applyProtection="0">
      <alignment vertical="center"/>
    </xf>
    <xf numFmtId="0" fontId="44" fillId="13" borderId="7" applyNumberFormat="0" applyAlignment="0" applyProtection="0">
      <alignment vertical="center"/>
    </xf>
    <xf numFmtId="0" fontId="45" fillId="0" borderId="8" applyNumberFormat="0" applyFill="0" applyAlignment="0" applyProtection="0">
      <alignment vertical="center"/>
    </xf>
    <xf numFmtId="0" fontId="46" fillId="0" borderId="9" applyNumberFormat="0" applyFill="0" applyAlignment="0" applyProtection="0">
      <alignment vertical="center"/>
    </xf>
    <xf numFmtId="0" fontId="47" fillId="14" borderId="0" applyNumberFormat="0" applyBorder="0" applyAlignment="0" applyProtection="0">
      <alignment vertical="center"/>
    </xf>
    <xf numFmtId="0" fontId="48" fillId="15" borderId="0" applyNumberFormat="0" applyBorder="0" applyAlignment="0" applyProtection="0">
      <alignment vertical="center"/>
    </xf>
    <xf numFmtId="0" fontId="49" fillId="16" borderId="0" applyNumberFormat="0" applyBorder="0" applyAlignment="0" applyProtection="0">
      <alignment vertical="center"/>
    </xf>
    <xf numFmtId="0" fontId="50" fillId="17" borderId="0" applyNumberFormat="0" applyBorder="0" applyAlignment="0" applyProtection="0">
      <alignment vertical="center"/>
    </xf>
    <xf numFmtId="0" fontId="51" fillId="18" borderId="0" applyNumberFormat="0" applyBorder="0" applyAlignment="0" applyProtection="0">
      <alignment vertical="center"/>
    </xf>
    <xf numFmtId="0" fontId="51" fillId="19" borderId="0" applyNumberFormat="0" applyBorder="0" applyAlignment="0" applyProtection="0">
      <alignment vertical="center"/>
    </xf>
    <xf numFmtId="0" fontId="50" fillId="20" borderId="0" applyNumberFormat="0" applyBorder="0" applyAlignment="0" applyProtection="0">
      <alignment vertical="center"/>
    </xf>
    <xf numFmtId="0" fontId="50" fillId="21" borderId="0" applyNumberFormat="0" applyBorder="0" applyAlignment="0" applyProtection="0">
      <alignment vertical="center"/>
    </xf>
    <xf numFmtId="0" fontId="51" fillId="22" borderId="0" applyNumberFormat="0" applyBorder="0" applyAlignment="0" applyProtection="0">
      <alignment vertical="center"/>
    </xf>
    <xf numFmtId="0" fontId="51" fillId="23" borderId="0" applyNumberFormat="0" applyBorder="0" applyAlignment="0" applyProtection="0">
      <alignment vertical="center"/>
    </xf>
    <xf numFmtId="0" fontId="50" fillId="24" borderId="0" applyNumberFormat="0" applyBorder="0" applyAlignment="0" applyProtection="0">
      <alignment vertical="center"/>
    </xf>
    <xf numFmtId="0" fontId="50" fillId="25" borderId="0" applyNumberFormat="0" applyBorder="0" applyAlignment="0" applyProtection="0">
      <alignment vertical="center"/>
    </xf>
    <xf numFmtId="0" fontId="51" fillId="26" borderId="0" applyNumberFormat="0" applyBorder="0" applyAlignment="0" applyProtection="0">
      <alignment vertical="center"/>
    </xf>
    <xf numFmtId="0" fontId="51" fillId="27" borderId="0" applyNumberFormat="0" applyBorder="0" applyAlignment="0" applyProtection="0">
      <alignment vertical="center"/>
    </xf>
    <xf numFmtId="0" fontId="50" fillId="28" borderId="0" applyNumberFormat="0" applyBorder="0" applyAlignment="0" applyProtection="0">
      <alignment vertical="center"/>
    </xf>
    <xf numFmtId="0" fontId="50" fillId="29" borderId="0" applyNumberFormat="0" applyBorder="0" applyAlignment="0" applyProtection="0">
      <alignment vertical="center"/>
    </xf>
    <xf numFmtId="0" fontId="51" fillId="30" borderId="0" applyNumberFormat="0" applyBorder="0" applyAlignment="0" applyProtection="0">
      <alignment vertical="center"/>
    </xf>
    <xf numFmtId="0" fontId="51" fillId="31" borderId="0" applyNumberFormat="0" applyBorder="0" applyAlignment="0" applyProtection="0">
      <alignment vertical="center"/>
    </xf>
    <xf numFmtId="0" fontId="50" fillId="32" borderId="0" applyNumberFormat="0" applyBorder="0" applyAlignment="0" applyProtection="0">
      <alignment vertical="center"/>
    </xf>
    <xf numFmtId="0" fontId="50" fillId="33" borderId="0" applyNumberFormat="0" applyBorder="0" applyAlignment="0" applyProtection="0">
      <alignment vertical="center"/>
    </xf>
    <xf numFmtId="0" fontId="51" fillId="34" borderId="0" applyNumberFormat="0" applyBorder="0" applyAlignment="0" applyProtection="0">
      <alignment vertical="center"/>
    </xf>
    <xf numFmtId="0" fontId="51" fillId="35" borderId="0" applyNumberFormat="0" applyBorder="0" applyAlignment="0" applyProtection="0">
      <alignment vertical="center"/>
    </xf>
    <xf numFmtId="0" fontId="50" fillId="36" borderId="0" applyNumberFormat="0" applyBorder="0" applyAlignment="0" applyProtection="0">
      <alignment vertical="center"/>
    </xf>
    <xf numFmtId="0" fontId="50" fillId="37" borderId="0" applyNumberFormat="0" applyBorder="0" applyAlignment="0" applyProtection="0">
      <alignment vertical="center"/>
    </xf>
    <xf numFmtId="0" fontId="51" fillId="38" borderId="0" applyNumberFormat="0" applyBorder="0" applyAlignment="0" applyProtection="0">
      <alignment vertical="center"/>
    </xf>
    <xf numFmtId="0" fontId="51" fillId="39" borderId="0" applyNumberFormat="0" applyBorder="0" applyAlignment="0" applyProtection="0">
      <alignment vertical="center"/>
    </xf>
    <xf numFmtId="0" fontId="50" fillId="40" borderId="0" applyNumberFormat="0" applyBorder="0" applyAlignment="0" applyProtection="0">
      <alignment vertical="center"/>
    </xf>
    <xf numFmtId="43" fontId="52" fillId="0" borderId="0" applyFont="0" applyFill="0" applyBorder="0" applyAlignment="0" applyProtection="0"/>
    <xf numFmtId="0" fontId="52" fillId="0" borderId="0"/>
    <xf numFmtId="0" fontId="53" fillId="0" borderId="0"/>
    <xf numFmtId="0" fontId="54" fillId="0" borderId="0"/>
    <xf numFmtId="0" fontId="52" fillId="0" borderId="0"/>
    <xf numFmtId="0" fontId="53" fillId="0" borderId="0"/>
    <xf numFmtId="43" fontId="52" fillId="0" borderId="0" applyFont="0" applyFill="0" applyBorder="0" applyAlignment="0" applyProtection="0"/>
    <xf numFmtId="43" fontId="52" fillId="0" borderId="0" applyFont="0" applyFill="0" applyBorder="0" applyAlignment="0" applyProtection="0"/>
    <xf numFmtId="9" fontId="52" fillId="0" borderId="0" applyFont="0" applyFill="0" applyBorder="0" applyAlignment="0" applyProtection="0"/>
    <xf numFmtId="0" fontId="52" fillId="0" borderId="0"/>
    <xf numFmtId="0" fontId="52" fillId="0" borderId="0">
      <alignment vertical="center"/>
    </xf>
    <xf numFmtId="0" fontId="30" fillId="0" borderId="0">
      <alignment vertical="center"/>
    </xf>
    <xf numFmtId="176" fontId="30" fillId="0" borderId="0"/>
    <xf numFmtId="0" fontId="55" fillId="0" borderId="0"/>
    <xf numFmtId="177" fontId="52" fillId="0" borderId="0" applyFont="0" applyFill="0" applyBorder="0" applyAlignment="0" applyProtection="0"/>
    <xf numFmtId="178" fontId="52" fillId="0" borderId="0"/>
    <xf numFmtId="176" fontId="56" fillId="0" borderId="0">
      <alignment vertical="center"/>
    </xf>
    <xf numFmtId="0" fontId="52" fillId="0" borderId="0"/>
    <xf numFmtId="0" fontId="52" fillId="0" borderId="0"/>
    <xf numFmtId="178" fontId="52" fillId="0" borderId="0"/>
    <xf numFmtId="178" fontId="52" fillId="0" borderId="0"/>
    <xf numFmtId="178" fontId="52" fillId="0" borderId="0"/>
    <xf numFmtId="0" fontId="52" fillId="0" borderId="0"/>
    <xf numFmtId="0" fontId="52" fillId="0" borderId="0"/>
    <xf numFmtId="0" fontId="30" fillId="0" borderId="0">
      <alignment vertical="center"/>
    </xf>
    <xf numFmtId="0" fontId="54" fillId="0" borderId="0">
      <alignment vertical="center"/>
    </xf>
    <xf numFmtId="9" fontId="54" fillId="0" borderId="0" applyFont="0" applyFill="0" applyBorder="0" applyAlignment="0" applyProtection="0">
      <alignment vertical="center"/>
    </xf>
    <xf numFmtId="0" fontId="30" fillId="0" borderId="0"/>
    <xf numFmtId="0" fontId="52" fillId="0" borderId="0"/>
    <xf numFmtId="178" fontId="52" fillId="0" borderId="0">
      <alignment vertical="center"/>
    </xf>
    <xf numFmtId="43" fontId="52" fillId="0" borderId="0">
      <alignment vertical="center"/>
    </xf>
    <xf numFmtId="0" fontId="57" fillId="0" borderId="0"/>
    <xf numFmtId="179" fontId="58" fillId="0" borderId="0" applyBorder="0" applyProtection="0"/>
    <xf numFmtId="180" fontId="30" fillId="0" borderId="0" applyFont="0" applyFill="0" applyBorder="0" applyAlignment="0" applyProtection="0"/>
    <xf numFmtId="0" fontId="59" fillId="0" borderId="0">
      <alignment vertical="top"/>
    </xf>
    <xf numFmtId="0" fontId="60" fillId="0" borderId="0">
      <alignment vertical="center"/>
    </xf>
    <xf numFmtId="0" fontId="30" fillId="0" borderId="0"/>
    <xf numFmtId="0" fontId="30" fillId="0" borderId="0"/>
    <xf numFmtId="0" fontId="52" fillId="0" borderId="0">
      <alignment vertical="center"/>
    </xf>
    <xf numFmtId="0" fontId="56" fillId="0" borderId="0">
      <alignment vertical="center"/>
    </xf>
    <xf numFmtId="176" fontId="52" fillId="0" borderId="0"/>
    <xf numFmtId="0" fontId="55" fillId="0" borderId="0"/>
    <xf numFmtId="0" fontId="52" fillId="0" borderId="0"/>
    <xf numFmtId="181" fontId="52" fillId="0" borderId="0">
      <alignment vertical="center"/>
    </xf>
    <xf numFmtId="0" fontId="56" fillId="0" borderId="0">
      <alignment vertical="center"/>
    </xf>
    <xf numFmtId="0" fontId="52" fillId="0" borderId="0"/>
    <xf numFmtId="0" fontId="30" fillId="0" borderId="0">
      <alignment vertical="center"/>
    </xf>
    <xf numFmtId="0" fontId="30" fillId="0" borderId="0">
      <alignment vertical="center"/>
    </xf>
    <xf numFmtId="0" fontId="56" fillId="0" borderId="0">
      <alignment vertical="center"/>
    </xf>
    <xf numFmtId="0" fontId="52" fillId="0" borderId="0">
      <alignment vertical="center"/>
    </xf>
    <xf numFmtId="0" fontId="52" fillId="0" borderId="0">
      <alignment vertical="center"/>
    </xf>
    <xf numFmtId="0" fontId="52" fillId="0" borderId="0">
      <alignment vertical="center"/>
    </xf>
    <xf numFmtId="0" fontId="56" fillId="0" borderId="0">
      <alignment vertical="center"/>
    </xf>
    <xf numFmtId="0" fontId="52" fillId="0" borderId="0">
      <alignment vertical="center"/>
    </xf>
    <xf numFmtId="0" fontId="52" fillId="0" borderId="0">
      <alignment vertical="center"/>
    </xf>
    <xf numFmtId="9" fontId="52" fillId="0" borderId="0" applyFont="0" applyFill="0" applyBorder="0" applyAlignment="0" applyProtection="0">
      <alignment vertical="center"/>
    </xf>
    <xf numFmtId="176" fontId="30" fillId="0" borderId="0"/>
    <xf numFmtId="0" fontId="52" fillId="0" borderId="0">
      <alignment vertical="center"/>
    </xf>
    <xf numFmtId="0" fontId="56" fillId="0" borderId="0">
      <alignment vertical="center"/>
    </xf>
    <xf numFmtId="0" fontId="52" fillId="0" borderId="0"/>
    <xf numFmtId="176" fontId="52" fillId="0" borderId="0">
      <alignment vertical="center"/>
    </xf>
    <xf numFmtId="0" fontId="30" fillId="0" borderId="0">
      <alignment vertical="center"/>
    </xf>
    <xf numFmtId="0" fontId="6" fillId="0" borderId="0"/>
    <xf numFmtId="0" fontId="61" fillId="0" borderId="0"/>
  </cellStyleXfs>
  <cellXfs count="292">
    <xf numFmtId="0" fontId="0" fillId="0" borderId="0" xfId="0">
      <alignment vertical="center"/>
    </xf>
    <xf numFmtId="0" fontId="1" fillId="0" borderId="0" xfId="0" applyFont="1" applyFill="1" applyAlignment="1">
      <alignment vertical="center"/>
    </xf>
    <xf numFmtId="0" fontId="1" fillId="2" borderId="0" xfId="0" applyFont="1" applyFill="1" applyAlignment="1">
      <alignment vertical="center"/>
    </xf>
    <xf numFmtId="0" fontId="2" fillId="3" borderId="0" xfId="0" applyFont="1" applyFill="1">
      <alignment vertical="center"/>
    </xf>
    <xf numFmtId="0" fontId="0" fillId="2" borderId="0" xfId="0" applyFill="1">
      <alignment vertical="center"/>
    </xf>
    <xf numFmtId="0" fontId="2" fillId="2" borderId="0" xfId="0" applyFont="1" applyFill="1">
      <alignment vertical="center"/>
    </xf>
    <xf numFmtId="0" fontId="0" fillId="3" borderId="0" xfId="0" applyFill="1">
      <alignment vertical="center"/>
    </xf>
    <xf numFmtId="0" fontId="2" fillId="0" borderId="0" xfId="0" applyFont="1" applyAlignment="1">
      <alignment horizontal="center" vertical="center"/>
    </xf>
    <xf numFmtId="0" fontId="1" fillId="0" borderId="0" xfId="0" applyFont="1" applyFill="1" applyAlignment="1">
      <alignment horizontal="center" vertical="center"/>
    </xf>
    <xf numFmtId="0" fontId="1" fillId="0" borderId="0" xfId="0" applyFont="1" applyFill="1" applyAlignment="1">
      <alignment horizontal="left" vertical="center" wrapText="1"/>
    </xf>
    <xf numFmtId="0" fontId="1" fillId="0" borderId="0" xfId="0" applyFont="1" applyFill="1" applyAlignment="1">
      <alignment vertical="center" wrapText="1"/>
    </xf>
    <xf numFmtId="0" fontId="1" fillId="0" borderId="0" xfId="0" applyFont="1" applyFill="1" applyAlignment="1">
      <alignment horizontal="center" vertical="center" wrapText="1"/>
    </xf>
    <xf numFmtId="182" fontId="1" fillId="0" borderId="0" xfId="0" applyNumberFormat="1" applyFont="1" applyFill="1" applyAlignment="1">
      <alignment vertical="center"/>
    </xf>
    <xf numFmtId="0" fontId="2" fillId="0" borderId="0" xfId="0" applyFont="1">
      <alignment vertical="center"/>
    </xf>
    <xf numFmtId="0" fontId="3" fillId="0" borderId="0" xfId="0" applyFont="1" applyFill="1" applyAlignment="1">
      <alignment horizontal="center" vertical="center"/>
    </xf>
    <xf numFmtId="0" fontId="3" fillId="0" borderId="0" xfId="0" applyFont="1" applyFill="1" applyAlignment="1">
      <alignment horizontal="center" vertical="center" wrapText="1"/>
    </xf>
    <xf numFmtId="182" fontId="3" fillId="0" borderId="0" xfId="0" applyNumberFormat="1" applyFont="1" applyFill="1" applyAlignment="1">
      <alignment horizontal="center" vertical="center"/>
    </xf>
    <xf numFmtId="0" fontId="1" fillId="0" borderId="1" xfId="0" applyFont="1" applyFill="1" applyBorder="1" applyAlignment="1">
      <alignment horizontal="center" vertical="center"/>
    </xf>
    <xf numFmtId="0" fontId="1" fillId="0" borderId="1" xfId="0" applyFont="1" applyFill="1" applyBorder="1" applyAlignment="1">
      <alignment horizontal="center" vertical="center" wrapText="1"/>
    </xf>
    <xf numFmtId="10" fontId="4" fillId="0" borderId="1" xfId="3" applyNumberFormat="1" applyFont="1" applyFill="1" applyBorder="1" applyAlignment="1">
      <alignment horizontal="center" vertical="center"/>
    </xf>
    <xf numFmtId="182" fontId="4" fillId="0" borderId="1" xfId="0" applyNumberFormat="1" applyFont="1" applyFill="1" applyBorder="1" applyAlignment="1">
      <alignment horizontal="center" vertical="center"/>
    </xf>
    <xf numFmtId="49" fontId="5" fillId="0" borderId="1" xfId="80" applyNumberFormat="1" applyFont="1" applyFill="1" applyBorder="1" applyAlignment="1" applyProtection="1">
      <alignment horizontal="center" vertical="center"/>
      <protection locked="0"/>
    </xf>
    <xf numFmtId="0" fontId="5" fillId="0" borderId="1" xfId="80" applyFont="1" applyFill="1" applyBorder="1" applyAlignment="1" applyProtection="1">
      <alignment vertical="center" wrapText="1"/>
      <protection locked="0"/>
    </xf>
    <xf numFmtId="0" fontId="5" fillId="0" borderId="1" xfId="80" applyFont="1" applyFill="1" applyBorder="1" applyAlignment="1" applyProtection="1">
      <alignment horizontal="center" vertical="center"/>
      <protection locked="0"/>
    </xf>
    <xf numFmtId="183" fontId="5" fillId="0" borderId="1" xfId="1" applyNumberFormat="1" applyFont="1" applyFill="1" applyBorder="1" applyAlignment="1" applyProtection="1">
      <alignment horizontal="center" vertical="center" wrapText="1"/>
      <protection locked="0"/>
    </xf>
    <xf numFmtId="182" fontId="1" fillId="0" borderId="1" xfId="0" applyNumberFormat="1" applyFont="1" applyFill="1" applyBorder="1" applyAlignment="1">
      <alignment vertical="center"/>
    </xf>
    <xf numFmtId="49" fontId="6" fillId="0" borderId="1" xfId="80" applyNumberFormat="1" applyFont="1" applyBorder="1" applyAlignment="1" applyProtection="1">
      <alignment horizontal="center" vertical="center"/>
      <protection locked="0"/>
    </xf>
    <xf numFmtId="0" fontId="5" fillId="0" borderId="1" xfId="80" applyFont="1" applyBorder="1" applyAlignment="1" applyProtection="1">
      <alignment vertical="center" wrapText="1"/>
      <protection locked="0"/>
    </xf>
    <xf numFmtId="0" fontId="7" fillId="0" borderId="1" xfId="80" applyFont="1" applyBorder="1" applyAlignment="1" applyProtection="1">
      <alignment vertical="center" wrapText="1"/>
      <protection locked="0"/>
    </xf>
    <xf numFmtId="0" fontId="6" fillId="0" borderId="1" xfId="80" applyFont="1" applyBorder="1" applyAlignment="1" applyProtection="1">
      <alignment horizontal="center" vertical="center"/>
      <protection locked="0"/>
    </xf>
    <xf numFmtId="184" fontId="6" fillId="0" borderId="1" xfId="81" applyNumberFormat="1" applyFont="1" applyBorder="1" applyAlignment="1" applyProtection="1">
      <alignment horizontal="center" vertical="center" wrapText="1"/>
      <protection locked="0"/>
    </xf>
    <xf numFmtId="0" fontId="6" fillId="0" borderId="1" xfId="80" applyFont="1" applyBorder="1" applyAlignment="1" applyProtection="1">
      <alignment horizontal="left" vertical="center" wrapText="1"/>
      <protection locked="0"/>
    </xf>
    <xf numFmtId="0" fontId="8" fillId="0" borderId="1" xfId="80" applyFont="1" applyBorder="1" applyAlignment="1" applyProtection="1">
      <alignment horizontal="left" vertical="center" wrapText="1"/>
      <protection locked="0"/>
    </xf>
    <xf numFmtId="43" fontId="9" fillId="0" borderId="1" xfId="81" applyNumberFormat="1" applyFont="1" applyBorder="1" applyAlignment="1" applyProtection="1">
      <alignment horizontal="right" vertical="center" wrapText="1"/>
      <protection locked="0"/>
    </xf>
    <xf numFmtId="0" fontId="10" fillId="0" borderId="1" xfId="80" applyFont="1" applyBorder="1" applyAlignment="1" applyProtection="1">
      <alignment horizontal="left" vertical="center" wrapText="1"/>
      <protection locked="0"/>
    </xf>
    <xf numFmtId="2" fontId="6" fillId="0" borderId="1" xfId="0" applyNumberFormat="1" applyFont="1" applyFill="1" applyBorder="1" applyAlignment="1">
      <alignment horizontal="center" vertical="center" wrapText="1"/>
    </xf>
    <xf numFmtId="3" fontId="11" fillId="0" borderId="1" xfId="0" applyNumberFormat="1" applyFont="1" applyFill="1" applyBorder="1" applyAlignment="1">
      <alignment horizontal="left" vertical="center" wrapText="1"/>
    </xf>
    <xf numFmtId="3" fontId="12" fillId="0" borderId="1" xfId="0" applyNumberFormat="1" applyFont="1" applyFill="1" applyBorder="1" applyAlignment="1">
      <alignment horizontal="left" vertical="center" wrapText="1"/>
    </xf>
    <xf numFmtId="0" fontId="6" fillId="0" borderId="1" xfId="80" applyFont="1" applyBorder="1" applyAlignment="1" applyProtection="1">
      <alignment horizontal="left" vertical="center" wrapText="1" indent="1"/>
      <protection locked="0"/>
    </xf>
    <xf numFmtId="0" fontId="8" fillId="0" borderId="1" xfId="80" applyFont="1" applyBorder="1" applyAlignment="1" applyProtection="1">
      <alignment horizontal="left" vertical="center" wrapText="1" indent="1"/>
      <protection locked="0"/>
    </xf>
    <xf numFmtId="49" fontId="11" fillId="0" borderId="1" xfId="80" applyNumberFormat="1" applyFont="1" applyBorder="1" applyAlignment="1" applyProtection="1">
      <alignment horizontal="center" vertical="center"/>
      <protection locked="0"/>
    </xf>
    <xf numFmtId="0" fontId="11" fillId="0" borderId="1" xfId="80" applyFont="1" applyBorder="1" applyAlignment="1" applyProtection="1">
      <alignment horizontal="left" vertical="center" wrapText="1" indent="1"/>
      <protection locked="0"/>
    </xf>
    <xf numFmtId="0" fontId="12" fillId="0" borderId="1" xfId="80" applyFont="1" applyBorder="1" applyAlignment="1" applyProtection="1">
      <alignment horizontal="left" vertical="center" wrapText="1" indent="1"/>
      <protection locked="0"/>
    </xf>
    <xf numFmtId="0" fontId="6" fillId="0" borderId="1" xfId="80" applyFont="1" applyBorder="1" applyAlignment="1" applyProtection="1">
      <alignment horizontal="left" vertical="center" wrapText="1" indent="2"/>
      <protection locked="0"/>
    </xf>
    <xf numFmtId="0" fontId="8" fillId="0" borderId="1" xfId="80" applyFont="1" applyBorder="1" applyAlignment="1" applyProtection="1">
      <alignment horizontal="left" vertical="center" wrapText="1" indent="2"/>
      <protection locked="0"/>
    </xf>
    <xf numFmtId="49" fontId="5" fillId="0" borderId="1" xfId="80" applyNumberFormat="1" applyFont="1" applyBorder="1" applyAlignment="1" applyProtection="1">
      <alignment horizontal="center" vertical="center"/>
      <protection locked="0"/>
    </xf>
    <xf numFmtId="0" fontId="5" fillId="0" borderId="1" xfId="80" applyFont="1" applyBorder="1" applyAlignment="1" applyProtection="1">
      <alignment horizontal="left" vertical="center" wrapText="1"/>
      <protection locked="0"/>
    </xf>
    <xf numFmtId="0" fontId="7" fillId="0" borderId="1" xfId="80" applyFont="1" applyBorder="1" applyAlignment="1" applyProtection="1">
      <alignment horizontal="left" vertical="center" wrapText="1"/>
      <protection locked="0"/>
    </xf>
    <xf numFmtId="0" fontId="13" fillId="0" borderId="1" xfId="83" applyFont="1" applyBorder="1" applyAlignment="1">
      <alignment horizontal="center" vertical="center" wrapText="1"/>
    </xf>
    <xf numFmtId="43" fontId="14" fillId="0" borderId="1" xfId="81" applyNumberFormat="1" applyFont="1" applyBorder="1" applyAlignment="1" applyProtection="1">
      <alignment horizontal="right" vertical="center" wrapText="1"/>
      <protection locked="0"/>
    </xf>
    <xf numFmtId="0" fontId="5" fillId="0" borderId="1" xfId="80" applyFont="1" applyBorder="1" applyAlignment="1" applyProtection="1">
      <alignment horizontal="right" vertical="center" wrapText="1"/>
      <protection locked="0"/>
    </xf>
    <xf numFmtId="0" fontId="5" fillId="0" borderId="1" xfId="80" applyFont="1" applyBorder="1" applyAlignment="1" applyProtection="1">
      <alignment horizontal="left" vertical="center"/>
      <protection locked="0"/>
    </xf>
    <xf numFmtId="0" fontId="7" fillId="0" borderId="1" xfId="80" applyFont="1" applyBorder="1" applyAlignment="1" applyProtection="1">
      <alignment horizontal="left" vertical="center"/>
      <protection locked="0"/>
    </xf>
    <xf numFmtId="0" fontId="5" fillId="0" borderId="1" xfId="80" applyFont="1" applyBorder="1" applyAlignment="1" applyProtection="1">
      <alignment horizontal="right" vertical="center"/>
      <protection locked="0"/>
    </xf>
    <xf numFmtId="0" fontId="6" fillId="0" borderId="1" xfId="80" applyFont="1" applyBorder="1" applyAlignment="1" applyProtection="1">
      <alignment vertical="center"/>
      <protection locked="0"/>
    </xf>
    <xf numFmtId="0" fontId="6" fillId="0" borderId="1" xfId="80" applyFont="1" applyBorder="1" applyAlignment="1" applyProtection="1">
      <alignment vertical="center" wrapText="1"/>
      <protection locked="0"/>
    </xf>
    <xf numFmtId="184" fontId="6" fillId="0" borderId="1" xfId="81" applyNumberFormat="1" applyFont="1" applyBorder="1" applyAlignment="1" applyProtection="1">
      <alignment vertical="center" wrapText="1"/>
      <protection locked="0"/>
    </xf>
    <xf numFmtId="0" fontId="1" fillId="2" borderId="0" xfId="0" applyFont="1" applyFill="1" applyAlignment="1">
      <alignment horizontal="center" vertical="center"/>
    </xf>
    <xf numFmtId="49" fontId="5" fillId="2" borderId="1" xfId="80" applyNumberFormat="1" applyFont="1" applyFill="1" applyBorder="1" applyAlignment="1" applyProtection="1">
      <alignment horizontal="center" vertical="center"/>
      <protection locked="0"/>
    </xf>
    <xf numFmtId="0" fontId="5" fillId="2" borderId="1" xfId="80" applyFont="1" applyFill="1" applyBorder="1" applyAlignment="1" applyProtection="1">
      <alignment vertical="center" wrapText="1"/>
      <protection locked="0"/>
    </xf>
    <xf numFmtId="0" fontId="7" fillId="2" borderId="1" xfId="80" applyFont="1" applyFill="1" applyBorder="1" applyAlignment="1" applyProtection="1">
      <alignment vertical="center" wrapText="1"/>
      <protection locked="0"/>
    </xf>
    <xf numFmtId="0" fontId="5" fillId="2" borderId="1" xfId="80" applyFont="1" applyFill="1" applyBorder="1" applyAlignment="1" applyProtection="1">
      <alignment horizontal="center" vertical="center"/>
      <protection locked="0"/>
    </xf>
    <xf numFmtId="184" fontId="5" fillId="2" borderId="1" xfId="81" applyNumberFormat="1" applyFont="1" applyFill="1" applyBorder="1" applyAlignment="1" applyProtection="1">
      <alignment horizontal="center" vertical="center" wrapText="1"/>
      <protection locked="0"/>
    </xf>
    <xf numFmtId="182" fontId="1" fillId="2" borderId="1" xfId="0" applyNumberFormat="1" applyFont="1" applyFill="1" applyBorder="1" applyAlignment="1">
      <alignment vertical="center"/>
    </xf>
    <xf numFmtId="184" fontId="5" fillId="0" borderId="1" xfId="81" applyNumberFormat="1" applyFont="1" applyBorder="1" applyAlignment="1" applyProtection="1">
      <alignment vertical="center" wrapText="1"/>
      <protection locked="0"/>
    </xf>
    <xf numFmtId="0" fontId="15" fillId="0" borderId="1" xfId="80" applyFont="1" applyBorder="1" applyAlignment="1" applyProtection="1">
      <alignment vertical="center" wrapText="1"/>
      <protection locked="0"/>
    </xf>
    <xf numFmtId="0" fontId="16" fillId="0" borderId="1" xfId="83" applyFont="1" applyBorder="1" applyAlignment="1">
      <alignment horizontal="center" vertical="center" wrapText="1"/>
    </xf>
    <xf numFmtId="43" fontId="6" fillId="0" borderId="1" xfId="81" applyNumberFormat="1" applyFont="1" applyBorder="1" applyAlignment="1" applyProtection="1">
      <alignment horizontal="right" vertical="center" wrapText="1"/>
      <protection locked="0"/>
    </xf>
    <xf numFmtId="185" fontId="1" fillId="0" borderId="1" xfId="0" applyNumberFormat="1" applyFont="1" applyFill="1" applyBorder="1" applyAlignment="1">
      <alignment vertical="center"/>
    </xf>
    <xf numFmtId="43" fontId="5" fillId="0" borderId="1" xfId="81" applyNumberFormat="1" applyFont="1" applyBorder="1" applyAlignment="1" applyProtection="1">
      <alignment horizontal="right" vertical="center" wrapText="1"/>
      <protection locked="0"/>
    </xf>
    <xf numFmtId="43" fontId="6" fillId="4" borderId="1" xfId="81" applyNumberFormat="1" applyFont="1" applyFill="1" applyBorder="1" applyAlignment="1" applyProtection="1">
      <alignment horizontal="right" vertical="center" wrapText="1"/>
      <protection locked="0"/>
    </xf>
    <xf numFmtId="49" fontId="6" fillId="0" borderId="1" xfId="80" applyNumberFormat="1" applyFont="1" applyBorder="1" applyAlignment="1" applyProtection="1">
      <alignment horizontal="right" vertical="center"/>
      <protection locked="0"/>
    </xf>
    <xf numFmtId="184" fontId="6" fillId="0" borderId="1" xfId="81" applyNumberFormat="1" applyFont="1" applyBorder="1" applyAlignment="1" applyProtection="1">
      <alignment horizontal="right" vertical="center" wrapText="1"/>
      <protection locked="0"/>
    </xf>
    <xf numFmtId="0" fontId="2" fillId="3" borderId="0" xfId="0" applyFont="1" applyFill="1" applyAlignment="1">
      <alignment horizontal="center" vertical="center"/>
    </xf>
    <xf numFmtId="0" fontId="5" fillId="4" borderId="1" xfId="80" applyFont="1" applyFill="1" applyBorder="1" applyAlignment="1" applyProtection="1">
      <alignment horizontal="right" vertical="center" wrapText="1"/>
      <protection locked="0"/>
    </xf>
    <xf numFmtId="0" fontId="5" fillId="4" borderId="1" xfId="80" applyFont="1" applyFill="1" applyBorder="1" applyAlignment="1" applyProtection="1">
      <alignment horizontal="left" vertical="center"/>
      <protection locked="0"/>
    </xf>
    <xf numFmtId="0" fontId="7" fillId="4" borderId="1" xfId="80" applyFont="1" applyFill="1" applyBorder="1" applyAlignment="1" applyProtection="1">
      <alignment horizontal="left" vertical="center"/>
      <protection locked="0"/>
    </xf>
    <xf numFmtId="0" fontId="5" fillId="4" borderId="1" xfId="80" applyFont="1" applyFill="1" applyBorder="1" applyAlignment="1" applyProtection="1">
      <alignment horizontal="right" vertical="center"/>
      <protection locked="0"/>
    </xf>
    <xf numFmtId="185" fontId="1" fillId="4" borderId="1" xfId="0" applyNumberFormat="1" applyFont="1" applyFill="1" applyBorder="1" applyAlignment="1">
      <alignment vertical="center"/>
    </xf>
    <xf numFmtId="182" fontId="1" fillId="4" borderId="1" xfId="0" applyNumberFormat="1" applyFont="1" applyFill="1" applyBorder="1" applyAlignment="1">
      <alignment vertical="center"/>
    </xf>
    <xf numFmtId="0" fontId="1" fillId="3" borderId="0" xfId="0" applyFont="1" applyFill="1" applyAlignment="1">
      <alignment vertical="center"/>
    </xf>
    <xf numFmtId="0" fontId="0" fillId="2" borderId="0" xfId="0" applyFill="1" applyAlignment="1">
      <alignment horizontal="center" vertical="center"/>
    </xf>
    <xf numFmtId="184" fontId="5" fillId="0" borderId="1" xfId="81" applyNumberFormat="1" applyFont="1" applyBorder="1" applyAlignment="1" applyProtection="1">
      <alignment horizontal="left" vertical="center" wrapText="1"/>
      <protection locked="0"/>
    </xf>
    <xf numFmtId="184" fontId="6" fillId="0" borderId="1" xfId="81" applyNumberFormat="1" applyFont="1" applyBorder="1" applyAlignment="1" applyProtection="1">
      <alignment horizontal="left" vertical="center" wrapText="1"/>
      <protection locked="0"/>
    </xf>
    <xf numFmtId="49" fontId="6" fillId="0" borderId="1" xfId="80" applyNumberFormat="1" applyFont="1" applyFill="1" applyBorder="1" applyAlignment="1" applyProtection="1">
      <alignment horizontal="center" vertical="center"/>
      <protection locked="0"/>
    </xf>
    <xf numFmtId="0" fontId="15" fillId="0" borderId="1" xfId="80" applyFont="1" applyFill="1" applyBorder="1" applyAlignment="1" applyProtection="1">
      <alignment vertical="center" wrapText="1"/>
      <protection locked="0"/>
    </xf>
    <xf numFmtId="0" fontId="6" fillId="0" borderId="1" xfId="80" applyFont="1" applyFill="1" applyBorder="1" applyAlignment="1" applyProtection="1">
      <alignment horizontal="center" vertical="center"/>
      <protection locked="0"/>
    </xf>
    <xf numFmtId="43" fontId="6" fillId="0" borderId="1" xfId="81" applyNumberFormat="1" applyFont="1" applyFill="1" applyBorder="1" applyAlignment="1" applyProtection="1">
      <alignment horizontal="center" vertical="center" wrapText="1"/>
      <protection locked="0"/>
    </xf>
    <xf numFmtId="0" fontId="7" fillId="0" borderId="1" xfId="80" applyFont="1" applyFill="1" applyBorder="1" applyAlignment="1" applyProtection="1">
      <alignment vertical="center" wrapText="1"/>
      <protection locked="0"/>
    </xf>
    <xf numFmtId="0" fontId="6" fillId="0" borderId="1" xfId="80" applyFont="1" applyFill="1" applyBorder="1" applyAlignment="1" applyProtection="1">
      <alignment horizontal="left" vertical="center" wrapText="1" indent="1"/>
      <protection locked="0"/>
    </xf>
    <xf numFmtId="0" fontId="8" fillId="0" borderId="1" xfId="80" applyFont="1" applyFill="1" applyBorder="1" applyAlignment="1" applyProtection="1">
      <alignment horizontal="left" vertical="center" wrapText="1" indent="1"/>
      <protection locked="0"/>
    </xf>
    <xf numFmtId="0" fontId="6" fillId="0" borderId="1" xfId="80" applyFont="1" applyFill="1" applyBorder="1" applyAlignment="1" applyProtection="1">
      <alignment vertical="center" wrapText="1"/>
      <protection locked="0"/>
    </xf>
    <xf numFmtId="0" fontId="16" fillId="0" borderId="1" xfId="83" applyFont="1" applyFill="1" applyBorder="1" applyAlignment="1">
      <alignment horizontal="center" vertical="center" wrapText="1"/>
    </xf>
    <xf numFmtId="43" fontId="6" fillId="0" borderId="1" xfId="81" applyNumberFormat="1" applyFont="1" applyBorder="1" applyAlignment="1" applyProtection="1">
      <alignment horizontal="center" vertical="center" wrapText="1"/>
      <protection locked="0"/>
    </xf>
    <xf numFmtId="0" fontId="17" fillId="0" borderId="1" xfId="0" applyFont="1" applyFill="1" applyBorder="1" applyAlignment="1">
      <alignment horizontal="center" vertical="center"/>
    </xf>
    <xf numFmtId="0" fontId="17" fillId="0" borderId="1" xfId="0" applyFont="1" applyFill="1" applyBorder="1" applyAlignment="1">
      <alignment vertical="center" wrapText="1"/>
    </xf>
    <xf numFmtId="0" fontId="18" fillId="0" borderId="1" xfId="0" applyFont="1" applyFill="1" applyBorder="1" applyAlignment="1">
      <alignment vertical="center" wrapText="1"/>
    </xf>
    <xf numFmtId="43" fontId="17" fillId="0" borderId="1" xfId="0" applyNumberFormat="1" applyFont="1" applyFill="1" applyBorder="1" applyAlignment="1">
      <alignment horizontal="center" vertical="center" wrapText="1"/>
    </xf>
    <xf numFmtId="43" fontId="6" fillId="0" borderId="1" xfId="81" applyNumberFormat="1" applyFont="1" applyBorder="1" applyAlignment="1" applyProtection="1">
      <alignment vertical="center" wrapText="1"/>
      <protection locked="0"/>
    </xf>
    <xf numFmtId="0" fontId="2" fillId="2" borderId="0" xfId="0" applyFont="1" applyFill="1" applyAlignment="1">
      <alignment horizontal="center" vertical="center"/>
    </xf>
    <xf numFmtId="43" fontId="5" fillId="2" borderId="1" xfId="81" applyNumberFormat="1" applyFont="1" applyFill="1" applyBorder="1" applyAlignment="1" applyProtection="1">
      <alignment horizontal="center" vertical="center" wrapText="1"/>
      <protection locked="0"/>
    </xf>
    <xf numFmtId="43" fontId="6" fillId="0" borderId="1" xfId="81" applyNumberFormat="1" applyFont="1" applyBorder="1" applyAlignment="1" applyProtection="1">
      <alignment horizontal="left" vertical="center" wrapText="1"/>
      <protection locked="0"/>
    </xf>
    <xf numFmtId="0" fontId="6" fillId="0" borderId="1" xfId="83" applyFont="1" applyFill="1" applyBorder="1" applyAlignment="1">
      <alignment horizontal="center" vertical="center" wrapText="1"/>
    </xf>
    <xf numFmtId="0" fontId="5" fillId="0" borderId="1" xfId="80" applyFont="1" applyFill="1" applyBorder="1" applyAlignment="1" applyProtection="1">
      <alignment horizontal="left" vertical="center" wrapText="1"/>
      <protection locked="0"/>
    </xf>
    <xf numFmtId="0" fontId="7" fillId="0" borderId="1" xfId="80" applyFont="1" applyFill="1" applyBorder="1" applyAlignment="1" applyProtection="1">
      <alignment horizontal="left" vertical="center" wrapText="1"/>
      <protection locked="0"/>
    </xf>
    <xf numFmtId="0" fontId="5" fillId="0" borderId="1" xfId="83" applyFont="1" applyFill="1" applyBorder="1" applyAlignment="1">
      <alignment horizontal="center" vertical="center" wrapText="1"/>
    </xf>
    <xf numFmtId="43" fontId="5" fillId="0" borderId="1" xfId="81" applyNumberFormat="1" applyFont="1" applyFill="1" applyBorder="1" applyAlignment="1" applyProtection="1">
      <alignment horizontal="center" vertical="center" wrapText="1"/>
      <protection locked="0"/>
    </xf>
    <xf numFmtId="43" fontId="6" fillId="0" borderId="1" xfId="1" applyNumberFormat="1" applyFont="1" applyFill="1" applyBorder="1" applyAlignment="1" applyProtection="1">
      <alignment horizontal="center" vertical="center" wrapText="1"/>
      <protection locked="0"/>
    </xf>
    <xf numFmtId="183" fontId="6" fillId="0" borderId="1" xfId="1" applyNumberFormat="1" applyFont="1" applyFill="1" applyBorder="1" applyAlignment="1" applyProtection="1">
      <alignment horizontal="center" vertical="center" wrapText="1"/>
      <protection locked="0"/>
    </xf>
    <xf numFmtId="0" fontId="19" fillId="0" borderId="1" xfId="80" applyFont="1" applyFill="1" applyBorder="1" applyAlignment="1" applyProtection="1">
      <alignment horizontal="left" vertical="center" wrapText="1" indent="1"/>
      <protection locked="0"/>
    </xf>
    <xf numFmtId="0" fontId="20" fillId="0" borderId="1" xfId="80" applyFont="1" applyFill="1" applyBorder="1" applyAlignment="1" applyProtection="1">
      <alignment horizontal="left" vertical="center" wrapText="1" indent="1"/>
      <protection locked="0"/>
    </xf>
    <xf numFmtId="43" fontId="5" fillId="0" borderId="1" xfId="81" applyNumberFormat="1" applyFont="1" applyBorder="1" applyAlignment="1" applyProtection="1">
      <alignment horizontal="center" vertical="center" wrapText="1"/>
      <protection locked="0"/>
    </xf>
    <xf numFmtId="0" fontId="17" fillId="0" borderId="1" xfId="0" applyFont="1" applyFill="1" applyBorder="1" applyAlignment="1">
      <alignment vertical="center"/>
    </xf>
    <xf numFmtId="43" fontId="5" fillId="4" borderId="1" xfId="80" applyNumberFormat="1" applyFont="1" applyFill="1" applyBorder="1" applyAlignment="1" applyProtection="1">
      <alignment horizontal="right" vertical="center" wrapText="1"/>
      <protection locked="0"/>
    </xf>
    <xf numFmtId="49" fontId="6" fillId="0" borderId="1" xfId="80" applyNumberFormat="1" applyFont="1" applyBorder="1" applyAlignment="1" applyProtection="1">
      <alignment vertical="center" wrapText="1"/>
      <protection locked="0"/>
    </xf>
    <xf numFmtId="49" fontId="5" fillId="2" borderId="1" xfId="80" applyNumberFormat="1" applyFont="1" applyFill="1" applyBorder="1" applyAlignment="1" applyProtection="1">
      <alignment vertical="center" wrapText="1"/>
      <protection locked="0"/>
    </xf>
    <xf numFmtId="49" fontId="7" fillId="2" borderId="1" xfId="80" applyNumberFormat="1" applyFont="1" applyFill="1" applyBorder="1" applyAlignment="1" applyProtection="1">
      <alignment vertical="center" wrapText="1"/>
      <protection locked="0"/>
    </xf>
    <xf numFmtId="49" fontId="5" fillId="0" borderId="1" xfId="80" applyNumberFormat="1" applyFont="1" applyBorder="1" applyAlignment="1" applyProtection="1">
      <alignment vertical="center" wrapText="1"/>
      <protection locked="0"/>
    </xf>
    <xf numFmtId="49" fontId="7" fillId="0" borderId="1" xfId="80" applyNumberFormat="1" applyFont="1" applyBorder="1" applyAlignment="1" applyProtection="1">
      <alignment vertical="center" wrapText="1"/>
      <protection locked="0"/>
    </xf>
    <xf numFmtId="49" fontId="15" fillId="0" borderId="1" xfId="80" applyNumberFormat="1" applyFont="1" applyBorder="1" applyAlignment="1" applyProtection="1">
      <alignment vertical="center" wrapText="1"/>
      <protection locked="0"/>
    </xf>
    <xf numFmtId="49" fontId="21" fillId="0" borderId="1" xfId="80" applyNumberFormat="1" applyFont="1" applyBorder="1" applyAlignment="1" applyProtection="1">
      <alignment vertical="center" wrapText="1"/>
      <protection locked="0"/>
    </xf>
    <xf numFmtId="49" fontId="22" fillId="0" borderId="1" xfId="80" applyNumberFormat="1" applyFont="1" applyBorder="1" applyAlignment="1" applyProtection="1">
      <alignment vertical="center" wrapText="1"/>
      <protection locked="0"/>
    </xf>
    <xf numFmtId="49" fontId="6" fillId="0" borderId="1" xfId="80" applyNumberFormat="1" applyFont="1" applyBorder="1" applyAlignment="1" applyProtection="1">
      <alignment horizontal="left" vertical="center" wrapText="1" indent="1"/>
      <protection locked="0"/>
    </xf>
    <xf numFmtId="49" fontId="8" fillId="0" borderId="1" xfId="80" applyNumberFormat="1" applyFont="1" applyBorder="1" applyAlignment="1" applyProtection="1">
      <alignment horizontal="left" vertical="center" wrapText="1" indent="1"/>
      <protection locked="0"/>
    </xf>
    <xf numFmtId="49" fontId="17" fillId="0" borderId="1" xfId="80" applyNumberFormat="1" applyFont="1" applyBorder="1" applyAlignment="1" applyProtection="1">
      <alignment horizontal="center" vertical="center"/>
      <protection locked="0"/>
    </xf>
    <xf numFmtId="0" fontId="17" fillId="0" borderId="1" xfId="80" applyFont="1" applyBorder="1" applyAlignment="1" applyProtection="1">
      <alignment horizontal="left" vertical="center" wrapText="1" indent="1"/>
      <protection locked="0"/>
    </xf>
    <xf numFmtId="0" fontId="17" fillId="0" borderId="1" xfId="80" applyFont="1" applyBorder="1" applyAlignment="1" applyProtection="1">
      <alignment horizontal="center" vertical="center"/>
      <protection locked="0"/>
    </xf>
    <xf numFmtId="43" fontId="17" fillId="0" borderId="1" xfId="82" applyNumberFormat="1" applyFont="1" applyFill="1" applyBorder="1" applyAlignment="1" applyProtection="1">
      <alignment horizontal="right" vertical="center" wrapText="1"/>
      <protection locked="0"/>
    </xf>
    <xf numFmtId="43" fontId="17" fillId="0" borderId="1" xfId="81" applyNumberFormat="1" applyFont="1" applyBorder="1" applyAlignment="1" applyProtection="1">
      <alignment horizontal="right" vertical="center" wrapText="1"/>
      <protection locked="0"/>
    </xf>
    <xf numFmtId="49" fontId="17" fillId="0" borderId="1" xfId="80" applyNumberFormat="1" applyFont="1" applyFill="1" applyBorder="1" applyAlignment="1" applyProtection="1">
      <alignment horizontal="center" vertical="center"/>
      <protection locked="0"/>
    </xf>
    <xf numFmtId="0" fontId="17" fillId="0" borderId="1" xfId="80" applyFont="1" applyFill="1" applyBorder="1" applyAlignment="1" applyProtection="1">
      <alignment horizontal="left" vertical="center" wrapText="1" indent="1"/>
      <protection locked="0"/>
    </xf>
    <xf numFmtId="0" fontId="18" fillId="0" borderId="1" xfId="80" applyFont="1" applyFill="1" applyBorder="1" applyAlignment="1" applyProtection="1">
      <alignment horizontal="left" vertical="center" wrapText="1" indent="1"/>
      <protection locked="0"/>
    </xf>
    <xf numFmtId="0" fontId="21" fillId="0" borderId="1" xfId="80" applyFont="1" applyBorder="1" applyAlignment="1" applyProtection="1">
      <alignment vertical="center" wrapText="1"/>
      <protection locked="0"/>
    </xf>
    <xf numFmtId="0" fontId="23" fillId="0" borderId="1" xfId="80" applyFont="1" applyBorder="1" applyAlignment="1" applyProtection="1">
      <alignment vertical="center" wrapText="1"/>
      <protection locked="0"/>
    </xf>
    <xf numFmtId="49" fontId="6" fillId="0" borderId="1" xfId="80" applyNumberFormat="1" applyFont="1" applyFill="1" applyBorder="1" applyAlignment="1" applyProtection="1">
      <alignment horizontal="left" vertical="center" wrapText="1" indent="1"/>
      <protection locked="0"/>
    </xf>
    <xf numFmtId="49" fontId="8" fillId="0" borderId="1" xfId="80" applyNumberFormat="1" applyFont="1" applyFill="1" applyBorder="1" applyAlignment="1" applyProtection="1">
      <alignment horizontal="left" vertical="center" wrapText="1" indent="1"/>
      <protection locked="0"/>
    </xf>
    <xf numFmtId="43" fontId="6" fillId="0" borderId="1" xfId="81" applyNumberFormat="1" applyFont="1" applyFill="1" applyBorder="1" applyAlignment="1" applyProtection="1">
      <alignment horizontal="right" vertical="center" wrapText="1"/>
      <protection locked="0"/>
    </xf>
    <xf numFmtId="49" fontId="17" fillId="0" borderId="1" xfId="80" applyNumberFormat="1" applyFont="1" applyFill="1" applyBorder="1" applyAlignment="1" applyProtection="1">
      <alignment horizontal="left" vertical="center" wrapText="1" indent="1"/>
      <protection locked="0"/>
    </xf>
    <xf numFmtId="0" fontId="17" fillId="0" borderId="1" xfId="80" applyFont="1" applyFill="1" applyBorder="1" applyAlignment="1" applyProtection="1">
      <alignment horizontal="center" vertical="center"/>
      <protection locked="0"/>
    </xf>
    <xf numFmtId="43" fontId="17" fillId="0" borderId="1" xfId="81" applyNumberFormat="1" applyFont="1" applyFill="1" applyBorder="1" applyAlignment="1" applyProtection="1">
      <alignment horizontal="right" vertical="center" wrapText="1"/>
      <protection locked="0"/>
    </xf>
    <xf numFmtId="49" fontId="5" fillId="0" borderId="1" xfId="80" applyNumberFormat="1" applyFont="1" applyBorder="1" applyAlignment="1" applyProtection="1">
      <alignment horizontal="left" vertical="center" wrapText="1"/>
      <protection locked="0"/>
    </xf>
    <xf numFmtId="49" fontId="7" fillId="0" borderId="1" xfId="80" applyNumberFormat="1" applyFont="1" applyBorder="1" applyAlignment="1" applyProtection="1">
      <alignment horizontal="left" vertical="center" wrapText="1"/>
      <protection locked="0"/>
    </xf>
    <xf numFmtId="49" fontId="23" fillId="0" borderId="1" xfId="80" applyNumberFormat="1" applyFont="1" applyBorder="1" applyAlignment="1" applyProtection="1">
      <alignment vertical="center" wrapText="1"/>
      <protection locked="0"/>
    </xf>
    <xf numFmtId="49" fontId="21" fillId="0" borderId="1" xfId="80" applyNumberFormat="1" applyFont="1" applyFill="1" applyBorder="1" applyAlignment="1" applyProtection="1">
      <alignment vertical="center" wrapText="1"/>
      <protection locked="0"/>
    </xf>
    <xf numFmtId="49" fontId="23" fillId="0" borderId="1" xfId="80" applyNumberFormat="1" applyFont="1" applyFill="1" applyBorder="1" applyAlignment="1" applyProtection="1">
      <alignment vertical="center" wrapText="1"/>
      <protection locked="0"/>
    </xf>
    <xf numFmtId="43" fontId="17" fillId="0" borderId="1" xfId="0" applyNumberFormat="1" applyFont="1" applyFill="1" applyBorder="1" applyAlignment="1">
      <alignment vertical="center" wrapText="1"/>
    </xf>
    <xf numFmtId="0" fontId="6" fillId="0" borderId="1" xfId="83" applyFont="1" applyBorder="1" applyAlignment="1">
      <alignment horizontal="center" vertical="center" wrapText="1"/>
    </xf>
    <xf numFmtId="49" fontId="16" fillId="0" borderId="1" xfId="0" applyNumberFormat="1" applyFont="1" applyFill="1" applyBorder="1" applyAlignment="1">
      <alignment vertical="top" wrapText="1"/>
    </xf>
    <xf numFmtId="49" fontId="5" fillId="0" borderId="1" xfId="80" applyNumberFormat="1" applyFont="1" applyFill="1" applyBorder="1" applyAlignment="1" applyProtection="1">
      <alignment vertical="center" wrapText="1"/>
      <protection locked="0"/>
    </xf>
    <xf numFmtId="49" fontId="7" fillId="0" borderId="1" xfId="80" applyNumberFormat="1" applyFont="1" applyFill="1" applyBorder="1" applyAlignment="1" applyProtection="1">
      <alignment vertical="center" wrapText="1"/>
      <protection locked="0"/>
    </xf>
    <xf numFmtId="49" fontId="11" fillId="0" borderId="1" xfId="80" applyNumberFormat="1" applyFont="1" applyFill="1" applyBorder="1" applyAlignment="1" applyProtection="1">
      <alignment horizontal="left" vertical="center" wrapText="1" indent="1"/>
      <protection locked="0"/>
    </xf>
    <xf numFmtId="49" fontId="12" fillId="0" borderId="1" xfId="80" applyNumberFormat="1" applyFont="1" applyFill="1" applyBorder="1" applyAlignment="1" applyProtection="1">
      <alignment horizontal="left" vertical="center" wrapText="1" indent="1"/>
      <protection locked="0"/>
    </xf>
    <xf numFmtId="0" fontId="17" fillId="0" borderId="1" xfId="0" applyFont="1" applyFill="1" applyBorder="1" applyAlignment="1">
      <alignment horizontal="center" vertical="center" wrapText="1"/>
    </xf>
    <xf numFmtId="0" fontId="0" fillId="3" borderId="0" xfId="0" applyFill="1" applyAlignment="1">
      <alignment horizontal="center" vertical="center"/>
    </xf>
    <xf numFmtId="49" fontId="5" fillId="4" borderId="1" xfId="80" applyNumberFormat="1" applyFont="1" applyFill="1" applyBorder="1" applyAlignment="1" applyProtection="1">
      <alignment horizontal="left" vertical="center"/>
      <protection locked="0"/>
    </xf>
    <xf numFmtId="49" fontId="7" fillId="4" borderId="1" xfId="80" applyNumberFormat="1" applyFont="1" applyFill="1" applyBorder="1" applyAlignment="1" applyProtection="1">
      <alignment horizontal="left" vertical="center"/>
      <protection locked="0"/>
    </xf>
    <xf numFmtId="43" fontId="6" fillId="0" borderId="1" xfId="1" applyNumberFormat="1" applyFont="1" applyBorder="1" applyAlignment="1" applyProtection="1">
      <alignment horizontal="center" vertical="center" wrapText="1"/>
      <protection locked="0"/>
    </xf>
    <xf numFmtId="43" fontId="5" fillId="2" borderId="1" xfId="1" applyNumberFormat="1" applyFont="1" applyFill="1" applyBorder="1" applyAlignment="1" applyProtection="1">
      <alignment horizontal="center" vertical="center" wrapText="1"/>
      <protection locked="0"/>
    </xf>
    <xf numFmtId="0" fontId="21" fillId="0" borderId="1" xfId="80" applyFont="1" applyFill="1" applyBorder="1" applyAlignment="1" applyProtection="1">
      <alignment vertical="center" wrapText="1"/>
      <protection locked="0"/>
    </xf>
    <xf numFmtId="0" fontId="23" fillId="0" borderId="1" xfId="80" applyFont="1" applyFill="1" applyBorder="1" applyAlignment="1" applyProtection="1">
      <alignment vertical="center" wrapText="1"/>
      <protection locked="0"/>
    </xf>
    <xf numFmtId="0" fontId="17" fillId="0" borderId="1" xfId="80" applyFont="1" applyFill="1" applyBorder="1" applyAlignment="1" applyProtection="1">
      <alignment horizontal="left" vertical="center" wrapText="1" indent="3"/>
      <protection locked="0"/>
    </xf>
    <xf numFmtId="0" fontId="18" fillId="0" borderId="1" xfId="80" applyFont="1" applyFill="1" applyBorder="1" applyAlignment="1" applyProtection="1">
      <alignment horizontal="left" vertical="center" wrapText="1" indent="3"/>
      <protection locked="0"/>
    </xf>
    <xf numFmtId="0" fontId="17" fillId="0" borderId="1" xfId="83" applyFont="1" applyFill="1" applyBorder="1" applyAlignment="1">
      <alignment horizontal="center" vertical="center" wrapText="1"/>
    </xf>
    <xf numFmtId="43" fontId="17" fillId="0" borderId="1" xfId="81" applyNumberFormat="1" applyFont="1" applyFill="1" applyBorder="1" applyAlignment="1" applyProtection="1">
      <alignment horizontal="center" vertical="center" wrapText="1"/>
      <protection locked="0"/>
    </xf>
    <xf numFmtId="0" fontId="17" fillId="0" borderId="1" xfId="80" applyFont="1" applyFill="1" applyBorder="1" applyAlignment="1" applyProtection="1">
      <alignment horizontal="left" vertical="center" wrapText="1" indent="5"/>
      <protection locked="0"/>
    </xf>
    <xf numFmtId="0" fontId="18" fillId="0" borderId="1" xfId="80" applyFont="1" applyFill="1" applyBorder="1" applyAlignment="1" applyProtection="1">
      <alignment horizontal="left" vertical="center" wrapText="1" indent="5"/>
      <protection locked="0"/>
    </xf>
    <xf numFmtId="43" fontId="17" fillId="0" borderId="1" xfId="1" applyNumberFormat="1" applyFont="1" applyFill="1" applyBorder="1" applyAlignment="1" applyProtection="1">
      <alignment horizontal="center" vertical="center" wrapText="1"/>
      <protection locked="0"/>
    </xf>
    <xf numFmtId="49" fontId="17" fillId="5" borderId="1" xfId="80" applyNumberFormat="1" applyFont="1" applyFill="1" applyBorder="1" applyAlignment="1" applyProtection="1">
      <alignment horizontal="center" vertical="center"/>
      <protection locked="0"/>
    </xf>
    <xf numFmtId="0" fontId="6" fillId="0" borderId="1" xfId="80" applyFont="1" applyFill="1" applyBorder="1" applyAlignment="1" applyProtection="1">
      <alignment horizontal="left" vertical="center" wrapText="1" indent="2"/>
      <protection locked="0"/>
    </xf>
    <xf numFmtId="0" fontId="8" fillId="0" borderId="1" xfId="80" applyFont="1" applyFill="1" applyBorder="1" applyAlignment="1" applyProtection="1">
      <alignment horizontal="left" vertical="center" wrapText="1" indent="2"/>
      <protection locked="0"/>
    </xf>
    <xf numFmtId="43" fontId="6" fillId="0" borderId="1" xfId="82" applyNumberFormat="1" applyFont="1" applyFill="1" applyBorder="1" applyAlignment="1" applyProtection="1">
      <alignment horizontal="center" vertical="center" wrapText="1"/>
      <protection locked="0"/>
    </xf>
    <xf numFmtId="43" fontId="17" fillId="0" borderId="1" xfId="1" applyNumberFormat="1" applyFont="1" applyBorder="1" applyAlignment="1" applyProtection="1">
      <alignment horizontal="center" vertical="center" wrapText="1"/>
      <protection locked="0"/>
    </xf>
    <xf numFmtId="43" fontId="17" fillId="0" borderId="1" xfId="81" applyNumberFormat="1" applyFont="1" applyBorder="1" applyAlignment="1" applyProtection="1">
      <alignment horizontal="center" vertical="center" wrapText="1"/>
      <protection locked="0"/>
    </xf>
    <xf numFmtId="0" fontId="17" fillId="0" borderId="1" xfId="0" applyFont="1" applyFill="1" applyBorder="1" applyAlignment="1">
      <alignment horizontal="left" vertical="center" wrapText="1" indent="1"/>
    </xf>
    <xf numFmtId="0" fontId="18" fillId="0" borderId="1" xfId="0" applyFont="1" applyFill="1" applyBorder="1" applyAlignment="1">
      <alignment horizontal="left" vertical="center" wrapText="1" indent="1"/>
    </xf>
    <xf numFmtId="0" fontId="24" fillId="0" borderId="1" xfId="80" applyFont="1" applyFill="1" applyBorder="1" applyAlignment="1" applyProtection="1">
      <alignment horizontal="center" vertical="center"/>
      <protection locked="0"/>
    </xf>
    <xf numFmtId="0" fontId="17" fillId="0" borderId="1" xfId="80" applyFont="1" applyFill="1" applyBorder="1" applyAlignment="1">
      <alignment wrapText="1"/>
    </xf>
    <xf numFmtId="0" fontId="5" fillId="0" borderId="1" xfId="0" applyFont="1" applyFill="1" applyBorder="1" applyAlignment="1">
      <alignment vertical="center"/>
    </xf>
    <xf numFmtId="0" fontId="7" fillId="0" borderId="1" xfId="0" applyFont="1" applyFill="1" applyBorder="1" applyAlignment="1">
      <alignment vertical="center"/>
    </xf>
    <xf numFmtId="0" fontId="17" fillId="0" borderId="1" xfId="80" applyFont="1" applyBorder="1" applyAlignment="1" applyProtection="1">
      <alignment horizontal="left" vertical="center" wrapText="1" indent="2"/>
      <protection locked="0"/>
    </xf>
    <xf numFmtId="0" fontId="18" fillId="0" borderId="1" xfId="80" applyFont="1" applyBorder="1" applyAlignment="1" applyProtection="1">
      <alignment horizontal="left" vertical="center" wrapText="1" indent="2"/>
      <protection locked="0"/>
    </xf>
    <xf numFmtId="0" fontId="18" fillId="0" borderId="1" xfId="80" applyFont="1" applyBorder="1" applyAlignment="1" applyProtection="1">
      <alignment horizontal="left" vertical="center" wrapText="1" indent="1"/>
      <protection locked="0"/>
    </xf>
    <xf numFmtId="0" fontId="24" fillId="0" borderId="1" xfId="80" applyFont="1" applyBorder="1" applyAlignment="1" applyProtection="1">
      <alignment horizontal="center" vertical="center"/>
      <protection locked="0"/>
    </xf>
    <xf numFmtId="0" fontId="17" fillId="0" borderId="1" xfId="80" applyFont="1" applyFill="1" applyBorder="1" applyAlignment="1" applyProtection="1">
      <alignment horizontal="left" vertical="center" wrapText="1" indent="2"/>
      <protection locked="0"/>
    </xf>
    <xf numFmtId="0" fontId="18" fillId="0" borderId="1" xfId="80" applyFont="1" applyFill="1" applyBorder="1" applyAlignment="1" applyProtection="1">
      <alignment horizontal="left" vertical="center" wrapText="1" indent="2"/>
      <protection locked="0"/>
    </xf>
    <xf numFmtId="0" fontId="5" fillId="0" borderId="1" xfId="0" applyFont="1" applyFill="1" applyBorder="1" applyAlignment="1">
      <alignment horizontal="left" vertical="center" wrapText="1"/>
    </xf>
    <xf numFmtId="0" fontId="7" fillId="0" borderId="1" xfId="0" applyFont="1" applyFill="1" applyBorder="1" applyAlignment="1">
      <alignment horizontal="left" vertical="center" wrapText="1"/>
    </xf>
    <xf numFmtId="0" fontId="6" fillId="0" borderId="1" xfId="0" applyFont="1" applyFill="1" applyBorder="1" applyAlignment="1">
      <alignment horizontal="left" vertical="center" wrapText="1" indent="1"/>
    </xf>
    <xf numFmtId="0" fontId="8" fillId="0" borderId="1" xfId="0" applyFont="1" applyFill="1" applyBorder="1" applyAlignment="1">
      <alignment horizontal="left" vertical="center" wrapText="1" indent="1"/>
    </xf>
    <xf numFmtId="0" fontId="11" fillId="0" borderId="1" xfId="80" applyFont="1" applyFill="1" applyBorder="1" applyAlignment="1" applyProtection="1">
      <alignment horizontal="left" vertical="center" wrapText="1" indent="1"/>
      <protection locked="0"/>
    </xf>
    <xf numFmtId="0" fontId="12" fillId="0" borderId="1" xfId="80" applyFont="1" applyFill="1" applyBorder="1" applyAlignment="1" applyProtection="1">
      <alignment horizontal="left" vertical="center" wrapText="1" indent="1"/>
      <protection locked="0"/>
    </xf>
    <xf numFmtId="49" fontId="6" fillId="6" borderId="1" xfId="80" applyNumberFormat="1" applyFont="1" applyFill="1" applyBorder="1" applyAlignment="1" applyProtection="1">
      <alignment horizontal="center" vertical="center"/>
      <protection locked="0"/>
    </xf>
    <xf numFmtId="0" fontId="6" fillId="0" borderId="1" xfId="0" applyFont="1" applyFill="1" applyBorder="1" applyAlignment="1">
      <alignment vertical="center"/>
    </xf>
    <xf numFmtId="0" fontId="8" fillId="0" borderId="1" xfId="0" applyFont="1" applyFill="1" applyBorder="1" applyAlignment="1">
      <alignment vertical="center"/>
    </xf>
    <xf numFmtId="49" fontId="8" fillId="0" borderId="1" xfId="80" applyNumberFormat="1" applyFont="1" applyFill="1" applyBorder="1" applyAlignment="1" applyProtection="1">
      <alignment horizontal="center" vertical="center"/>
      <protection locked="0"/>
    </xf>
    <xf numFmtId="43" fontId="17" fillId="4" borderId="1" xfId="0" applyNumberFormat="1" applyFont="1" applyFill="1" applyBorder="1" applyAlignment="1">
      <alignment horizontal="center" vertical="center" wrapText="1"/>
    </xf>
    <xf numFmtId="43" fontId="5" fillId="4" borderId="1" xfId="80" applyNumberFormat="1" applyFont="1" applyFill="1" applyBorder="1" applyAlignment="1" applyProtection="1">
      <alignment horizontal="center" vertical="center" wrapText="1"/>
      <protection locked="0"/>
    </xf>
    <xf numFmtId="0" fontId="6" fillId="0" borderId="1" xfId="80" applyFont="1" applyFill="1" applyBorder="1" applyAlignment="1" applyProtection="1">
      <alignment vertical="center"/>
      <protection locked="0"/>
    </xf>
    <xf numFmtId="183" fontId="6" fillId="0" borderId="1" xfId="82" applyNumberFormat="1" applyFont="1" applyFill="1" applyBorder="1" applyAlignment="1" applyProtection="1">
      <alignment vertical="center"/>
      <protection locked="0"/>
    </xf>
    <xf numFmtId="43" fontId="6" fillId="0" borderId="1" xfId="82" applyNumberFormat="1" applyFont="1" applyFill="1" applyBorder="1" applyAlignment="1" applyProtection="1">
      <alignment vertical="center" wrapText="1"/>
      <protection locked="0"/>
    </xf>
    <xf numFmtId="43" fontId="5" fillId="0" borderId="1" xfId="80" applyNumberFormat="1" applyFont="1" applyFill="1" applyBorder="1" applyAlignment="1" applyProtection="1">
      <alignment horizontal="center" vertical="center" wrapText="1"/>
      <protection locked="0"/>
    </xf>
    <xf numFmtId="184" fontId="5" fillId="0" borderId="1" xfId="81" applyNumberFormat="1" applyFont="1" applyFill="1" applyBorder="1" applyAlignment="1" applyProtection="1">
      <alignment horizontal="left" vertical="center" wrapText="1"/>
      <protection locked="0"/>
    </xf>
    <xf numFmtId="43" fontId="6" fillId="0" borderId="1" xfId="81" applyNumberFormat="1" applyFont="1" applyFill="1" applyBorder="1" applyAlignment="1" applyProtection="1">
      <alignment horizontal="left" vertical="center" wrapText="1"/>
      <protection locked="0"/>
    </xf>
    <xf numFmtId="49" fontId="6" fillId="0" borderId="1" xfId="80" applyNumberFormat="1" applyFont="1" applyFill="1" applyBorder="1" applyAlignment="1" applyProtection="1">
      <alignment horizontal="center" vertical="center" wrapText="1"/>
      <protection locked="0"/>
    </xf>
    <xf numFmtId="49" fontId="5" fillId="0" borderId="1" xfId="0" applyNumberFormat="1" applyFont="1" applyFill="1" applyBorder="1" applyAlignment="1">
      <alignment vertical="top" wrapText="1"/>
    </xf>
    <xf numFmtId="49" fontId="7" fillId="0" borderId="1" xfId="0" applyNumberFormat="1" applyFont="1" applyFill="1" applyBorder="1" applyAlignment="1">
      <alignment vertical="top" wrapText="1"/>
    </xf>
    <xf numFmtId="0" fontId="6" fillId="0" borderId="1" xfId="80" applyFont="1" applyFill="1" applyBorder="1" applyAlignment="1" applyProtection="1">
      <alignment horizontal="center" vertical="center" wrapText="1"/>
      <protection locked="0"/>
    </xf>
    <xf numFmtId="49" fontId="6" fillId="0" borderId="1" xfId="0" applyNumberFormat="1" applyFont="1" applyFill="1" applyBorder="1" applyAlignment="1">
      <alignment horizontal="left" vertical="center" wrapText="1" indent="1"/>
    </xf>
    <xf numFmtId="49" fontId="8" fillId="0" borderId="1" xfId="0" applyNumberFormat="1" applyFont="1" applyFill="1" applyBorder="1" applyAlignment="1">
      <alignment horizontal="left" vertical="center" wrapText="1" indent="1"/>
    </xf>
    <xf numFmtId="43" fontId="5" fillId="0" borderId="1" xfId="81" applyNumberFormat="1" applyFont="1" applyFill="1" applyBorder="1" applyAlignment="1" applyProtection="1">
      <alignment horizontal="right" vertical="center" wrapText="1"/>
      <protection locked="0"/>
    </xf>
    <xf numFmtId="43" fontId="6" fillId="0" borderId="1" xfId="1" applyNumberFormat="1" applyFont="1" applyFill="1" applyBorder="1" applyAlignment="1">
      <alignment wrapText="1"/>
    </xf>
    <xf numFmtId="49" fontId="5" fillId="0" borderId="1" xfId="80" applyNumberFormat="1" applyFont="1" applyFill="1" applyBorder="1" applyAlignment="1" applyProtection="1">
      <alignment horizontal="center" vertical="center" wrapText="1"/>
      <protection locked="0"/>
    </xf>
    <xf numFmtId="0" fontId="6" fillId="0" borderId="1" xfId="80" applyNumberFormat="1" applyFont="1" applyFill="1" applyBorder="1" applyAlignment="1" applyProtection="1">
      <alignment horizontal="center" vertical="center"/>
      <protection locked="0"/>
    </xf>
    <xf numFmtId="43" fontId="6" fillId="0" borderId="1" xfId="80" applyNumberFormat="1" applyFont="1" applyFill="1" applyBorder="1" applyAlignment="1" applyProtection="1">
      <alignment vertical="center" wrapText="1"/>
      <protection locked="0"/>
    </xf>
    <xf numFmtId="0" fontId="5" fillId="0" borderId="1" xfId="80" applyFont="1" applyFill="1" applyBorder="1" applyAlignment="1" applyProtection="1">
      <alignment horizontal="left" vertical="center" wrapText="1" indent="2"/>
      <protection locked="0"/>
    </xf>
    <xf numFmtId="0" fontId="7" fillId="0" borderId="1" xfId="80" applyFont="1" applyFill="1" applyBorder="1" applyAlignment="1" applyProtection="1">
      <alignment horizontal="left" vertical="center" wrapText="1" indent="2"/>
      <protection locked="0"/>
    </xf>
    <xf numFmtId="43" fontId="6" fillId="0" borderId="1" xfId="82" applyNumberFormat="1" applyFont="1" applyFill="1" applyBorder="1" applyAlignment="1" applyProtection="1">
      <alignment horizontal="right" vertical="center" wrapText="1"/>
      <protection locked="0"/>
    </xf>
    <xf numFmtId="43" fontId="6" fillId="0" borderId="1" xfId="81" applyNumberFormat="1" applyFont="1" applyFill="1" applyBorder="1" applyAlignment="1" applyProtection="1">
      <alignment vertical="center" wrapText="1"/>
      <protection locked="0"/>
    </xf>
    <xf numFmtId="49" fontId="5" fillId="7" borderId="1" xfId="80" applyNumberFormat="1" applyFont="1" applyFill="1" applyBorder="1" applyAlignment="1" applyProtection="1">
      <alignment horizontal="center" vertical="center"/>
      <protection locked="0"/>
    </xf>
    <xf numFmtId="0" fontId="5" fillId="7" borderId="1" xfId="80" applyFont="1" applyFill="1" applyBorder="1" applyAlignment="1" applyProtection="1">
      <alignment horizontal="left" vertical="center" wrapText="1"/>
      <protection locked="0"/>
    </xf>
    <xf numFmtId="0" fontId="7" fillId="7" borderId="1" xfId="80" applyFont="1" applyFill="1" applyBorder="1" applyAlignment="1" applyProtection="1">
      <alignment vertical="center" wrapText="1"/>
      <protection locked="0"/>
    </xf>
    <xf numFmtId="0" fontId="5" fillId="7" borderId="1" xfId="80" applyFont="1" applyFill="1" applyBorder="1" applyAlignment="1" applyProtection="1">
      <alignment horizontal="center" vertical="center"/>
      <protection locked="0"/>
    </xf>
    <xf numFmtId="0" fontId="15" fillId="0" borderId="1" xfId="80" applyFont="1" applyBorder="1" applyAlignment="1" applyProtection="1">
      <alignment horizontal="left" vertical="center" wrapText="1"/>
      <protection locked="0"/>
    </xf>
    <xf numFmtId="49" fontId="6" fillId="0" borderId="1" xfId="80" applyNumberFormat="1" applyFont="1" applyBorder="1" applyAlignment="1" applyProtection="1">
      <alignment horizontal="left" vertical="center"/>
      <protection locked="0"/>
    </xf>
    <xf numFmtId="0" fontId="6" fillId="0" borderId="1" xfId="80" applyFont="1" applyFill="1" applyBorder="1" applyAlignment="1" applyProtection="1">
      <alignment horizontal="left" vertical="top" wrapText="1"/>
      <protection locked="0"/>
    </xf>
    <xf numFmtId="0" fontId="8" fillId="0" borderId="1" xfId="80" applyFont="1" applyFill="1" applyBorder="1" applyAlignment="1" applyProtection="1">
      <alignment vertical="top" wrapText="1"/>
      <protection locked="0"/>
    </xf>
    <xf numFmtId="0" fontId="25" fillId="0" borderId="1" xfId="80" applyFont="1" applyFill="1" applyBorder="1" applyAlignment="1" applyProtection="1">
      <alignment horizontal="left" vertical="center" wrapText="1"/>
      <protection locked="0"/>
    </xf>
    <xf numFmtId="0" fontId="26" fillId="0" borderId="1" xfId="80" applyFont="1" applyFill="1" applyBorder="1" applyAlignment="1" applyProtection="1">
      <alignment horizontal="center" vertical="center" wrapText="1"/>
      <protection locked="0"/>
    </xf>
    <xf numFmtId="0" fontId="17" fillId="0" borderId="1" xfId="80" applyFont="1" applyFill="1" applyBorder="1" applyAlignment="1" applyProtection="1">
      <alignment horizontal="left" vertical="center" wrapText="1"/>
      <protection locked="0"/>
    </xf>
    <xf numFmtId="0" fontId="18" fillId="0" borderId="1" xfId="80" applyFont="1" applyFill="1" applyBorder="1" applyAlignment="1" applyProtection="1">
      <alignment horizontal="center" vertical="center" wrapText="1"/>
      <protection locked="0"/>
    </xf>
    <xf numFmtId="0" fontId="16" fillId="0" borderId="1" xfId="80" applyFont="1" applyFill="1" applyBorder="1" applyAlignment="1" applyProtection="1">
      <alignment horizontal="left" vertical="center" wrapText="1"/>
      <protection locked="0"/>
    </xf>
    <xf numFmtId="0" fontId="27" fillId="0" borderId="1" xfId="80" applyFont="1" applyFill="1" applyBorder="1" applyAlignment="1" applyProtection="1">
      <alignment horizontal="center" vertical="center" wrapText="1"/>
      <protection locked="0"/>
    </xf>
    <xf numFmtId="0" fontId="16" fillId="0" borderId="1" xfId="80" applyFont="1" applyFill="1" applyBorder="1" applyAlignment="1" applyProtection="1">
      <alignment horizontal="center" vertical="center"/>
      <protection locked="0"/>
    </xf>
    <xf numFmtId="43" fontId="17" fillId="0" borderId="1" xfId="80" applyNumberFormat="1" applyFont="1" applyFill="1" applyBorder="1" applyAlignment="1" applyProtection="1">
      <alignment horizontal="center" vertical="center" wrapText="1"/>
      <protection locked="0"/>
    </xf>
    <xf numFmtId="0" fontId="17" fillId="0" borderId="1" xfId="80" applyFont="1" applyFill="1" applyBorder="1" applyAlignment="1" applyProtection="1">
      <alignment horizontal="center" vertical="center" wrapText="1"/>
      <protection locked="0"/>
    </xf>
    <xf numFmtId="0" fontId="7" fillId="0" borderId="1" xfId="80" applyFont="1" applyFill="1" applyBorder="1" applyAlignment="1" applyProtection="1">
      <alignment horizontal="center" vertical="center" wrapText="1"/>
      <protection locked="0"/>
    </xf>
    <xf numFmtId="0" fontId="13" fillId="0" borderId="1" xfId="83" applyFont="1" applyFill="1" applyBorder="1" applyAlignment="1">
      <alignment horizontal="center" vertical="center" wrapText="1"/>
    </xf>
    <xf numFmtId="0" fontId="6" fillId="0" borderId="1" xfId="80" applyFont="1" applyFill="1" applyBorder="1" applyAlignment="1" applyProtection="1">
      <alignment horizontal="left" vertical="center" wrapText="1"/>
      <protection locked="0"/>
    </xf>
    <xf numFmtId="0" fontId="8" fillId="0" borderId="1" xfId="80" applyFont="1" applyFill="1" applyBorder="1" applyAlignment="1" applyProtection="1">
      <alignment horizontal="center" vertical="center" wrapText="1"/>
      <protection locked="0"/>
    </xf>
    <xf numFmtId="0" fontId="7" fillId="0" borderId="1" xfId="0" applyFont="1" applyFill="1" applyBorder="1" applyAlignment="1">
      <alignment vertical="center" wrapText="1"/>
    </xf>
    <xf numFmtId="49" fontId="6" fillId="0" borderId="1" xfId="80" applyNumberFormat="1" applyFont="1" applyFill="1" applyBorder="1" applyAlignment="1" applyProtection="1">
      <alignment horizontal="left" vertical="center"/>
      <protection locked="0"/>
    </xf>
    <xf numFmtId="0" fontId="15" fillId="0" borderId="1" xfId="80" applyFont="1" applyFill="1" applyBorder="1" applyAlignment="1" applyProtection="1">
      <alignment horizontal="left" vertical="center" wrapText="1"/>
      <protection locked="0"/>
    </xf>
    <xf numFmtId="0" fontId="5" fillId="0" borderId="1" xfId="0" applyFont="1" applyFill="1" applyBorder="1" applyAlignment="1">
      <alignment horizontal="left" vertical="center"/>
    </xf>
    <xf numFmtId="0" fontId="25" fillId="0" borderId="1" xfId="80" applyFont="1" applyFill="1" applyBorder="1" applyAlignment="1" applyProtection="1">
      <alignment horizontal="left" vertical="center" wrapText="1" indent="2"/>
      <protection locked="0"/>
    </xf>
    <xf numFmtId="0" fontId="26" fillId="0" borderId="1" xfId="80" applyFont="1" applyFill="1" applyBorder="1" applyAlignment="1" applyProtection="1">
      <alignment horizontal="left" vertical="center" wrapText="1" indent="2"/>
      <protection locked="0"/>
    </xf>
    <xf numFmtId="0" fontId="17" fillId="0" borderId="1" xfId="80" applyFont="1" applyFill="1" applyBorder="1" applyAlignment="1" applyProtection="1">
      <alignment horizontal="left" vertical="center" wrapText="1" indent="4"/>
      <protection locked="0"/>
    </xf>
    <xf numFmtId="0" fontId="18" fillId="0" borderId="1" xfId="80" applyFont="1" applyFill="1" applyBorder="1" applyAlignment="1" applyProtection="1">
      <alignment horizontal="left" vertical="center" wrapText="1" indent="4"/>
      <protection locked="0"/>
    </xf>
    <xf numFmtId="0" fontId="21" fillId="0" borderId="1" xfId="80" applyFont="1" applyFill="1" applyBorder="1" applyAlignment="1" applyProtection="1">
      <alignment horizontal="left" vertical="center" wrapText="1"/>
      <protection locked="0"/>
    </xf>
    <xf numFmtId="0" fontId="17" fillId="0" borderId="1" xfId="0" applyFont="1" applyFill="1" applyBorder="1" applyAlignment="1">
      <alignment horizontal="left" vertical="center" wrapText="1"/>
    </xf>
    <xf numFmtId="0" fontId="18" fillId="0" borderId="1" xfId="0" applyFont="1" applyFill="1" applyBorder="1" applyAlignment="1">
      <alignment horizontal="center" vertical="center" wrapText="1"/>
    </xf>
    <xf numFmtId="0" fontId="5" fillId="7" borderId="1" xfId="80" applyFont="1" applyFill="1" applyBorder="1" applyAlignment="1" applyProtection="1">
      <alignment vertical="center" wrapText="1"/>
      <protection locked="0"/>
    </xf>
    <xf numFmtId="43" fontId="5" fillId="7" borderId="1" xfId="81" applyNumberFormat="1" applyFont="1" applyFill="1" applyBorder="1" applyAlignment="1" applyProtection="1">
      <alignment horizontal="center" vertical="center" wrapText="1"/>
      <protection locked="0"/>
    </xf>
    <xf numFmtId="0" fontId="28" fillId="0" borderId="1" xfId="80" applyFont="1" applyFill="1" applyBorder="1" applyAlignment="1" applyProtection="1">
      <alignment horizontal="left" vertical="center" wrapText="1" indent="4"/>
      <protection locked="0"/>
    </xf>
    <xf numFmtId="0" fontId="29" fillId="0" borderId="1" xfId="80" applyFont="1" applyFill="1" applyBorder="1" applyAlignment="1" applyProtection="1">
      <alignment horizontal="left" vertical="center" wrapText="1" indent="4"/>
      <protection locked="0"/>
    </xf>
    <xf numFmtId="0" fontId="6" fillId="0" borderId="1" xfId="80" applyFont="1" applyFill="1" applyBorder="1" applyAlignment="1" applyProtection="1">
      <alignment horizontal="left" vertical="center" wrapText="1" indent="4"/>
      <protection locked="0"/>
    </xf>
    <xf numFmtId="0" fontId="25" fillId="0" borderId="1" xfId="80" applyFont="1" applyFill="1" applyBorder="1" applyAlignment="1" applyProtection="1">
      <alignment horizontal="left" vertical="center" wrapText="1" indent="4"/>
      <protection locked="0"/>
    </xf>
    <xf numFmtId="0" fontId="26" fillId="0" borderId="1" xfId="80" applyFont="1" applyFill="1" applyBorder="1" applyAlignment="1" applyProtection="1">
      <alignment horizontal="left" vertical="center" wrapText="1" indent="4"/>
      <protection locked="0"/>
    </xf>
    <xf numFmtId="0" fontId="28" fillId="0" borderId="1" xfId="80" applyFont="1" applyBorder="1" applyAlignment="1" applyProtection="1">
      <alignment horizontal="left" vertical="center" wrapText="1" indent="4"/>
      <protection locked="0"/>
    </xf>
    <xf numFmtId="0" fontId="29" fillId="0" borderId="1" xfId="80" applyFont="1" applyBorder="1" applyAlignment="1" applyProtection="1">
      <alignment horizontal="left" vertical="center" wrapText="1" indent="4"/>
      <protection locked="0"/>
    </xf>
    <xf numFmtId="0" fontId="17" fillId="0" borderId="1" xfId="80" applyFont="1" applyBorder="1" applyAlignment="1" applyProtection="1">
      <alignment horizontal="left" vertical="center" wrapText="1" indent="5"/>
      <protection locked="0"/>
    </xf>
    <xf numFmtId="0" fontId="18" fillId="0" borderId="1" xfId="80" applyFont="1" applyBorder="1" applyAlignment="1" applyProtection="1">
      <alignment horizontal="left" vertical="center" wrapText="1" indent="5"/>
      <protection locked="0"/>
    </xf>
    <xf numFmtId="0" fontId="28" fillId="0" borderId="1" xfId="0" applyFont="1" applyFill="1" applyBorder="1" applyAlignment="1">
      <alignment horizontal="left" vertical="center" wrapText="1" indent="4"/>
    </xf>
    <xf numFmtId="0" fontId="29" fillId="0" borderId="1" xfId="0" applyFont="1" applyFill="1" applyBorder="1" applyAlignment="1">
      <alignment horizontal="left" vertical="center" wrapText="1" indent="4"/>
    </xf>
    <xf numFmtId="0" fontId="17" fillId="0" borderId="1" xfId="0" applyFont="1" applyFill="1" applyBorder="1" applyAlignment="1">
      <alignment horizontal="left" vertical="center" wrapText="1" indent="6"/>
    </xf>
    <xf numFmtId="0" fontId="18" fillId="0" borderId="1" xfId="0" applyFont="1" applyFill="1" applyBorder="1" applyAlignment="1">
      <alignment horizontal="left" vertical="center" wrapText="1" indent="6"/>
    </xf>
    <xf numFmtId="0" fontId="17" fillId="0" borderId="1" xfId="0" applyFont="1" applyFill="1" applyBorder="1" applyAlignment="1">
      <alignment horizontal="left" vertical="center" wrapText="1" indent="3"/>
    </xf>
    <xf numFmtId="0" fontId="18" fillId="0" borderId="1" xfId="0" applyFont="1" applyFill="1" applyBorder="1" applyAlignment="1">
      <alignment horizontal="left" vertical="center" wrapText="1" indent="3"/>
    </xf>
    <xf numFmtId="0" fontId="10" fillId="0" borderId="1" xfId="0" applyFont="1" applyFill="1" applyBorder="1" applyAlignment="1">
      <alignment horizontal="left" vertical="center" wrapText="1" indent="1"/>
    </xf>
    <xf numFmtId="182" fontId="3" fillId="4" borderId="1" xfId="0" applyNumberFormat="1" applyFont="1" applyFill="1" applyBorder="1" applyAlignment="1">
      <alignment vertical="center"/>
    </xf>
    <xf numFmtId="0" fontId="30" fillId="0" borderId="0" xfId="0" applyFont="1" applyFill="1" applyAlignment="1"/>
    <xf numFmtId="0" fontId="30" fillId="8" borderId="0" xfId="0" applyFont="1" applyFill="1" applyAlignment="1"/>
    <xf numFmtId="0" fontId="30" fillId="0" borderId="0" xfId="0" applyFont="1" applyFill="1" applyAlignment="1">
      <alignment horizontal="center" vertical="center"/>
    </xf>
    <xf numFmtId="0" fontId="30" fillId="0" borderId="0" xfId="0" applyFont="1" applyFill="1" applyAlignment="1">
      <alignment horizontal="center" vertical="center" wrapText="1"/>
    </xf>
    <xf numFmtId="182" fontId="30" fillId="0" borderId="0" xfId="0" applyNumberFormat="1" applyFont="1" applyFill="1" applyAlignment="1"/>
    <xf numFmtId="0" fontId="31" fillId="0" borderId="0" xfId="0" applyFont="1" applyFill="1" applyAlignment="1">
      <alignment horizontal="center" vertical="center"/>
    </xf>
    <xf numFmtId="0" fontId="32" fillId="0" borderId="1" xfId="0" applyFont="1" applyFill="1" applyBorder="1" applyAlignment="1">
      <alignment horizontal="center" vertical="center"/>
    </xf>
    <xf numFmtId="0" fontId="32" fillId="0" borderId="1" xfId="0" applyFont="1" applyFill="1" applyBorder="1" applyAlignment="1">
      <alignment horizontal="center" vertical="center" wrapText="1"/>
    </xf>
    <xf numFmtId="182" fontId="32" fillId="0" borderId="1" xfId="0" applyNumberFormat="1" applyFont="1" applyFill="1" applyBorder="1" applyAlignment="1">
      <alignment horizontal="center" vertical="center"/>
    </xf>
    <xf numFmtId="0" fontId="32" fillId="2" borderId="1" xfId="0" applyFont="1" applyFill="1" applyBorder="1" applyAlignment="1">
      <alignment horizontal="center" vertical="center"/>
    </xf>
    <xf numFmtId="0" fontId="32" fillId="2" borderId="1" xfId="0" applyFont="1" applyFill="1" applyBorder="1" applyAlignment="1">
      <alignment horizontal="center" vertical="center" wrapText="1"/>
    </xf>
    <xf numFmtId="182" fontId="32" fillId="2" borderId="1" xfId="0" applyNumberFormat="1" applyFont="1" applyFill="1" applyBorder="1" applyAlignment="1">
      <alignment horizontal="center" vertical="center"/>
    </xf>
    <xf numFmtId="182" fontId="30" fillId="2" borderId="1" xfId="0" applyNumberFormat="1" applyFont="1" applyFill="1" applyBorder="1" applyAlignment="1">
      <alignment horizontal="center" vertical="center"/>
    </xf>
    <xf numFmtId="0" fontId="32" fillId="8" borderId="1" xfId="0" applyFont="1" applyFill="1" applyBorder="1" applyAlignment="1">
      <alignment horizontal="center" vertical="center"/>
    </xf>
    <xf numFmtId="0" fontId="32" fillId="8" borderId="1" xfId="0" applyFont="1" applyFill="1" applyBorder="1" applyAlignment="1">
      <alignment horizontal="center" vertical="center" wrapText="1"/>
    </xf>
    <xf numFmtId="182" fontId="30" fillId="8" borderId="1" xfId="0" applyNumberFormat="1" applyFont="1" applyFill="1" applyBorder="1" applyAlignment="1">
      <alignment horizontal="center" vertical="center"/>
    </xf>
    <xf numFmtId="0" fontId="30" fillId="9" borderId="1" xfId="0" applyFont="1" applyFill="1" applyBorder="1" applyAlignment="1">
      <alignment horizontal="center" vertical="center"/>
    </xf>
    <xf numFmtId="0" fontId="32" fillId="9" borderId="1" xfId="0" applyFont="1" applyFill="1" applyBorder="1" applyAlignment="1">
      <alignment horizontal="center" vertical="center" wrapText="1"/>
    </xf>
    <xf numFmtId="182" fontId="32" fillId="9" borderId="1" xfId="0" applyNumberFormat="1" applyFont="1" applyFill="1" applyBorder="1" applyAlignment="1">
      <alignment vertical="center"/>
    </xf>
    <xf numFmtId="0" fontId="30" fillId="0" borderId="1" xfId="0" applyFont="1" applyFill="1" applyBorder="1" applyAlignment="1">
      <alignment horizontal="center" vertical="center"/>
    </xf>
    <xf numFmtId="182" fontId="32" fillId="0" borderId="1" xfId="0" applyNumberFormat="1" applyFont="1" applyFill="1" applyBorder="1" applyAlignment="1">
      <alignment vertical="center"/>
    </xf>
    <xf numFmtId="0" fontId="30" fillId="0" borderId="1" xfId="0" applyFont="1" applyFill="1" applyBorder="1" applyAlignment="1">
      <alignment horizontal="center" vertical="center" wrapText="1"/>
    </xf>
    <xf numFmtId="182" fontId="30" fillId="0" borderId="1" xfId="0" applyNumberFormat="1" applyFont="1" applyFill="1" applyBorder="1" applyAlignment="1"/>
    <xf numFmtId="49" fontId="6" fillId="0" borderId="1" xfId="80" applyNumberFormat="1" applyFont="1" applyFill="1" applyBorder="1" applyAlignment="1" applyProtection="1" quotePrefix="1">
      <alignment horizontal="left" vertical="center" wrapText="1" indent="1"/>
      <protection locked="0"/>
    </xf>
    <xf numFmtId="0" fontId="17" fillId="0" borderId="1" xfId="80" applyFont="1" applyFill="1" applyBorder="1" applyAlignment="1" applyProtection="1" quotePrefix="1">
      <alignment horizontal="left" vertical="center" wrapText="1" indent="2"/>
      <protection locked="0"/>
    </xf>
    <xf numFmtId="0" fontId="17" fillId="0" borderId="1" xfId="80" applyFont="1" applyBorder="1" applyAlignment="1" applyProtection="1" quotePrefix="1">
      <alignment horizontal="left" vertical="center" wrapText="1" indent="1"/>
      <protection locked="0"/>
    </xf>
    <xf numFmtId="0" fontId="17" fillId="0" borderId="1" xfId="80" applyFont="1" applyFill="1" applyBorder="1" applyAlignment="1" applyProtection="1" quotePrefix="1">
      <alignment horizontal="left" vertical="center" wrapText="1" indent="1"/>
      <protection locked="0"/>
    </xf>
  </cellXfs>
  <cellStyles count="11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千位分隔 4" xfId="49"/>
    <cellStyle name="常规 6" xfId="50"/>
    <cellStyle name="常规 2 3" xfId="51"/>
    <cellStyle name="常规_Sheet1" xfId="52"/>
    <cellStyle name="常规 10 2 2 2 2 2 2 2 2 2" xfId="53"/>
    <cellStyle name="常规 2" xfId="54"/>
    <cellStyle name="千位分隔 2 2 4 2 3" xfId="55"/>
    <cellStyle name="千位分隔 2" xfId="56"/>
    <cellStyle name="百分比 2" xfId="57"/>
    <cellStyle name="常规 2 2" xfId="58"/>
    <cellStyle name="常规 100 3" xfId="59"/>
    <cellStyle name="常规 2 28" xfId="60"/>
    <cellStyle name="常规 108" xfId="61"/>
    <cellStyle name="常规 3 4" xfId="62"/>
    <cellStyle name="千位分隔 3 3" xfId="63"/>
    <cellStyle name="常规 2 4 2" xfId="64"/>
    <cellStyle name="常规_工程量--路" xfId="65"/>
    <cellStyle name="常规 2 2 6" xfId="66"/>
    <cellStyle name="常规 4 3" xfId="67"/>
    <cellStyle name="常规_劳动力使用计划表3" xfId="68"/>
    <cellStyle name="常规_劳动力使用计划表3_人员配置_1" xfId="69"/>
    <cellStyle name="常规_劳动力使用计划表3_人员配置_2" xfId="70"/>
    <cellStyle name="Normal 2" xfId="71"/>
    <cellStyle name="Normal 3 2" xfId="72"/>
    <cellStyle name="常规 13 2" xfId="73"/>
    <cellStyle name="常规_成本测算 A标段 调整2" xfId="74"/>
    <cellStyle name="百分比 6" xfId="75"/>
    <cellStyle name="常规 63 2 3" xfId="76"/>
    <cellStyle name="常规 3" xfId="77"/>
    <cellStyle name="常规 100" xfId="78"/>
    <cellStyle name="千位分隔 14" xfId="79"/>
    <cellStyle name="一般 2" xfId="80"/>
    <cellStyle name="千分位 2" xfId="81"/>
    <cellStyle name="Comma 4" xfId="82"/>
    <cellStyle name="Normal_06 Pavements" xfId="83"/>
    <cellStyle name="常规 19 4" xfId="84"/>
    <cellStyle name="常规 10" xfId="85"/>
    <cellStyle name="Normal 8" xfId="86"/>
    <cellStyle name="常规 100 2" xfId="87"/>
    <cellStyle name="常规 4 2 2" xfId="88"/>
    <cellStyle name="常规_劳动力使用计划表3 2" xfId="89"/>
    <cellStyle name="常规 3 4 2" xfId="90"/>
    <cellStyle name="常规 10 3" xfId="91"/>
    <cellStyle name="常规 2 8 5 3 2" xfId="92"/>
    <cellStyle name="常规 4 2 2 2" xfId="93"/>
    <cellStyle name="常规_劳动力使用计划表3 3" xfId="94"/>
    <cellStyle name="常规 68 3" xfId="95"/>
    <cellStyle name="常规 72 2" xfId="96"/>
    <cellStyle name="常规 5 3" xfId="97"/>
    <cellStyle name="常规_人员调遣费_10.15局汇报材料 成本报价法--陆域部分 2(version 2)" xfId="98"/>
    <cellStyle name="常规 2 7" xfId="99"/>
    <cellStyle name="常规_2.塞拉利昂陆域部分-工程开办费 -11-24" xfId="100"/>
    <cellStyle name="常规 5 3 5" xfId="101"/>
    <cellStyle name="常规 11 2" xfId="102"/>
    <cellStyle name="常规_2004船机台班费用定额" xfId="103"/>
    <cellStyle name="百分比 2 7" xfId="104"/>
    <cellStyle name="常规 5" xfId="105"/>
    <cellStyle name="常规 2 2 2" xfId="106"/>
    <cellStyle name="常规_复件 马里公路标-2 2" xfId="107"/>
    <cellStyle name="常规 12 2" xfId="108"/>
    <cellStyle name="常规_Sheet3" xfId="109"/>
    <cellStyle name="常规 3 11" xfId="110"/>
    <cellStyle name="Normal 2 2" xfId="111"/>
    <cellStyle name="常规 4" xfId="112"/>
  </cellStyles>
  <tableStyles count="0" defaultTableStyle="TableStyleMedium2" defaultPivotStyle="PivotStyleLight16"/>
  <colors>
    <mruColors>
      <color rgb="0092D050"/>
      <color rgb="00FFC000"/>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605" Type="http://schemas.openxmlformats.org/officeDocument/2006/relationships/styles" Target="styles.xml" /><Relationship Id="rId604" Type="http://schemas.openxmlformats.org/officeDocument/2006/relationships/sharedStrings" Target="sharedStrings.xml" /><Relationship Id="rId603" Type="http://schemas.openxmlformats.org/officeDocument/2006/relationships/theme" Target="theme/theme1.xml" /><Relationship Id="rId5" Type="http://schemas.openxmlformats.org/officeDocument/2006/relationships/customXml" Target="../customXml/item3.xml" /><Relationship Id="rId4" Type="http://schemas.openxmlformats.org/officeDocument/2006/relationships/customXml" Target="../customXml/item2.xml" /><Relationship Id="rId3" Type="http://schemas.openxmlformats.org/officeDocument/2006/relationships/customXml" Target="../customXml/item1.xml" /><Relationship Id="rId2" Type="http://schemas.openxmlformats.org/officeDocument/2006/relationships/worksheet" Target="worksheets/sheet2.xml" /><Relationship Id="rId1"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D16"/>
  <sheetViews>
    <sheetView topLeftCell="B1" workbookViewId="0">
      <selection activeCell="D27" sqref="D27"/>
    </sheetView>
  </sheetViews>
  <sheetFormatPr defaultColWidth="7.27407407407407" defaultRowHeight="13.5" outlineLevelCol="3"/>
  <cols>
    <col min="1" max="1" width="7.27407407407407" style="269"/>
    <col min="2" max="2" width="7.27407407407407" style="271"/>
    <col min="3" max="3" width="28.2740740740741" style="272" customWidth="1"/>
    <col min="4" max="4" width="18.0148148148148" style="273" customWidth="1"/>
    <col min="5" max="16384" width="7.27407407407407" style="269"/>
  </cols>
  <sheetData>
    <row r="1" ht="32" customHeight="1" spans="2:4">
      <c r="B1" s="274" t="s">
        <v>0</v>
      </c>
      <c r="C1" s="274"/>
      <c r="D1" s="274"/>
    </row>
    <row r="2" s="269" customFormat="1" ht="23" customHeight="1" spans="2:4">
      <c r="B2" s="275" t="s">
        <v>1</v>
      </c>
      <c r="C2" s="276" t="s">
        <v>2</v>
      </c>
      <c r="D2" s="277" t="s">
        <v>3</v>
      </c>
    </row>
    <row r="3" s="269" customFormat="1" ht="20" customHeight="1" spans="2:4">
      <c r="B3" s="275"/>
      <c r="C3" s="276"/>
      <c r="D3" s="277" t="s">
        <v>4</v>
      </c>
    </row>
    <row r="4" s="269" customFormat="1" ht="20" customHeight="1" spans="2:4">
      <c r="B4" s="278" t="s">
        <v>5</v>
      </c>
      <c r="C4" s="279" t="s">
        <v>6</v>
      </c>
      <c r="D4" s="280">
        <f>'清单 '!H96</f>
        <v>88722</v>
      </c>
    </row>
    <row r="5" s="269" customFormat="1" ht="20" customHeight="1" spans="2:4">
      <c r="B5" s="278" t="s">
        <v>7</v>
      </c>
      <c r="C5" s="279" t="s">
        <v>8</v>
      </c>
      <c r="D5" s="280"/>
    </row>
    <row r="6" s="269" customFormat="1" ht="20" customHeight="1" spans="2:4">
      <c r="B6" s="278" t="s">
        <v>9</v>
      </c>
      <c r="C6" s="279" t="s">
        <v>10</v>
      </c>
      <c r="D6" s="280">
        <f>'清单 '!H177</f>
        <v>16476810</v>
      </c>
    </row>
    <row r="7" s="269" customFormat="1" ht="24" customHeight="1" spans="2:4">
      <c r="B7" s="278" t="s">
        <v>11</v>
      </c>
      <c r="C7" s="279" t="s">
        <v>12</v>
      </c>
      <c r="D7" s="281">
        <f>'清单 '!H416-D8</f>
        <v>50033437</v>
      </c>
    </row>
    <row r="8" s="269" customFormat="1" ht="24" customHeight="1" spans="2:4">
      <c r="B8" s="278"/>
      <c r="C8" s="279" t="s">
        <v>13</v>
      </c>
      <c r="D8" s="281">
        <f>SUM('清单 '!H353:H364)</f>
        <v>23514886</v>
      </c>
    </row>
    <row r="9" s="269" customFormat="1" ht="24" customHeight="1" spans="2:4">
      <c r="B9" s="278" t="s">
        <v>14</v>
      </c>
      <c r="C9" s="279" t="s">
        <v>15</v>
      </c>
      <c r="D9" s="281">
        <f>'清单 '!H1127</f>
        <v>29471443</v>
      </c>
    </row>
    <row r="10" s="270" customFormat="1" ht="24" customHeight="1" spans="2:4">
      <c r="B10" s="282" t="s">
        <v>16</v>
      </c>
      <c r="C10" s="283" t="s">
        <v>17</v>
      </c>
      <c r="D10" s="284">
        <f>'清单 '!H1405</f>
        <v>14606322</v>
      </c>
    </row>
    <row r="11" s="269" customFormat="1" ht="22" customHeight="1" spans="2:4">
      <c r="B11" s="285" t="s">
        <v>18</v>
      </c>
      <c r="C11" s="286" t="s">
        <v>19</v>
      </c>
      <c r="D11" s="287">
        <f>'清单 '!H1995</f>
        <v>1119479</v>
      </c>
    </row>
    <row r="12" s="269" customFormat="1" ht="22" customHeight="1" spans="2:4">
      <c r="B12" s="285" t="s">
        <v>20</v>
      </c>
      <c r="C12" s="286" t="s">
        <v>21</v>
      </c>
      <c r="D12" s="287">
        <f>'清单 '!H2148</f>
        <v>1977668</v>
      </c>
    </row>
    <row r="13" s="269" customFormat="1" ht="22" customHeight="1" spans="2:4">
      <c r="B13" s="285"/>
      <c r="C13" s="286" t="s">
        <v>22</v>
      </c>
      <c r="D13" s="287">
        <f>SUM(D4:D12)</f>
        <v>137288767</v>
      </c>
    </row>
    <row r="14" s="269" customFormat="1" ht="22" customHeight="1" spans="2:4">
      <c r="B14" s="288"/>
      <c r="C14" s="276" t="s">
        <v>23</v>
      </c>
      <c r="D14" s="289">
        <v>11685729.95</v>
      </c>
    </row>
    <row r="15" s="269" customFormat="1" ht="22" customHeight="1" spans="2:4">
      <c r="B15" s="288"/>
      <c r="C15" s="276" t="s">
        <v>24</v>
      </c>
      <c r="D15" s="289">
        <f>SUM(D13:D14)</f>
        <v>148974496.95</v>
      </c>
    </row>
    <row r="16" s="269" customFormat="1" ht="22" customHeight="1" spans="2:4">
      <c r="B16" s="288"/>
      <c r="C16" s="290"/>
      <c r="D16" s="291"/>
    </row>
  </sheetData>
  <mergeCells count="3">
    <mergeCell ref="B1:D1"/>
    <mergeCell ref="B2:B3"/>
    <mergeCell ref="C2:C3"/>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pageSetUpPr autoPageBreaks="0"/>
  </sheetPr>
  <dimension ref="A1:XDU2148"/>
  <sheetViews>
    <sheetView showZeros="0" tabSelected="1" zoomScale="85" zoomScaleNormal="85" workbookViewId="0">
      <pane xSplit="4" ySplit="3" topLeftCell="E2120" activePane="bottomRight" state="frozen"/>
      <selection/>
      <selection pane="topRight"/>
      <selection pane="bottomLeft"/>
      <selection pane="bottomRight" activeCell="C2146" sqref="C2146"/>
    </sheetView>
  </sheetViews>
  <sheetFormatPr defaultColWidth="7.61481481481481" defaultRowHeight="16" customHeight="1"/>
  <cols>
    <col min="1" max="1" width="7.61481481481481" style="7"/>
    <col min="2" max="2" width="6.98518518518518" style="8" customWidth="1"/>
    <col min="3" max="3" width="27.7555555555556" style="9" customWidth="1"/>
    <col min="4" max="4" width="27.4518518518519" style="10" customWidth="1"/>
    <col min="5" max="5" width="9.45925925925926" style="11" customWidth="1"/>
    <col min="6" max="6" width="11.162962962963" style="11" customWidth="1"/>
    <col min="7" max="8" width="16.9333333333333" style="12" customWidth="1"/>
    <col min="9" max="16296" width="7.61481481481481" style="1"/>
    <col min="16297" max="16384" width="7.61481481481481" style="13"/>
  </cols>
  <sheetData>
    <row r="1" s="1" customFormat="1" customHeight="1" spans="1:8">
      <c r="A1" s="8"/>
      <c r="B1" s="14" t="s">
        <v>25</v>
      </c>
      <c r="C1" s="14"/>
      <c r="D1" s="14"/>
      <c r="E1" s="14"/>
      <c r="F1" s="15"/>
      <c r="G1" s="16"/>
      <c r="H1" s="16"/>
    </row>
    <row r="2" s="1" customFormat="1" customHeight="1" spans="1:8">
      <c r="A2" s="8"/>
      <c r="B2" s="17" t="s">
        <v>26</v>
      </c>
      <c r="C2" s="18" t="s">
        <v>27</v>
      </c>
      <c r="D2" s="18" t="s">
        <v>28</v>
      </c>
      <c r="E2" s="18" t="s">
        <v>29</v>
      </c>
      <c r="F2" s="18" t="s">
        <v>30</v>
      </c>
      <c r="G2" s="19"/>
      <c r="H2" s="20"/>
    </row>
    <row r="3" s="1" customFormat="1" customHeight="1" spans="1:8">
      <c r="A3" s="8"/>
      <c r="B3" s="17"/>
      <c r="C3" s="18"/>
      <c r="D3" s="18"/>
      <c r="E3" s="18"/>
      <c r="F3" s="18"/>
      <c r="G3" s="20" t="s">
        <v>31</v>
      </c>
      <c r="H3" s="20" t="s">
        <v>32</v>
      </c>
    </row>
    <row r="4" s="1" customFormat="1" customHeight="1" spans="1:8">
      <c r="A4" s="8"/>
      <c r="B4" s="21"/>
      <c r="C4" s="22"/>
      <c r="D4" s="22"/>
      <c r="E4" s="23"/>
      <c r="F4" s="24"/>
      <c r="G4" s="25"/>
      <c r="H4" s="25"/>
    </row>
    <row r="5" s="1" customFormat="1" customHeight="1" spans="1:8">
      <c r="A5" s="8"/>
      <c r="B5" s="21" t="s">
        <v>33</v>
      </c>
      <c r="C5" s="22" t="s">
        <v>34</v>
      </c>
      <c r="D5" s="22" t="s">
        <v>34</v>
      </c>
      <c r="E5" s="23"/>
      <c r="F5" s="24"/>
      <c r="G5" s="25"/>
      <c r="H5" s="25"/>
    </row>
    <row r="6" s="1" customFormat="1" customHeight="1" spans="1:8">
      <c r="A6" s="8"/>
      <c r="B6" s="26" t="s">
        <v>35</v>
      </c>
      <c r="C6" s="27" t="s">
        <v>36</v>
      </c>
      <c r="D6" s="28" t="s">
        <v>37</v>
      </c>
      <c r="E6" s="29"/>
      <c r="F6" s="30"/>
      <c r="G6" s="25"/>
      <c r="H6" s="25"/>
    </row>
    <row r="7" s="1" customFormat="1" customHeight="1" spans="1:8">
      <c r="A7" s="8"/>
      <c r="B7" s="26" t="s">
        <v>38</v>
      </c>
      <c r="C7" s="31" t="s">
        <v>39</v>
      </c>
      <c r="D7" s="32" t="s">
        <v>40</v>
      </c>
      <c r="E7" s="29" t="s">
        <v>41</v>
      </c>
      <c r="F7" s="33">
        <v>1</v>
      </c>
      <c r="G7" s="25"/>
      <c r="H7" s="25"/>
    </row>
    <row r="8" s="1" customFormat="1" customHeight="1" spans="1:8">
      <c r="A8" s="8"/>
      <c r="B8" s="26" t="s">
        <v>42</v>
      </c>
      <c r="C8" s="31" t="s">
        <v>43</v>
      </c>
      <c r="D8" s="32" t="s">
        <v>44</v>
      </c>
      <c r="E8" s="29" t="s">
        <v>41</v>
      </c>
      <c r="F8" s="33">
        <v>1</v>
      </c>
      <c r="G8" s="25"/>
      <c r="H8" s="25"/>
    </row>
    <row r="9" s="1" customFormat="1" customHeight="1" spans="1:8">
      <c r="A9" s="8"/>
      <c r="B9" s="26" t="s">
        <v>45</v>
      </c>
      <c r="C9" s="31" t="s">
        <v>46</v>
      </c>
      <c r="D9" s="34" t="s">
        <v>47</v>
      </c>
      <c r="E9" s="29" t="s">
        <v>41</v>
      </c>
      <c r="F9" s="33">
        <v>1</v>
      </c>
      <c r="G9" s="25"/>
      <c r="H9" s="25"/>
    </row>
    <row r="10" s="1" customFormat="1" customHeight="1" spans="1:8">
      <c r="A10" s="8"/>
      <c r="B10" s="26" t="s">
        <v>48</v>
      </c>
      <c r="C10" s="31" t="s">
        <v>49</v>
      </c>
      <c r="D10" s="32" t="s">
        <v>50</v>
      </c>
      <c r="E10" s="29" t="s">
        <v>41</v>
      </c>
      <c r="F10" s="33">
        <v>1</v>
      </c>
      <c r="G10" s="25"/>
      <c r="H10" s="25"/>
    </row>
    <row r="11" s="1" customFormat="1" customHeight="1" spans="1:8">
      <c r="A11" s="8"/>
      <c r="B11" s="26" t="s">
        <v>51</v>
      </c>
      <c r="C11" s="31" t="s">
        <v>52</v>
      </c>
      <c r="D11" s="32" t="s">
        <v>53</v>
      </c>
      <c r="E11" s="29" t="s">
        <v>41</v>
      </c>
      <c r="F11" s="33">
        <v>1</v>
      </c>
      <c r="G11" s="25"/>
      <c r="H11" s="25"/>
    </row>
    <row r="12" s="1" customFormat="1" customHeight="1" spans="1:8">
      <c r="A12" s="8"/>
      <c r="B12" s="26" t="s">
        <v>54</v>
      </c>
      <c r="C12" s="31" t="s">
        <v>55</v>
      </c>
      <c r="D12" s="32" t="s">
        <v>56</v>
      </c>
      <c r="E12" s="29" t="s">
        <v>41</v>
      </c>
      <c r="F12" s="33">
        <v>1</v>
      </c>
      <c r="G12" s="25"/>
      <c r="H12" s="25"/>
    </row>
    <row r="13" s="1" customFormat="1" customHeight="1" spans="1:8">
      <c r="A13" s="8"/>
      <c r="B13" s="26" t="s">
        <v>57</v>
      </c>
      <c r="C13" s="31" t="s">
        <v>58</v>
      </c>
      <c r="D13" s="32" t="s">
        <v>59</v>
      </c>
      <c r="E13" s="29" t="s">
        <v>41</v>
      </c>
      <c r="F13" s="33">
        <v>1</v>
      </c>
      <c r="G13" s="25"/>
      <c r="H13" s="25"/>
    </row>
    <row r="14" s="1" customFormat="1" customHeight="1" spans="1:8">
      <c r="A14" s="8"/>
      <c r="B14" s="26" t="s">
        <v>60</v>
      </c>
      <c r="C14" s="31" t="s">
        <v>61</v>
      </c>
      <c r="D14" s="32" t="s">
        <v>62</v>
      </c>
      <c r="E14" s="29" t="s">
        <v>41</v>
      </c>
      <c r="F14" s="33">
        <v>1</v>
      </c>
      <c r="G14" s="25"/>
      <c r="H14" s="25"/>
    </row>
    <row r="15" s="1" customFormat="1" customHeight="1" spans="1:8">
      <c r="A15" s="8"/>
      <c r="B15" s="26" t="s">
        <v>63</v>
      </c>
      <c r="C15" s="31" t="s">
        <v>64</v>
      </c>
      <c r="D15" s="32" t="s">
        <v>65</v>
      </c>
      <c r="E15" s="29" t="s">
        <v>41</v>
      </c>
      <c r="F15" s="33">
        <v>1</v>
      </c>
      <c r="G15" s="25"/>
      <c r="H15" s="25"/>
    </row>
    <row r="16" s="1" customFormat="1" customHeight="1" spans="1:8">
      <c r="A16" s="8"/>
      <c r="B16" s="26" t="s">
        <v>66</v>
      </c>
      <c r="C16" s="31" t="s">
        <v>67</v>
      </c>
      <c r="D16" s="32" t="s">
        <v>68</v>
      </c>
      <c r="E16" s="29"/>
      <c r="F16" s="33"/>
      <c r="G16" s="25"/>
      <c r="H16" s="25"/>
    </row>
    <row r="17" s="1" customFormat="1" customHeight="1" spans="1:8">
      <c r="A17" s="8"/>
      <c r="B17" s="35"/>
      <c r="C17" s="36" t="s">
        <v>69</v>
      </c>
      <c r="D17" s="37" t="s">
        <v>70</v>
      </c>
      <c r="E17" s="29" t="s">
        <v>41</v>
      </c>
      <c r="F17" s="33">
        <v>1</v>
      </c>
      <c r="G17" s="25"/>
      <c r="H17" s="25"/>
    </row>
    <row r="18" s="1" customFormat="1" customHeight="1" spans="1:8">
      <c r="A18" s="8"/>
      <c r="B18" s="26" t="s">
        <v>71</v>
      </c>
      <c r="C18" s="38" t="s">
        <v>72</v>
      </c>
      <c r="D18" s="39" t="s">
        <v>73</v>
      </c>
      <c r="E18" s="29" t="s">
        <v>41</v>
      </c>
      <c r="F18" s="33">
        <v>1</v>
      </c>
      <c r="G18" s="25"/>
      <c r="H18" s="25"/>
    </row>
    <row r="19" s="1" customFormat="1" customHeight="1" spans="1:8">
      <c r="A19" s="8"/>
      <c r="B19" s="26" t="s">
        <v>74</v>
      </c>
      <c r="C19" s="38" t="s">
        <v>75</v>
      </c>
      <c r="D19" s="39" t="s">
        <v>76</v>
      </c>
      <c r="E19" s="29" t="s">
        <v>41</v>
      </c>
      <c r="F19" s="33">
        <v>1</v>
      </c>
      <c r="G19" s="25"/>
      <c r="H19" s="25"/>
    </row>
    <row r="20" s="1" customFormat="1" customHeight="1" spans="1:8">
      <c r="A20" s="8"/>
      <c r="B20" s="26" t="s">
        <v>77</v>
      </c>
      <c r="C20" s="38" t="s">
        <v>78</v>
      </c>
      <c r="D20" s="39" t="s">
        <v>79</v>
      </c>
      <c r="E20" s="29" t="s">
        <v>41</v>
      </c>
      <c r="F20" s="33">
        <v>1</v>
      </c>
      <c r="G20" s="25"/>
      <c r="H20" s="25"/>
    </row>
    <row r="21" s="1" customFormat="1" customHeight="1" spans="1:8">
      <c r="A21" s="8"/>
      <c r="B21" s="40" t="s">
        <v>80</v>
      </c>
      <c r="C21" s="41" t="s">
        <v>81</v>
      </c>
      <c r="D21" s="42" t="s">
        <v>82</v>
      </c>
      <c r="E21" s="29" t="s">
        <v>41</v>
      </c>
      <c r="F21" s="33">
        <v>1</v>
      </c>
      <c r="G21" s="25"/>
      <c r="H21" s="25"/>
    </row>
    <row r="22" s="1" customFormat="1" customHeight="1" spans="1:8">
      <c r="A22" s="8"/>
      <c r="B22" s="26" t="s">
        <v>83</v>
      </c>
      <c r="C22" s="31" t="s">
        <v>84</v>
      </c>
      <c r="D22" s="32" t="s">
        <v>85</v>
      </c>
      <c r="E22" s="29" t="s">
        <v>41</v>
      </c>
      <c r="F22" s="33">
        <v>1</v>
      </c>
      <c r="G22" s="25"/>
      <c r="H22" s="25"/>
    </row>
    <row r="23" s="1" customFormat="1" customHeight="1" spans="1:8">
      <c r="A23" s="8"/>
      <c r="B23" s="26" t="s">
        <v>86</v>
      </c>
      <c r="C23" s="31" t="s">
        <v>87</v>
      </c>
      <c r="D23" s="32" t="s">
        <v>88</v>
      </c>
      <c r="E23" s="29" t="s">
        <v>41</v>
      </c>
      <c r="F23" s="33">
        <v>1</v>
      </c>
      <c r="G23" s="25"/>
      <c r="H23" s="25"/>
    </row>
    <row r="24" s="1" customFormat="1" customHeight="1" spans="1:8">
      <c r="A24" s="8"/>
      <c r="B24" s="26" t="s">
        <v>89</v>
      </c>
      <c r="C24" s="31" t="s">
        <v>90</v>
      </c>
      <c r="D24" s="32" t="s">
        <v>91</v>
      </c>
      <c r="E24" s="29" t="s">
        <v>41</v>
      </c>
      <c r="F24" s="33">
        <v>1</v>
      </c>
      <c r="G24" s="25"/>
      <c r="H24" s="25"/>
    </row>
    <row r="25" s="1" customFormat="1" customHeight="1" spans="1:8">
      <c r="A25" s="8"/>
      <c r="B25" s="26" t="s">
        <v>92</v>
      </c>
      <c r="C25" s="31" t="s">
        <v>93</v>
      </c>
      <c r="D25" s="32" t="s">
        <v>94</v>
      </c>
      <c r="E25" s="29" t="s">
        <v>41</v>
      </c>
      <c r="F25" s="33">
        <v>1</v>
      </c>
      <c r="G25" s="25"/>
      <c r="H25" s="25"/>
    </row>
    <row r="26" s="1" customFormat="1" customHeight="1" spans="1:8">
      <c r="A26" s="8"/>
      <c r="B26" s="26" t="s">
        <v>95</v>
      </c>
      <c r="C26" s="31" t="s">
        <v>96</v>
      </c>
      <c r="D26" s="32" t="s">
        <v>97</v>
      </c>
      <c r="E26" s="29" t="s">
        <v>41</v>
      </c>
      <c r="F26" s="33">
        <v>1</v>
      </c>
      <c r="G26" s="25"/>
      <c r="H26" s="25"/>
    </row>
    <row r="27" s="1" customFormat="1" customHeight="1" spans="1:8">
      <c r="A27" s="8"/>
      <c r="B27" s="26" t="s">
        <v>98</v>
      </c>
      <c r="C27" s="31" t="s">
        <v>99</v>
      </c>
      <c r="D27" s="32" t="s">
        <v>100</v>
      </c>
      <c r="E27" s="29" t="s">
        <v>41</v>
      </c>
      <c r="F27" s="33">
        <v>1</v>
      </c>
      <c r="G27" s="25"/>
      <c r="H27" s="25"/>
    </row>
    <row r="28" s="1" customFormat="1" customHeight="1" spans="1:8">
      <c r="A28" s="8"/>
      <c r="B28" s="26" t="s">
        <v>101</v>
      </c>
      <c r="C28" s="31" t="s">
        <v>102</v>
      </c>
      <c r="D28" s="32" t="s">
        <v>103</v>
      </c>
      <c r="E28" s="29"/>
      <c r="F28" s="33"/>
      <c r="G28" s="25"/>
      <c r="H28" s="25"/>
    </row>
    <row r="29" s="1" customFormat="1" customHeight="1" spans="1:8">
      <c r="A29" s="8"/>
      <c r="B29" s="26" t="s">
        <v>104</v>
      </c>
      <c r="C29" s="43" t="s">
        <v>105</v>
      </c>
      <c r="D29" s="44" t="s">
        <v>106</v>
      </c>
      <c r="E29" s="29" t="s">
        <v>41</v>
      </c>
      <c r="F29" s="33">
        <v>1</v>
      </c>
      <c r="G29" s="25"/>
      <c r="H29" s="25"/>
    </row>
    <row r="30" s="1" customFormat="1" customHeight="1" spans="1:8">
      <c r="A30" s="8"/>
      <c r="B30" s="26" t="s">
        <v>107</v>
      </c>
      <c r="C30" s="43" t="s">
        <v>108</v>
      </c>
      <c r="D30" s="44" t="s">
        <v>109</v>
      </c>
      <c r="E30" s="29" t="s">
        <v>41</v>
      </c>
      <c r="F30" s="33">
        <v>1</v>
      </c>
      <c r="G30" s="25"/>
      <c r="H30" s="25"/>
    </row>
    <row r="31" s="1" customFormat="1" customHeight="1" spans="1:8">
      <c r="A31" s="8"/>
      <c r="B31" s="26" t="s">
        <v>110</v>
      </c>
      <c r="C31" s="43" t="s">
        <v>111</v>
      </c>
      <c r="D31" s="44" t="s">
        <v>112</v>
      </c>
      <c r="E31" s="29" t="s">
        <v>41</v>
      </c>
      <c r="F31" s="33">
        <v>1</v>
      </c>
      <c r="G31" s="25"/>
      <c r="H31" s="25"/>
    </row>
    <row r="32" s="1" customFormat="1" customHeight="1" spans="1:8">
      <c r="A32" s="8"/>
      <c r="B32" s="26" t="s">
        <v>113</v>
      </c>
      <c r="C32" s="43" t="s">
        <v>114</v>
      </c>
      <c r="D32" s="44" t="s">
        <v>115</v>
      </c>
      <c r="E32" s="29" t="s">
        <v>41</v>
      </c>
      <c r="F32" s="33">
        <v>1</v>
      </c>
      <c r="G32" s="25"/>
      <c r="H32" s="25"/>
    </row>
    <row r="33" s="1" customFormat="1" customHeight="1" spans="1:8">
      <c r="A33" s="8"/>
      <c r="B33" s="26" t="s">
        <v>116</v>
      </c>
      <c r="C33" s="43" t="s">
        <v>117</v>
      </c>
      <c r="D33" s="44" t="s">
        <v>15</v>
      </c>
      <c r="E33" s="29" t="s">
        <v>41</v>
      </c>
      <c r="F33" s="33">
        <v>1</v>
      </c>
      <c r="G33" s="25"/>
      <c r="H33" s="25"/>
    </row>
    <row r="34" s="1" customFormat="1" customHeight="1" spans="1:8">
      <c r="A34" s="8"/>
      <c r="B34" s="26" t="s">
        <v>118</v>
      </c>
      <c r="C34" s="43" t="s">
        <v>119</v>
      </c>
      <c r="D34" s="44" t="s">
        <v>120</v>
      </c>
      <c r="E34" s="29" t="s">
        <v>41</v>
      </c>
      <c r="F34" s="33">
        <v>1</v>
      </c>
      <c r="G34" s="25"/>
      <c r="H34" s="25"/>
    </row>
    <row r="35" s="1" customFormat="1" customHeight="1" spans="1:8">
      <c r="A35" s="8"/>
      <c r="B35" s="26" t="s">
        <v>121</v>
      </c>
      <c r="C35" s="43" t="s">
        <v>122</v>
      </c>
      <c r="D35" s="44" t="s">
        <v>123</v>
      </c>
      <c r="E35" s="29" t="s">
        <v>41</v>
      </c>
      <c r="F35" s="33">
        <v>1</v>
      </c>
      <c r="G35" s="25"/>
      <c r="H35" s="25"/>
    </row>
    <row r="36" s="1" customFormat="1" customHeight="1" spans="1:8">
      <c r="A36" s="8"/>
      <c r="B36" s="26" t="s">
        <v>124</v>
      </c>
      <c r="C36" s="43" t="s">
        <v>21</v>
      </c>
      <c r="D36" s="44" t="s">
        <v>125</v>
      </c>
      <c r="E36" s="29" t="s">
        <v>41</v>
      </c>
      <c r="F36" s="33">
        <v>1</v>
      </c>
      <c r="G36" s="25"/>
      <c r="H36" s="25"/>
    </row>
    <row r="37" s="1" customFormat="1" customHeight="1" spans="1:8">
      <c r="A37" s="8"/>
      <c r="B37" s="26" t="s">
        <v>126</v>
      </c>
      <c r="C37" s="43" t="s">
        <v>127</v>
      </c>
      <c r="D37" s="44" t="s">
        <v>128</v>
      </c>
      <c r="E37" s="29" t="s">
        <v>41</v>
      </c>
      <c r="F37" s="33">
        <v>1</v>
      </c>
      <c r="G37" s="25"/>
      <c r="H37" s="25"/>
    </row>
    <row r="38" s="1" customFormat="1" customHeight="1" spans="1:8">
      <c r="A38" s="8"/>
      <c r="B38" s="26" t="s">
        <v>129</v>
      </c>
      <c r="C38" s="43" t="s">
        <v>130</v>
      </c>
      <c r="D38" s="44" t="s">
        <v>131</v>
      </c>
      <c r="E38" s="29" t="s">
        <v>41</v>
      </c>
      <c r="F38" s="33">
        <v>1</v>
      </c>
      <c r="G38" s="25"/>
      <c r="H38" s="25"/>
    </row>
    <row r="39" s="1" customFormat="1" customHeight="1" spans="1:8">
      <c r="A39" s="8"/>
      <c r="B39" s="26" t="s">
        <v>132</v>
      </c>
      <c r="C39" s="31" t="s">
        <v>133</v>
      </c>
      <c r="D39" s="31" t="s">
        <v>134</v>
      </c>
      <c r="E39" s="29" t="s">
        <v>41</v>
      </c>
      <c r="F39" s="33">
        <v>1</v>
      </c>
      <c r="G39" s="25"/>
      <c r="H39" s="25"/>
    </row>
    <row r="40" s="1" customFormat="1" customHeight="1" spans="1:8">
      <c r="A40" s="8"/>
      <c r="B40" s="26" t="s">
        <v>135</v>
      </c>
      <c r="C40" s="31" t="s">
        <v>136</v>
      </c>
      <c r="D40" s="32" t="s">
        <v>137</v>
      </c>
      <c r="E40" s="29" t="s">
        <v>41</v>
      </c>
      <c r="F40" s="33">
        <v>1</v>
      </c>
      <c r="G40" s="25"/>
      <c r="H40" s="25"/>
    </row>
    <row r="41" s="1" customFormat="1" customHeight="1" spans="1:8">
      <c r="A41" s="8"/>
      <c r="B41" s="26" t="s">
        <v>138</v>
      </c>
      <c r="C41" s="31" t="s">
        <v>139</v>
      </c>
      <c r="D41" s="32" t="s">
        <v>140</v>
      </c>
      <c r="E41" s="29"/>
      <c r="F41" s="33"/>
      <c r="G41" s="25"/>
      <c r="H41" s="25"/>
    </row>
    <row r="42" s="1" customFormat="1" customHeight="1" spans="1:8">
      <c r="A42" s="8"/>
      <c r="B42" s="26" t="s">
        <v>141</v>
      </c>
      <c r="C42" s="38" t="s">
        <v>142</v>
      </c>
      <c r="D42" s="39" t="s">
        <v>143</v>
      </c>
      <c r="E42" s="29" t="s">
        <v>41</v>
      </c>
      <c r="F42" s="33">
        <v>1</v>
      </c>
      <c r="G42" s="25"/>
      <c r="H42" s="25"/>
    </row>
    <row r="43" s="1" customFormat="1" customHeight="1" spans="1:8">
      <c r="A43" s="8"/>
      <c r="B43" s="26" t="s">
        <v>144</v>
      </c>
      <c r="C43" s="38" t="s">
        <v>145</v>
      </c>
      <c r="D43" s="39" t="s">
        <v>146</v>
      </c>
      <c r="E43" s="29" t="s">
        <v>41</v>
      </c>
      <c r="F43" s="33">
        <v>1</v>
      </c>
      <c r="G43" s="25"/>
      <c r="H43" s="25"/>
    </row>
    <row r="44" s="1" customFormat="1" customHeight="1" spans="1:8">
      <c r="A44" s="8"/>
      <c r="B44" s="26" t="s">
        <v>147</v>
      </c>
      <c r="C44" s="38" t="s">
        <v>148</v>
      </c>
      <c r="D44" s="39" t="s">
        <v>149</v>
      </c>
      <c r="E44" s="29" t="s">
        <v>41</v>
      </c>
      <c r="F44" s="33">
        <v>1</v>
      </c>
      <c r="G44" s="25"/>
      <c r="H44" s="25"/>
    </row>
    <row r="45" s="1" customFormat="1" customHeight="1" spans="1:8">
      <c r="A45" s="8"/>
      <c r="B45" s="26" t="s">
        <v>150</v>
      </c>
      <c r="C45" s="38" t="s">
        <v>151</v>
      </c>
      <c r="D45" s="39" t="s">
        <v>152</v>
      </c>
      <c r="E45" s="29" t="s">
        <v>41</v>
      </c>
      <c r="F45" s="33">
        <v>1</v>
      </c>
      <c r="G45" s="25"/>
      <c r="H45" s="25"/>
    </row>
    <row r="46" s="1" customFormat="1" customHeight="1" spans="1:8">
      <c r="A46" s="8"/>
      <c r="B46" s="45"/>
      <c r="C46" s="46" t="s">
        <v>153</v>
      </c>
      <c r="D46" s="47" t="s">
        <v>154</v>
      </c>
      <c r="E46" s="48"/>
      <c r="F46" s="49"/>
      <c r="G46" s="25"/>
      <c r="H46" s="25"/>
    </row>
    <row r="47" s="1" customFormat="1" customHeight="1" spans="1:8">
      <c r="A47" s="8"/>
      <c r="B47" s="26"/>
      <c r="C47" s="38"/>
      <c r="D47" s="38"/>
      <c r="E47" s="29"/>
      <c r="F47" s="33"/>
      <c r="G47" s="25"/>
      <c r="H47" s="25"/>
    </row>
    <row r="48" s="1" customFormat="1" customHeight="1" spans="1:8">
      <c r="A48" s="8"/>
      <c r="B48" s="26" t="s">
        <v>155</v>
      </c>
      <c r="C48" s="27" t="s">
        <v>156</v>
      </c>
      <c r="D48" s="28" t="s">
        <v>157</v>
      </c>
      <c r="E48" s="29"/>
      <c r="F48" s="30"/>
      <c r="G48" s="25"/>
      <c r="H48" s="25"/>
    </row>
    <row r="49" s="1" customFormat="1" customHeight="1" spans="1:8">
      <c r="A49" s="8"/>
      <c r="B49" s="26" t="s">
        <v>158</v>
      </c>
      <c r="C49" s="31" t="s">
        <v>159</v>
      </c>
      <c r="D49" s="32" t="s">
        <v>160</v>
      </c>
      <c r="E49" s="29" t="s">
        <v>161</v>
      </c>
      <c r="F49" s="33"/>
      <c r="G49" s="25"/>
      <c r="H49" s="25"/>
    </row>
    <row r="50" s="1" customFormat="1" customHeight="1" spans="1:8">
      <c r="A50" s="8"/>
      <c r="B50" s="26" t="s">
        <v>162</v>
      </c>
      <c r="C50" s="31" t="s">
        <v>163</v>
      </c>
      <c r="D50" s="32" t="s">
        <v>164</v>
      </c>
      <c r="E50" s="29" t="s">
        <v>161</v>
      </c>
      <c r="F50" s="33"/>
      <c r="G50" s="25"/>
      <c r="H50" s="25"/>
    </row>
    <row r="51" s="1" customFormat="1" customHeight="1" spans="1:8">
      <c r="A51" s="8"/>
      <c r="B51" s="26" t="s">
        <v>165</v>
      </c>
      <c r="C51" s="31" t="s">
        <v>166</v>
      </c>
      <c r="D51" s="32" t="s">
        <v>167</v>
      </c>
      <c r="E51" s="29" t="s">
        <v>161</v>
      </c>
      <c r="F51" s="33"/>
      <c r="G51" s="25"/>
      <c r="H51" s="25"/>
    </row>
    <row r="52" s="1" customFormat="1" customHeight="1" spans="1:8">
      <c r="A52" s="8"/>
      <c r="B52" s="26" t="s">
        <v>168</v>
      </c>
      <c r="C52" s="31" t="s">
        <v>169</v>
      </c>
      <c r="D52" s="32" t="s">
        <v>170</v>
      </c>
      <c r="E52" s="29" t="s">
        <v>161</v>
      </c>
      <c r="F52" s="33"/>
      <c r="G52" s="25"/>
      <c r="H52" s="25"/>
    </row>
    <row r="53" s="1" customFormat="1" customHeight="1" spans="1:8">
      <c r="A53" s="8"/>
      <c r="B53" s="26" t="s">
        <v>171</v>
      </c>
      <c r="C53" s="31" t="s">
        <v>172</v>
      </c>
      <c r="D53" s="32" t="s">
        <v>173</v>
      </c>
      <c r="E53" s="29" t="s">
        <v>161</v>
      </c>
      <c r="F53" s="33"/>
      <c r="G53" s="25"/>
      <c r="H53" s="25"/>
    </row>
    <row r="54" s="1" customFormat="1" customHeight="1" spans="1:8">
      <c r="A54" s="8"/>
      <c r="B54" s="26" t="s">
        <v>174</v>
      </c>
      <c r="C54" s="31" t="s">
        <v>175</v>
      </c>
      <c r="D54" s="32" t="s">
        <v>176</v>
      </c>
      <c r="E54" s="29" t="s">
        <v>161</v>
      </c>
      <c r="F54" s="33"/>
      <c r="G54" s="25"/>
      <c r="H54" s="25"/>
    </row>
    <row r="55" s="1" customFormat="1" customHeight="1" spans="1:8">
      <c r="A55" s="8"/>
      <c r="B55" s="26" t="s">
        <v>177</v>
      </c>
      <c r="C55" s="31" t="s">
        <v>178</v>
      </c>
      <c r="D55" s="32" t="s">
        <v>179</v>
      </c>
      <c r="E55" s="29" t="s">
        <v>161</v>
      </c>
      <c r="F55" s="33"/>
      <c r="G55" s="25"/>
      <c r="H55" s="25"/>
    </row>
    <row r="56" s="1" customFormat="1" customHeight="1" spans="1:8">
      <c r="A56" s="8"/>
      <c r="B56" s="26" t="s">
        <v>180</v>
      </c>
      <c r="C56" s="31" t="s">
        <v>181</v>
      </c>
      <c r="D56" s="32" t="s">
        <v>182</v>
      </c>
      <c r="E56" s="29" t="s">
        <v>161</v>
      </c>
      <c r="F56" s="33"/>
      <c r="G56" s="25"/>
      <c r="H56" s="25"/>
    </row>
    <row r="57" s="1" customFormat="1" customHeight="1" spans="1:8">
      <c r="A57" s="8"/>
      <c r="B57" s="26" t="s">
        <v>183</v>
      </c>
      <c r="C57" s="31" t="s">
        <v>184</v>
      </c>
      <c r="D57" s="32" t="s">
        <v>185</v>
      </c>
      <c r="E57" s="29" t="s">
        <v>161</v>
      </c>
      <c r="F57" s="33"/>
      <c r="G57" s="25"/>
      <c r="H57" s="25"/>
    </row>
    <row r="58" s="1" customFormat="1" customHeight="1" spans="1:8">
      <c r="A58" s="8"/>
      <c r="B58" s="26" t="s">
        <v>186</v>
      </c>
      <c r="C58" s="31" t="s">
        <v>187</v>
      </c>
      <c r="D58" s="32" t="s">
        <v>188</v>
      </c>
      <c r="E58" s="29" t="s">
        <v>161</v>
      </c>
      <c r="F58" s="33"/>
      <c r="G58" s="25"/>
      <c r="H58" s="25"/>
    </row>
    <row r="59" s="1" customFormat="1" customHeight="1" spans="1:8">
      <c r="A59" s="8"/>
      <c r="B59" s="45"/>
      <c r="C59" s="46" t="s">
        <v>189</v>
      </c>
      <c r="D59" s="47" t="s">
        <v>190</v>
      </c>
      <c r="E59" s="48"/>
      <c r="F59" s="49"/>
      <c r="G59" s="25"/>
      <c r="H59" s="25"/>
    </row>
    <row r="60" s="1" customFormat="1" customHeight="1" spans="1:8">
      <c r="A60" s="8"/>
      <c r="B60" s="26"/>
      <c r="C60" s="31"/>
      <c r="D60" s="31"/>
      <c r="E60" s="29"/>
      <c r="F60" s="33"/>
      <c r="G60" s="25"/>
      <c r="H60" s="25"/>
    </row>
    <row r="61" s="1" customFormat="1" customHeight="1" spans="1:8">
      <c r="A61" s="8"/>
      <c r="B61" s="26" t="s">
        <v>191</v>
      </c>
      <c r="C61" s="27" t="s">
        <v>192</v>
      </c>
      <c r="D61" s="28" t="s">
        <v>193</v>
      </c>
      <c r="E61" s="29" t="s">
        <v>41</v>
      </c>
      <c r="F61" s="33">
        <v>1</v>
      </c>
      <c r="G61" s="25"/>
      <c r="H61" s="25"/>
    </row>
    <row r="62" s="1" customFormat="1" customHeight="1" spans="1:8">
      <c r="A62" s="8"/>
      <c r="B62" s="26"/>
      <c r="C62" s="27"/>
      <c r="D62" s="27"/>
      <c r="E62" s="29"/>
      <c r="F62" s="30"/>
      <c r="G62" s="25"/>
      <c r="H62" s="25"/>
    </row>
    <row r="63" s="1" customFormat="1" customHeight="1" spans="1:8">
      <c r="A63" s="8"/>
      <c r="B63" s="26"/>
      <c r="C63" s="27"/>
      <c r="D63" s="27"/>
      <c r="E63" s="29"/>
      <c r="F63" s="30"/>
      <c r="G63" s="25"/>
      <c r="H63" s="25"/>
    </row>
    <row r="64" s="1" customFormat="1" customHeight="1" spans="1:8">
      <c r="A64" s="8"/>
      <c r="B64" s="50"/>
      <c r="C64" s="51" t="s">
        <v>194</v>
      </c>
      <c r="D64" s="52" t="s">
        <v>195</v>
      </c>
      <c r="E64" s="53"/>
      <c r="F64" s="50"/>
      <c r="G64" s="25"/>
      <c r="H64" s="25">
        <f>SUM(H6:H63)</f>
        <v>0</v>
      </c>
    </row>
    <row r="65" s="1" customFormat="1" customHeight="1" spans="1:8">
      <c r="A65" s="8"/>
      <c r="B65" s="54"/>
      <c r="C65" s="55"/>
      <c r="D65" s="55"/>
      <c r="E65" s="54"/>
      <c r="F65" s="56"/>
      <c r="G65" s="25"/>
      <c r="H65" s="25"/>
    </row>
    <row r="66" s="2" customFormat="1" customHeight="1" spans="1:8">
      <c r="A66" s="57"/>
      <c r="B66" s="58" t="s">
        <v>196</v>
      </c>
      <c r="C66" s="59" t="s">
        <v>197</v>
      </c>
      <c r="D66" s="60" t="s">
        <v>198</v>
      </c>
      <c r="E66" s="61"/>
      <c r="F66" s="62"/>
      <c r="G66" s="63"/>
      <c r="H66" s="63"/>
    </row>
    <row r="67" s="1" customFormat="1" customHeight="1" spans="1:8">
      <c r="A67" s="8"/>
      <c r="B67" s="26"/>
      <c r="C67" s="27" t="s">
        <v>199</v>
      </c>
      <c r="D67" s="28" t="s">
        <v>200</v>
      </c>
      <c r="E67" s="29"/>
      <c r="F67" s="30"/>
      <c r="G67" s="25"/>
      <c r="H67" s="25"/>
    </row>
    <row r="68" s="1" customFormat="1" customHeight="1" spans="1:8">
      <c r="A68" s="8"/>
      <c r="B68" s="26"/>
      <c r="C68" s="27" t="s">
        <v>201</v>
      </c>
      <c r="D68" s="28" t="s">
        <v>202</v>
      </c>
      <c r="E68" s="64" t="s">
        <v>203</v>
      </c>
      <c r="F68" s="56"/>
      <c r="G68" s="25"/>
      <c r="H68" s="25"/>
    </row>
    <row r="69" s="1" customFormat="1" customHeight="1" spans="1:8">
      <c r="A69" s="8"/>
      <c r="B69" s="26"/>
      <c r="C69" s="65"/>
      <c r="D69" s="65"/>
      <c r="E69" s="29"/>
      <c r="F69" s="30"/>
      <c r="G69" s="25"/>
      <c r="H69" s="25"/>
    </row>
    <row r="70" s="1" customFormat="1" customHeight="1" spans="1:8">
      <c r="A70" s="8"/>
      <c r="B70" s="26" t="s">
        <v>204</v>
      </c>
      <c r="C70" s="27" t="s">
        <v>205</v>
      </c>
      <c r="D70" s="28" t="s">
        <v>206</v>
      </c>
      <c r="E70" s="29"/>
      <c r="F70" s="30"/>
      <c r="G70" s="25"/>
      <c r="H70" s="25"/>
    </row>
    <row r="71" s="1" customFormat="1" customHeight="1" spans="1:8">
      <c r="A71" s="8">
        <f ca="1" t="shared" ref="A70:A73" si="0">COUNTA(OFFSET(A$1,0,0,ROW()-1,1))+1</f>
        <v>1</v>
      </c>
      <c r="B71" s="26" t="s">
        <v>207</v>
      </c>
      <c r="C71" s="38" t="s">
        <v>208</v>
      </c>
      <c r="D71" s="39" t="s">
        <v>209</v>
      </c>
      <c r="E71" s="66" t="s">
        <v>210</v>
      </c>
      <c r="F71" s="67">
        <v>131000</v>
      </c>
      <c r="G71" s="68">
        <v>0.30027</v>
      </c>
      <c r="H71" s="25">
        <f>IFERROR(ROUND(G71*F71,0),0)</f>
        <v>39335</v>
      </c>
    </row>
    <row r="72" s="1" customFormat="1" customHeight="1" spans="1:8">
      <c r="A72" s="8">
        <f ca="1" t="shared" si="0"/>
        <v>2</v>
      </c>
      <c r="B72" s="26" t="s">
        <v>211</v>
      </c>
      <c r="C72" s="38" t="s">
        <v>212</v>
      </c>
      <c r="D72" s="39" t="s">
        <v>213</v>
      </c>
      <c r="E72" s="66" t="s">
        <v>210</v>
      </c>
      <c r="F72" s="67">
        <v>31650</v>
      </c>
      <c r="G72" s="68">
        <v>0.30027</v>
      </c>
      <c r="H72" s="25">
        <f t="shared" ref="H72:H135" si="1">IFERROR(ROUND(G72*F72,0),0)</f>
        <v>9504</v>
      </c>
    </row>
    <row r="73" s="1" customFormat="1" customHeight="1" spans="1:8">
      <c r="A73" s="8">
        <f ca="1" t="shared" si="0"/>
        <v>3</v>
      </c>
      <c r="B73" s="26" t="s">
        <v>214</v>
      </c>
      <c r="C73" s="38" t="s">
        <v>215</v>
      </c>
      <c r="D73" s="39" t="s">
        <v>216</v>
      </c>
      <c r="E73" s="66" t="s">
        <v>210</v>
      </c>
      <c r="F73" s="67">
        <v>8890</v>
      </c>
      <c r="G73" s="68">
        <v>0.30027</v>
      </c>
      <c r="H73" s="25">
        <f t="shared" si="1"/>
        <v>2669</v>
      </c>
    </row>
    <row r="74" s="1" customFormat="1" customHeight="1" spans="1:8">
      <c r="A74" s="8"/>
      <c r="B74" s="45"/>
      <c r="C74" s="46" t="s">
        <v>217</v>
      </c>
      <c r="D74" s="47" t="s">
        <v>218</v>
      </c>
      <c r="E74" s="48"/>
      <c r="F74" s="69"/>
      <c r="G74" s="68">
        <v>0</v>
      </c>
      <c r="H74" s="25">
        <f t="shared" si="1"/>
        <v>0</v>
      </c>
    </row>
    <row r="75" s="1" customFormat="1" customHeight="1" spans="1:8">
      <c r="A75" s="8"/>
      <c r="B75" s="26"/>
      <c r="C75" s="38"/>
      <c r="D75" s="38"/>
      <c r="E75" s="29"/>
      <c r="F75" s="67"/>
      <c r="G75" s="68">
        <v>0</v>
      </c>
      <c r="H75" s="25">
        <f t="shared" si="1"/>
        <v>0</v>
      </c>
    </row>
    <row r="76" s="1" customFormat="1" customHeight="1" spans="1:8">
      <c r="A76" s="8"/>
      <c r="B76" s="26" t="s">
        <v>219</v>
      </c>
      <c r="C76" s="27" t="s">
        <v>220</v>
      </c>
      <c r="D76" s="28" t="s">
        <v>221</v>
      </c>
      <c r="E76" s="29"/>
      <c r="F76" s="67"/>
      <c r="G76" s="68">
        <v>0</v>
      </c>
      <c r="H76" s="25">
        <f t="shared" si="1"/>
        <v>0</v>
      </c>
    </row>
    <row r="77" s="1" customFormat="1" customHeight="1" spans="1:8">
      <c r="A77" s="8">
        <f ca="1" t="shared" ref="A77:A83" si="2">COUNTA(OFFSET(A$1,0,0,ROW()-1,1))+1</f>
        <v>4</v>
      </c>
      <c r="B77" s="26" t="s">
        <v>222</v>
      </c>
      <c r="C77" s="38" t="s">
        <v>223</v>
      </c>
      <c r="D77" s="39" t="s">
        <v>224</v>
      </c>
      <c r="E77" s="29" t="s">
        <v>225</v>
      </c>
      <c r="F77" s="67">
        <v>4140</v>
      </c>
      <c r="G77" s="68">
        <v>3.60324</v>
      </c>
      <c r="H77" s="25">
        <f t="shared" si="1"/>
        <v>14917</v>
      </c>
    </row>
    <row r="78" s="1" customFormat="1" customHeight="1" spans="1:8">
      <c r="A78" s="8">
        <f ca="1" t="shared" si="2"/>
        <v>5</v>
      </c>
      <c r="B78" s="26" t="s">
        <v>226</v>
      </c>
      <c r="C78" s="38" t="s">
        <v>227</v>
      </c>
      <c r="D78" s="39" t="s">
        <v>228</v>
      </c>
      <c r="E78" s="29" t="s">
        <v>41</v>
      </c>
      <c r="F78" s="67">
        <v>1</v>
      </c>
      <c r="G78" s="68">
        <v>9608.64</v>
      </c>
      <c r="H78" s="25">
        <f t="shared" si="1"/>
        <v>9609</v>
      </c>
    </row>
    <row r="79" s="1" customFormat="1" customHeight="1" spans="1:8">
      <c r="A79" s="8">
        <f ca="1" t="shared" si="2"/>
        <v>6</v>
      </c>
      <c r="B79" s="26" t="s">
        <v>229</v>
      </c>
      <c r="C79" s="38" t="s">
        <v>230</v>
      </c>
      <c r="D79" s="39" t="s">
        <v>231</v>
      </c>
      <c r="E79" s="29" t="s">
        <v>225</v>
      </c>
      <c r="F79" s="67">
        <v>290</v>
      </c>
      <c r="G79" s="68">
        <v>3.60324</v>
      </c>
      <c r="H79" s="25">
        <f t="shared" si="1"/>
        <v>1045</v>
      </c>
    </row>
    <row r="80" s="1" customFormat="1" customHeight="1" spans="1:8">
      <c r="A80" s="8">
        <f ca="1" t="shared" si="2"/>
        <v>7</v>
      </c>
      <c r="B80" s="26" t="s">
        <v>232</v>
      </c>
      <c r="C80" s="38" t="s">
        <v>233</v>
      </c>
      <c r="D80" s="39" t="s">
        <v>234</v>
      </c>
      <c r="E80" s="29" t="s">
        <v>225</v>
      </c>
      <c r="F80" s="70">
        <v>1</v>
      </c>
      <c r="G80" s="68">
        <v>4.80432</v>
      </c>
      <c r="H80" s="25">
        <f t="shared" si="1"/>
        <v>5</v>
      </c>
    </row>
    <row r="81" s="1" customFormat="1" customHeight="1" spans="1:1024 1025:16296">
      <c r="A81" s="8">
        <f ca="1" t="shared" si="2"/>
        <v>8</v>
      </c>
      <c r="B81" s="26" t="s">
        <v>235</v>
      </c>
      <c r="C81" s="38" t="s">
        <v>236</v>
      </c>
      <c r="D81" s="38" t="s">
        <v>237</v>
      </c>
      <c r="E81" s="29" t="s">
        <v>238</v>
      </c>
      <c r="F81" s="67">
        <v>1</v>
      </c>
      <c r="G81" s="68">
        <v>3603.24</v>
      </c>
      <c r="H81" s="25">
        <f t="shared" si="1"/>
        <v>3603</v>
      </c>
    </row>
    <row r="82" s="1" customFormat="1" customHeight="1" spans="1:1024 1025:16296">
      <c r="A82" s="8">
        <f ca="1" t="shared" si="2"/>
        <v>9</v>
      </c>
      <c r="B82" s="26" t="s">
        <v>239</v>
      </c>
      <c r="C82" s="38" t="s">
        <v>240</v>
      </c>
      <c r="D82" s="38" t="s">
        <v>241</v>
      </c>
      <c r="E82" s="29" t="s">
        <v>238</v>
      </c>
      <c r="F82" s="67">
        <v>6</v>
      </c>
      <c r="G82" s="68">
        <v>600.54</v>
      </c>
      <c r="H82" s="25">
        <f t="shared" si="1"/>
        <v>3603</v>
      </c>
    </row>
    <row r="83" s="1" customFormat="1" customHeight="1" spans="1:1024 1025:16296">
      <c r="A83" s="8">
        <f ca="1" t="shared" si="2"/>
        <v>10</v>
      </c>
      <c r="B83" s="26" t="s">
        <v>242</v>
      </c>
      <c r="C83" s="38" t="s">
        <v>243</v>
      </c>
      <c r="D83" s="39" t="s">
        <v>244</v>
      </c>
      <c r="E83" s="29" t="s">
        <v>225</v>
      </c>
      <c r="F83" s="67">
        <v>615</v>
      </c>
      <c r="G83" s="68">
        <v>7.20648</v>
      </c>
      <c r="H83" s="25">
        <f t="shared" si="1"/>
        <v>4432</v>
      </c>
    </row>
    <row r="84" s="1" customFormat="1" customHeight="1" spans="1:1024 1025:16296">
      <c r="A84" s="8"/>
      <c r="B84" s="26" t="s">
        <v>245</v>
      </c>
      <c r="C84" s="38" t="s">
        <v>246</v>
      </c>
      <c r="D84" s="39" t="s">
        <v>247</v>
      </c>
      <c r="E84" s="66" t="s">
        <v>210</v>
      </c>
      <c r="F84" s="67"/>
      <c r="G84" s="68">
        <v>7.20648</v>
      </c>
      <c r="H84" s="25">
        <f t="shared" si="1"/>
        <v>0</v>
      </c>
    </row>
    <row r="85" s="1" customFormat="1" customHeight="1" spans="1:1024 1025:16296">
      <c r="A85" s="8"/>
      <c r="B85" s="45"/>
      <c r="C85" s="46" t="s">
        <v>248</v>
      </c>
      <c r="D85" s="47" t="s">
        <v>249</v>
      </c>
      <c r="E85" s="48"/>
      <c r="F85" s="69"/>
      <c r="G85" s="68">
        <v>0</v>
      </c>
      <c r="H85" s="25">
        <f t="shared" si="1"/>
        <v>0</v>
      </c>
    </row>
    <row r="86" s="1" customFormat="1" customHeight="1" spans="1:1024 1025:16296">
      <c r="A86" s="8"/>
      <c r="B86" s="71"/>
      <c r="C86" s="27"/>
      <c r="D86" s="27"/>
      <c r="E86" s="29"/>
      <c r="F86" s="30"/>
      <c r="G86" s="68">
        <v>0</v>
      </c>
      <c r="H86" s="25">
        <f t="shared" si="1"/>
        <v>0</v>
      </c>
    </row>
    <row r="87" s="1" customFormat="1" customHeight="1" spans="1:1024 1025:16296">
      <c r="A87" s="8"/>
      <c r="B87" s="26" t="s">
        <v>250</v>
      </c>
      <c r="C87" s="27" t="s">
        <v>251</v>
      </c>
      <c r="D87" s="28" t="s">
        <v>252</v>
      </c>
      <c r="E87" s="29"/>
      <c r="F87" s="67"/>
      <c r="G87" s="68">
        <v>0</v>
      </c>
      <c r="H87" s="25">
        <f t="shared" si="1"/>
        <v>0</v>
      </c>
    </row>
    <row r="88" s="1" customFormat="1" customHeight="1" spans="1:1024 1025:16296">
      <c r="A88" s="8"/>
      <c r="B88" s="26"/>
      <c r="C88" s="36" t="s">
        <v>253</v>
      </c>
      <c r="D88" s="37" t="s">
        <v>254</v>
      </c>
      <c r="E88" s="29"/>
      <c r="F88" s="67"/>
      <c r="G88" s="68">
        <v>0</v>
      </c>
      <c r="H88" s="25">
        <f t="shared" si="1"/>
        <v>0</v>
      </c>
    </row>
    <row r="89" s="1" customFormat="1" customHeight="1" spans="1:1024 1025:16296">
      <c r="A89" s="8"/>
      <c r="B89" s="26" t="s">
        <v>222</v>
      </c>
      <c r="C89" s="38" t="s">
        <v>255</v>
      </c>
      <c r="D89" s="39" t="s">
        <v>256</v>
      </c>
      <c r="E89" s="66" t="s">
        <v>210</v>
      </c>
      <c r="F89" s="67"/>
      <c r="G89" s="68">
        <v>0</v>
      </c>
      <c r="H89" s="25">
        <f t="shared" si="1"/>
        <v>0</v>
      </c>
    </row>
    <row r="90" s="1" customFormat="1" customHeight="1" spans="1:1024 1025:16296">
      <c r="A90" s="8"/>
      <c r="B90" s="26" t="s">
        <v>226</v>
      </c>
      <c r="C90" s="38" t="s">
        <v>257</v>
      </c>
      <c r="D90" s="39" t="s">
        <v>258</v>
      </c>
      <c r="E90" s="66" t="s">
        <v>210</v>
      </c>
      <c r="F90" s="67"/>
      <c r="G90" s="68">
        <v>0</v>
      </c>
      <c r="H90" s="25">
        <f t="shared" si="1"/>
        <v>0</v>
      </c>
    </row>
    <row r="91" customHeight="1" spans="1:1024 1025:16296">
      <c r="B91" s="26" t="s">
        <v>229</v>
      </c>
      <c r="C91" s="41" t="s">
        <v>259</v>
      </c>
      <c r="D91" s="39" t="s">
        <v>260</v>
      </c>
      <c r="E91" s="29"/>
      <c r="F91" s="67"/>
      <c r="G91" s="68">
        <v>0</v>
      </c>
      <c r="H91" s="25">
        <f t="shared" si="1"/>
        <v>0</v>
      </c>
    </row>
    <row r="92" customHeight="1" spans="1:1024 1025:16296">
      <c r="B92" s="45"/>
      <c r="C92" s="46" t="s">
        <v>261</v>
      </c>
      <c r="D92" s="47" t="s">
        <v>262</v>
      </c>
      <c r="E92" s="29"/>
      <c r="F92" s="69"/>
      <c r="G92" s="68">
        <v>0</v>
      </c>
      <c r="H92" s="25">
        <f t="shared" si="1"/>
        <v>0</v>
      </c>
    </row>
    <row r="93" customHeight="1" spans="1:1024 1025:16296">
      <c r="B93" s="71"/>
      <c r="C93" s="27"/>
      <c r="D93" s="27"/>
      <c r="E93" s="29"/>
      <c r="F93" s="30"/>
      <c r="G93" s="68">
        <v>0</v>
      </c>
      <c r="H93" s="25">
        <f t="shared" si="1"/>
        <v>0</v>
      </c>
    </row>
    <row r="94" customHeight="1" spans="1:1024 1025:16296">
      <c r="B94" s="71"/>
      <c r="C94" s="27" t="s">
        <v>263</v>
      </c>
      <c r="D94" s="28" t="s">
        <v>264</v>
      </c>
      <c r="E94" s="29"/>
      <c r="F94" s="30"/>
      <c r="G94" s="68">
        <v>0</v>
      </c>
      <c r="H94" s="25">
        <f t="shared" si="1"/>
        <v>0</v>
      </c>
    </row>
    <row r="95" customHeight="1" spans="1:1024 1025:16296">
      <c r="B95" s="54"/>
      <c r="C95" s="55"/>
      <c r="D95" s="55"/>
      <c r="E95" s="29"/>
      <c r="F95" s="72"/>
      <c r="G95" s="68">
        <v>0</v>
      </c>
      <c r="H95" s="25">
        <f t="shared" si="1"/>
        <v>0</v>
      </c>
    </row>
    <row r="96" s="3" customFormat="1" customHeight="1" spans="1:1024 1025:16296">
      <c r="A96" s="73"/>
      <c r="B96" s="74"/>
      <c r="C96" s="75" t="s">
        <v>194</v>
      </c>
      <c r="D96" s="76" t="s">
        <v>195</v>
      </c>
      <c r="E96" s="77"/>
      <c r="F96" s="74"/>
      <c r="G96" s="78">
        <v>0</v>
      </c>
      <c r="H96" s="79">
        <f>SUM(H67:H95)</f>
        <v>88722</v>
      </c>
      <c r="I96" s="80"/>
      <c r="J96" s="80"/>
      <c r="K96" s="80"/>
      <c r="L96" s="80"/>
      <c r="M96" s="80"/>
      <c r="N96" s="80"/>
      <c r="O96" s="80"/>
      <c r="P96" s="80"/>
      <c r="Q96" s="80"/>
      <c r="R96" s="80"/>
      <c r="S96" s="80"/>
      <c r="T96" s="80"/>
      <c r="U96" s="80"/>
      <c r="V96" s="80"/>
      <c r="W96" s="80"/>
      <c r="X96" s="80"/>
      <c r="Y96" s="80"/>
      <c r="Z96" s="80"/>
      <c r="AA96" s="80"/>
      <c r="AB96" s="80"/>
      <c r="AC96" s="80"/>
      <c r="AD96" s="80"/>
      <c r="AE96" s="80"/>
      <c r="AF96" s="80"/>
      <c r="AG96" s="80"/>
      <c r="AH96" s="80"/>
      <c r="AI96" s="80"/>
      <c r="AJ96" s="80"/>
      <c r="AK96" s="80"/>
      <c r="AL96" s="80"/>
      <c r="AM96" s="80"/>
      <c r="AN96" s="80"/>
      <c r="AO96" s="80"/>
      <c r="AP96" s="80"/>
      <c r="AQ96" s="80"/>
      <c r="AR96" s="80"/>
      <c r="AS96" s="80"/>
      <c r="AT96" s="80"/>
      <c r="AU96" s="80"/>
      <c r="AV96" s="80"/>
      <c r="AW96" s="80"/>
      <c r="AX96" s="80"/>
      <c r="AY96" s="80"/>
      <c r="AZ96" s="80"/>
      <c r="BA96" s="80"/>
      <c r="BB96" s="80"/>
      <c r="BC96" s="80"/>
      <c r="BD96" s="80"/>
      <c r="BE96" s="80"/>
      <c r="BF96" s="80"/>
      <c r="BG96" s="80"/>
      <c r="BH96" s="80"/>
      <c r="BI96" s="80"/>
      <c r="BJ96" s="80"/>
      <c r="BK96" s="80"/>
      <c r="BL96" s="80"/>
      <c r="BM96" s="80"/>
      <c r="BN96" s="80"/>
      <c r="BO96" s="80"/>
      <c r="BP96" s="80"/>
      <c r="BQ96" s="80"/>
      <c r="BR96" s="80"/>
      <c r="BS96" s="80"/>
      <c r="BT96" s="80"/>
      <c r="BU96" s="80"/>
      <c r="BV96" s="80"/>
      <c r="BW96" s="80"/>
      <c r="BX96" s="80"/>
      <c r="BY96" s="80"/>
      <c r="BZ96" s="80"/>
      <c r="CA96" s="80"/>
      <c r="CB96" s="80"/>
      <c r="CC96" s="80"/>
      <c r="CD96" s="80"/>
      <c r="CE96" s="80"/>
      <c r="CF96" s="80"/>
      <c r="CG96" s="80"/>
      <c r="CH96" s="80"/>
      <c r="CI96" s="80"/>
      <c r="CJ96" s="80"/>
      <c r="CK96" s="80"/>
      <c r="CL96" s="80"/>
      <c r="CM96" s="80"/>
      <c r="CN96" s="80"/>
      <c r="CO96" s="80"/>
      <c r="CP96" s="80"/>
      <c r="CQ96" s="80"/>
      <c r="CR96" s="80"/>
      <c r="CS96" s="80"/>
      <c r="CT96" s="80"/>
      <c r="CU96" s="80"/>
      <c r="CV96" s="80"/>
      <c r="CW96" s="80"/>
      <c r="CX96" s="80"/>
      <c r="CY96" s="80"/>
      <c r="CZ96" s="80"/>
      <c r="DA96" s="80"/>
      <c r="DB96" s="80"/>
      <c r="DC96" s="80"/>
      <c r="DD96" s="80"/>
      <c r="DE96" s="80"/>
      <c r="DF96" s="80"/>
      <c r="DG96" s="80"/>
      <c r="DH96" s="80"/>
      <c r="DI96" s="80"/>
      <c r="DJ96" s="80"/>
      <c r="DK96" s="80"/>
      <c r="DL96" s="80"/>
      <c r="DM96" s="80"/>
      <c r="DN96" s="80"/>
      <c r="DO96" s="80"/>
      <c r="DP96" s="80"/>
      <c r="DQ96" s="80"/>
      <c r="DR96" s="80"/>
      <c r="DS96" s="80"/>
      <c r="DT96" s="80"/>
      <c r="DU96" s="80"/>
      <c r="DV96" s="80"/>
      <c r="DW96" s="80"/>
      <c r="DX96" s="80"/>
      <c r="DY96" s="80"/>
      <c r="DZ96" s="80"/>
      <c r="EA96" s="80"/>
      <c r="EB96" s="80"/>
      <c r="EC96" s="80"/>
      <c r="ED96" s="80"/>
      <c r="EE96" s="80"/>
      <c r="EF96" s="80"/>
      <c r="EG96" s="80"/>
      <c r="EH96" s="80"/>
      <c r="EI96" s="80"/>
      <c r="EJ96" s="80"/>
      <c r="EK96" s="80"/>
      <c r="EL96" s="80"/>
      <c r="EM96" s="80"/>
      <c r="EN96" s="80"/>
      <c r="EO96" s="80"/>
      <c r="EP96" s="80"/>
      <c r="EQ96" s="80"/>
      <c r="ER96" s="80"/>
      <c r="ES96" s="80"/>
      <c r="ET96" s="80"/>
      <c r="EU96" s="80"/>
      <c r="EV96" s="80"/>
      <c r="EW96" s="80"/>
      <c r="EX96" s="80"/>
      <c r="EY96" s="80"/>
      <c r="EZ96" s="80"/>
      <c r="FA96" s="80"/>
      <c r="FB96" s="80"/>
      <c r="FC96" s="80"/>
      <c r="FD96" s="80"/>
      <c r="FE96" s="80"/>
      <c r="FF96" s="80"/>
      <c r="FG96" s="80"/>
      <c r="FH96" s="80"/>
      <c r="FI96" s="80"/>
      <c r="FJ96" s="80"/>
      <c r="FK96" s="80"/>
      <c r="FL96" s="80"/>
      <c r="FM96" s="80"/>
      <c r="FN96" s="80"/>
      <c r="FO96" s="80"/>
      <c r="FP96" s="80"/>
      <c r="FQ96" s="80"/>
      <c r="FR96" s="80"/>
      <c r="FS96" s="80"/>
      <c r="FT96" s="80"/>
      <c r="FU96" s="80"/>
      <c r="FV96" s="80"/>
      <c r="FW96" s="80"/>
      <c r="FX96" s="80"/>
      <c r="FY96" s="80"/>
      <c r="FZ96" s="80"/>
      <c r="GA96" s="80"/>
      <c r="GB96" s="80"/>
      <c r="GC96" s="80"/>
      <c r="GD96" s="80"/>
      <c r="GE96" s="80"/>
      <c r="GF96" s="80"/>
      <c r="GG96" s="80"/>
      <c r="GH96" s="80"/>
      <c r="GI96" s="80"/>
      <c r="GJ96" s="80"/>
      <c r="GK96" s="80"/>
      <c r="GL96" s="80"/>
      <c r="GM96" s="80"/>
      <c r="GN96" s="80"/>
      <c r="GO96" s="80"/>
      <c r="GP96" s="80"/>
      <c r="GQ96" s="80"/>
      <c r="GR96" s="80"/>
      <c r="GS96" s="80"/>
      <c r="GT96" s="80"/>
      <c r="GU96" s="80"/>
      <c r="GV96" s="80"/>
      <c r="GW96" s="80"/>
      <c r="GX96" s="80"/>
      <c r="GY96" s="80"/>
      <c r="GZ96" s="80"/>
      <c r="HA96" s="80"/>
      <c r="HB96" s="80"/>
      <c r="HC96" s="80"/>
      <c r="HD96" s="80"/>
      <c r="HE96" s="80"/>
      <c r="HF96" s="80"/>
      <c r="HG96" s="80"/>
      <c r="HH96" s="80"/>
      <c r="HI96" s="80"/>
      <c r="HJ96" s="80"/>
      <c r="HK96" s="80"/>
      <c r="HL96" s="80"/>
      <c r="HM96" s="80"/>
      <c r="HN96" s="80"/>
      <c r="HO96" s="80"/>
      <c r="HP96" s="80"/>
      <c r="HQ96" s="80"/>
      <c r="HR96" s="80"/>
      <c r="HS96" s="80"/>
      <c r="HT96" s="80"/>
      <c r="HU96" s="80"/>
      <c r="HV96" s="80"/>
      <c r="HW96" s="80"/>
      <c r="HX96" s="80"/>
      <c r="HY96" s="80"/>
      <c r="HZ96" s="80"/>
      <c r="IA96" s="80"/>
      <c r="IB96" s="80"/>
      <c r="IC96" s="80"/>
      <c r="ID96" s="80"/>
      <c r="IE96" s="80"/>
      <c r="IF96" s="80"/>
      <c r="IG96" s="80"/>
      <c r="IH96" s="80"/>
      <c r="II96" s="80"/>
      <c r="IJ96" s="80"/>
      <c r="IK96" s="80"/>
      <c r="IL96" s="80"/>
      <c r="IM96" s="80"/>
      <c r="IN96" s="80"/>
      <c r="IO96" s="80"/>
      <c r="IP96" s="80"/>
      <c r="IQ96" s="80"/>
      <c r="IR96" s="80"/>
      <c r="IS96" s="80"/>
      <c r="IT96" s="80"/>
      <c r="IU96" s="80"/>
      <c r="IV96" s="80"/>
      <c r="IW96" s="80"/>
      <c r="IX96" s="80"/>
      <c r="IY96" s="80"/>
      <c r="IZ96" s="80"/>
      <c r="JA96" s="80"/>
      <c r="JB96" s="80"/>
      <c r="JC96" s="80"/>
      <c r="JD96" s="80"/>
      <c r="JE96" s="80"/>
      <c r="JF96" s="80"/>
      <c r="JG96" s="80"/>
      <c r="JH96" s="80"/>
      <c r="JI96" s="80"/>
      <c r="JJ96" s="80"/>
      <c r="JK96" s="80"/>
      <c r="JL96" s="80"/>
      <c r="JM96" s="80"/>
      <c r="JN96" s="80"/>
      <c r="JO96" s="80"/>
      <c r="JP96" s="80"/>
      <c r="JQ96" s="80"/>
      <c r="JR96" s="80"/>
      <c r="JS96" s="80"/>
      <c r="JT96" s="80"/>
      <c r="JU96" s="80"/>
      <c r="JV96" s="80"/>
      <c r="JW96" s="80"/>
      <c r="JX96" s="80"/>
      <c r="JY96" s="80"/>
      <c r="JZ96" s="80"/>
      <c r="KA96" s="80"/>
      <c r="KB96" s="80"/>
      <c r="KC96" s="80"/>
      <c r="KD96" s="80"/>
      <c r="KE96" s="80"/>
      <c r="KF96" s="80"/>
      <c r="KG96" s="80"/>
      <c r="KH96" s="80"/>
      <c r="KI96" s="80"/>
      <c r="KJ96" s="80"/>
      <c r="KK96" s="80"/>
      <c r="KL96" s="80"/>
      <c r="KM96" s="80"/>
      <c r="KN96" s="80"/>
      <c r="KO96" s="80"/>
      <c r="KP96" s="80"/>
      <c r="KQ96" s="80"/>
      <c r="KR96" s="80"/>
      <c r="KS96" s="80"/>
      <c r="KT96" s="80"/>
      <c r="KU96" s="80"/>
      <c r="KV96" s="80"/>
      <c r="KW96" s="80"/>
      <c r="KX96" s="80"/>
      <c r="KY96" s="80"/>
      <c r="KZ96" s="80"/>
      <c r="LA96" s="80"/>
      <c r="LB96" s="80"/>
      <c r="LC96" s="80"/>
      <c r="LD96" s="80"/>
      <c r="LE96" s="80"/>
      <c r="LF96" s="80"/>
      <c r="LG96" s="80"/>
      <c r="LH96" s="80"/>
      <c r="LI96" s="80"/>
      <c r="LJ96" s="80"/>
      <c r="LK96" s="80"/>
      <c r="LL96" s="80"/>
      <c r="LM96" s="80"/>
      <c r="LN96" s="80"/>
      <c r="LO96" s="80"/>
      <c r="LP96" s="80"/>
      <c r="LQ96" s="80"/>
      <c r="LR96" s="80"/>
      <c r="LS96" s="80"/>
      <c r="LT96" s="80"/>
      <c r="LU96" s="80"/>
      <c r="LV96" s="80"/>
      <c r="LW96" s="80"/>
      <c r="LX96" s="80"/>
      <c r="LY96" s="80"/>
      <c r="LZ96" s="80"/>
      <c r="MA96" s="80"/>
      <c r="MB96" s="80"/>
      <c r="MC96" s="80"/>
      <c r="MD96" s="80"/>
      <c r="ME96" s="80"/>
      <c r="MF96" s="80"/>
      <c r="MG96" s="80"/>
      <c r="MH96" s="80"/>
      <c r="MI96" s="80"/>
      <c r="MJ96" s="80"/>
      <c r="MK96" s="80"/>
      <c r="ML96" s="80"/>
      <c r="MM96" s="80"/>
      <c r="MN96" s="80"/>
      <c r="MO96" s="80"/>
      <c r="MP96" s="80"/>
      <c r="MQ96" s="80"/>
      <c r="MR96" s="80"/>
      <c r="MS96" s="80"/>
      <c r="MT96" s="80"/>
      <c r="MU96" s="80"/>
      <c r="MV96" s="80"/>
      <c r="MW96" s="80"/>
      <c r="MX96" s="80"/>
      <c r="MY96" s="80"/>
      <c r="MZ96" s="80"/>
      <c r="NA96" s="80"/>
      <c r="NB96" s="80"/>
      <c r="NC96" s="80"/>
      <c r="ND96" s="80"/>
      <c r="NE96" s="80"/>
      <c r="NF96" s="80"/>
      <c r="NG96" s="80"/>
      <c r="NH96" s="80"/>
      <c r="NI96" s="80"/>
      <c r="NJ96" s="80"/>
      <c r="NK96" s="80"/>
      <c r="NL96" s="80"/>
      <c r="NM96" s="80"/>
      <c r="NN96" s="80"/>
      <c r="NO96" s="80"/>
      <c r="NP96" s="80"/>
      <c r="NQ96" s="80"/>
      <c r="NR96" s="80"/>
      <c r="NS96" s="80"/>
      <c r="NT96" s="80"/>
      <c r="NU96" s="80"/>
      <c r="NV96" s="80"/>
      <c r="NW96" s="80"/>
      <c r="NX96" s="80"/>
      <c r="NY96" s="80"/>
      <c r="NZ96" s="80"/>
      <c r="OA96" s="80"/>
      <c r="OB96" s="80"/>
      <c r="OC96" s="80"/>
      <c r="OD96" s="80"/>
      <c r="OE96" s="80"/>
      <c r="OF96" s="80"/>
      <c r="OG96" s="80"/>
      <c r="OH96" s="80"/>
      <c r="OI96" s="80"/>
      <c r="OJ96" s="80"/>
      <c r="OK96" s="80"/>
      <c r="OL96" s="80"/>
      <c r="OM96" s="80"/>
      <c r="ON96" s="80"/>
      <c r="OO96" s="80"/>
      <c r="OP96" s="80"/>
      <c r="OQ96" s="80"/>
      <c r="OR96" s="80"/>
      <c r="OS96" s="80"/>
      <c r="OT96" s="80"/>
      <c r="OU96" s="80"/>
      <c r="OV96" s="80"/>
      <c r="OW96" s="80"/>
      <c r="OX96" s="80"/>
      <c r="OY96" s="80"/>
      <c r="OZ96" s="80"/>
      <c r="PA96" s="80"/>
      <c r="PB96" s="80"/>
      <c r="PC96" s="80"/>
      <c r="PD96" s="80"/>
      <c r="PE96" s="80"/>
      <c r="PF96" s="80"/>
      <c r="PG96" s="80"/>
      <c r="PH96" s="80"/>
      <c r="PI96" s="80"/>
      <c r="PJ96" s="80"/>
      <c r="PK96" s="80"/>
      <c r="PL96" s="80"/>
      <c r="PM96" s="80"/>
      <c r="PN96" s="80"/>
      <c r="PO96" s="80"/>
      <c r="PP96" s="80"/>
      <c r="PQ96" s="80"/>
      <c r="PR96" s="80"/>
      <c r="PS96" s="80"/>
      <c r="PT96" s="80"/>
      <c r="PU96" s="80"/>
      <c r="PV96" s="80"/>
      <c r="PW96" s="80"/>
      <c r="PX96" s="80"/>
      <c r="PY96" s="80"/>
      <c r="PZ96" s="80"/>
      <c r="QA96" s="80"/>
      <c r="QB96" s="80"/>
      <c r="QC96" s="80"/>
      <c r="QD96" s="80"/>
      <c r="QE96" s="80"/>
      <c r="QF96" s="80"/>
      <c r="QG96" s="80"/>
      <c r="QH96" s="80"/>
      <c r="QI96" s="80"/>
      <c r="QJ96" s="80"/>
      <c r="QK96" s="80"/>
      <c r="QL96" s="80"/>
      <c r="QM96" s="80"/>
      <c r="QN96" s="80"/>
      <c r="QO96" s="80"/>
      <c r="QP96" s="80"/>
      <c r="QQ96" s="80"/>
      <c r="QR96" s="80"/>
      <c r="QS96" s="80"/>
      <c r="QT96" s="80"/>
      <c r="QU96" s="80"/>
      <c r="QV96" s="80"/>
      <c r="QW96" s="80"/>
      <c r="QX96" s="80"/>
      <c r="QY96" s="80"/>
      <c r="QZ96" s="80"/>
      <c r="RA96" s="80"/>
      <c r="RB96" s="80"/>
      <c r="RC96" s="80"/>
      <c r="RD96" s="80"/>
      <c r="RE96" s="80"/>
      <c r="RF96" s="80"/>
      <c r="RG96" s="80"/>
      <c r="RH96" s="80"/>
      <c r="RI96" s="80"/>
      <c r="RJ96" s="80"/>
      <c r="RK96" s="80"/>
      <c r="RL96" s="80"/>
      <c r="RM96" s="80"/>
      <c r="RN96" s="80"/>
      <c r="RO96" s="80"/>
      <c r="RP96" s="80"/>
      <c r="RQ96" s="80"/>
      <c r="RR96" s="80"/>
      <c r="RS96" s="80"/>
      <c r="RT96" s="80"/>
      <c r="RU96" s="80"/>
      <c r="RV96" s="80"/>
      <c r="RW96" s="80"/>
      <c r="RX96" s="80"/>
      <c r="RY96" s="80"/>
      <c r="RZ96" s="80"/>
      <c r="SA96" s="80"/>
      <c r="SB96" s="80"/>
      <c r="SC96" s="80"/>
      <c r="SD96" s="80"/>
      <c r="SE96" s="80"/>
      <c r="SF96" s="80"/>
      <c r="SG96" s="80"/>
      <c r="SH96" s="80"/>
      <c r="SI96" s="80"/>
      <c r="SJ96" s="80"/>
      <c r="SK96" s="80"/>
      <c r="SL96" s="80"/>
      <c r="SM96" s="80"/>
      <c r="SN96" s="80"/>
      <c r="SO96" s="80"/>
      <c r="SP96" s="80"/>
      <c r="SQ96" s="80"/>
      <c r="SR96" s="80"/>
      <c r="SS96" s="80"/>
      <c r="ST96" s="80"/>
      <c r="SU96" s="80"/>
      <c r="SV96" s="80"/>
      <c r="SW96" s="80"/>
      <c r="SX96" s="80"/>
      <c r="SY96" s="80"/>
      <c r="SZ96" s="80"/>
      <c r="TA96" s="80"/>
      <c r="TB96" s="80"/>
      <c r="TC96" s="80"/>
      <c r="TD96" s="80"/>
      <c r="TE96" s="80"/>
      <c r="TF96" s="80"/>
      <c r="TG96" s="80"/>
      <c r="TH96" s="80"/>
      <c r="TI96" s="80"/>
      <c r="TJ96" s="80"/>
      <c r="TK96" s="80"/>
      <c r="TL96" s="80"/>
      <c r="TM96" s="80"/>
      <c r="TN96" s="80"/>
      <c r="TO96" s="80"/>
      <c r="TP96" s="80"/>
      <c r="TQ96" s="80"/>
      <c r="TR96" s="80"/>
      <c r="TS96" s="80"/>
      <c r="TT96" s="80"/>
      <c r="TU96" s="80"/>
      <c r="TV96" s="80"/>
      <c r="TW96" s="80"/>
      <c r="TX96" s="80"/>
      <c r="TY96" s="80"/>
      <c r="TZ96" s="80"/>
      <c r="UA96" s="80"/>
      <c r="UB96" s="80"/>
      <c r="UC96" s="80"/>
      <c r="UD96" s="80"/>
      <c r="UE96" s="80"/>
      <c r="UF96" s="80"/>
      <c r="UG96" s="80"/>
      <c r="UH96" s="80"/>
      <c r="UI96" s="80"/>
      <c r="UJ96" s="80"/>
      <c r="UK96" s="80"/>
      <c r="UL96" s="80"/>
      <c r="UM96" s="80"/>
      <c r="UN96" s="80"/>
      <c r="UO96" s="80"/>
      <c r="UP96" s="80"/>
      <c r="UQ96" s="80"/>
      <c r="UR96" s="80"/>
      <c r="US96" s="80"/>
      <c r="UT96" s="80"/>
      <c r="UU96" s="80"/>
      <c r="UV96" s="80"/>
      <c r="UW96" s="80"/>
      <c r="UX96" s="80"/>
      <c r="UY96" s="80"/>
      <c r="UZ96" s="80"/>
      <c r="VA96" s="80"/>
      <c r="VB96" s="80"/>
      <c r="VC96" s="80"/>
      <c r="VD96" s="80"/>
      <c r="VE96" s="80"/>
      <c r="VF96" s="80"/>
      <c r="VG96" s="80"/>
      <c r="VH96" s="80"/>
      <c r="VI96" s="80"/>
      <c r="VJ96" s="80"/>
      <c r="VK96" s="80"/>
      <c r="VL96" s="80"/>
      <c r="VM96" s="80"/>
      <c r="VN96" s="80"/>
      <c r="VO96" s="80"/>
      <c r="VP96" s="80"/>
      <c r="VQ96" s="80"/>
      <c r="VR96" s="80"/>
      <c r="VS96" s="80"/>
      <c r="VT96" s="80"/>
      <c r="VU96" s="80"/>
      <c r="VV96" s="80"/>
      <c r="VW96" s="80"/>
      <c r="VX96" s="80"/>
      <c r="VY96" s="80"/>
      <c r="VZ96" s="80"/>
      <c r="WA96" s="80"/>
      <c r="WB96" s="80"/>
      <c r="WC96" s="80"/>
      <c r="WD96" s="80"/>
      <c r="WE96" s="80"/>
      <c r="WF96" s="80"/>
      <c r="WG96" s="80"/>
      <c r="WH96" s="80"/>
      <c r="WI96" s="80"/>
      <c r="WJ96" s="80"/>
      <c r="WK96" s="80"/>
      <c r="WL96" s="80"/>
      <c r="WM96" s="80"/>
      <c r="WN96" s="80"/>
      <c r="WO96" s="80"/>
      <c r="WP96" s="80"/>
      <c r="WQ96" s="80"/>
      <c r="WR96" s="80"/>
      <c r="WS96" s="80"/>
      <c r="WT96" s="80"/>
      <c r="WU96" s="80"/>
      <c r="WV96" s="80"/>
      <c r="WW96" s="80"/>
      <c r="WX96" s="80"/>
      <c r="WY96" s="80"/>
      <c r="WZ96" s="80"/>
      <c r="XA96" s="80"/>
      <c r="XB96" s="80"/>
      <c r="XC96" s="80"/>
      <c r="XD96" s="80"/>
      <c r="XE96" s="80"/>
      <c r="XF96" s="80"/>
      <c r="XG96" s="80"/>
      <c r="XH96" s="80"/>
      <c r="XI96" s="80"/>
      <c r="XJ96" s="80"/>
      <c r="XK96" s="80"/>
      <c r="XL96" s="80"/>
      <c r="XM96" s="80"/>
      <c r="XN96" s="80"/>
      <c r="XO96" s="80"/>
      <c r="XP96" s="80"/>
      <c r="XQ96" s="80"/>
      <c r="XR96" s="80"/>
      <c r="XS96" s="80"/>
      <c r="XT96" s="80"/>
      <c r="XU96" s="80"/>
      <c r="XV96" s="80"/>
      <c r="XW96" s="80"/>
      <c r="XX96" s="80"/>
      <c r="XY96" s="80"/>
      <c r="XZ96" s="80"/>
      <c r="YA96" s="80"/>
      <c r="YB96" s="80"/>
      <c r="YC96" s="80"/>
      <c r="YD96" s="80"/>
      <c r="YE96" s="80"/>
      <c r="YF96" s="80"/>
      <c r="YG96" s="80"/>
      <c r="YH96" s="80"/>
      <c r="YI96" s="80"/>
      <c r="YJ96" s="80"/>
      <c r="YK96" s="80"/>
      <c r="YL96" s="80"/>
      <c r="YM96" s="80"/>
      <c r="YN96" s="80"/>
      <c r="YO96" s="80"/>
      <c r="YP96" s="80"/>
      <c r="YQ96" s="80"/>
      <c r="YR96" s="80"/>
      <c r="YS96" s="80"/>
      <c r="YT96" s="80"/>
      <c r="YU96" s="80"/>
      <c r="YV96" s="80"/>
      <c r="YW96" s="80"/>
      <c r="YX96" s="80"/>
      <c r="YY96" s="80"/>
      <c r="YZ96" s="80"/>
      <c r="ZA96" s="80"/>
      <c r="ZB96" s="80"/>
      <c r="ZC96" s="80"/>
      <c r="ZD96" s="80"/>
      <c r="ZE96" s="80"/>
      <c r="ZF96" s="80"/>
      <c r="ZG96" s="80"/>
      <c r="ZH96" s="80"/>
      <c r="ZI96" s="80"/>
      <c r="ZJ96" s="80"/>
      <c r="ZK96" s="80"/>
      <c r="ZL96" s="80"/>
      <c r="ZM96" s="80"/>
      <c r="ZN96" s="80"/>
      <c r="ZO96" s="80"/>
      <c r="ZP96" s="80"/>
      <c r="ZQ96" s="80"/>
      <c r="ZR96" s="80"/>
      <c r="ZS96" s="80"/>
      <c r="ZT96" s="80"/>
      <c r="ZU96" s="80"/>
      <c r="ZV96" s="80"/>
      <c r="ZW96" s="80"/>
      <c r="ZX96" s="80"/>
      <c r="ZY96" s="80"/>
      <c r="ZZ96" s="80"/>
      <c r="AAA96" s="80"/>
      <c r="AAB96" s="80"/>
      <c r="AAC96" s="80"/>
      <c r="AAD96" s="80"/>
      <c r="AAE96" s="80"/>
      <c r="AAF96" s="80"/>
      <c r="AAG96" s="80"/>
      <c r="AAH96" s="80"/>
      <c r="AAI96" s="80"/>
      <c r="AAJ96" s="80"/>
      <c r="AAK96" s="80"/>
      <c r="AAL96" s="80"/>
      <c r="AAM96" s="80"/>
      <c r="AAN96" s="80"/>
      <c r="AAO96" s="80"/>
      <c r="AAP96" s="80"/>
      <c r="AAQ96" s="80"/>
      <c r="AAR96" s="80"/>
      <c r="AAS96" s="80"/>
      <c r="AAT96" s="80"/>
      <c r="AAU96" s="80"/>
      <c r="AAV96" s="80"/>
      <c r="AAW96" s="80"/>
      <c r="AAX96" s="80"/>
      <c r="AAY96" s="80"/>
      <c r="AAZ96" s="80"/>
      <c r="ABA96" s="80"/>
      <c r="ABB96" s="80"/>
      <c r="ABC96" s="80"/>
      <c r="ABD96" s="80"/>
      <c r="ABE96" s="80"/>
      <c r="ABF96" s="80"/>
      <c r="ABG96" s="80"/>
      <c r="ABH96" s="80"/>
      <c r="ABI96" s="80"/>
      <c r="ABJ96" s="80"/>
      <c r="ABK96" s="80"/>
      <c r="ABL96" s="80"/>
      <c r="ABM96" s="80"/>
      <c r="ABN96" s="80"/>
      <c r="ABO96" s="80"/>
      <c r="ABP96" s="80"/>
      <c r="ABQ96" s="80"/>
      <c r="ABR96" s="80"/>
      <c r="ABS96" s="80"/>
      <c r="ABT96" s="80"/>
      <c r="ABU96" s="80"/>
      <c r="ABV96" s="80"/>
      <c r="ABW96" s="80"/>
      <c r="ABX96" s="80"/>
      <c r="ABY96" s="80"/>
      <c r="ABZ96" s="80"/>
      <c r="ACA96" s="80"/>
      <c r="ACB96" s="80"/>
      <c r="ACC96" s="80"/>
      <c r="ACD96" s="80"/>
      <c r="ACE96" s="80"/>
      <c r="ACF96" s="80"/>
      <c r="ACG96" s="80"/>
      <c r="ACH96" s="80"/>
      <c r="ACI96" s="80"/>
      <c r="ACJ96" s="80"/>
      <c r="ACK96" s="80"/>
      <c r="ACL96" s="80"/>
      <c r="ACM96" s="80"/>
      <c r="ACN96" s="80"/>
      <c r="ACO96" s="80"/>
      <c r="ACP96" s="80"/>
      <c r="ACQ96" s="80"/>
      <c r="ACR96" s="80"/>
      <c r="ACS96" s="80"/>
      <c r="ACT96" s="80"/>
      <c r="ACU96" s="80"/>
      <c r="ACV96" s="80"/>
      <c r="ACW96" s="80"/>
      <c r="ACX96" s="80"/>
      <c r="ACY96" s="80"/>
      <c r="ACZ96" s="80"/>
      <c r="ADA96" s="80"/>
      <c r="ADB96" s="80"/>
      <c r="ADC96" s="80"/>
      <c r="ADD96" s="80"/>
      <c r="ADE96" s="80"/>
      <c r="ADF96" s="80"/>
      <c r="ADG96" s="80"/>
      <c r="ADH96" s="80"/>
      <c r="ADI96" s="80"/>
      <c r="ADJ96" s="80"/>
      <c r="ADK96" s="80"/>
      <c r="ADL96" s="80"/>
      <c r="ADM96" s="80"/>
      <c r="ADN96" s="80"/>
      <c r="ADO96" s="80"/>
      <c r="ADP96" s="80"/>
      <c r="ADQ96" s="80"/>
      <c r="ADR96" s="80"/>
      <c r="ADS96" s="80"/>
      <c r="ADT96" s="80"/>
      <c r="ADU96" s="80"/>
      <c r="ADV96" s="80"/>
      <c r="ADW96" s="80"/>
      <c r="ADX96" s="80"/>
      <c r="ADY96" s="80"/>
      <c r="ADZ96" s="80"/>
      <c r="AEA96" s="80"/>
      <c r="AEB96" s="80"/>
      <c r="AEC96" s="80"/>
      <c r="AED96" s="80"/>
      <c r="AEE96" s="80"/>
      <c r="AEF96" s="80"/>
      <c r="AEG96" s="80"/>
      <c r="AEH96" s="80"/>
      <c r="AEI96" s="80"/>
      <c r="AEJ96" s="80"/>
      <c r="AEK96" s="80"/>
      <c r="AEL96" s="80"/>
      <c r="AEM96" s="80"/>
      <c r="AEN96" s="80"/>
      <c r="AEO96" s="80"/>
      <c r="AEP96" s="80"/>
      <c r="AEQ96" s="80"/>
      <c r="AER96" s="80"/>
      <c r="AES96" s="80"/>
      <c r="AET96" s="80"/>
      <c r="AEU96" s="80"/>
      <c r="AEV96" s="80"/>
      <c r="AEW96" s="80"/>
      <c r="AEX96" s="80"/>
      <c r="AEY96" s="80"/>
      <c r="AEZ96" s="80"/>
      <c r="AFA96" s="80"/>
      <c r="AFB96" s="80"/>
      <c r="AFC96" s="80"/>
      <c r="AFD96" s="80"/>
      <c r="AFE96" s="80"/>
      <c r="AFF96" s="80"/>
      <c r="AFG96" s="80"/>
      <c r="AFH96" s="80"/>
      <c r="AFI96" s="80"/>
      <c r="AFJ96" s="80"/>
      <c r="AFK96" s="80"/>
      <c r="AFL96" s="80"/>
      <c r="AFM96" s="80"/>
      <c r="AFN96" s="80"/>
      <c r="AFO96" s="80"/>
      <c r="AFP96" s="80"/>
      <c r="AFQ96" s="80"/>
      <c r="AFR96" s="80"/>
      <c r="AFS96" s="80"/>
      <c r="AFT96" s="80"/>
      <c r="AFU96" s="80"/>
      <c r="AFV96" s="80"/>
      <c r="AFW96" s="80"/>
      <c r="AFX96" s="80"/>
      <c r="AFY96" s="80"/>
      <c r="AFZ96" s="80"/>
      <c r="AGA96" s="80"/>
      <c r="AGB96" s="80"/>
      <c r="AGC96" s="80"/>
      <c r="AGD96" s="80"/>
      <c r="AGE96" s="80"/>
      <c r="AGF96" s="80"/>
      <c r="AGG96" s="80"/>
      <c r="AGH96" s="80"/>
      <c r="AGI96" s="80"/>
      <c r="AGJ96" s="80"/>
      <c r="AGK96" s="80"/>
      <c r="AGL96" s="80"/>
      <c r="AGM96" s="80"/>
      <c r="AGN96" s="80"/>
      <c r="AGO96" s="80"/>
      <c r="AGP96" s="80"/>
      <c r="AGQ96" s="80"/>
      <c r="AGR96" s="80"/>
      <c r="AGS96" s="80"/>
      <c r="AGT96" s="80"/>
      <c r="AGU96" s="80"/>
      <c r="AGV96" s="80"/>
      <c r="AGW96" s="80"/>
      <c r="AGX96" s="80"/>
      <c r="AGY96" s="80"/>
      <c r="AGZ96" s="80"/>
      <c r="AHA96" s="80"/>
      <c r="AHB96" s="80"/>
      <c r="AHC96" s="80"/>
      <c r="AHD96" s="80"/>
      <c r="AHE96" s="80"/>
      <c r="AHF96" s="80"/>
      <c r="AHG96" s="80"/>
      <c r="AHH96" s="80"/>
      <c r="AHI96" s="80"/>
      <c r="AHJ96" s="80"/>
      <c r="AHK96" s="80"/>
      <c r="AHL96" s="80"/>
      <c r="AHM96" s="80"/>
      <c r="AHN96" s="80"/>
      <c r="AHO96" s="80"/>
      <c r="AHP96" s="80"/>
      <c r="AHQ96" s="80"/>
      <c r="AHR96" s="80"/>
      <c r="AHS96" s="80"/>
      <c r="AHT96" s="80"/>
      <c r="AHU96" s="80"/>
      <c r="AHV96" s="80"/>
      <c r="AHW96" s="80"/>
      <c r="AHX96" s="80"/>
      <c r="AHY96" s="80"/>
      <c r="AHZ96" s="80"/>
      <c r="AIA96" s="80"/>
      <c r="AIB96" s="80"/>
      <c r="AIC96" s="80"/>
      <c r="AID96" s="80"/>
      <c r="AIE96" s="80"/>
      <c r="AIF96" s="80"/>
      <c r="AIG96" s="80"/>
      <c r="AIH96" s="80"/>
      <c r="AII96" s="80"/>
      <c r="AIJ96" s="80"/>
      <c r="AIK96" s="80"/>
      <c r="AIL96" s="80"/>
      <c r="AIM96" s="80"/>
      <c r="AIN96" s="80"/>
      <c r="AIO96" s="80"/>
      <c r="AIP96" s="80"/>
      <c r="AIQ96" s="80"/>
      <c r="AIR96" s="80"/>
      <c r="AIS96" s="80"/>
      <c r="AIT96" s="80"/>
      <c r="AIU96" s="80"/>
      <c r="AIV96" s="80"/>
      <c r="AIW96" s="80"/>
      <c r="AIX96" s="80"/>
      <c r="AIY96" s="80"/>
      <c r="AIZ96" s="80"/>
      <c r="AJA96" s="80"/>
      <c r="AJB96" s="80"/>
      <c r="AJC96" s="80"/>
      <c r="AJD96" s="80"/>
      <c r="AJE96" s="80"/>
      <c r="AJF96" s="80"/>
      <c r="AJG96" s="80"/>
      <c r="AJH96" s="80"/>
      <c r="AJI96" s="80"/>
      <c r="AJJ96" s="80"/>
      <c r="AJK96" s="80"/>
      <c r="AJL96" s="80"/>
      <c r="AJM96" s="80"/>
      <c r="AJN96" s="80"/>
      <c r="AJO96" s="80"/>
      <c r="AJP96" s="80"/>
      <c r="AJQ96" s="80"/>
      <c r="AJR96" s="80"/>
      <c r="AJS96" s="80"/>
      <c r="AJT96" s="80"/>
      <c r="AJU96" s="80"/>
      <c r="AJV96" s="80"/>
      <c r="AJW96" s="80"/>
      <c r="AJX96" s="80"/>
      <c r="AJY96" s="80"/>
      <c r="AJZ96" s="80"/>
      <c r="AKA96" s="80"/>
      <c r="AKB96" s="80"/>
      <c r="AKC96" s="80"/>
      <c r="AKD96" s="80"/>
      <c r="AKE96" s="80"/>
      <c r="AKF96" s="80"/>
      <c r="AKG96" s="80"/>
      <c r="AKH96" s="80"/>
      <c r="AKI96" s="80"/>
      <c r="AKJ96" s="80"/>
      <c r="AKK96" s="80"/>
      <c r="AKL96" s="80"/>
      <c r="AKM96" s="80"/>
      <c r="AKN96" s="80"/>
      <c r="AKO96" s="80"/>
      <c r="AKP96" s="80"/>
      <c r="AKQ96" s="80"/>
      <c r="AKR96" s="80"/>
      <c r="AKS96" s="80"/>
      <c r="AKT96" s="80"/>
      <c r="AKU96" s="80"/>
      <c r="AKV96" s="80"/>
      <c r="AKW96" s="80"/>
      <c r="AKX96" s="80"/>
      <c r="AKY96" s="80"/>
      <c r="AKZ96" s="80"/>
      <c r="ALA96" s="80"/>
      <c r="ALB96" s="80"/>
      <c r="ALC96" s="80"/>
      <c r="ALD96" s="80"/>
      <c r="ALE96" s="80"/>
      <c r="ALF96" s="80"/>
      <c r="ALG96" s="80"/>
      <c r="ALH96" s="80"/>
      <c r="ALI96" s="80"/>
      <c r="ALJ96" s="80"/>
      <c r="ALK96" s="80"/>
      <c r="ALL96" s="80"/>
      <c r="ALM96" s="80"/>
      <c r="ALN96" s="80"/>
      <c r="ALO96" s="80"/>
      <c r="ALP96" s="80"/>
      <c r="ALQ96" s="80"/>
      <c r="ALR96" s="80"/>
      <c r="ALS96" s="80"/>
      <c r="ALT96" s="80"/>
      <c r="ALU96" s="80"/>
      <c r="ALV96" s="80"/>
      <c r="ALW96" s="80"/>
      <c r="ALX96" s="80"/>
      <c r="ALY96" s="80"/>
      <c r="ALZ96" s="80"/>
      <c r="AMA96" s="80"/>
      <c r="AMB96" s="80"/>
      <c r="AMC96" s="80"/>
      <c r="AMD96" s="80"/>
      <c r="AME96" s="80"/>
      <c r="AMF96" s="80"/>
      <c r="AMG96" s="80"/>
      <c r="AMH96" s="80"/>
      <c r="AMI96" s="80"/>
      <c r="AMJ96" s="80"/>
      <c r="AMK96" s="80"/>
      <c r="AML96" s="80"/>
      <c r="AMM96" s="80"/>
      <c r="AMN96" s="80"/>
      <c r="AMO96" s="80"/>
      <c r="AMP96" s="80"/>
      <c r="AMQ96" s="80"/>
      <c r="AMR96" s="80"/>
      <c r="AMS96" s="80"/>
      <c r="AMT96" s="80"/>
      <c r="AMU96" s="80"/>
      <c r="AMV96" s="80"/>
      <c r="AMW96" s="80"/>
      <c r="AMX96" s="80"/>
      <c r="AMY96" s="80"/>
      <c r="AMZ96" s="80"/>
      <c r="ANA96" s="80"/>
      <c r="ANB96" s="80"/>
      <c r="ANC96" s="80"/>
      <c r="AND96" s="80"/>
      <c r="ANE96" s="80"/>
      <c r="ANF96" s="80"/>
      <c r="ANG96" s="80"/>
      <c r="ANH96" s="80"/>
      <c r="ANI96" s="80"/>
      <c r="ANJ96" s="80"/>
      <c r="ANK96" s="80"/>
      <c r="ANL96" s="80"/>
      <c r="ANM96" s="80"/>
      <c r="ANN96" s="80"/>
      <c r="ANO96" s="80"/>
      <c r="ANP96" s="80"/>
      <c r="ANQ96" s="80"/>
      <c r="ANR96" s="80"/>
      <c r="ANS96" s="80"/>
      <c r="ANT96" s="80"/>
      <c r="ANU96" s="80"/>
      <c r="ANV96" s="80"/>
      <c r="ANW96" s="80"/>
      <c r="ANX96" s="80"/>
      <c r="ANY96" s="80"/>
      <c r="ANZ96" s="80"/>
      <c r="AOA96" s="80"/>
      <c r="AOB96" s="80"/>
      <c r="AOC96" s="80"/>
      <c r="AOD96" s="80"/>
      <c r="AOE96" s="80"/>
      <c r="AOF96" s="80"/>
      <c r="AOG96" s="80"/>
      <c r="AOH96" s="80"/>
      <c r="AOI96" s="80"/>
      <c r="AOJ96" s="80"/>
      <c r="AOK96" s="80"/>
      <c r="AOL96" s="80"/>
      <c r="AOM96" s="80"/>
      <c r="AON96" s="80"/>
      <c r="AOO96" s="80"/>
      <c r="AOP96" s="80"/>
      <c r="AOQ96" s="80"/>
      <c r="AOR96" s="80"/>
      <c r="AOS96" s="80"/>
      <c r="AOT96" s="80"/>
      <c r="AOU96" s="80"/>
      <c r="AOV96" s="80"/>
      <c r="AOW96" s="80"/>
      <c r="AOX96" s="80"/>
      <c r="AOY96" s="80"/>
      <c r="AOZ96" s="80"/>
      <c r="APA96" s="80"/>
      <c r="APB96" s="80"/>
      <c r="APC96" s="80"/>
      <c r="APD96" s="80"/>
      <c r="APE96" s="80"/>
      <c r="APF96" s="80"/>
      <c r="APG96" s="80"/>
      <c r="APH96" s="80"/>
      <c r="API96" s="80"/>
      <c r="APJ96" s="80"/>
      <c r="APK96" s="80"/>
      <c r="APL96" s="80"/>
      <c r="APM96" s="80"/>
      <c r="APN96" s="80"/>
      <c r="APO96" s="80"/>
      <c r="APP96" s="80"/>
      <c r="APQ96" s="80"/>
      <c r="APR96" s="80"/>
      <c r="APS96" s="80"/>
      <c r="APT96" s="80"/>
      <c r="APU96" s="80"/>
      <c r="APV96" s="80"/>
      <c r="APW96" s="80"/>
      <c r="APX96" s="80"/>
      <c r="APY96" s="80"/>
      <c r="APZ96" s="80"/>
      <c r="AQA96" s="80"/>
      <c r="AQB96" s="80"/>
      <c r="AQC96" s="80"/>
      <c r="AQD96" s="80"/>
      <c r="AQE96" s="80"/>
      <c r="AQF96" s="80"/>
      <c r="AQG96" s="80"/>
      <c r="AQH96" s="80"/>
      <c r="AQI96" s="80"/>
      <c r="AQJ96" s="80"/>
      <c r="AQK96" s="80"/>
      <c r="AQL96" s="80"/>
      <c r="AQM96" s="80"/>
      <c r="AQN96" s="80"/>
      <c r="AQO96" s="80"/>
      <c r="AQP96" s="80"/>
      <c r="AQQ96" s="80"/>
      <c r="AQR96" s="80"/>
      <c r="AQS96" s="80"/>
      <c r="AQT96" s="80"/>
      <c r="AQU96" s="80"/>
      <c r="AQV96" s="80"/>
      <c r="AQW96" s="80"/>
      <c r="AQX96" s="80"/>
      <c r="AQY96" s="80"/>
      <c r="AQZ96" s="80"/>
      <c r="ARA96" s="80"/>
      <c r="ARB96" s="80"/>
      <c r="ARC96" s="80"/>
      <c r="ARD96" s="80"/>
      <c r="ARE96" s="80"/>
      <c r="ARF96" s="80"/>
      <c r="ARG96" s="80"/>
      <c r="ARH96" s="80"/>
      <c r="ARI96" s="80"/>
      <c r="ARJ96" s="80"/>
      <c r="ARK96" s="80"/>
      <c r="ARL96" s="80"/>
      <c r="ARM96" s="80"/>
      <c r="ARN96" s="80"/>
      <c r="ARO96" s="80"/>
      <c r="ARP96" s="80"/>
      <c r="ARQ96" s="80"/>
      <c r="ARR96" s="80"/>
      <c r="ARS96" s="80"/>
      <c r="ART96" s="80"/>
      <c r="ARU96" s="80"/>
      <c r="ARV96" s="80"/>
      <c r="ARW96" s="80"/>
      <c r="ARX96" s="80"/>
      <c r="ARY96" s="80"/>
      <c r="ARZ96" s="80"/>
      <c r="ASA96" s="80"/>
      <c r="ASB96" s="80"/>
      <c r="ASC96" s="80"/>
      <c r="ASD96" s="80"/>
      <c r="ASE96" s="80"/>
      <c r="ASF96" s="80"/>
      <c r="ASG96" s="80"/>
      <c r="ASH96" s="80"/>
      <c r="ASI96" s="80"/>
      <c r="ASJ96" s="80"/>
      <c r="ASK96" s="80"/>
      <c r="ASL96" s="80"/>
      <c r="ASM96" s="80"/>
      <c r="ASN96" s="80"/>
      <c r="ASO96" s="80"/>
      <c r="ASP96" s="80"/>
      <c r="ASQ96" s="80"/>
      <c r="ASR96" s="80"/>
      <c r="ASS96" s="80"/>
      <c r="AST96" s="80"/>
      <c r="ASU96" s="80"/>
      <c r="ASV96" s="80"/>
      <c r="ASW96" s="80"/>
      <c r="ASX96" s="80"/>
      <c r="ASY96" s="80"/>
      <c r="ASZ96" s="80"/>
      <c r="ATA96" s="80"/>
      <c r="ATB96" s="80"/>
      <c r="ATC96" s="80"/>
      <c r="ATD96" s="80"/>
      <c r="ATE96" s="80"/>
      <c r="ATF96" s="80"/>
      <c r="ATG96" s="80"/>
      <c r="ATH96" s="80"/>
      <c r="ATI96" s="80"/>
      <c r="ATJ96" s="80"/>
      <c r="ATK96" s="80"/>
      <c r="ATL96" s="80"/>
      <c r="ATM96" s="80"/>
      <c r="ATN96" s="80"/>
      <c r="ATO96" s="80"/>
      <c r="ATP96" s="80"/>
      <c r="ATQ96" s="80"/>
      <c r="ATR96" s="80"/>
      <c r="ATS96" s="80"/>
      <c r="ATT96" s="80"/>
      <c r="ATU96" s="80"/>
      <c r="ATV96" s="80"/>
      <c r="ATW96" s="80"/>
      <c r="ATX96" s="80"/>
      <c r="ATY96" s="80"/>
      <c r="ATZ96" s="80"/>
      <c r="AUA96" s="80"/>
      <c r="AUB96" s="80"/>
      <c r="AUC96" s="80"/>
      <c r="AUD96" s="80"/>
      <c r="AUE96" s="80"/>
      <c r="AUF96" s="80"/>
      <c r="AUG96" s="80"/>
      <c r="AUH96" s="80"/>
      <c r="AUI96" s="80"/>
      <c r="AUJ96" s="80"/>
      <c r="AUK96" s="80"/>
      <c r="AUL96" s="80"/>
      <c r="AUM96" s="80"/>
      <c r="AUN96" s="80"/>
      <c r="AUO96" s="80"/>
      <c r="AUP96" s="80"/>
      <c r="AUQ96" s="80"/>
      <c r="AUR96" s="80"/>
      <c r="AUS96" s="80"/>
      <c r="AUT96" s="80"/>
      <c r="AUU96" s="80"/>
      <c r="AUV96" s="80"/>
      <c r="AUW96" s="80"/>
      <c r="AUX96" s="80"/>
      <c r="AUY96" s="80"/>
      <c r="AUZ96" s="80"/>
      <c r="AVA96" s="80"/>
      <c r="AVB96" s="80"/>
      <c r="AVC96" s="80"/>
      <c r="AVD96" s="80"/>
      <c r="AVE96" s="80"/>
      <c r="AVF96" s="80"/>
      <c r="AVG96" s="80"/>
      <c r="AVH96" s="80"/>
      <c r="AVI96" s="80"/>
      <c r="AVJ96" s="80"/>
      <c r="AVK96" s="80"/>
      <c r="AVL96" s="80"/>
      <c r="AVM96" s="80"/>
      <c r="AVN96" s="80"/>
      <c r="AVO96" s="80"/>
      <c r="AVP96" s="80"/>
      <c r="AVQ96" s="80"/>
      <c r="AVR96" s="80"/>
      <c r="AVS96" s="80"/>
      <c r="AVT96" s="80"/>
      <c r="AVU96" s="80"/>
      <c r="AVV96" s="80"/>
      <c r="AVW96" s="80"/>
      <c r="AVX96" s="80"/>
      <c r="AVY96" s="80"/>
      <c r="AVZ96" s="80"/>
      <c r="AWA96" s="80"/>
      <c r="AWB96" s="80"/>
      <c r="AWC96" s="80"/>
      <c r="AWD96" s="80"/>
      <c r="AWE96" s="80"/>
      <c r="AWF96" s="80"/>
      <c r="AWG96" s="80"/>
      <c r="AWH96" s="80"/>
      <c r="AWI96" s="80"/>
      <c r="AWJ96" s="80"/>
      <c r="AWK96" s="80"/>
      <c r="AWL96" s="80"/>
      <c r="AWM96" s="80"/>
      <c r="AWN96" s="80"/>
      <c r="AWO96" s="80"/>
      <c r="AWP96" s="80"/>
      <c r="AWQ96" s="80"/>
      <c r="AWR96" s="80"/>
      <c r="AWS96" s="80"/>
      <c r="AWT96" s="80"/>
      <c r="AWU96" s="80"/>
      <c r="AWV96" s="80"/>
      <c r="AWW96" s="80"/>
      <c r="AWX96" s="80"/>
      <c r="AWY96" s="80"/>
      <c r="AWZ96" s="80"/>
      <c r="AXA96" s="80"/>
      <c r="AXB96" s="80"/>
      <c r="AXC96" s="80"/>
      <c r="AXD96" s="80"/>
      <c r="AXE96" s="80"/>
      <c r="AXF96" s="80"/>
      <c r="AXG96" s="80"/>
      <c r="AXH96" s="80"/>
      <c r="AXI96" s="80"/>
      <c r="AXJ96" s="80"/>
      <c r="AXK96" s="80"/>
      <c r="AXL96" s="80"/>
      <c r="AXM96" s="80"/>
      <c r="AXN96" s="80"/>
      <c r="AXO96" s="80"/>
      <c r="AXP96" s="80"/>
      <c r="AXQ96" s="80"/>
      <c r="AXR96" s="80"/>
      <c r="AXS96" s="80"/>
      <c r="AXT96" s="80"/>
      <c r="AXU96" s="80"/>
      <c r="AXV96" s="80"/>
      <c r="AXW96" s="80"/>
      <c r="AXX96" s="80"/>
      <c r="AXY96" s="80"/>
      <c r="AXZ96" s="80"/>
      <c r="AYA96" s="80"/>
      <c r="AYB96" s="80"/>
      <c r="AYC96" s="80"/>
      <c r="AYD96" s="80"/>
      <c r="AYE96" s="80"/>
      <c r="AYF96" s="80"/>
      <c r="AYG96" s="80"/>
      <c r="AYH96" s="80"/>
      <c r="AYI96" s="80"/>
      <c r="AYJ96" s="80"/>
      <c r="AYK96" s="80"/>
      <c r="AYL96" s="80"/>
      <c r="AYM96" s="80"/>
      <c r="AYN96" s="80"/>
      <c r="AYO96" s="80"/>
      <c r="AYP96" s="80"/>
      <c r="AYQ96" s="80"/>
      <c r="AYR96" s="80"/>
      <c r="AYS96" s="80"/>
      <c r="AYT96" s="80"/>
      <c r="AYU96" s="80"/>
      <c r="AYV96" s="80"/>
      <c r="AYW96" s="80"/>
      <c r="AYX96" s="80"/>
      <c r="AYY96" s="80"/>
      <c r="AYZ96" s="80"/>
      <c r="AZA96" s="80"/>
      <c r="AZB96" s="80"/>
      <c r="AZC96" s="80"/>
      <c r="AZD96" s="80"/>
      <c r="AZE96" s="80"/>
      <c r="AZF96" s="80"/>
      <c r="AZG96" s="80"/>
      <c r="AZH96" s="80"/>
      <c r="AZI96" s="80"/>
      <c r="AZJ96" s="80"/>
      <c r="AZK96" s="80"/>
      <c r="AZL96" s="80"/>
      <c r="AZM96" s="80"/>
      <c r="AZN96" s="80"/>
      <c r="AZO96" s="80"/>
      <c r="AZP96" s="80"/>
      <c r="AZQ96" s="80"/>
      <c r="AZR96" s="80"/>
      <c r="AZS96" s="80"/>
      <c r="AZT96" s="80"/>
      <c r="AZU96" s="80"/>
      <c r="AZV96" s="80"/>
      <c r="AZW96" s="80"/>
      <c r="AZX96" s="80"/>
      <c r="AZY96" s="80"/>
      <c r="AZZ96" s="80"/>
      <c r="BAA96" s="80"/>
      <c r="BAB96" s="80"/>
      <c r="BAC96" s="80"/>
      <c r="BAD96" s="80"/>
      <c r="BAE96" s="80"/>
      <c r="BAF96" s="80"/>
      <c r="BAG96" s="80"/>
      <c r="BAH96" s="80"/>
      <c r="BAI96" s="80"/>
      <c r="BAJ96" s="80"/>
      <c r="BAK96" s="80"/>
      <c r="BAL96" s="80"/>
      <c r="BAM96" s="80"/>
      <c r="BAN96" s="80"/>
      <c r="BAO96" s="80"/>
      <c r="BAP96" s="80"/>
      <c r="BAQ96" s="80"/>
      <c r="BAR96" s="80"/>
      <c r="BAS96" s="80"/>
      <c r="BAT96" s="80"/>
      <c r="BAU96" s="80"/>
      <c r="BAV96" s="80"/>
      <c r="BAW96" s="80"/>
      <c r="BAX96" s="80"/>
      <c r="BAY96" s="80"/>
      <c r="BAZ96" s="80"/>
      <c r="BBA96" s="80"/>
      <c r="BBB96" s="80"/>
      <c r="BBC96" s="80"/>
      <c r="BBD96" s="80"/>
      <c r="BBE96" s="80"/>
      <c r="BBF96" s="80"/>
      <c r="BBG96" s="80"/>
      <c r="BBH96" s="80"/>
      <c r="BBI96" s="80"/>
      <c r="BBJ96" s="80"/>
      <c r="BBK96" s="80"/>
      <c r="BBL96" s="80"/>
      <c r="BBM96" s="80"/>
      <c r="BBN96" s="80"/>
      <c r="BBO96" s="80"/>
      <c r="BBP96" s="80"/>
      <c r="BBQ96" s="80"/>
      <c r="BBR96" s="80"/>
      <c r="BBS96" s="80"/>
      <c r="BBT96" s="80"/>
      <c r="BBU96" s="80"/>
      <c r="BBV96" s="80"/>
      <c r="BBW96" s="80"/>
      <c r="BBX96" s="80"/>
      <c r="BBY96" s="80"/>
      <c r="BBZ96" s="80"/>
      <c r="BCA96" s="80"/>
      <c r="BCB96" s="80"/>
      <c r="BCC96" s="80"/>
      <c r="BCD96" s="80"/>
      <c r="BCE96" s="80"/>
      <c r="BCF96" s="80"/>
      <c r="BCG96" s="80"/>
      <c r="BCH96" s="80"/>
      <c r="BCI96" s="80"/>
      <c r="BCJ96" s="80"/>
      <c r="BCK96" s="80"/>
      <c r="BCL96" s="80"/>
      <c r="BCM96" s="80"/>
      <c r="BCN96" s="80"/>
      <c r="BCO96" s="80"/>
      <c r="BCP96" s="80"/>
      <c r="BCQ96" s="80"/>
      <c r="BCR96" s="80"/>
      <c r="BCS96" s="80"/>
      <c r="BCT96" s="80"/>
      <c r="BCU96" s="80"/>
      <c r="BCV96" s="80"/>
      <c r="BCW96" s="80"/>
      <c r="BCX96" s="80"/>
      <c r="BCY96" s="80"/>
      <c r="BCZ96" s="80"/>
      <c r="BDA96" s="80"/>
      <c r="BDB96" s="80"/>
      <c r="BDC96" s="80"/>
      <c r="BDD96" s="80"/>
      <c r="BDE96" s="80"/>
      <c r="BDF96" s="80"/>
      <c r="BDG96" s="80"/>
      <c r="BDH96" s="80"/>
      <c r="BDI96" s="80"/>
      <c r="BDJ96" s="80"/>
      <c r="BDK96" s="80"/>
      <c r="BDL96" s="80"/>
      <c r="BDM96" s="80"/>
      <c r="BDN96" s="80"/>
      <c r="BDO96" s="80"/>
      <c r="BDP96" s="80"/>
      <c r="BDQ96" s="80"/>
      <c r="BDR96" s="80"/>
      <c r="BDS96" s="80"/>
      <c r="BDT96" s="80"/>
      <c r="BDU96" s="80"/>
      <c r="BDV96" s="80"/>
      <c r="BDW96" s="80"/>
      <c r="BDX96" s="80"/>
      <c r="BDY96" s="80"/>
      <c r="BDZ96" s="80"/>
      <c r="BEA96" s="80"/>
      <c r="BEB96" s="80"/>
      <c r="BEC96" s="80"/>
      <c r="BED96" s="80"/>
      <c r="BEE96" s="80"/>
      <c r="BEF96" s="80"/>
      <c r="BEG96" s="80"/>
      <c r="BEH96" s="80"/>
      <c r="BEI96" s="80"/>
      <c r="BEJ96" s="80"/>
      <c r="BEK96" s="80"/>
      <c r="BEL96" s="80"/>
      <c r="BEM96" s="80"/>
      <c r="BEN96" s="80"/>
      <c r="BEO96" s="80"/>
      <c r="BEP96" s="80"/>
      <c r="BEQ96" s="80"/>
      <c r="BER96" s="80"/>
      <c r="BES96" s="80"/>
      <c r="BET96" s="80"/>
      <c r="BEU96" s="80"/>
      <c r="BEV96" s="80"/>
      <c r="BEW96" s="80"/>
      <c r="BEX96" s="80"/>
      <c r="BEY96" s="80"/>
      <c r="BEZ96" s="80"/>
      <c r="BFA96" s="80"/>
      <c r="BFB96" s="80"/>
      <c r="BFC96" s="80"/>
      <c r="BFD96" s="80"/>
      <c r="BFE96" s="80"/>
      <c r="BFF96" s="80"/>
      <c r="BFG96" s="80"/>
      <c r="BFH96" s="80"/>
      <c r="BFI96" s="80"/>
      <c r="BFJ96" s="80"/>
      <c r="BFK96" s="80"/>
      <c r="BFL96" s="80"/>
      <c r="BFM96" s="80"/>
      <c r="BFN96" s="80"/>
      <c r="BFO96" s="80"/>
      <c r="BFP96" s="80"/>
      <c r="BFQ96" s="80"/>
      <c r="BFR96" s="80"/>
      <c r="BFS96" s="80"/>
      <c r="BFT96" s="80"/>
      <c r="BFU96" s="80"/>
      <c r="BFV96" s="80"/>
      <c r="BFW96" s="80"/>
      <c r="BFX96" s="80"/>
      <c r="BFY96" s="80"/>
      <c r="BFZ96" s="80"/>
      <c r="BGA96" s="80"/>
      <c r="BGB96" s="80"/>
      <c r="BGC96" s="80"/>
      <c r="BGD96" s="80"/>
      <c r="BGE96" s="80"/>
      <c r="BGF96" s="80"/>
      <c r="BGG96" s="80"/>
      <c r="BGH96" s="80"/>
      <c r="BGI96" s="80"/>
      <c r="BGJ96" s="80"/>
      <c r="BGK96" s="80"/>
      <c r="BGL96" s="80"/>
      <c r="BGM96" s="80"/>
      <c r="BGN96" s="80"/>
      <c r="BGO96" s="80"/>
      <c r="BGP96" s="80"/>
      <c r="BGQ96" s="80"/>
      <c r="BGR96" s="80"/>
      <c r="BGS96" s="80"/>
      <c r="BGT96" s="80"/>
      <c r="BGU96" s="80"/>
      <c r="BGV96" s="80"/>
      <c r="BGW96" s="80"/>
      <c r="BGX96" s="80"/>
      <c r="BGY96" s="80"/>
      <c r="BGZ96" s="80"/>
      <c r="BHA96" s="80"/>
      <c r="BHB96" s="80"/>
      <c r="BHC96" s="80"/>
      <c r="BHD96" s="80"/>
      <c r="BHE96" s="80"/>
      <c r="BHF96" s="80"/>
      <c r="BHG96" s="80"/>
      <c r="BHH96" s="80"/>
      <c r="BHI96" s="80"/>
      <c r="BHJ96" s="80"/>
      <c r="BHK96" s="80"/>
      <c r="BHL96" s="80"/>
      <c r="BHM96" s="80"/>
      <c r="BHN96" s="80"/>
      <c r="BHO96" s="80"/>
      <c r="BHP96" s="80"/>
      <c r="BHQ96" s="80"/>
      <c r="BHR96" s="80"/>
      <c r="BHS96" s="80"/>
      <c r="BHT96" s="80"/>
      <c r="BHU96" s="80"/>
      <c r="BHV96" s="80"/>
      <c r="BHW96" s="80"/>
      <c r="BHX96" s="80"/>
      <c r="BHY96" s="80"/>
      <c r="BHZ96" s="80"/>
      <c r="BIA96" s="80"/>
      <c r="BIB96" s="80"/>
      <c r="BIC96" s="80"/>
      <c r="BID96" s="80"/>
      <c r="BIE96" s="80"/>
      <c r="BIF96" s="80"/>
      <c r="BIG96" s="80"/>
      <c r="BIH96" s="80"/>
      <c r="BII96" s="80"/>
      <c r="BIJ96" s="80"/>
      <c r="BIK96" s="80"/>
      <c r="BIL96" s="80"/>
      <c r="BIM96" s="80"/>
      <c r="BIN96" s="80"/>
      <c r="BIO96" s="80"/>
      <c r="BIP96" s="80"/>
      <c r="BIQ96" s="80"/>
      <c r="BIR96" s="80"/>
      <c r="BIS96" s="80"/>
      <c r="BIT96" s="80"/>
      <c r="BIU96" s="80"/>
      <c r="BIV96" s="80"/>
      <c r="BIW96" s="80"/>
      <c r="BIX96" s="80"/>
      <c r="BIY96" s="80"/>
      <c r="BIZ96" s="80"/>
      <c r="BJA96" s="80"/>
      <c r="BJB96" s="80"/>
      <c r="BJC96" s="80"/>
      <c r="BJD96" s="80"/>
      <c r="BJE96" s="80"/>
      <c r="BJF96" s="80"/>
      <c r="BJG96" s="80"/>
      <c r="BJH96" s="80"/>
      <c r="BJI96" s="80"/>
      <c r="BJJ96" s="80"/>
      <c r="BJK96" s="80"/>
      <c r="BJL96" s="80"/>
      <c r="BJM96" s="80"/>
      <c r="BJN96" s="80"/>
      <c r="BJO96" s="80"/>
      <c r="BJP96" s="80"/>
      <c r="BJQ96" s="80"/>
      <c r="BJR96" s="80"/>
      <c r="BJS96" s="80"/>
      <c r="BJT96" s="80"/>
      <c r="BJU96" s="80"/>
      <c r="BJV96" s="80"/>
      <c r="BJW96" s="80"/>
      <c r="BJX96" s="80"/>
      <c r="BJY96" s="80"/>
      <c r="BJZ96" s="80"/>
      <c r="BKA96" s="80"/>
      <c r="BKB96" s="80"/>
      <c r="BKC96" s="80"/>
      <c r="BKD96" s="80"/>
      <c r="BKE96" s="80"/>
      <c r="BKF96" s="80"/>
      <c r="BKG96" s="80"/>
      <c r="BKH96" s="80"/>
      <c r="BKI96" s="80"/>
      <c r="BKJ96" s="80"/>
      <c r="BKK96" s="80"/>
      <c r="BKL96" s="80"/>
      <c r="BKM96" s="80"/>
      <c r="BKN96" s="80"/>
      <c r="BKO96" s="80"/>
      <c r="BKP96" s="80"/>
      <c r="BKQ96" s="80"/>
      <c r="BKR96" s="80"/>
      <c r="BKS96" s="80"/>
      <c r="BKT96" s="80"/>
      <c r="BKU96" s="80"/>
      <c r="BKV96" s="80"/>
      <c r="BKW96" s="80"/>
      <c r="BKX96" s="80"/>
      <c r="BKY96" s="80"/>
      <c r="BKZ96" s="80"/>
      <c r="BLA96" s="80"/>
      <c r="BLB96" s="80"/>
      <c r="BLC96" s="80"/>
      <c r="BLD96" s="80"/>
      <c r="BLE96" s="80"/>
      <c r="BLF96" s="80"/>
      <c r="BLG96" s="80"/>
      <c r="BLH96" s="80"/>
      <c r="BLI96" s="80"/>
      <c r="BLJ96" s="80"/>
      <c r="BLK96" s="80"/>
      <c r="BLL96" s="80"/>
      <c r="BLM96" s="80"/>
      <c r="BLN96" s="80"/>
      <c r="BLO96" s="80"/>
      <c r="BLP96" s="80"/>
      <c r="BLQ96" s="80"/>
      <c r="BLR96" s="80"/>
      <c r="BLS96" s="80"/>
      <c r="BLT96" s="80"/>
      <c r="BLU96" s="80"/>
      <c r="BLV96" s="80"/>
      <c r="BLW96" s="80"/>
      <c r="BLX96" s="80"/>
      <c r="BLY96" s="80"/>
      <c r="BLZ96" s="80"/>
      <c r="BMA96" s="80"/>
      <c r="BMB96" s="80"/>
      <c r="BMC96" s="80"/>
      <c r="BMD96" s="80"/>
      <c r="BME96" s="80"/>
      <c r="BMF96" s="80"/>
      <c r="BMG96" s="80"/>
      <c r="BMH96" s="80"/>
      <c r="BMI96" s="80"/>
      <c r="BMJ96" s="80"/>
      <c r="BMK96" s="80"/>
      <c r="BML96" s="80"/>
      <c r="BMM96" s="80"/>
      <c r="BMN96" s="80"/>
      <c r="BMO96" s="80"/>
      <c r="BMP96" s="80"/>
      <c r="BMQ96" s="80"/>
      <c r="BMR96" s="80"/>
      <c r="BMS96" s="80"/>
      <c r="BMT96" s="80"/>
      <c r="BMU96" s="80"/>
      <c r="BMV96" s="80"/>
      <c r="BMW96" s="80"/>
      <c r="BMX96" s="80"/>
      <c r="BMY96" s="80"/>
      <c r="BMZ96" s="80"/>
      <c r="BNA96" s="80"/>
      <c r="BNB96" s="80"/>
      <c r="BNC96" s="80"/>
      <c r="BND96" s="80"/>
      <c r="BNE96" s="80"/>
      <c r="BNF96" s="80"/>
      <c r="BNG96" s="80"/>
      <c r="BNH96" s="80"/>
      <c r="BNI96" s="80"/>
      <c r="BNJ96" s="80"/>
      <c r="BNK96" s="80"/>
      <c r="BNL96" s="80"/>
      <c r="BNM96" s="80"/>
      <c r="BNN96" s="80"/>
      <c r="BNO96" s="80"/>
      <c r="BNP96" s="80"/>
      <c r="BNQ96" s="80"/>
      <c r="BNR96" s="80"/>
      <c r="BNS96" s="80"/>
      <c r="BNT96" s="80"/>
      <c r="BNU96" s="80"/>
      <c r="BNV96" s="80"/>
      <c r="BNW96" s="80"/>
      <c r="BNX96" s="80"/>
      <c r="BNY96" s="80"/>
      <c r="BNZ96" s="80"/>
      <c r="BOA96" s="80"/>
      <c r="BOB96" s="80"/>
      <c r="BOC96" s="80"/>
      <c r="BOD96" s="80"/>
      <c r="BOE96" s="80"/>
      <c r="BOF96" s="80"/>
      <c r="BOG96" s="80"/>
      <c r="BOH96" s="80"/>
      <c r="BOI96" s="80"/>
      <c r="BOJ96" s="80"/>
      <c r="BOK96" s="80"/>
      <c r="BOL96" s="80"/>
      <c r="BOM96" s="80"/>
      <c r="BON96" s="80"/>
      <c r="BOO96" s="80"/>
      <c r="BOP96" s="80"/>
      <c r="BOQ96" s="80"/>
      <c r="BOR96" s="80"/>
      <c r="BOS96" s="80"/>
      <c r="BOT96" s="80"/>
      <c r="BOU96" s="80"/>
      <c r="BOV96" s="80"/>
      <c r="BOW96" s="80"/>
      <c r="BOX96" s="80"/>
      <c r="BOY96" s="80"/>
      <c r="BOZ96" s="80"/>
      <c r="BPA96" s="80"/>
      <c r="BPB96" s="80"/>
      <c r="BPC96" s="80"/>
      <c r="BPD96" s="80"/>
      <c r="BPE96" s="80"/>
      <c r="BPF96" s="80"/>
      <c r="BPG96" s="80"/>
      <c r="BPH96" s="80"/>
      <c r="BPI96" s="80"/>
      <c r="BPJ96" s="80"/>
      <c r="BPK96" s="80"/>
      <c r="BPL96" s="80"/>
      <c r="BPM96" s="80"/>
      <c r="BPN96" s="80"/>
      <c r="BPO96" s="80"/>
      <c r="BPP96" s="80"/>
      <c r="BPQ96" s="80"/>
      <c r="BPR96" s="80"/>
      <c r="BPS96" s="80"/>
      <c r="BPT96" s="80"/>
      <c r="BPU96" s="80"/>
      <c r="BPV96" s="80"/>
      <c r="BPW96" s="80"/>
      <c r="BPX96" s="80"/>
      <c r="BPY96" s="80"/>
      <c r="BPZ96" s="80"/>
      <c r="BQA96" s="80"/>
      <c r="BQB96" s="80"/>
      <c r="BQC96" s="80"/>
      <c r="BQD96" s="80"/>
      <c r="BQE96" s="80"/>
      <c r="BQF96" s="80"/>
      <c r="BQG96" s="80"/>
      <c r="BQH96" s="80"/>
      <c r="BQI96" s="80"/>
      <c r="BQJ96" s="80"/>
      <c r="BQK96" s="80"/>
      <c r="BQL96" s="80"/>
      <c r="BQM96" s="80"/>
      <c r="BQN96" s="80"/>
      <c r="BQO96" s="80"/>
      <c r="BQP96" s="80"/>
      <c r="BQQ96" s="80"/>
      <c r="BQR96" s="80"/>
      <c r="BQS96" s="80"/>
      <c r="BQT96" s="80"/>
      <c r="BQU96" s="80"/>
      <c r="BQV96" s="80"/>
      <c r="BQW96" s="80"/>
      <c r="BQX96" s="80"/>
      <c r="BQY96" s="80"/>
      <c r="BQZ96" s="80"/>
      <c r="BRA96" s="80"/>
      <c r="BRB96" s="80"/>
      <c r="BRC96" s="80"/>
      <c r="BRD96" s="80"/>
      <c r="BRE96" s="80"/>
      <c r="BRF96" s="80"/>
      <c r="BRG96" s="80"/>
      <c r="BRH96" s="80"/>
      <c r="BRI96" s="80"/>
      <c r="BRJ96" s="80"/>
      <c r="BRK96" s="80"/>
      <c r="BRL96" s="80"/>
      <c r="BRM96" s="80"/>
      <c r="BRN96" s="80"/>
      <c r="BRO96" s="80"/>
      <c r="BRP96" s="80"/>
      <c r="BRQ96" s="80"/>
      <c r="BRR96" s="80"/>
      <c r="BRS96" s="80"/>
      <c r="BRT96" s="80"/>
      <c r="BRU96" s="80"/>
      <c r="BRV96" s="80"/>
      <c r="BRW96" s="80"/>
      <c r="BRX96" s="80"/>
      <c r="BRY96" s="80"/>
      <c r="BRZ96" s="80"/>
      <c r="BSA96" s="80"/>
      <c r="BSB96" s="80"/>
      <c r="BSC96" s="80"/>
      <c r="BSD96" s="80"/>
      <c r="BSE96" s="80"/>
      <c r="BSF96" s="80"/>
      <c r="BSG96" s="80"/>
      <c r="BSH96" s="80"/>
      <c r="BSI96" s="80"/>
      <c r="BSJ96" s="80"/>
      <c r="BSK96" s="80"/>
      <c r="BSL96" s="80"/>
      <c r="BSM96" s="80"/>
      <c r="BSN96" s="80"/>
      <c r="BSO96" s="80"/>
      <c r="BSP96" s="80"/>
      <c r="BSQ96" s="80"/>
      <c r="BSR96" s="80"/>
      <c r="BSS96" s="80"/>
      <c r="BST96" s="80"/>
      <c r="BSU96" s="80"/>
      <c r="BSV96" s="80"/>
      <c r="BSW96" s="80"/>
      <c r="BSX96" s="80"/>
      <c r="BSY96" s="80"/>
      <c r="BSZ96" s="80"/>
      <c r="BTA96" s="80"/>
      <c r="BTB96" s="80"/>
      <c r="BTC96" s="80"/>
      <c r="BTD96" s="80"/>
      <c r="BTE96" s="80"/>
      <c r="BTF96" s="80"/>
      <c r="BTG96" s="80"/>
      <c r="BTH96" s="80"/>
      <c r="BTI96" s="80"/>
      <c r="BTJ96" s="80"/>
      <c r="BTK96" s="80"/>
      <c r="BTL96" s="80"/>
      <c r="BTM96" s="80"/>
      <c r="BTN96" s="80"/>
      <c r="BTO96" s="80"/>
      <c r="BTP96" s="80"/>
      <c r="BTQ96" s="80"/>
      <c r="BTR96" s="80"/>
      <c r="BTS96" s="80"/>
      <c r="BTT96" s="80"/>
      <c r="BTU96" s="80"/>
      <c r="BTV96" s="80"/>
      <c r="BTW96" s="80"/>
      <c r="BTX96" s="80"/>
      <c r="BTY96" s="80"/>
      <c r="BTZ96" s="80"/>
      <c r="BUA96" s="80"/>
      <c r="BUB96" s="80"/>
      <c r="BUC96" s="80"/>
      <c r="BUD96" s="80"/>
      <c r="BUE96" s="80"/>
      <c r="BUF96" s="80"/>
      <c r="BUG96" s="80"/>
      <c r="BUH96" s="80"/>
      <c r="BUI96" s="80"/>
      <c r="BUJ96" s="80"/>
      <c r="BUK96" s="80"/>
      <c r="BUL96" s="80"/>
      <c r="BUM96" s="80"/>
      <c r="BUN96" s="80"/>
      <c r="BUO96" s="80"/>
      <c r="BUP96" s="80"/>
      <c r="BUQ96" s="80"/>
      <c r="BUR96" s="80"/>
      <c r="BUS96" s="80"/>
      <c r="BUT96" s="80"/>
      <c r="BUU96" s="80"/>
      <c r="BUV96" s="80"/>
      <c r="BUW96" s="80"/>
      <c r="BUX96" s="80"/>
      <c r="BUY96" s="80"/>
      <c r="BUZ96" s="80"/>
      <c r="BVA96" s="80"/>
      <c r="BVB96" s="80"/>
      <c r="BVC96" s="80"/>
      <c r="BVD96" s="80"/>
      <c r="BVE96" s="80"/>
      <c r="BVF96" s="80"/>
      <c r="BVG96" s="80"/>
      <c r="BVH96" s="80"/>
      <c r="BVI96" s="80"/>
      <c r="BVJ96" s="80"/>
      <c r="BVK96" s="80"/>
      <c r="BVL96" s="80"/>
      <c r="BVM96" s="80"/>
      <c r="BVN96" s="80"/>
      <c r="BVO96" s="80"/>
      <c r="BVP96" s="80"/>
      <c r="BVQ96" s="80"/>
      <c r="BVR96" s="80"/>
      <c r="BVS96" s="80"/>
      <c r="BVT96" s="80"/>
      <c r="BVU96" s="80"/>
      <c r="BVV96" s="80"/>
      <c r="BVW96" s="80"/>
      <c r="BVX96" s="80"/>
      <c r="BVY96" s="80"/>
      <c r="BVZ96" s="80"/>
      <c r="BWA96" s="80"/>
      <c r="BWB96" s="80"/>
      <c r="BWC96" s="80"/>
      <c r="BWD96" s="80"/>
      <c r="BWE96" s="80"/>
      <c r="BWF96" s="80"/>
      <c r="BWG96" s="80"/>
      <c r="BWH96" s="80"/>
      <c r="BWI96" s="80"/>
      <c r="BWJ96" s="80"/>
      <c r="BWK96" s="80"/>
      <c r="BWL96" s="80"/>
      <c r="BWM96" s="80"/>
      <c r="BWN96" s="80"/>
      <c r="BWO96" s="80"/>
      <c r="BWP96" s="80"/>
      <c r="BWQ96" s="80"/>
      <c r="BWR96" s="80"/>
      <c r="BWS96" s="80"/>
      <c r="BWT96" s="80"/>
      <c r="BWU96" s="80"/>
      <c r="BWV96" s="80"/>
      <c r="BWW96" s="80"/>
      <c r="BWX96" s="80"/>
      <c r="BWY96" s="80"/>
      <c r="BWZ96" s="80"/>
      <c r="BXA96" s="80"/>
      <c r="BXB96" s="80"/>
      <c r="BXC96" s="80"/>
      <c r="BXD96" s="80"/>
      <c r="BXE96" s="80"/>
      <c r="BXF96" s="80"/>
      <c r="BXG96" s="80"/>
      <c r="BXH96" s="80"/>
      <c r="BXI96" s="80"/>
      <c r="BXJ96" s="80"/>
      <c r="BXK96" s="80"/>
      <c r="BXL96" s="80"/>
      <c r="BXM96" s="80"/>
      <c r="BXN96" s="80"/>
      <c r="BXO96" s="80"/>
      <c r="BXP96" s="80"/>
      <c r="BXQ96" s="80"/>
      <c r="BXR96" s="80"/>
      <c r="BXS96" s="80"/>
      <c r="BXT96" s="80"/>
      <c r="BXU96" s="80"/>
      <c r="BXV96" s="80"/>
      <c r="BXW96" s="80"/>
      <c r="BXX96" s="80"/>
      <c r="BXY96" s="80"/>
      <c r="BXZ96" s="80"/>
      <c r="BYA96" s="80"/>
      <c r="BYB96" s="80"/>
      <c r="BYC96" s="80"/>
      <c r="BYD96" s="80"/>
      <c r="BYE96" s="80"/>
      <c r="BYF96" s="80"/>
      <c r="BYG96" s="80"/>
      <c r="BYH96" s="80"/>
      <c r="BYI96" s="80"/>
      <c r="BYJ96" s="80"/>
      <c r="BYK96" s="80"/>
      <c r="BYL96" s="80"/>
      <c r="BYM96" s="80"/>
      <c r="BYN96" s="80"/>
      <c r="BYO96" s="80"/>
      <c r="BYP96" s="80"/>
      <c r="BYQ96" s="80"/>
      <c r="BYR96" s="80"/>
      <c r="BYS96" s="80"/>
      <c r="BYT96" s="80"/>
      <c r="BYU96" s="80"/>
      <c r="BYV96" s="80"/>
      <c r="BYW96" s="80"/>
      <c r="BYX96" s="80"/>
      <c r="BYY96" s="80"/>
      <c r="BYZ96" s="80"/>
      <c r="BZA96" s="80"/>
      <c r="BZB96" s="80"/>
      <c r="BZC96" s="80"/>
      <c r="BZD96" s="80"/>
      <c r="BZE96" s="80"/>
      <c r="BZF96" s="80"/>
      <c r="BZG96" s="80"/>
      <c r="BZH96" s="80"/>
      <c r="BZI96" s="80"/>
      <c r="BZJ96" s="80"/>
      <c r="BZK96" s="80"/>
      <c r="BZL96" s="80"/>
      <c r="BZM96" s="80"/>
      <c r="BZN96" s="80"/>
      <c r="BZO96" s="80"/>
      <c r="BZP96" s="80"/>
      <c r="BZQ96" s="80"/>
      <c r="BZR96" s="80"/>
      <c r="BZS96" s="80"/>
      <c r="BZT96" s="80"/>
      <c r="BZU96" s="80"/>
      <c r="BZV96" s="80"/>
      <c r="BZW96" s="80"/>
      <c r="BZX96" s="80"/>
      <c r="BZY96" s="80"/>
      <c r="BZZ96" s="80"/>
      <c r="CAA96" s="80"/>
      <c r="CAB96" s="80"/>
      <c r="CAC96" s="80"/>
      <c r="CAD96" s="80"/>
      <c r="CAE96" s="80"/>
      <c r="CAF96" s="80"/>
      <c r="CAG96" s="80"/>
      <c r="CAH96" s="80"/>
      <c r="CAI96" s="80"/>
      <c r="CAJ96" s="80"/>
      <c r="CAK96" s="80"/>
      <c r="CAL96" s="80"/>
      <c r="CAM96" s="80"/>
      <c r="CAN96" s="80"/>
      <c r="CAO96" s="80"/>
      <c r="CAP96" s="80"/>
      <c r="CAQ96" s="80"/>
      <c r="CAR96" s="80"/>
      <c r="CAS96" s="80"/>
      <c r="CAT96" s="80"/>
      <c r="CAU96" s="80"/>
      <c r="CAV96" s="80"/>
      <c r="CAW96" s="80"/>
      <c r="CAX96" s="80"/>
      <c r="CAY96" s="80"/>
      <c r="CAZ96" s="80"/>
      <c r="CBA96" s="80"/>
      <c r="CBB96" s="80"/>
      <c r="CBC96" s="80"/>
      <c r="CBD96" s="80"/>
      <c r="CBE96" s="80"/>
      <c r="CBF96" s="80"/>
      <c r="CBG96" s="80"/>
      <c r="CBH96" s="80"/>
      <c r="CBI96" s="80"/>
      <c r="CBJ96" s="80"/>
      <c r="CBK96" s="80"/>
      <c r="CBL96" s="80"/>
      <c r="CBM96" s="80"/>
      <c r="CBN96" s="80"/>
      <c r="CBO96" s="80"/>
      <c r="CBP96" s="80"/>
      <c r="CBQ96" s="80"/>
      <c r="CBR96" s="80"/>
      <c r="CBS96" s="80"/>
      <c r="CBT96" s="80"/>
      <c r="CBU96" s="80"/>
      <c r="CBV96" s="80"/>
      <c r="CBW96" s="80"/>
      <c r="CBX96" s="80"/>
      <c r="CBY96" s="80"/>
      <c r="CBZ96" s="80"/>
      <c r="CCA96" s="80"/>
      <c r="CCB96" s="80"/>
      <c r="CCC96" s="80"/>
      <c r="CCD96" s="80"/>
      <c r="CCE96" s="80"/>
      <c r="CCF96" s="80"/>
      <c r="CCG96" s="80"/>
      <c r="CCH96" s="80"/>
      <c r="CCI96" s="80"/>
      <c r="CCJ96" s="80"/>
      <c r="CCK96" s="80"/>
      <c r="CCL96" s="80"/>
      <c r="CCM96" s="80"/>
      <c r="CCN96" s="80"/>
      <c r="CCO96" s="80"/>
      <c r="CCP96" s="80"/>
      <c r="CCQ96" s="80"/>
      <c r="CCR96" s="80"/>
      <c r="CCS96" s="80"/>
      <c r="CCT96" s="80"/>
      <c r="CCU96" s="80"/>
      <c r="CCV96" s="80"/>
      <c r="CCW96" s="80"/>
      <c r="CCX96" s="80"/>
      <c r="CCY96" s="80"/>
      <c r="CCZ96" s="80"/>
      <c r="CDA96" s="80"/>
      <c r="CDB96" s="80"/>
      <c r="CDC96" s="80"/>
      <c r="CDD96" s="80"/>
      <c r="CDE96" s="80"/>
      <c r="CDF96" s="80"/>
      <c r="CDG96" s="80"/>
      <c r="CDH96" s="80"/>
      <c r="CDI96" s="80"/>
      <c r="CDJ96" s="80"/>
      <c r="CDK96" s="80"/>
      <c r="CDL96" s="80"/>
      <c r="CDM96" s="80"/>
      <c r="CDN96" s="80"/>
      <c r="CDO96" s="80"/>
      <c r="CDP96" s="80"/>
      <c r="CDQ96" s="80"/>
      <c r="CDR96" s="80"/>
      <c r="CDS96" s="80"/>
      <c r="CDT96" s="80"/>
      <c r="CDU96" s="80"/>
      <c r="CDV96" s="80"/>
      <c r="CDW96" s="80"/>
      <c r="CDX96" s="80"/>
      <c r="CDY96" s="80"/>
      <c r="CDZ96" s="80"/>
      <c r="CEA96" s="80"/>
      <c r="CEB96" s="80"/>
      <c r="CEC96" s="80"/>
      <c r="CED96" s="80"/>
      <c r="CEE96" s="80"/>
      <c r="CEF96" s="80"/>
      <c r="CEG96" s="80"/>
      <c r="CEH96" s="80"/>
      <c r="CEI96" s="80"/>
      <c r="CEJ96" s="80"/>
      <c r="CEK96" s="80"/>
      <c r="CEL96" s="80"/>
      <c r="CEM96" s="80"/>
      <c r="CEN96" s="80"/>
      <c r="CEO96" s="80"/>
      <c r="CEP96" s="80"/>
      <c r="CEQ96" s="80"/>
      <c r="CER96" s="80"/>
      <c r="CES96" s="80"/>
      <c r="CET96" s="80"/>
      <c r="CEU96" s="80"/>
      <c r="CEV96" s="80"/>
      <c r="CEW96" s="80"/>
      <c r="CEX96" s="80"/>
      <c r="CEY96" s="80"/>
      <c r="CEZ96" s="80"/>
      <c r="CFA96" s="80"/>
      <c r="CFB96" s="80"/>
      <c r="CFC96" s="80"/>
      <c r="CFD96" s="80"/>
      <c r="CFE96" s="80"/>
      <c r="CFF96" s="80"/>
      <c r="CFG96" s="80"/>
      <c r="CFH96" s="80"/>
      <c r="CFI96" s="80"/>
      <c r="CFJ96" s="80"/>
      <c r="CFK96" s="80"/>
      <c r="CFL96" s="80"/>
      <c r="CFM96" s="80"/>
      <c r="CFN96" s="80"/>
      <c r="CFO96" s="80"/>
      <c r="CFP96" s="80"/>
      <c r="CFQ96" s="80"/>
      <c r="CFR96" s="80"/>
      <c r="CFS96" s="80"/>
      <c r="CFT96" s="80"/>
      <c r="CFU96" s="80"/>
      <c r="CFV96" s="80"/>
      <c r="CFW96" s="80"/>
      <c r="CFX96" s="80"/>
      <c r="CFY96" s="80"/>
      <c r="CFZ96" s="80"/>
      <c r="CGA96" s="80"/>
      <c r="CGB96" s="80"/>
      <c r="CGC96" s="80"/>
      <c r="CGD96" s="80"/>
      <c r="CGE96" s="80"/>
      <c r="CGF96" s="80"/>
      <c r="CGG96" s="80"/>
      <c r="CGH96" s="80"/>
      <c r="CGI96" s="80"/>
      <c r="CGJ96" s="80"/>
      <c r="CGK96" s="80"/>
      <c r="CGL96" s="80"/>
      <c r="CGM96" s="80"/>
      <c r="CGN96" s="80"/>
      <c r="CGO96" s="80"/>
      <c r="CGP96" s="80"/>
      <c r="CGQ96" s="80"/>
      <c r="CGR96" s="80"/>
      <c r="CGS96" s="80"/>
      <c r="CGT96" s="80"/>
      <c r="CGU96" s="80"/>
      <c r="CGV96" s="80"/>
      <c r="CGW96" s="80"/>
      <c r="CGX96" s="80"/>
      <c r="CGY96" s="80"/>
      <c r="CGZ96" s="80"/>
      <c r="CHA96" s="80"/>
      <c r="CHB96" s="80"/>
      <c r="CHC96" s="80"/>
      <c r="CHD96" s="80"/>
      <c r="CHE96" s="80"/>
      <c r="CHF96" s="80"/>
      <c r="CHG96" s="80"/>
      <c r="CHH96" s="80"/>
      <c r="CHI96" s="80"/>
      <c r="CHJ96" s="80"/>
      <c r="CHK96" s="80"/>
      <c r="CHL96" s="80"/>
      <c r="CHM96" s="80"/>
      <c r="CHN96" s="80"/>
      <c r="CHO96" s="80"/>
      <c r="CHP96" s="80"/>
      <c r="CHQ96" s="80"/>
      <c r="CHR96" s="80"/>
      <c r="CHS96" s="80"/>
      <c r="CHT96" s="80"/>
      <c r="CHU96" s="80"/>
      <c r="CHV96" s="80"/>
      <c r="CHW96" s="80"/>
      <c r="CHX96" s="80"/>
      <c r="CHY96" s="80"/>
      <c r="CHZ96" s="80"/>
      <c r="CIA96" s="80"/>
      <c r="CIB96" s="80"/>
      <c r="CIC96" s="80"/>
      <c r="CID96" s="80"/>
      <c r="CIE96" s="80"/>
      <c r="CIF96" s="80"/>
      <c r="CIG96" s="80"/>
      <c r="CIH96" s="80"/>
      <c r="CII96" s="80"/>
      <c r="CIJ96" s="80"/>
      <c r="CIK96" s="80"/>
      <c r="CIL96" s="80"/>
      <c r="CIM96" s="80"/>
      <c r="CIN96" s="80"/>
      <c r="CIO96" s="80"/>
      <c r="CIP96" s="80"/>
      <c r="CIQ96" s="80"/>
      <c r="CIR96" s="80"/>
      <c r="CIS96" s="80"/>
      <c r="CIT96" s="80"/>
      <c r="CIU96" s="80"/>
      <c r="CIV96" s="80"/>
      <c r="CIW96" s="80"/>
      <c r="CIX96" s="80"/>
      <c r="CIY96" s="80"/>
      <c r="CIZ96" s="80"/>
      <c r="CJA96" s="80"/>
      <c r="CJB96" s="80"/>
      <c r="CJC96" s="80"/>
      <c r="CJD96" s="80"/>
      <c r="CJE96" s="80"/>
      <c r="CJF96" s="80"/>
      <c r="CJG96" s="80"/>
      <c r="CJH96" s="80"/>
      <c r="CJI96" s="80"/>
      <c r="CJJ96" s="80"/>
      <c r="CJK96" s="80"/>
      <c r="CJL96" s="80"/>
      <c r="CJM96" s="80"/>
      <c r="CJN96" s="80"/>
      <c r="CJO96" s="80"/>
      <c r="CJP96" s="80"/>
      <c r="CJQ96" s="80"/>
      <c r="CJR96" s="80"/>
      <c r="CJS96" s="80"/>
      <c r="CJT96" s="80"/>
      <c r="CJU96" s="80"/>
      <c r="CJV96" s="80"/>
      <c r="CJW96" s="80"/>
      <c r="CJX96" s="80"/>
      <c r="CJY96" s="80"/>
      <c r="CJZ96" s="80"/>
      <c r="CKA96" s="80"/>
      <c r="CKB96" s="80"/>
      <c r="CKC96" s="80"/>
      <c r="CKD96" s="80"/>
      <c r="CKE96" s="80"/>
      <c r="CKF96" s="80"/>
      <c r="CKG96" s="80"/>
      <c r="CKH96" s="80"/>
      <c r="CKI96" s="80"/>
      <c r="CKJ96" s="80"/>
      <c r="CKK96" s="80"/>
      <c r="CKL96" s="80"/>
      <c r="CKM96" s="80"/>
      <c r="CKN96" s="80"/>
      <c r="CKO96" s="80"/>
      <c r="CKP96" s="80"/>
      <c r="CKQ96" s="80"/>
      <c r="CKR96" s="80"/>
      <c r="CKS96" s="80"/>
      <c r="CKT96" s="80"/>
      <c r="CKU96" s="80"/>
      <c r="CKV96" s="80"/>
      <c r="CKW96" s="80"/>
      <c r="CKX96" s="80"/>
      <c r="CKY96" s="80"/>
      <c r="CKZ96" s="80"/>
      <c r="CLA96" s="80"/>
      <c r="CLB96" s="80"/>
      <c r="CLC96" s="80"/>
      <c r="CLD96" s="80"/>
      <c r="CLE96" s="80"/>
      <c r="CLF96" s="80"/>
      <c r="CLG96" s="80"/>
      <c r="CLH96" s="80"/>
      <c r="CLI96" s="80"/>
      <c r="CLJ96" s="80"/>
      <c r="CLK96" s="80"/>
      <c r="CLL96" s="80"/>
      <c r="CLM96" s="80"/>
      <c r="CLN96" s="80"/>
      <c r="CLO96" s="80"/>
      <c r="CLP96" s="80"/>
      <c r="CLQ96" s="80"/>
      <c r="CLR96" s="80"/>
      <c r="CLS96" s="80"/>
      <c r="CLT96" s="80"/>
      <c r="CLU96" s="80"/>
      <c r="CLV96" s="80"/>
      <c r="CLW96" s="80"/>
      <c r="CLX96" s="80"/>
      <c r="CLY96" s="80"/>
      <c r="CLZ96" s="80"/>
      <c r="CMA96" s="80"/>
      <c r="CMB96" s="80"/>
      <c r="CMC96" s="80"/>
      <c r="CMD96" s="80"/>
      <c r="CME96" s="80"/>
      <c r="CMF96" s="80"/>
      <c r="CMG96" s="80"/>
      <c r="CMH96" s="80"/>
      <c r="CMI96" s="80"/>
      <c r="CMJ96" s="80"/>
      <c r="CMK96" s="80"/>
      <c r="CML96" s="80"/>
      <c r="CMM96" s="80"/>
      <c r="CMN96" s="80"/>
      <c r="CMO96" s="80"/>
      <c r="CMP96" s="80"/>
      <c r="CMQ96" s="80"/>
      <c r="CMR96" s="80"/>
      <c r="CMS96" s="80"/>
      <c r="CMT96" s="80"/>
      <c r="CMU96" s="80"/>
      <c r="CMV96" s="80"/>
      <c r="CMW96" s="80"/>
      <c r="CMX96" s="80"/>
      <c r="CMY96" s="80"/>
      <c r="CMZ96" s="80"/>
      <c r="CNA96" s="80"/>
      <c r="CNB96" s="80"/>
      <c r="CNC96" s="80"/>
      <c r="CND96" s="80"/>
      <c r="CNE96" s="80"/>
      <c r="CNF96" s="80"/>
      <c r="CNG96" s="80"/>
      <c r="CNH96" s="80"/>
      <c r="CNI96" s="80"/>
      <c r="CNJ96" s="80"/>
      <c r="CNK96" s="80"/>
      <c r="CNL96" s="80"/>
      <c r="CNM96" s="80"/>
      <c r="CNN96" s="80"/>
      <c r="CNO96" s="80"/>
      <c r="CNP96" s="80"/>
      <c r="CNQ96" s="80"/>
      <c r="CNR96" s="80"/>
      <c r="CNS96" s="80"/>
      <c r="CNT96" s="80"/>
      <c r="CNU96" s="80"/>
      <c r="CNV96" s="80"/>
      <c r="CNW96" s="80"/>
      <c r="CNX96" s="80"/>
      <c r="CNY96" s="80"/>
      <c r="CNZ96" s="80"/>
      <c r="COA96" s="80"/>
      <c r="COB96" s="80"/>
      <c r="COC96" s="80"/>
      <c r="COD96" s="80"/>
      <c r="COE96" s="80"/>
      <c r="COF96" s="80"/>
      <c r="COG96" s="80"/>
      <c r="COH96" s="80"/>
      <c r="COI96" s="80"/>
      <c r="COJ96" s="80"/>
      <c r="COK96" s="80"/>
      <c r="COL96" s="80"/>
      <c r="COM96" s="80"/>
      <c r="CON96" s="80"/>
      <c r="COO96" s="80"/>
      <c r="COP96" s="80"/>
      <c r="COQ96" s="80"/>
      <c r="COR96" s="80"/>
      <c r="COS96" s="80"/>
      <c r="COT96" s="80"/>
      <c r="COU96" s="80"/>
      <c r="COV96" s="80"/>
      <c r="COW96" s="80"/>
      <c r="COX96" s="80"/>
      <c r="COY96" s="80"/>
      <c r="COZ96" s="80"/>
      <c r="CPA96" s="80"/>
      <c r="CPB96" s="80"/>
      <c r="CPC96" s="80"/>
      <c r="CPD96" s="80"/>
      <c r="CPE96" s="80"/>
      <c r="CPF96" s="80"/>
      <c r="CPG96" s="80"/>
      <c r="CPH96" s="80"/>
      <c r="CPI96" s="80"/>
      <c r="CPJ96" s="80"/>
      <c r="CPK96" s="80"/>
      <c r="CPL96" s="80"/>
      <c r="CPM96" s="80"/>
      <c r="CPN96" s="80"/>
      <c r="CPO96" s="80"/>
      <c r="CPP96" s="80"/>
      <c r="CPQ96" s="80"/>
      <c r="CPR96" s="80"/>
      <c r="CPS96" s="80"/>
      <c r="CPT96" s="80"/>
      <c r="CPU96" s="80"/>
      <c r="CPV96" s="80"/>
      <c r="CPW96" s="80"/>
      <c r="CPX96" s="80"/>
      <c r="CPY96" s="80"/>
      <c r="CPZ96" s="80"/>
      <c r="CQA96" s="80"/>
      <c r="CQB96" s="80"/>
      <c r="CQC96" s="80"/>
      <c r="CQD96" s="80"/>
      <c r="CQE96" s="80"/>
      <c r="CQF96" s="80"/>
      <c r="CQG96" s="80"/>
      <c r="CQH96" s="80"/>
      <c r="CQI96" s="80"/>
      <c r="CQJ96" s="80"/>
      <c r="CQK96" s="80"/>
      <c r="CQL96" s="80"/>
      <c r="CQM96" s="80"/>
      <c r="CQN96" s="80"/>
      <c r="CQO96" s="80"/>
      <c r="CQP96" s="80"/>
      <c r="CQQ96" s="80"/>
      <c r="CQR96" s="80"/>
      <c r="CQS96" s="80"/>
      <c r="CQT96" s="80"/>
      <c r="CQU96" s="80"/>
      <c r="CQV96" s="80"/>
      <c r="CQW96" s="80"/>
      <c r="CQX96" s="80"/>
      <c r="CQY96" s="80"/>
      <c r="CQZ96" s="80"/>
      <c r="CRA96" s="80"/>
      <c r="CRB96" s="80"/>
      <c r="CRC96" s="80"/>
      <c r="CRD96" s="80"/>
      <c r="CRE96" s="80"/>
      <c r="CRF96" s="80"/>
      <c r="CRG96" s="80"/>
      <c r="CRH96" s="80"/>
      <c r="CRI96" s="80"/>
      <c r="CRJ96" s="80"/>
      <c r="CRK96" s="80"/>
      <c r="CRL96" s="80"/>
      <c r="CRM96" s="80"/>
      <c r="CRN96" s="80"/>
      <c r="CRO96" s="80"/>
      <c r="CRP96" s="80"/>
      <c r="CRQ96" s="80"/>
      <c r="CRR96" s="80"/>
      <c r="CRS96" s="80"/>
      <c r="CRT96" s="80"/>
      <c r="CRU96" s="80"/>
      <c r="CRV96" s="80"/>
      <c r="CRW96" s="80"/>
      <c r="CRX96" s="80"/>
      <c r="CRY96" s="80"/>
      <c r="CRZ96" s="80"/>
      <c r="CSA96" s="80"/>
      <c r="CSB96" s="80"/>
      <c r="CSC96" s="80"/>
      <c r="CSD96" s="80"/>
      <c r="CSE96" s="80"/>
      <c r="CSF96" s="80"/>
      <c r="CSG96" s="80"/>
      <c r="CSH96" s="80"/>
      <c r="CSI96" s="80"/>
      <c r="CSJ96" s="80"/>
      <c r="CSK96" s="80"/>
      <c r="CSL96" s="80"/>
      <c r="CSM96" s="80"/>
      <c r="CSN96" s="80"/>
      <c r="CSO96" s="80"/>
      <c r="CSP96" s="80"/>
      <c r="CSQ96" s="80"/>
      <c r="CSR96" s="80"/>
      <c r="CSS96" s="80"/>
      <c r="CST96" s="80"/>
      <c r="CSU96" s="80"/>
      <c r="CSV96" s="80"/>
      <c r="CSW96" s="80"/>
      <c r="CSX96" s="80"/>
      <c r="CSY96" s="80"/>
      <c r="CSZ96" s="80"/>
      <c r="CTA96" s="80"/>
      <c r="CTB96" s="80"/>
      <c r="CTC96" s="80"/>
      <c r="CTD96" s="80"/>
      <c r="CTE96" s="80"/>
      <c r="CTF96" s="80"/>
      <c r="CTG96" s="80"/>
      <c r="CTH96" s="80"/>
      <c r="CTI96" s="80"/>
      <c r="CTJ96" s="80"/>
      <c r="CTK96" s="80"/>
      <c r="CTL96" s="80"/>
      <c r="CTM96" s="80"/>
      <c r="CTN96" s="80"/>
      <c r="CTO96" s="80"/>
      <c r="CTP96" s="80"/>
      <c r="CTQ96" s="80"/>
      <c r="CTR96" s="80"/>
      <c r="CTS96" s="80"/>
      <c r="CTT96" s="80"/>
      <c r="CTU96" s="80"/>
      <c r="CTV96" s="80"/>
      <c r="CTW96" s="80"/>
      <c r="CTX96" s="80"/>
      <c r="CTY96" s="80"/>
      <c r="CTZ96" s="80"/>
      <c r="CUA96" s="80"/>
      <c r="CUB96" s="80"/>
      <c r="CUC96" s="80"/>
      <c r="CUD96" s="80"/>
      <c r="CUE96" s="80"/>
      <c r="CUF96" s="80"/>
      <c r="CUG96" s="80"/>
      <c r="CUH96" s="80"/>
      <c r="CUI96" s="80"/>
      <c r="CUJ96" s="80"/>
      <c r="CUK96" s="80"/>
      <c r="CUL96" s="80"/>
      <c r="CUM96" s="80"/>
      <c r="CUN96" s="80"/>
      <c r="CUO96" s="80"/>
      <c r="CUP96" s="80"/>
      <c r="CUQ96" s="80"/>
      <c r="CUR96" s="80"/>
      <c r="CUS96" s="80"/>
      <c r="CUT96" s="80"/>
      <c r="CUU96" s="80"/>
      <c r="CUV96" s="80"/>
      <c r="CUW96" s="80"/>
      <c r="CUX96" s="80"/>
      <c r="CUY96" s="80"/>
      <c r="CUZ96" s="80"/>
      <c r="CVA96" s="80"/>
      <c r="CVB96" s="80"/>
      <c r="CVC96" s="80"/>
      <c r="CVD96" s="80"/>
      <c r="CVE96" s="80"/>
      <c r="CVF96" s="80"/>
      <c r="CVG96" s="80"/>
      <c r="CVH96" s="80"/>
      <c r="CVI96" s="80"/>
      <c r="CVJ96" s="80"/>
      <c r="CVK96" s="80"/>
      <c r="CVL96" s="80"/>
      <c r="CVM96" s="80"/>
      <c r="CVN96" s="80"/>
      <c r="CVO96" s="80"/>
      <c r="CVP96" s="80"/>
      <c r="CVQ96" s="80"/>
      <c r="CVR96" s="80"/>
      <c r="CVS96" s="80"/>
      <c r="CVT96" s="80"/>
      <c r="CVU96" s="80"/>
      <c r="CVV96" s="80"/>
      <c r="CVW96" s="80"/>
      <c r="CVX96" s="80"/>
      <c r="CVY96" s="80"/>
      <c r="CVZ96" s="80"/>
      <c r="CWA96" s="80"/>
      <c r="CWB96" s="80"/>
      <c r="CWC96" s="80"/>
      <c r="CWD96" s="80"/>
      <c r="CWE96" s="80"/>
      <c r="CWF96" s="80"/>
      <c r="CWG96" s="80"/>
      <c r="CWH96" s="80"/>
      <c r="CWI96" s="80"/>
      <c r="CWJ96" s="80"/>
      <c r="CWK96" s="80"/>
      <c r="CWL96" s="80"/>
      <c r="CWM96" s="80"/>
      <c r="CWN96" s="80"/>
      <c r="CWO96" s="80"/>
      <c r="CWP96" s="80"/>
      <c r="CWQ96" s="80"/>
      <c r="CWR96" s="80"/>
      <c r="CWS96" s="80"/>
      <c r="CWT96" s="80"/>
      <c r="CWU96" s="80"/>
      <c r="CWV96" s="80"/>
      <c r="CWW96" s="80"/>
      <c r="CWX96" s="80"/>
      <c r="CWY96" s="80"/>
      <c r="CWZ96" s="80"/>
      <c r="CXA96" s="80"/>
      <c r="CXB96" s="80"/>
      <c r="CXC96" s="80"/>
      <c r="CXD96" s="80"/>
      <c r="CXE96" s="80"/>
      <c r="CXF96" s="80"/>
      <c r="CXG96" s="80"/>
      <c r="CXH96" s="80"/>
      <c r="CXI96" s="80"/>
      <c r="CXJ96" s="80"/>
      <c r="CXK96" s="80"/>
      <c r="CXL96" s="80"/>
      <c r="CXM96" s="80"/>
      <c r="CXN96" s="80"/>
      <c r="CXO96" s="80"/>
      <c r="CXP96" s="80"/>
      <c r="CXQ96" s="80"/>
      <c r="CXR96" s="80"/>
      <c r="CXS96" s="80"/>
      <c r="CXT96" s="80"/>
      <c r="CXU96" s="80"/>
      <c r="CXV96" s="80"/>
      <c r="CXW96" s="80"/>
      <c r="CXX96" s="80"/>
      <c r="CXY96" s="80"/>
      <c r="CXZ96" s="80"/>
      <c r="CYA96" s="80"/>
      <c r="CYB96" s="80"/>
      <c r="CYC96" s="80"/>
      <c r="CYD96" s="80"/>
      <c r="CYE96" s="80"/>
      <c r="CYF96" s="80"/>
      <c r="CYG96" s="80"/>
      <c r="CYH96" s="80"/>
      <c r="CYI96" s="80"/>
      <c r="CYJ96" s="80"/>
      <c r="CYK96" s="80"/>
      <c r="CYL96" s="80"/>
      <c r="CYM96" s="80"/>
      <c r="CYN96" s="80"/>
      <c r="CYO96" s="80"/>
      <c r="CYP96" s="80"/>
      <c r="CYQ96" s="80"/>
      <c r="CYR96" s="80"/>
      <c r="CYS96" s="80"/>
      <c r="CYT96" s="80"/>
      <c r="CYU96" s="80"/>
      <c r="CYV96" s="80"/>
      <c r="CYW96" s="80"/>
      <c r="CYX96" s="80"/>
      <c r="CYY96" s="80"/>
      <c r="CYZ96" s="80"/>
      <c r="CZA96" s="80"/>
      <c r="CZB96" s="80"/>
      <c r="CZC96" s="80"/>
      <c r="CZD96" s="80"/>
      <c r="CZE96" s="80"/>
      <c r="CZF96" s="80"/>
      <c r="CZG96" s="80"/>
      <c r="CZH96" s="80"/>
      <c r="CZI96" s="80"/>
      <c r="CZJ96" s="80"/>
      <c r="CZK96" s="80"/>
      <c r="CZL96" s="80"/>
      <c r="CZM96" s="80"/>
      <c r="CZN96" s="80"/>
      <c r="CZO96" s="80"/>
      <c r="CZP96" s="80"/>
      <c r="CZQ96" s="80"/>
      <c r="CZR96" s="80"/>
      <c r="CZS96" s="80"/>
      <c r="CZT96" s="80"/>
      <c r="CZU96" s="80"/>
      <c r="CZV96" s="80"/>
      <c r="CZW96" s="80"/>
      <c r="CZX96" s="80"/>
      <c r="CZY96" s="80"/>
      <c r="CZZ96" s="80"/>
      <c r="DAA96" s="80"/>
      <c r="DAB96" s="80"/>
      <c r="DAC96" s="80"/>
      <c r="DAD96" s="80"/>
      <c r="DAE96" s="80"/>
      <c r="DAF96" s="80"/>
      <c r="DAG96" s="80"/>
      <c r="DAH96" s="80"/>
      <c r="DAI96" s="80"/>
      <c r="DAJ96" s="80"/>
      <c r="DAK96" s="80"/>
      <c r="DAL96" s="80"/>
      <c r="DAM96" s="80"/>
      <c r="DAN96" s="80"/>
      <c r="DAO96" s="80"/>
      <c r="DAP96" s="80"/>
      <c r="DAQ96" s="80"/>
      <c r="DAR96" s="80"/>
      <c r="DAS96" s="80"/>
      <c r="DAT96" s="80"/>
      <c r="DAU96" s="80"/>
      <c r="DAV96" s="80"/>
      <c r="DAW96" s="80"/>
      <c r="DAX96" s="80"/>
      <c r="DAY96" s="80"/>
      <c r="DAZ96" s="80"/>
      <c r="DBA96" s="80"/>
      <c r="DBB96" s="80"/>
      <c r="DBC96" s="80"/>
      <c r="DBD96" s="80"/>
      <c r="DBE96" s="80"/>
      <c r="DBF96" s="80"/>
      <c r="DBG96" s="80"/>
      <c r="DBH96" s="80"/>
      <c r="DBI96" s="80"/>
      <c r="DBJ96" s="80"/>
      <c r="DBK96" s="80"/>
      <c r="DBL96" s="80"/>
      <c r="DBM96" s="80"/>
      <c r="DBN96" s="80"/>
      <c r="DBO96" s="80"/>
      <c r="DBP96" s="80"/>
      <c r="DBQ96" s="80"/>
      <c r="DBR96" s="80"/>
      <c r="DBS96" s="80"/>
      <c r="DBT96" s="80"/>
      <c r="DBU96" s="80"/>
      <c r="DBV96" s="80"/>
      <c r="DBW96" s="80"/>
      <c r="DBX96" s="80"/>
      <c r="DBY96" s="80"/>
      <c r="DBZ96" s="80"/>
      <c r="DCA96" s="80"/>
      <c r="DCB96" s="80"/>
      <c r="DCC96" s="80"/>
      <c r="DCD96" s="80"/>
      <c r="DCE96" s="80"/>
      <c r="DCF96" s="80"/>
      <c r="DCG96" s="80"/>
      <c r="DCH96" s="80"/>
      <c r="DCI96" s="80"/>
      <c r="DCJ96" s="80"/>
      <c r="DCK96" s="80"/>
      <c r="DCL96" s="80"/>
      <c r="DCM96" s="80"/>
      <c r="DCN96" s="80"/>
      <c r="DCO96" s="80"/>
      <c r="DCP96" s="80"/>
      <c r="DCQ96" s="80"/>
      <c r="DCR96" s="80"/>
      <c r="DCS96" s="80"/>
      <c r="DCT96" s="80"/>
      <c r="DCU96" s="80"/>
      <c r="DCV96" s="80"/>
      <c r="DCW96" s="80"/>
      <c r="DCX96" s="80"/>
      <c r="DCY96" s="80"/>
      <c r="DCZ96" s="80"/>
      <c r="DDA96" s="80"/>
      <c r="DDB96" s="80"/>
      <c r="DDC96" s="80"/>
      <c r="DDD96" s="80"/>
      <c r="DDE96" s="80"/>
      <c r="DDF96" s="80"/>
      <c r="DDG96" s="80"/>
      <c r="DDH96" s="80"/>
      <c r="DDI96" s="80"/>
      <c r="DDJ96" s="80"/>
      <c r="DDK96" s="80"/>
      <c r="DDL96" s="80"/>
      <c r="DDM96" s="80"/>
      <c r="DDN96" s="80"/>
      <c r="DDO96" s="80"/>
      <c r="DDP96" s="80"/>
      <c r="DDQ96" s="80"/>
      <c r="DDR96" s="80"/>
      <c r="DDS96" s="80"/>
      <c r="DDT96" s="80"/>
      <c r="DDU96" s="80"/>
      <c r="DDV96" s="80"/>
      <c r="DDW96" s="80"/>
      <c r="DDX96" s="80"/>
      <c r="DDY96" s="80"/>
      <c r="DDZ96" s="80"/>
      <c r="DEA96" s="80"/>
      <c r="DEB96" s="80"/>
      <c r="DEC96" s="80"/>
      <c r="DED96" s="80"/>
      <c r="DEE96" s="80"/>
      <c r="DEF96" s="80"/>
      <c r="DEG96" s="80"/>
      <c r="DEH96" s="80"/>
      <c r="DEI96" s="80"/>
      <c r="DEJ96" s="80"/>
      <c r="DEK96" s="80"/>
      <c r="DEL96" s="80"/>
      <c r="DEM96" s="80"/>
      <c r="DEN96" s="80"/>
      <c r="DEO96" s="80"/>
      <c r="DEP96" s="80"/>
      <c r="DEQ96" s="80"/>
      <c r="DER96" s="80"/>
      <c r="DES96" s="80"/>
      <c r="DET96" s="80"/>
      <c r="DEU96" s="80"/>
      <c r="DEV96" s="80"/>
      <c r="DEW96" s="80"/>
      <c r="DEX96" s="80"/>
      <c r="DEY96" s="80"/>
      <c r="DEZ96" s="80"/>
      <c r="DFA96" s="80"/>
      <c r="DFB96" s="80"/>
      <c r="DFC96" s="80"/>
      <c r="DFD96" s="80"/>
      <c r="DFE96" s="80"/>
      <c r="DFF96" s="80"/>
      <c r="DFG96" s="80"/>
      <c r="DFH96" s="80"/>
      <c r="DFI96" s="80"/>
      <c r="DFJ96" s="80"/>
      <c r="DFK96" s="80"/>
      <c r="DFL96" s="80"/>
      <c r="DFM96" s="80"/>
      <c r="DFN96" s="80"/>
      <c r="DFO96" s="80"/>
      <c r="DFP96" s="80"/>
      <c r="DFQ96" s="80"/>
      <c r="DFR96" s="80"/>
      <c r="DFS96" s="80"/>
      <c r="DFT96" s="80"/>
      <c r="DFU96" s="80"/>
      <c r="DFV96" s="80"/>
      <c r="DFW96" s="80"/>
      <c r="DFX96" s="80"/>
      <c r="DFY96" s="80"/>
      <c r="DFZ96" s="80"/>
      <c r="DGA96" s="80"/>
      <c r="DGB96" s="80"/>
      <c r="DGC96" s="80"/>
      <c r="DGD96" s="80"/>
      <c r="DGE96" s="80"/>
      <c r="DGF96" s="80"/>
      <c r="DGG96" s="80"/>
      <c r="DGH96" s="80"/>
      <c r="DGI96" s="80"/>
      <c r="DGJ96" s="80"/>
      <c r="DGK96" s="80"/>
      <c r="DGL96" s="80"/>
      <c r="DGM96" s="80"/>
      <c r="DGN96" s="80"/>
      <c r="DGO96" s="80"/>
      <c r="DGP96" s="80"/>
      <c r="DGQ96" s="80"/>
      <c r="DGR96" s="80"/>
      <c r="DGS96" s="80"/>
      <c r="DGT96" s="80"/>
      <c r="DGU96" s="80"/>
      <c r="DGV96" s="80"/>
      <c r="DGW96" s="80"/>
      <c r="DGX96" s="80"/>
      <c r="DGY96" s="80"/>
      <c r="DGZ96" s="80"/>
      <c r="DHA96" s="80"/>
      <c r="DHB96" s="80"/>
      <c r="DHC96" s="80"/>
      <c r="DHD96" s="80"/>
      <c r="DHE96" s="80"/>
      <c r="DHF96" s="80"/>
      <c r="DHG96" s="80"/>
      <c r="DHH96" s="80"/>
      <c r="DHI96" s="80"/>
      <c r="DHJ96" s="80"/>
      <c r="DHK96" s="80"/>
      <c r="DHL96" s="80"/>
      <c r="DHM96" s="80"/>
      <c r="DHN96" s="80"/>
      <c r="DHO96" s="80"/>
      <c r="DHP96" s="80"/>
      <c r="DHQ96" s="80"/>
      <c r="DHR96" s="80"/>
      <c r="DHS96" s="80"/>
      <c r="DHT96" s="80"/>
      <c r="DHU96" s="80"/>
      <c r="DHV96" s="80"/>
      <c r="DHW96" s="80"/>
      <c r="DHX96" s="80"/>
      <c r="DHY96" s="80"/>
      <c r="DHZ96" s="80"/>
      <c r="DIA96" s="80"/>
      <c r="DIB96" s="80"/>
      <c r="DIC96" s="80"/>
      <c r="DID96" s="80"/>
      <c r="DIE96" s="80"/>
      <c r="DIF96" s="80"/>
      <c r="DIG96" s="80"/>
      <c r="DIH96" s="80"/>
      <c r="DII96" s="80"/>
      <c r="DIJ96" s="80"/>
      <c r="DIK96" s="80"/>
      <c r="DIL96" s="80"/>
      <c r="DIM96" s="80"/>
      <c r="DIN96" s="80"/>
      <c r="DIO96" s="80"/>
      <c r="DIP96" s="80"/>
      <c r="DIQ96" s="80"/>
      <c r="DIR96" s="80"/>
      <c r="DIS96" s="80"/>
      <c r="DIT96" s="80"/>
      <c r="DIU96" s="80"/>
      <c r="DIV96" s="80"/>
      <c r="DIW96" s="80"/>
      <c r="DIX96" s="80"/>
      <c r="DIY96" s="80"/>
      <c r="DIZ96" s="80"/>
      <c r="DJA96" s="80"/>
      <c r="DJB96" s="80"/>
      <c r="DJC96" s="80"/>
      <c r="DJD96" s="80"/>
      <c r="DJE96" s="80"/>
      <c r="DJF96" s="80"/>
      <c r="DJG96" s="80"/>
      <c r="DJH96" s="80"/>
      <c r="DJI96" s="80"/>
      <c r="DJJ96" s="80"/>
      <c r="DJK96" s="80"/>
      <c r="DJL96" s="80"/>
      <c r="DJM96" s="80"/>
      <c r="DJN96" s="80"/>
      <c r="DJO96" s="80"/>
      <c r="DJP96" s="80"/>
      <c r="DJQ96" s="80"/>
      <c r="DJR96" s="80"/>
      <c r="DJS96" s="80"/>
      <c r="DJT96" s="80"/>
      <c r="DJU96" s="80"/>
      <c r="DJV96" s="80"/>
      <c r="DJW96" s="80"/>
      <c r="DJX96" s="80"/>
      <c r="DJY96" s="80"/>
      <c r="DJZ96" s="80"/>
      <c r="DKA96" s="80"/>
      <c r="DKB96" s="80"/>
      <c r="DKC96" s="80"/>
      <c r="DKD96" s="80"/>
      <c r="DKE96" s="80"/>
      <c r="DKF96" s="80"/>
      <c r="DKG96" s="80"/>
      <c r="DKH96" s="80"/>
      <c r="DKI96" s="80"/>
      <c r="DKJ96" s="80"/>
      <c r="DKK96" s="80"/>
      <c r="DKL96" s="80"/>
      <c r="DKM96" s="80"/>
      <c r="DKN96" s="80"/>
      <c r="DKO96" s="80"/>
      <c r="DKP96" s="80"/>
      <c r="DKQ96" s="80"/>
      <c r="DKR96" s="80"/>
      <c r="DKS96" s="80"/>
      <c r="DKT96" s="80"/>
      <c r="DKU96" s="80"/>
      <c r="DKV96" s="80"/>
      <c r="DKW96" s="80"/>
      <c r="DKX96" s="80"/>
      <c r="DKY96" s="80"/>
      <c r="DKZ96" s="80"/>
      <c r="DLA96" s="80"/>
      <c r="DLB96" s="80"/>
      <c r="DLC96" s="80"/>
      <c r="DLD96" s="80"/>
      <c r="DLE96" s="80"/>
      <c r="DLF96" s="80"/>
      <c r="DLG96" s="80"/>
      <c r="DLH96" s="80"/>
      <c r="DLI96" s="80"/>
      <c r="DLJ96" s="80"/>
      <c r="DLK96" s="80"/>
      <c r="DLL96" s="80"/>
      <c r="DLM96" s="80"/>
      <c r="DLN96" s="80"/>
      <c r="DLO96" s="80"/>
      <c r="DLP96" s="80"/>
      <c r="DLQ96" s="80"/>
      <c r="DLR96" s="80"/>
      <c r="DLS96" s="80"/>
      <c r="DLT96" s="80"/>
      <c r="DLU96" s="80"/>
      <c r="DLV96" s="80"/>
      <c r="DLW96" s="80"/>
      <c r="DLX96" s="80"/>
      <c r="DLY96" s="80"/>
      <c r="DLZ96" s="80"/>
      <c r="DMA96" s="80"/>
      <c r="DMB96" s="80"/>
      <c r="DMC96" s="80"/>
      <c r="DMD96" s="80"/>
      <c r="DME96" s="80"/>
      <c r="DMF96" s="80"/>
      <c r="DMG96" s="80"/>
      <c r="DMH96" s="80"/>
      <c r="DMI96" s="80"/>
      <c r="DMJ96" s="80"/>
      <c r="DMK96" s="80"/>
      <c r="DML96" s="80"/>
      <c r="DMM96" s="80"/>
      <c r="DMN96" s="80"/>
      <c r="DMO96" s="80"/>
      <c r="DMP96" s="80"/>
      <c r="DMQ96" s="80"/>
      <c r="DMR96" s="80"/>
      <c r="DMS96" s="80"/>
      <c r="DMT96" s="80"/>
      <c r="DMU96" s="80"/>
      <c r="DMV96" s="80"/>
      <c r="DMW96" s="80"/>
      <c r="DMX96" s="80"/>
      <c r="DMY96" s="80"/>
      <c r="DMZ96" s="80"/>
      <c r="DNA96" s="80"/>
      <c r="DNB96" s="80"/>
      <c r="DNC96" s="80"/>
      <c r="DND96" s="80"/>
      <c r="DNE96" s="80"/>
      <c r="DNF96" s="80"/>
      <c r="DNG96" s="80"/>
      <c r="DNH96" s="80"/>
      <c r="DNI96" s="80"/>
      <c r="DNJ96" s="80"/>
      <c r="DNK96" s="80"/>
      <c r="DNL96" s="80"/>
      <c r="DNM96" s="80"/>
      <c r="DNN96" s="80"/>
      <c r="DNO96" s="80"/>
      <c r="DNP96" s="80"/>
      <c r="DNQ96" s="80"/>
      <c r="DNR96" s="80"/>
      <c r="DNS96" s="80"/>
      <c r="DNT96" s="80"/>
      <c r="DNU96" s="80"/>
      <c r="DNV96" s="80"/>
      <c r="DNW96" s="80"/>
      <c r="DNX96" s="80"/>
      <c r="DNY96" s="80"/>
      <c r="DNZ96" s="80"/>
      <c r="DOA96" s="80"/>
      <c r="DOB96" s="80"/>
      <c r="DOC96" s="80"/>
      <c r="DOD96" s="80"/>
      <c r="DOE96" s="80"/>
      <c r="DOF96" s="80"/>
      <c r="DOG96" s="80"/>
      <c r="DOH96" s="80"/>
      <c r="DOI96" s="80"/>
      <c r="DOJ96" s="80"/>
      <c r="DOK96" s="80"/>
      <c r="DOL96" s="80"/>
      <c r="DOM96" s="80"/>
      <c r="DON96" s="80"/>
      <c r="DOO96" s="80"/>
      <c r="DOP96" s="80"/>
      <c r="DOQ96" s="80"/>
      <c r="DOR96" s="80"/>
      <c r="DOS96" s="80"/>
      <c r="DOT96" s="80"/>
      <c r="DOU96" s="80"/>
      <c r="DOV96" s="80"/>
      <c r="DOW96" s="80"/>
      <c r="DOX96" s="80"/>
      <c r="DOY96" s="80"/>
      <c r="DOZ96" s="80"/>
      <c r="DPA96" s="80"/>
      <c r="DPB96" s="80"/>
      <c r="DPC96" s="80"/>
      <c r="DPD96" s="80"/>
      <c r="DPE96" s="80"/>
      <c r="DPF96" s="80"/>
      <c r="DPG96" s="80"/>
      <c r="DPH96" s="80"/>
      <c r="DPI96" s="80"/>
      <c r="DPJ96" s="80"/>
      <c r="DPK96" s="80"/>
      <c r="DPL96" s="80"/>
      <c r="DPM96" s="80"/>
      <c r="DPN96" s="80"/>
      <c r="DPO96" s="80"/>
      <c r="DPP96" s="80"/>
      <c r="DPQ96" s="80"/>
      <c r="DPR96" s="80"/>
      <c r="DPS96" s="80"/>
      <c r="DPT96" s="80"/>
      <c r="DPU96" s="80"/>
      <c r="DPV96" s="80"/>
      <c r="DPW96" s="80"/>
      <c r="DPX96" s="80"/>
      <c r="DPY96" s="80"/>
      <c r="DPZ96" s="80"/>
      <c r="DQA96" s="80"/>
      <c r="DQB96" s="80"/>
      <c r="DQC96" s="80"/>
      <c r="DQD96" s="80"/>
      <c r="DQE96" s="80"/>
      <c r="DQF96" s="80"/>
      <c r="DQG96" s="80"/>
      <c r="DQH96" s="80"/>
      <c r="DQI96" s="80"/>
      <c r="DQJ96" s="80"/>
      <c r="DQK96" s="80"/>
      <c r="DQL96" s="80"/>
      <c r="DQM96" s="80"/>
      <c r="DQN96" s="80"/>
      <c r="DQO96" s="80"/>
      <c r="DQP96" s="80"/>
      <c r="DQQ96" s="80"/>
      <c r="DQR96" s="80"/>
      <c r="DQS96" s="80"/>
      <c r="DQT96" s="80"/>
      <c r="DQU96" s="80"/>
      <c r="DQV96" s="80"/>
      <c r="DQW96" s="80"/>
      <c r="DQX96" s="80"/>
      <c r="DQY96" s="80"/>
      <c r="DQZ96" s="80"/>
      <c r="DRA96" s="80"/>
      <c r="DRB96" s="80"/>
      <c r="DRC96" s="80"/>
      <c r="DRD96" s="80"/>
      <c r="DRE96" s="80"/>
      <c r="DRF96" s="80"/>
      <c r="DRG96" s="80"/>
      <c r="DRH96" s="80"/>
      <c r="DRI96" s="80"/>
      <c r="DRJ96" s="80"/>
      <c r="DRK96" s="80"/>
      <c r="DRL96" s="80"/>
      <c r="DRM96" s="80"/>
      <c r="DRN96" s="80"/>
      <c r="DRO96" s="80"/>
      <c r="DRP96" s="80"/>
      <c r="DRQ96" s="80"/>
      <c r="DRR96" s="80"/>
      <c r="DRS96" s="80"/>
      <c r="DRT96" s="80"/>
      <c r="DRU96" s="80"/>
      <c r="DRV96" s="80"/>
      <c r="DRW96" s="80"/>
      <c r="DRX96" s="80"/>
      <c r="DRY96" s="80"/>
      <c r="DRZ96" s="80"/>
      <c r="DSA96" s="80"/>
      <c r="DSB96" s="80"/>
      <c r="DSC96" s="80"/>
      <c r="DSD96" s="80"/>
      <c r="DSE96" s="80"/>
      <c r="DSF96" s="80"/>
      <c r="DSG96" s="80"/>
      <c r="DSH96" s="80"/>
      <c r="DSI96" s="80"/>
      <c r="DSJ96" s="80"/>
      <c r="DSK96" s="80"/>
      <c r="DSL96" s="80"/>
      <c r="DSM96" s="80"/>
      <c r="DSN96" s="80"/>
      <c r="DSO96" s="80"/>
      <c r="DSP96" s="80"/>
      <c r="DSQ96" s="80"/>
      <c r="DSR96" s="80"/>
      <c r="DSS96" s="80"/>
      <c r="DST96" s="80"/>
      <c r="DSU96" s="80"/>
      <c r="DSV96" s="80"/>
      <c r="DSW96" s="80"/>
      <c r="DSX96" s="80"/>
      <c r="DSY96" s="80"/>
      <c r="DSZ96" s="80"/>
      <c r="DTA96" s="80"/>
      <c r="DTB96" s="80"/>
      <c r="DTC96" s="80"/>
      <c r="DTD96" s="80"/>
      <c r="DTE96" s="80"/>
      <c r="DTF96" s="80"/>
      <c r="DTG96" s="80"/>
      <c r="DTH96" s="80"/>
      <c r="DTI96" s="80"/>
      <c r="DTJ96" s="80"/>
      <c r="DTK96" s="80"/>
      <c r="DTL96" s="80"/>
      <c r="DTM96" s="80"/>
      <c r="DTN96" s="80"/>
      <c r="DTO96" s="80"/>
      <c r="DTP96" s="80"/>
      <c r="DTQ96" s="80"/>
      <c r="DTR96" s="80"/>
      <c r="DTS96" s="80"/>
      <c r="DTT96" s="80"/>
      <c r="DTU96" s="80"/>
      <c r="DTV96" s="80"/>
      <c r="DTW96" s="80"/>
      <c r="DTX96" s="80"/>
      <c r="DTY96" s="80"/>
      <c r="DTZ96" s="80"/>
      <c r="DUA96" s="80"/>
      <c r="DUB96" s="80"/>
      <c r="DUC96" s="80"/>
      <c r="DUD96" s="80"/>
      <c r="DUE96" s="80"/>
      <c r="DUF96" s="80"/>
      <c r="DUG96" s="80"/>
      <c r="DUH96" s="80"/>
      <c r="DUI96" s="80"/>
      <c r="DUJ96" s="80"/>
      <c r="DUK96" s="80"/>
      <c r="DUL96" s="80"/>
      <c r="DUM96" s="80"/>
      <c r="DUN96" s="80"/>
      <c r="DUO96" s="80"/>
      <c r="DUP96" s="80"/>
      <c r="DUQ96" s="80"/>
      <c r="DUR96" s="80"/>
      <c r="DUS96" s="80"/>
      <c r="DUT96" s="80"/>
      <c r="DUU96" s="80"/>
      <c r="DUV96" s="80"/>
      <c r="DUW96" s="80"/>
      <c r="DUX96" s="80"/>
      <c r="DUY96" s="80"/>
      <c r="DUZ96" s="80"/>
      <c r="DVA96" s="80"/>
      <c r="DVB96" s="80"/>
      <c r="DVC96" s="80"/>
      <c r="DVD96" s="80"/>
      <c r="DVE96" s="80"/>
      <c r="DVF96" s="80"/>
      <c r="DVG96" s="80"/>
      <c r="DVH96" s="80"/>
      <c r="DVI96" s="80"/>
      <c r="DVJ96" s="80"/>
      <c r="DVK96" s="80"/>
      <c r="DVL96" s="80"/>
      <c r="DVM96" s="80"/>
      <c r="DVN96" s="80"/>
      <c r="DVO96" s="80"/>
      <c r="DVP96" s="80"/>
      <c r="DVQ96" s="80"/>
      <c r="DVR96" s="80"/>
      <c r="DVS96" s="80"/>
      <c r="DVT96" s="80"/>
      <c r="DVU96" s="80"/>
      <c r="DVV96" s="80"/>
      <c r="DVW96" s="80"/>
      <c r="DVX96" s="80"/>
      <c r="DVY96" s="80"/>
      <c r="DVZ96" s="80"/>
      <c r="DWA96" s="80"/>
      <c r="DWB96" s="80"/>
      <c r="DWC96" s="80"/>
      <c r="DWD96" s="80"/>
      <c r="DWE96" s="80"/>
      <c r="DWF96" s="80"/>
      <c r="DWG96" s="80"/>
      <c r="DWH96" s="80"/>
      <c r="DWI96" s="80"/>
      <c r="DWJ96" s="80"/>
      <c r="DWK96" s="80"/>
      <c r="DWL96" s="80"/>
      <c r="DWM96" s="80"/>
      <c r="DWN96" s="80"/>
      <c r="DWO96" s="80"/>
      <c r="DWP96" s="80"/>
      <c r="DWQ96" s="80"/>
      <c r="DWR96" s="80"/>
      <c r="DWS96" s="80"/>
      <c r="DWT96" s="80"/>
      <c r="DWU96" s="80"/>
      <c r="DWV96" s="80"/>
      <c r="DWW96" s="80"/>
      <c r="DWX96" s="80"/>
      <c r="DWY96" s="80"/>
      <c r="DWZ96" s="80"/>
      <c r="DXA96" s="80"/>
      <c r="DXB96" s="80"/>
      <c r="DXC96" s="80"/>
      <c r="DXD96" s="80"/>
      <c r="DXE96" s="80"/>
      <c r="DXF96" s="80"/>
      <c r="DXG96" s="80"/>
      <c r="DXH96" s="80"/>
      <c r="DXI96" s="80"/>
      <c r="DXJ96" s="80"/>
      <c r="DXK96" s="80"/>
      <c r="DXL96" s="80"/>
      <c r="DXM96" s="80"/>
      <c r="DXN96" s="80"/>
      <c r="DXO96" s="80"/>
      <c r="DXP96" s="80"/>
      <c r="DXQ96" s="80"/>
      <c r="DXR96" s="80"/>
      <c r="DXS96" s="80"/>
      <c r="DXT96" s="80"/>
      <c r="DXU96" s="80"/>
      <c r="DXV96" s="80"/>
      <c r="DXW96" s="80"/>
      <c r="DXX96" s="80"/>
      <c r="DXY96" s="80"/>
      <c r="DXZ96" s="80"/>
      <c r="DYA96" s="80"/>
      <c r="DYB96" s="80"/>
      <c r="DYC96" s="80"/>
      <c r="DYD96" s="80"/>
      <c r="DYE96" s="80"/>
      <c r="DYF96" s="80"/>
      <c r="DYG96" s="80"/>
      <c r="DYH96" s="80"/>
      <c r="DYI96" s="80"/>
      <c r="DYJ96" s="80"/>
      <c r="DYK96" s="80"/>
      <c r="DYL96" s="80"/>
      <c r="DYM96" s="80"/>
      <c r="DYN96" s="80"/>
      <c r="DYO96" s="80"/>
      <c r="DYP96" s="80"/>
      <c r="DYQ96" s="80"/>
      <c r="DYR96" s="80"/>
      <c r="DYS96" s="80"/>
      <c r="DYT96" s="80"/>
      <c r="DYU96" s="80"/>
      <c r="DYV96" s="80"/>
      <c r="DYW96" s="80"/>
      <c r="DYX96" s="80"/>
      <c r="DYY96" s="80"/>
      <c r="DYZ96" s="80"/>
      <c r="DZA96" s="80"/>
      <c r="DZB96" s="80"/>
      <c r="DZC96" s="80"/>
      <c r="DZD96" s="80"/>
      <c r="DZE96" s="80"/>
      <c r="DZF96" s="80"/>
      <c r="DZG96" s="80"/>
      <c r="DZH96" s="80"/>
      <c r="DZI96" s="80"/>
      <c r="DZJ96" s="80"/>
      <c r="DZK96" s="80"/>
      <c r="DZL96" s="80"/>
      <c r="DZM96" s="80"/>
      <c r="DZN96" s="80"/>
      <c r="DZO96" s="80"/>
      <c r="DZP96" s="80"/>
      <c r="DZQ96" s="80"/>
      <c r="DZR96" s="80"/>
      <c r="DZS96" s="80"/>
      <c r="DZT96" s="80"/>
      <c r="DZU96" s="80"/>
      <c r="DZV96" s="80"/>
      <c r="DZW96" s="80"/>
      <c r="DZX96" s="80"/>
      <c r="DZY96" s="80"/>
      <c r="DZZ96" s="80"/>
      <c r="EAA96" s="80"/>
      <c r="EAB96" s="80"/>
      <c r="EAC96" s="80"/>
      <c r="EAD96" s="80"/>
      <c r="EAE96" s="80"/>
      <c r="EAF96" s="80"/>
      <c r="EAG96" s="80"/>
      <c r="EAH96" s="80"/>
      <c r="EAI96" s="80"/>
      <c r="EAJ96" s="80"/>
      <c r="EAK96" s="80"/>
      <c r="EAL96" s="80"/>
      <c r="EAM96" s="80"/>
      <c r="EAN96" s="80"/>
      <c r="EAO96" s="80"/>
      <c r="EAP96" s="80"/>
      <c r="EAQ96" s="80"/>
      <c r="EAR96" s="80"/>
      <c r="EAS96" s="80"/>
      <c r="EAT96" s="80"/>
      <c r="EAU96" s="80"/>
      <c r="EAV96" s="80"/>
      <c r="EAW96" s="80"/>
      <c r="EAX96" s="80"/>
      <c r="EAY96" s="80"/>
      <c r="EAZ96" s="80"/>
      <c r="EBA96" s="80"/>
      <c r="EBB96" s="80"/>
      <c r="EBC96" s="80"/>
      <c r="EBD96" s="80"/>
      <c r="EBE96" s="80"/>
      <c r="EBF96" s="80"/>
      <c r="EBG96" s="80"/>
      <c r="EBH96" s="80"/>
      <c r="EBI96" s="80"/>
      <c r="EBJ96" s="80"/>
      <c r="EBK96" s="80"/>
      <c r="EBL96" s="80"/>
      <c r="EBM96" s="80"/>
      <c r="EBN96" s="80"/>
      <c r="EBO96" s="80"/>
      <c r="EBP96" s="80"/>
      <c r="EBQ96" s="80"/>
      <c r="EBR96" s="80"/>
      <c r="EBS96" s="80"/>
      <c r="EBT96" s="80"/>
      <c r="EBU96" s="80"/>
      <c r="EBV96" s="80"/>
      <c r="EBW96" s="80"/>
      <c r="EBX96" s="80"/>
      <c r="EBY96" s="80"/>
      <c r="EBZ96" s="80"/>
      <c r="ECA96" s="80"/>
      <c r="ECB96" s="80"/>
      <c r="ECC96" s="80"/>
      <c r="ECD96" s="80"/>
      <c r="ECE96" s="80"/>
      <c r="ECF96" s="80"/>
      <c r="ECG96" s="80"/>
      <c r="ECH96" s="80"/>
      <c r="ECI96" s="80"/>
      <c r="ECJ96" s="80"/>
      <c r="ECK96" s="80"/>
      <c r="ECL96" s="80"/>
      <c r="ECM96" s="80"/>
      <c r="ECN96" s="80"/>
      <c r="ECO96" s="80"/>
      <c r="ECP96" s="80"/>
      <c r="ECQ96" s="80"/>
      <c r="ECR96" s="80"/>
      <c r="ECS96" s="80"/>
      <c r="ECT96" s="80"/>
      <c r="ECU96" s="80"/>
      <c r="ECV96" s="80"/>
      <c r="ECW96" s="80"/>
      <c r="ECX96" s="80"/>
      <c r="ECY96" s="80"/>
      <c r="ECZ96" s="80"/>
      <c r="EDA96" s="80"/>
      <c r="EDB96" s="80"/>
      <c r="EDC96" s="80"/>
      <c r="EDD96" s="80"/>
      <c r="EDE96" s="80"/>
      <c r="EDF96" s="80"/>
      <c r="EDG96" s="80"/>
      <c r="EDH96" s="80"/>
      <c r="EDI96" s="80"/>
      <c r="EDJ96" s="80"/>
      <c r="EDK96" s="80"/>
      <c r="EDL96" s="80"/>
      <c r="EDM96" s="80"/>
      <c r="EDN96" s="80"/>
      <c r="EDO96" s="80"/>
      <c r="EDP96" s="80"/>
      <c r="EDQ96" s="80"/>
      <c r="EDR96" s="80"/>
      <c r="EDS96" s="80"/>
      <c r="EDT96" s="80"/>
      <c r="EDU96" s="80"/>
      <c r="EDV96" s="80"/>
      <c r="EDW96" s="80"/>
      <c r="EDX96" s="80"/>
      <c r="EDY96" s="80"/>
      <c r="EDZ96" s="80"/>
      <c r="EEA96" s="80"/>
      <c r="EEB96" s="80"/>
      <c r="EEC96" s="80"/>
      <c r="EED96" s="80"/>
      <c r="EEE96" s="80"/>
      <c r="EEF96" s="80"/>
      <c r="EEG96" s="80"/>
      <c r="EEH96" s="80"/>
      <c r="EEI96" s="80"/>
      <c r="EEJ96" s="80"/>
      <c r="EEK96" s="80"/>
      <c r="EEL96" s="80"/>
      <c r="EEM96" s="80"/>
      <c r="EEN96" s="80"/>
      <c r="EEO96" s="80"/>
      <c r="EEP96" s="80"/>
      <c r="EEQ96" s="80"/>
      <c r="EER96" s="80"/>
      <c r="EES96" s="80"/>
      <c r="EET96" s="80"/>
      <c r="EEU96" s="80"/>
      <c r="EEV96" s="80"/>
      <c r="EEW96" s="80"/>
      <c r="EEX96" s="80"/>
      <c r="EEY96" s="80"/>
      <c r="EEZ96" s="80"/>
      <c r="EFA96" s="80"/>
      <c r="EFB96" s="80"/>
      <c r="EFC96" s="80"/>
      <c r="EFD96" s="80"/>
      <c r="EFE96" s="80"/>
      <c r="EFF96" s="80"/>
      <c r="EFG96" s="80"/>
      <c r="EFH96" s="80"/>
      <c r="EFI96" s="80"/>
      <c r="EFJ96" s="80"/>
      <c r="EFK96" s="80"/>
      <c r="EFL96" s="80"/>
      <c r="EFM96" s="80"/>
      <c r="EFN96" s="80"/>
      <c r="EFO96" s="80"/>
      <c r="EFP96" s="80"/>
      <c r="EFQ96" s="80"/>
      <c r="EFR96" s="80"/>
      <c r="EFS96" s="80"/>
      <c r="EFT96" s="80"/>
      <c r="EFU96" s="80"/>
      <c r="EFV96" s="80"/>
      <c r="EFW96" s="80"/>
      <c r="EFX96" s="80"/>
      <c r="EFY96" s="80"/>
      <c r="EFZ96" s="80"/>
      <c r="EGA96" s="80"/>
      <c r="EGB96" s="80"/>
      <c r="EGC96" s="80"/>
      <c r="EGD96" s="80"/>
      <c r="EGE96" s="80"/>
      <c r="EGF96" s="80"/>
      <c r="EGG96" s="80"/>
      <c r="EGH96" s="80"/>
      <c r="EGI96" s="80"/>
      <c r="EGJ96" s="80"/>
      <c r="EGK96" s="80"/>
      <c r="EGL96" s="80"/>
      <c r="EGM96" s="80"/>
      <c r="EGN96" s="80"/>
      <c r="EGO96" s="80"/>
      <c r="EGP96" s="80"/>
      <c r="EGQ96" s="80"/>
      <c r="EGR96" s="80"/>
      <c r="EGS96" s="80"/>
      <c r="EGT96" s="80"/>
      <c r="EGU96" s="80"/>
      <c r="EGV96" s="80"/>
      <c r="EGW96" s="80"/>
      <c r="EGX96" s="80"/>
      <c r="EGY96" s="80"/>
      <c r="EGZ96" s="80"/>
      <c r="EHA96" s="80"/>
      <c r="EHB96" s="80"/>
      <c r="EHC96" s="80"/>
      <c r="EHD96" s="80"/>
      <c r="EHE96" s="80"/>
      <c r="EHF96" s="80"/>
      <c r="EHG96" s="80"/>
      <c r="EHH96" s="80"/>
      <c r="EHI96" s="80"/>
      <c r="EHJ96" s="80"/>
      <c r="EHK96" s="80"/>
      <c r="EHL96" s="80"/>
      <c r="EHM96" s="80"/>
      <c r="EHN96" s="80"/>
      <c r="EHO96" s="80"/>
      <c r="EHP96" s="80"/>
      <c r="EHQ96" s="80"/>
      <c r="EHR96" s="80"/>
      <c r="EHS96" s="80"/>
      <c r="EHT96" s="80"/>
      <c r="EHU96" s="80"/>
      <c r="EHV96" s="80"/>
      <c r="EHW96" s="80"/>
      <c r="EHX96" s="80"/>
      <c r="EHY96" s="80"/>
      <c r="EHZ96" s="80"/>
      <c r="EIA96" s="80"/>
      <c r="EIB96" s="80"/>
      <c r="EIC96" s="80"/>
      <c r="EID96" s="80"/>
      <c r="EIE96" s="80"/>
      <c r="EIF96" s="80"/>
      <c r="EIG96" s="80"/>
      <c r="EIH96" s="80"/>
      <c r="EII96" s="80"/>
      <c r="EIJ96" s="80"/>
      <c r="EIK96" s="80"/>
      <c r="EIL96" s="80"/>
      <c r="EIM96" s="80"/>
      <c r="EIN96" s="80"/>
      <c r="EIO96" s="80"/>
      <c r="EIP96" s="80"/>
      <c r="EIQ96" s="80"/>
      <c r="EIR96" s="80"/>
      <c r="EIS96" s="80"/>
      <c r="EIT96" s="80"/>
      <c r="EIU96" s="80"/>
      <c r="EIV96" s="80"/>
      <c r="EIW96" s="80"/>
      <c r="EIX96" s="80"/>
      <c r="EIY96" s="80"/>
      <c r="EIZ96" s="80"/>
      <c r="EJA96" s="80"/>
      <c r="EJB96" s="80"/>
      <c r="EJC96" s="80"/>
      <c r="EJD96" s="80"/>
      <c r="EJE96" s="80"/>
      <c r="EJF96" s="80"/>
      <c r="EJG96" s="80"/>
      <c r="EJH96" s="80"/>
      <c r="EJI96" s="80"/>
      <c r="EJJ96" s="80"/>
      <c r="EJK96" s="80"/>
      <c r="EJL96" s="80"/>
      <c r="EJM96" s="80"/>
      <c r="EJN96" s="80"/>
      <c r="EJO96" s="80"/>
      <c r="EJP96" s="80"/>
      <c r="EJQ96" s="80"/>
      <c r="EJR96" s="80"/>
      <c r="EJS96" s="80"/>
      <c r="EJT96" s="80"/>
      <c r="EJU96" s="80"/>
      <c r="EJV96" s="80"/>
      <c r="EJW96" s="80"/>
      <c r="EJX96" s="80"/>
      <c r="EJY96" s="80"/>
      <c r="EJZ96" s="80"/>
      <c r="EKA96" s="80"/>
      <c r="EKB96" s="80"/>
      <c r="EKC96" s="80"/>
      <c r="EKD96" s="80"/>
      <c r="EKE96" s="80"/>
      <c r="EKF96" s="80"/>
      <c r="EKG96" s="80"/>
      <c r="EKH96" s="80"/>
      <c r="EKI96" s="80"/>
      <c r="EKJ96" s="80"/>
      <c r="EKK96" s="80"/>
      <c r="EKL96" s="80"/>
      <c r="EKM96" s="80"/>
      <c r="EKN96" s="80"/>
      <c r="EKO96" s="80"/>
      <c r="EKP96" s="80"/>
      <c r="EKQ96" s="80"/>
      <c r="EKR96" s="80"/>
      <c r="EKS96" s="80"/>
      <c r="EKT96" s="80"/>
      <c r="EKU96" s="80"/>
      <c r="EKV96" s="80"/>
      <c r="EKW96" s="80"/>
      <c r="EKX96" s="80"/>
      <c r="EKY96" s="80"/>
      <c r="EKZ96" s="80"/>
      <c r="ELA96" s="80"/>
      <c r="ELB96" s="80"/>
      <c r="ELC96" s="80"/>
      <c r="ELD96" s="80"/>
      <c r="ELE96" s="80"/>
      <c r="ELF96" s="80"/>
      <c r="ELG96" s="80"/>
      <c r="ELH96" s="80"/>
      <c r="ELI96" s="80"/>
      <c r="ELJ96" s="80"/>
      <c r="ELK96" s="80"/>
      <c r="ELL96" s="80"/>
      <c r="ELM96" s="80"/>
      <c r="ELN96" s="80"/>
      <c r="ELO96" s="80"/>
      <c r="ELP96" s="80"/>
      <c r="ELQ96" s="80"/>
      <c r="ELR96" s="80"/>
      <c r="ELS96" s="80"/>
      <c r="ELT96" s="80"/>
      <c r="ELU96" s="80"/>
      <c r="ELV96" s="80"/>
      <c r="ELW96" s="80"/>
      <c r="ELX96" s="80"/>
      <c r="ELY96" s="80"/>
      <c r="ELZ96" s="80"/>
      <c r="EMA96" s="80"/>
      <c r="EMB96" s="80"/>
      <c r="EMC96" s="80"/>
      <c r="EMD96" s="80"/>
      <c r="EME96" s="80"/>
      <c r="EMF96" s="80"/>
      <c r="EMG96" s="80"/>
      <c r="EMH96" s="80"/>
      <c r="EMI96" s="80"/>
      <c r="EMJ96" s="80"/>
      <c r="EMK96" s="80"/>
      <c r="EML96" s="80"/>
      <c r="EMM96" s="80"/>
      <c r="EMN96" s="80"/>
      <c r="EMO96" s="80"/>
      <c r="EMP96" s="80"/>
      <c r="EMQ96" s="80"/>
      <c r="EMR96" s="80"/>
      <c r="EMS96" s="80"/>
      <c r="EMT96" s="80"/>
      <c r="EMU96" s="80"/>
      <c r="EMV96" s="80"/>
      <c r="EMW96" s="80"/>
      <c r="EMX96" s="80"/>
      <c r="EMY96" s="80"/>
      <c r="EMZ96" s="80"/>
      <c r="ENA96" s="80"/>
      <c r="ENB96" s="80"/>
      <c r="ENC96" s="80"/>
      <c r="END96" s="80"/>
      <c r="ENE96" s="80"/>
      <c r="ENF96" s="80"/>
      <c r="ENG96" s="80"/>
      <c r="ENH96" s="80"/>
      <c r="ENI96" s="80"/>
      <c r="ENJ96" s="80"/>
      <c r="ENK96" s="80"/>
      <c r="ENL96" s="80"/>
      <c r="ENM96" s="80"/>
      <c r="ENN96" s="80"/>
      <c r="ENO96" s="80"/>
      <c r="ENP96" s="80"/>
      <c r="ENQ96" s="80"/>
      <c r="ENR96" s="80"/>
      <c r="ENS96" s="80"/>
      <c r="ENT96" s="80"/>
      <c r="ENU96" s="80"/>
      <c r="ENV96" s="80"/>
      <c r="ENW96" s="80"/>
      <c r="ENX96" s="80"/>
      <c r="ENY96" s="80"/>
      <c r="ENZ96" s="80"/>
      <c r="EOA96" s="80"/>
      <c r="EOB96" s="80"/>
      <c r="EOC96" s="80"/>
      <c r="EOD96" s="80"/>
      <c r="EOE96" s="80"/>
      <c r="EOF96" s="80"/>
      <c r="EOG96" s="80"/>
      <c r="EOH96" s="80"/>
      <c r="EOI96" s="80"/>
      <c r="EOJ96" s="80"/>
      <c r="EOK96" s="80"/>
      <c r="EOL96" s="80"/>
      <c r="EOM96" s="80"/>
      <c r="EON96" s="80"/>
      <c r="EOO96" s="80"/>
      <c r="EOP96" s="80"/>
      <c r="EOQ96" s="80"/>
      <c r="EOR96" s="80"/>
      <c r="EOS96" s="80"/>
      <c r="EOT96" s="80"/>
      <c r="EOU96" s="80"/>
      <c r="EOV96" s="80"/>
      <c r="EOW96" s="80"/>
      <c r="EOX96" s="80"/>
      <c r="EOY96" s="80"/>
      <c r="EOZ96" s="80"/>
      <c r="EPA96" s="80"/>
      <c r="EPB96" s="80"/>
      <c r="EPC96" s="80"/>
      <c r="EPD96" s="80"/>
      <c r="EPE96" s="80"/>
      <c r="EPF96" s="80"/>
      <c r="EPG96" s="80"/>
      <c r="EPH96" s="80"/>
      <c r="EPI96" s="80"/>
      <c r="EPJ96" s="80"/>
      <c r="EPK96" s="80"/>
      <c r="EPL96" s="80"/>
      <c r="EPM96" s="80"/>
      <c r="EPN96" s="80"/>
      <c r="EPO96" s="80"/>
      <c r="EPP96" s="80"/>
      <c r="EPQ96" s="80"/>
      <c r="EPR96" s="80"/>
      <c r="EPS96" s="80"/>
      <c r="EPT96" s="80"/>
      <c r="EPU96" s="80"/>
      <c r="EPV96" s="80"/>
      <c r="EPW96" s="80"/>
      <c r="EPX96" s="80"/>
      <c r="EPY96" s="80"/>
      <c r="EPZ96" s="80"/>
      <c r="EQA96" s="80"/>
      <c r="EQB96" s="80"/>
      <c r="EQC96" s="80"/>
      <c r="EQD96" s="80"/>
      <c r="EQE96" s="80"/>
      <c r="EQF96" s="80"/>
      <c r="EQG96" s="80"/>
      <c r="EQH96" s="80"/>
      <c r="EQI96" s="80"/>
      <c r="EQJ96" s="80"/>
      <c r="EQK96" s="80"/>
      <c r="EQL96" s="80"/>
      <c r="EQM96" s="80"/>
      <c r="EQN96" s="80"/>
      <c r="EQO96" s="80"/>
      <c r="EQP96" s="80"/>
      <c r="EQQ96" s="80"/>
      <c r="EQR96" s="80"/>
      <c r="EQS96" s="80"/>
      <c r="EQT96" s="80"/>
      <c r="EQU96" s="80"/>
      <c r="EQV96" s="80"/>
      <c r="EQW96" s="80"/>
      <c r="EQX96" s="80"/>
      <c r="EQY96" s="80"/>
      <c r="EQZ96" s="80"/>
      <c r="ERA96" s="80"/>
      <c r="ERB96" s="80"/>
      <c r="ERC96" s="80"/>
      <c r="ERD96" s="80"/>
      <c r="ERE96" s="80"/>
      <c r="ERF96" s="80"/>
      <c r="ERG96" s="80"/>
      <c r="ERH96" s="80"/>
      <c r="ERI96" s="80"/>
      <c r="ERJ96" s="80"/>
      <c r="ERK96" s="80"/>
      <c r="ERL96" s="80"/>
      <c r="ERM96" s="80"/>
      <c r="ERN96" s="80"/>
      <c r="ERO96" s="80"/>
      <c r="ERP96" s="80"/>
      <c r="ERQ96" s="80"/>
      <c r="ERR96" s="80"/>
      <c r="ERS96" s="80"/>
      <c r="ERT96" s="80"/>
      <c r="ERU96" s="80"/>
      <c r="ERV96" s="80"/>
      <c r="ERW96" s="80"/>
      <c r="ERX96" s="80"/>
      <c r="ERY96" s="80"/>
      <c r="ERZ96" s="80"/>
      <c r="ESA96" s="80"/>
      <c r="ESB96" s="80"/>
      <c r="ESC96" s="80"/>
      <c r="ESD96" s="80"/>
      <c r="ESE96" s="80"/>
      <c r="ESF96" s="80"/>
      <c r="ESG96" s="80"/>
      <c r="ESH96" s="80"/>
      <c r="ESI96" s="80"/>
      <c r="ESJ96" s="80"/>
      <c r="ESK96" s="80"/>
      <c r="ESL96" s="80"/>
      <c r="ESM96" s="80"/>
      <c r="ESN96" s="80"/>
      <c r="ESO96" s="80"/>
      <c r="ESP96" s="80"/>
      <c r="ESQ96" s="80"/>
      <c r="ESR96" s="80"/>
      <c r="ESS96" s="80"/>
      <c r="EST96" s="80"/>
      <c r="ESU96" s="80"/>
      <c r="ESV96" s="80"/>
      <c r="ESW96" s="80"/>
      <c r="ESX96" s="80"/>
      <c r="ESY96" s="80"/>
      <c r="ESZ96" s="80"/>
      <c r="ETA96" s="80"/>
      <c r="ETB96" s="80"/>
      <c r="ETC96" s="80"/>
      <c r="ETD96" s="80"/>
      <c r="ETE96" s="80"/>
      <c r="ETF96" s="80"/>
      <c r="ETG96" s="80"/>
      <c r="ETH96" s="80"/>
      <c r="ETI96" s="80"/>
      <c r="ETJ96" s="80"/>
      <c r="ETK96" s="80"/>
      <c r="ETL96" s="80"/>
      <c r="ETM96" s="80"/>
      <c r="ETN96" s="80"/>
      <c r="ETO96" s="80"/>
      <c r="ETP96" s="80"/>
      <c r="ETQ96" s="80"/>
      <c r="ETR96" s="80"/>
      <c r="ETS96" s="80"/>
      <c r="ETT96" s="80"/>
      <c r="ETU96" s="80"/>
      <c r="ETV96" s="80"/>
      <c r="ETW96" s="80"/>
      <c r="ETX96" s="80"/>
      <c r="ETY96" s="80"/>
      <c r="ETZ96" s="80"/>
      <c r="EUA96" s="80"/>
      <c r="EUB96" s="80"/>
      <c r="EUC96" s="80"/>
      <c r="EUD96" s="80"/>
      <c r="EUE96" s="80"/>
      <c r="EUF96" s="80"/>
      <c r="EUG96" s="80"/>
      <c r="EUH96" s="80"/>
      <c r="EUI96" s="80"/>
      <c r="EUJ96" s="80"/>
      <c r="EUK96" s="80"/>
      <c r="EUL96" s="80"/>
      <c r="EUM96" s="80"/>
      <c r="EUN96" s="80"/>
      <c r="EUO96" s="80"/>
      <c r="EUP96" s="80"/>
      <c r="EUQ96" s="80"/>
      <c r="EUR96" s="80"/>
      <c r="EUS96" s="80"/>
      <c r="EUT96" s="80"/>
      <c r="EUU96" s="80"/>
      <c r="EUV96" s="80"/>
      <c r="EUW96" s="80"/>
      <c r="EUX96" s="80"/>
      <c r="EUY96" s="80"/>
      <c r="EUZ96" s="80"/>
      <c r="EVA96" s="80"/>
      <c r="EVB96" s="80"/>
      <c r="EVC96" s="80"/>
      <c r="EVD96" s="80"/>
      <c r="EVE96" s="80"/>
      <c r="EVF96" s="80"/>
      <c r="EVG96" s="80"/>
      <c r="EVH96" s="80"/>
      <c r="EVI96" s="80"/>
      <c r="EVJ96" s="80"/>
      <c r="EVK96" s="80"/>
      <c r="EVL96" s="80"/>
      <c r="EVM96" s="80"/>
      <c r="EVN96" s="80"/>
      <c r="EVO96" s="80"/>
      <c r="EVP96" s="80"/>
      <c r="EVQ96" s="80"/>
      <c r="EVR96" s="80"/>
      <c r="EVS96" s="80"/>
      <c r="EVT96" s="80"/>
      <c r="EVU96" s="80"/>
      <c r="EVV96" s="80"/>
      <c r="EVW96" s="80"/>
      <c r="EVX96" s="80"/>
      <c r="EVY96" s="80"/>
      <c r="EVZ96" s="80"/>
      <c r="EWA96" s="80"/>
      <c r="EWB96" s="80"/>
      <c r="EWC96" s="80"/>
      <c r="EWD96" s="80"/>
      <c r="EWE96" s="80"/>
      <c r="EWF96" s="80"/>
      <c r="EWG96" s="80"/>
      <c r="EWH96" s="80"/>
      <c r="EWI96" s="80"/>
      <c r="EWJ96" s="80"/>
      <c r="EWK96" s="80"/>
      <c r="EWL96" s="80"/>
      <c r="EWM96" s="80"/>
      <c r="EWN96" s="80"/>
      <c r="EWO96" s="80"/>
      <c r="EWP96" s="80"/>
      <c r="EWQ96" s="80"/>
      <c r="EWR96" s="80"/>
      <c r="EWS96" s="80"/>
      <c r="EWT96" s="80"/>
      <c r="EWU96" s="80"/>
      <c r="EWV96" s="80"/>
      <c r="EWW96" s="80"/>
      <c r="EWX96" s="80"/>
      <c r="EWY96" s="80"/>
      <c r="EWZ96" s="80"/>
      <c r="EXA96" s="80"/>
      <c r="EXB96" s="80"/>
      <c r="EXC96" s="80"/>
      <c r="EXD96" s="80"/>
      <c r="EXE96" s="80"/>
      <c r="EXF96" s="80"/>
      <c r="EXG96" s="80"/>
      <c r="EXH96" s="80"/>
      <c r="EXI96" s="80"/>
      <c r="EXJ96" s="80"/>
      <c r="EXK96" s="80"/>
      <c r="EXL96" s="80"/>
      <c r="EXM96" s="80"/>
      <c r="EXN96" s="80"/>
      <c r="EXO96" s="80"/>
      <c r="EXP96" s="80"/>
      <c r="EXQ96" s="80"/>
      <c r="EXR96" s="80"/>
      <c r="EXS96" s="80"/>
      <c r="EXT96" s="80"/>
      <c r="EXU96" s="80"/>
      <c r="EXV96" s="80"/>
      <c r="EXW96" s="80"/>
      <c r="EXX96" s="80"/>
      <c r="EXY96" s="80"/>
      <c r="EXZ96" s="80"/>
      <c r="EYA96" s="80"/>
      <c r="EYB96" s="80"/>
      <c r="EYC96" s="80"/>
      <c r="EYD96" s="80"/>
      <c r="EYE96" s="80"/>
      <c r="EYF96" s="80"/>
      <c r="EYG96" s="80"/>
      <c r="EYH96" s="80"/>
      <c r="EYI96" s="80"/>
      <c r="EYJ96" s="80"/>
      <c r="EYK96" s="80"/>
      <c r="EYL96" s="80"/>
      <c r="EYM96" s="80"/>
      <c r="EYN96" s="80"/>
      <c r="EYO96" s="80"/>
      <c r="EYP96" s="80"/>
      <c r="EYQ96" s="80"/>
      <c r="EYR96" s="80"/>
      <c r="EYS96" s="80"/>
      <c r="EYT96" s="80"/>
      <c r="EYU96" s="80"/>
      <c r="EYV96" s="80"/>
      <c r="EYW96" s="80"/>
      <c r="EYX96" s="80"/>
      <c r="EYY96" s="80"/>
      <c r="EYZ96" s="80"/>
      <c r="EZA96" s="80"/>
      <c r="EZB96" s="80"/>
      <c r="EZC96" s="80"/>
      <c r="EZD96" s="80"/>
      <c r="EZE96" s="80"/>
      <c r="EZF96" s="80"/>
      <c r="EZG96" s="80"/>
      <c r="EZH96" s="80"/>
      <c r="EZI96" s="80"/>
      <c r="EZJ96" s="80"/>
      <c r="EZK96" s="80"/>
      <c r="EZL96" s="80"/>
      <c r="EZM96" s="80"/>
      <c r="EZN96" s="80"/>
      <c r="EZO96" s="80"/>
      <c r="EZP96" s="80"/>
      <c r="EZQ96" s="80"/>
      <c r="EZR96" s="80"/>
      <c r="EZS96" s="80"/>
      <c r="EZT96" s="80"/>
      <c r="EZU96" s="80"/>
      <c r="EZV96" s="80"/>
      <c r="EZW96" s="80"/>
      <c r="EZX96" s="80"/>
      <c r="EZY96" s="80"/>
      <c r="EZZ96" s="80"/>
      <c r="FAA96" s="80"/>
      <c r="FAB96" s="80"/>
      <c r="FAC96" s="80"/>
      <c r="FAD96" s="80"/>
      <c r="FAE96" s="80"/>
      <c r="FAF96" s="80"/>
      <c r="FAG96" s="80"/>
      <c r="FAH96" s="80"/>
      <c r="FAI96" s="80"/>
      <c r="FAJ96" s="80"/>
      <c r="FAK96" s="80"/>
      <c r="FAL96" s="80"/>
      <c r="FAM96" s="80"/>
      <c r="FAN96" s="80"/>
      <c r="FAO96" s="80"/>
      <c r="FAP96" s="80"/>
      <c r="FAQ96" s="80"/>
      <c r="FAR96" s="80"/>
      <c r="FAS96" s="80"/>
      <c r="FAT96" s="80"/>
      <c r="FAU96" s="80"/>
      <c r="FAV96" s="80"/>
      <c r="FAW96" s="80"/>
      <c r="FAX96" s="80"/>
      <c r="FAY96" s="80"/>
      <c r="FAZ96" s="80"/>
      <c r="FBA96" s="80"/>
      <c r="FBB96" s="80"/>
      <c r="FBC96" s="80"/>
      <c r="FBD96" s="80"/>
      <c r="FBE96" s="80"/>
      <c r="FBF96" s="80"/>
      <c r="FBG96" s="80"/>
      <c r="FBH96" s="80"/>
      <c r="FBI96" s="80"/>
      <c r="FBJ96" s="80"/>
      <c r="FBK96" s="80"/>
      <c r="FBL96" s="80"/>
      <c r="FBM96" s="80"/>
      <c r="FBN96" s="80"/>
      <c r="FBO96" s="80"/>
      <c r="FBP96" s="80"/>
      <c r="FBQ96" s="80"/>
      <c r="FBR96" s="80"/>
      <c r="FBS96" s="80"/>
      <c r="FBT96" s="80"/>
      <c r="FBU96" s="80"/>
      <c r="FBV96" s="80"/>
      <c r="FBW96" s="80"/>
      <c r="FBX96" s="80"/>
      <c r="FBY96" s="80"/>
      <c r="FBZ96" s="80"/>
      <c r="FCA96" s="80"/>
      <c r="FCB96" s="80"/>
      <c r="FCC96" s="80"/>
      <c r="FCD96" s="80"/>
      <c r="FCE96" s="80"/>
      <c r="FCF96" s="80"/>
      <c r="FCG96" s="80"/>
      <c r="FCH96" s="80"/>
      <c r="FCI96" s="80"/>
      <c r="FCJ96" s="80"/>
      <c r="FCK96" s="80"/>
      <c r="FCL96" s="80"/>
      <c r="FCM96" s="80"/>
      <c r="FCN96" s="80"/>
      <c r="FCO96" s="80"/>
      <c r="FCP96" s="80"/>
      <c r="FCQ96" s="80"/>
      <c r="FCR96" s="80"/>
      <c r="FCS96" s="80"/>
      <c r="FCT96" s="80"/>
      <c r="FCU96" s="80"/>
      <c r="FCV96" s="80"/>
      <c r="FCW96" s="80"/>
      <c r="FCX96" s="80"/>
      <c r="FCY96" s="80"/>
      <c r="FCZ96" s="80"/>
      <c r="FDA96" s="80"/>
      <c r="FDB96" s="80"/>
      <c r="FDC96" s="80"/>
      <c r="FDD96" s="80"/>
      <c r="FDE96" s="80"/>
      <c r="FDF96" s="80"/>
      <c r="FDG96" s="80"/>
      <c r="FDH96" s="80"/>
      <c r="FDI96" s="80"/>
      <c r="FDJ96" s="80"/>
      <c r="FDK96" s="80"/>
      <c r="FDL96" s="80"/>
      <c r="FDM96" s="80"/>
      <c r="FDN96" s="80"/>
      <c r="FDO96" s="80"/>
      <c r="FDP96" s="80"/>
      <c r="FDQ96" s="80"/>
      <c r="FDR96" s="80"/>
      <c r="FDS96" s="80"/>
      <c r="FDT96" s="80"/>
      <c r="FDU96" s="80"/>
      <c r="FDV96" s="80"/>
      <c r="FDW96" s="80"/>
      <c r="FDX96" s="80"/>
      <c r="FDY96" s="80"/>
      <c r="FDZ96" s="80"/>
      <c r="FEA96" s="80"/>
      <c r="FEB96" s="80"/>
      <c r="FEC96" s="80"/>
      <c r="FED96" s="80"/>
      <c r="FEE96" s="80"/>
      <c r="FEF96" s="80"/>
      <c r="FEG96" s="80"/>
      <c r="FEH96" s="80"/>
      <c r="FEI96" s="80"/>
      <c r="FEJ96" s="80"/>
      <c r="FEK96" s="80"/>
      <c r="FEL96" s="80"/>
      <c r="FEM96" s="80"/>
      <c r="FEN96" s="80"/>
      <c r="FEO96" s="80"/>
      <c r="FEP96" s="80"/>
      <c r="FEQ96" s="80"/>
      <c r="FER96" s="80"/>
      <c r="FES96" s="80"/>
      <c r="FET96" s="80"/>
      <c r="FEU96" s="80"/>
      <c r="FEV96" s="80"/>
      <c r="FEW96" s="80"/>
      <c r="FEX96" s="80"/>
      <c r="FEY96" s="80"/>
      <c r="FEZ96" s="80"/>
      <c r="FFA96" s="80"/>
      <c r="FFB96" s="80"/>
      <c r="FFC96" s="80"/>
      <c r="FFD96" s="80"/>
      <c r="FFE96" s="80"/>
      <c r="FFF96" s="80"/>
      <c r="FFG96" s="80"/>
      <c r="FFH96" s="80"/>
      <c r="FFI96" s="80"/>
      <c r="FFJ96" s="80"/>
      <c r="FFK96" s="80"/>
      <c r="FFL96" s="80"/>
      <c r="FFM96" s="80"/>
      <c r="FFN96" s="80"/>
      <c r="FFO96" s="80"/>
      <c r="FFP96" s="80"/>
      <c r="FFQ96" s="80"/>
      <c r="FFR96" s="80"/>
      <c r="FFS96" s="80"/>
      <c r="FFT96" s="80"/>
      <c r="FFU96" s="80"/>
      <c r="FFV96" s="80"/>
      <c r="FFW96" s="80"/>
      <c r="FFX96" s="80"/>
      <c r="FFY96" s="80"/>
      <c r="FFZ96" s="80"/>
      <c r="FGA96" s="80"/>
      <c r="FGB96" s="80"/>
      <c r="FGC96" s="80"/>
      <c r="FGD96" s="80"/>
      <c r="FGE96" s="80"/>
      <c r="FGF96" s="80"/>
      <c r="FGG96" s="80"/>
      <c r="FGH96" s="80"/>
      <c r="FGI96" s="80"/>
      <c r="FGJ96" s="80"/>
      <c r="FGK96" s="80"/>
      <c r="FGL96" s="80"/>
      <c r="FGM96" s="80"/>
      <c r="FGN96" s="80"/>
      <c r="FGO96" s="80"/>
      <c r="FGP96" s="80"/>
      <c r="FGQ96" s="80"/>
      <c r="FGR96" s="80"/>
      <c r="FGS96" s="80"/>
      <c r="FGT96" s="80"/>
      <c r="FGU96" s="80"/>
      <c r="FGV96" s="80"/>
      <c r="FGW96" s="80"/>
      <c r="FGX96" s="80"/>
      <c r="FGY96" s="80"/>
      <c r="FGZ96" s="80"/>
      <c r="FHA96" s="80"/>
      <c r="FHB96" s="80"/>
      <c r="FHC96" s="80"/>
      <c r="FHD96" s="80"/>
      <c r="FHE96" s="80"/>
      <c r="FHF96" s="80"/>
      <c r="FHG96" s="80"/>
      <c r="FHH96" s="80"/>
      <c r="FHI96" s="80"/>
      <c r="FHJ96" s="80"/>
      <c r="FHK96" s="80"/>
      <c r="FHL96" s="80"/>
      <c r="FHM96" s="80"/>
      <c r="FHN96" s="80"/>
      <c r="FHO96" s="80"/>
      <c r="FHP96" s="80"/>
      <c r="FHQ96" s="80"/>
      <c r="FHR96" s="80"/>
      <c r="FHS96" s="80"/>
      <c r="FHT96" s="80"/>
      <c r="FHU96" s="80"/>
      <c r="FHV96" s="80"/>
      <c r="FHW96" s="80"/>
      <c r="FHX96" s="80"/>
      <c r="FHY96" s="80"/>
      <c r="FHZ96" s="80"/>
      <c r="FIA96" s="80"/>
      <c r="FIB96" s="80"/>
      <c r="FIC96" s="80"/>
      <c r="FID96" s="80"/>
      <c r="FIE96" s="80"/>
      <c r="FIF96" s="80"/>
      <c r="FIG96" s="80"/>
      <c r="FIH96" s="80"/>
      <c r="FII96" s="80"/>
      <c r="FIJ96" s="80"/>
      <c r="FIK96" s="80"/>
      <c r="FIL96" s="80"/>
      <c r="FIM96" s="80"/>
      <c r="FIN96" s="80"/>
      <c r="FIO96" s="80"/>
      <c r="FIP96" s="80"/>
      <c r="FIQ96" s="80"/>
      <c r="FIR96" s="80"/>
      <c r="FIS96" s="80"/>
      <c r="FIT96" s="80"/>
      <c r="FIU96" s="80"/>
      <c r="FIV96" s="80"/>
      <c r="FIW96" s="80"/>
      <c r="FIX96" s="80"/>
      <c r="FIY96" s="80"/>
      <c r="FIZ96" s="80"/>
      <c r="FJA96" s="80"/>
      <c r="FJB96" s="80"/>
      <c r="FJC96" s="80"/>
      <c r="FJD96" s="80"/>
      <c r="FJE96" s="80"/>
      <c r="FJF96" s="80"/>
      <c r="FJG96" s="80"/>
      <c r="FJH96" s="80"/>
      <c r="FJI96" s="80"/>
      <c r="FJJ96" s="80"/>
      <c r="FJK96" s="80"/>
      <c r="FJL96" s="80"/>
      <c r="FJM96" s="80"/>
      <c r="FJN96" s="80"/>
      <c r="FJO96" s="80"/>
      <c r="FJP96" s="80"/>
      <c r="FJQ96" s="80"/>
      <c r="FJR96" s="80"/>
      <c r="FJS96" s="80"/>
      <c r="FJT96" s="80"/>
      <c r="FJU96" s="80"/>
      <c r="FJV96" s="80"/>
      <c r="FJW96" s="80"/>
      <c r="FJX96" s="80"/>
      <c r="FJY96" s="80"/>
      <c r="FJZ96" s="80"/>
      <c r="FKA96" s="80"/>
      <c r="FKB96" s="80"/>
      <c r="FKC96" s="80"/>
      <c r="FKD96" s="80"/>
      <c r="FKE96" s="80"/>
      <c r="FKF96" s="80"/>
      <c r="FKG96" s="80"/>
      <c r="FKH96" s="80"/>
      <c r="FKI96" s="80"/>
      <c r="FKJ96" s="80"/>
      <c r="FKK96" s="80"/>
      <c r="FKL96" s="80"/>
      <c r="FKM96" s="80"/>
      <c r="FKN96" s="80"/>
      <c r="FKO96" s="80"/>
      <c r="FKP96" s="80"/>
      <c r="FKQ96" s="80"/>
      <c r="FKR96" s="80"/>
      <c r="FKS96" s="80"/>
      <c r="FKT96" s="80"/>
      <c r="FKU96" s="80"/>
      <c r="FKV96" s="80"/>
      <c r="FKW96" s="80"/>
      <c r="FKX96" s="80"/>
      <c r="FKY96" s="80"/>
      <c r="FKZ96" s="80"/>
      <c r="FLA96" s="80"/>
      <c r="FLB96" s="80"/>
      <c r="FLC96" s="80"/>
      <c r="FLD96" s="80"/>
      <c r="FLE96" s="80"/>
      <c r="FLF96" s="80"/>
      <c r="FLG96" s="80"/>
      <c r="FLH96" s="80"/>
      <c r="FLI96" s="80"/>
      <c r="FLJ96" s="80"/>
      <c r="FLK96" s="80"/>
      <c r="FLL96" s="80"/>
      <c r="FLM96" s="80"/>
      <c r="FLN96" s="80"/>
      <c r="FLO96" s="80"/>
      <c r="FLP96" s="80"/>
      <c r="FLQ96" s="80"/>
      <c r="FLR96" s="80"/>
      <c r="FLS96" s="80"/>
      <c r="FLT96" s="80"/>
      <c r="FLU96" s="80"/>
      <c r="FLV96" s="80"/>
      <c r="FLW96" s="80"/>
      <c r="FLX96" s="80"/>
      <c r="FLY96" s="80"/>
      <c r="FLZ96" s="80"/>
      <c r="FMA96" s="80"/>
      <c r="FMB96" s="80"/>
      <c r="FMC96" s="80"/>
      <c r="FMD96" s="80"/>
      <c r="FME96" s="80"/>
      <c r="FMF96" s="80"/>
      <c r="FMG96" s="80"/>
      <c r="FMH96" s="80"/>
      <c r="FMI96" s="80"/>
      <c r="FMJ96" s="80"/>
      <c r="FMK96" s="80"/>
      <c r="FML96" s="80"/>
      <c r="FMM96" s="80"/>
      <c r="FMN96" s="80"/>
      <c r="FMO96" s="80"/>
      <c r="FMP96" s="80"/>
      <c r="FMQ96" s="80"/>
      <c r="FMR96" s="80"/>
      <c r="FMS96" s="80"/>
      <c r="FMT96" s="80"/>
      <c r="FMU96" s="80"/>
      <c r="FMV96" s="80"/>
      <c r="FMW96" s="80"/>
      <c r="FMX96" s="80"/>
      <c r="FMY96" s="80"/>
      <c r="FMZ96" s="80"/>
      <c r="FNA96" s="80"/>
      <c r="FNB96" s="80"/>
      <c r="FNC96" s="80"/>
      <c r="FND96" s="80"/>
      <c r="FNE96" s="80"/>
      <c r="FNF96" s="80"/>
      <c r="FNG96" s="80"/>
      <c r="FNH96" s="80"/>
      <c r="FNI96" s="80"/>
      <c r="FNJ96" s="80"/>
      <c r="FNK96" s="80"/>
      <c r="FNL96" s="80"/>
      <c r="FNM96" s="80"/>
      <c r="FNN96" s="80"/>
      <c r="FNO96" s="80"/>
      <c r="FNP96" s="80"/>
      <c r="FNQ96" s="80"/>
      <c r="FNR96" s="80"/>
      <c r="FNS96" s="80"/>
      <c r="FNT96" s="80"/>
      <c r="FNU96" s="80"/>
      <c r="FNV96" s="80"/>
      <c r="FNW96" s="80"/>
      <c r="FNX96" s="80"/>
      <c r="FNY96" s="80"/>
      <c r="FNZ96" s="80"/>
      <c r="FOA96" s="80"/>
      <c r="FOB96" s="80"/>
      <c r="FOC96" s="80"/>
      <c r="FOD96" s="80"/>
      <c r="FOE96" s="80"/>
      <c r="FOF96" s="80"/>
      <c r="FOG96" s="80"/>
      <c r="FOH96" s="80"/>
      <c r="FOI96" s="80"/>
      <c r="FOJ96" s="80"/>
      <c r="FOK96" s="80"/>
      <c r="FOL96" s="80"/>
      <c r="FOM96" s="80"/>
      <c r="FON96" s="80"/>
      <c r="FOO96" s="80"/>
      <c r="FOP96" s="80"/>
      <c r="FOQ96" s="80"/>
      <c r="FOR96" s="80"/>
      <c r="FOS96" s="80"/>
      <c r="FOT96" s="80"/>
      <c r="FOU96" s="80"/>
      <c r="FOV96" s="80"/>
      <c r="FOW96" s="80"/>
      <c r="FOX96" s="80"/>
      <c r="FOY96" s="80"/>
      <c r="FOZ96" s="80"/>
      <c r="FPA96" s="80"/>
      <c r="FPB96" s="80"/>
      <c r="FPC96" s="80"/>
      <c r="FPD96" s="80"/>
      <c r="FPE96" s="80"/>
      <c r="FPF96" s="80"/>
      <c r="FPG96" s="80"/>
      <c r="FPH96" s="80"/>
      <c r="FPI96" s="80"/>
      <c r="FPJ96" s="80"/>
      <c r="FPK96" s="80"/>
      <c r="FPL96" s="80"/>
      <c r="FPM96" s="80"/>
      <c r="FPN96" s="80"/>
      <c r="FPO96" s="80"/>
      <c r="FPP96" s="80"/>
      <c r="FPQ96" s="80"/>
      <c r="FPR96" s="80"/>
      <c r="FPS96" s="80"/>
      <c r="FPT96" s="80"/>
      <c r="FPU96" s="80"/>
      <c r="FPV96" s="80"/>
      <c r="FPW96" s="80"/>
      <c r="FPX96" s="80"/>
      <c r="FPY96" s="80"/>
      <c r="FPZ96" s="80"/>
      <c r="FQA96" s="80"/>
      <c r="FQB96" s="80"/>
      <c r="FQC96" s="80"/>
      <c r="FQD96" s="80"/>
      <c r="FQE96" s="80"/>
      <c r="FQF96" s="80"/>
      <c r="FQG96" s="80"/>
      <c r="FQH96" s="80"/>
      <c r="FQI96" s="80"/>
      <c r="FQJ96" s="80"/>
      <c r="FQK96" s="80"/>
      <c r="FQL96" s="80"/>
      <c r="FQM96" s="80"/>
      <c r="FQN96" s="80"/>
      <c r="FQO96" s="80"/>
      <c r="FQP96" s="80"/>
      <c r="FQQ96" s="80"/>
      <c r="FQR96" s="80"/>
      <c r="FQS96" s="80"/>
      <c r="FQT96" s="80"/>
      <c r="FQU96" s="80"/>
      <c r="FQV96" s="80"/>
      <c r="FQW96" s="80"/>
      <c r="FQX96" s="80"/>
      <c r="FQY96" s="80"/>
      <c r="FQZ96" s="80"/>
      <c r="FRA96" s="80"/>
      <c r="FRB96" s="80"/>
      <c r="FRC96" s="80"/>
      <c r="FRD96" s="80"/>
      <c r="FRE96" s="80"/>
      <c r="FRF96" s="80"/>
      <c r="FRG96" s="80"/>
      <c r="FRH96" s="80"/>
      <c r="FRI96" s="80"/>
      <c r="FRJ96" s="80"/>
      <c r="FRK96" s="80"/>
      <c r="FRL96" s="80"/>
      <c r="FRM96" s="80"/>
      <c r="FRN96" s="80"/>
      <c r="FRO96" s="80"/>
      <c r="FRP96" s="80"/>
      <c r="FRQ96" s="80"/>
      <c r="FRR96" s="80"/>
      <c r="FRS96" s="80"/>
      <c r="FRT96" s="80"/>
      <c r="FRU96" s="80"/>
      <c r="FRV96" s="80"/>
      <c r="FRW96" s="80"/>
      <c r="FRX96" s="80"/>
      <c r="FRY96" s="80"/>
      <c r="FRZ96" s="80"/>
      <c r="FSA96" s="80"/>
      <c r="FSB96" s="80"/>
      <c r="FSC96" s="80"/>
      <c r="FSD96" s="80"/>
      <c r="FSE96" s="80"/>
      <c r="FSF96" s="80"/>
      <c r="FSG96" s="80"/>
      <c r="FSH96" s="80"/>
      <c r="FSI96" s="80"/>
      <c r="FSJ96" s="80"/>
      <c r="FSK96" s="80"/>
      <c r="FSL96" s="80"/>
      <c r="FSM96" s="80"/>
      <c r="FSN96" s="80"/>
      <c r="FSO96" s="80"/>
      <c r="FSP96" s="80"/>
      <c r="FSQ96" s="80"/>
      <c r="FSR96" s="80"/>
      <c r="FSS96" s="80"/>
      <c r="FST96" s="80"/>
      <c r="FSU96" s="80"/>
      <c r="FSV96" s="80"/>
      <c r="FSW96" s="80"/>
      <c r="FSX96" s="80"/>
      <c r="FSY96" s="80"/>
      <c r="FSZ96" s="80"/>
      <c r="FTA96" s="80"/>
      <c r="FTB96" s="80"/>
      <c r="FTC96" s="80"/>
      <c r="FTD96" s="80"/>
      <c r="FTE96" s="80"/>
      <c r="FTF96" s="80"/>
      <c r="FTG96" s="80"/>
      <c r="FTH96" s="80"/>
      <c r="FTI96" s="80"/>
      <c r="FTJ96" s="80"/>
      <c r="FTK96" s="80"/>
      <c r="FTL96" s="80"/>
      <c r="FTM96" s="80"/>
      <c r="FTN96" s="80"/>
      <c r="FTO96" s="80"/>
      <c r="FTP96" s="80"/>
      <c r="FTQ96" s="80"/>
      <c r="FTR96" s="80"/>
      <c r="FTS96" s="80"/>
      <c r="FTT96" s="80"/>
      <c r="FTU96" s="80"/>
      <c r="FTV96" s="80"/>
      <c r="FTW96" s="80"/>
      <c r="FTX96" s="80"/>
      <c r="FTY96" s="80"/>
      <c r="FTZ96" s="80"/>
      <c r="FUA96" s="80"/>
      <c r="FUB96" s="80"/>
      <c r="FUC96" s="80"/>
      <c r="FUD96" s="80"/>
      <c r="FUE96" s="80"/>
      <c r="FUF96" s="80"/>
      <c r="FUG96" s="80"/>
      <c r="FUH96" s="80"/>
      <c r="FUI96" s="80"/>
      <c r="FUJ96" s="80"/>
      <c r="FUK96" s="80"/>
      <c r="FUL96" s="80"/>
      <c r="FUM96" s="80"/>
      <c r="FUN96" s="80"/>
      <c r="FUO96" s="80"/>
      <c r="FUP96" s="80"/>
      <c r="FUQ96" s="80"/>
      <c r="FUR96" s="80"/>
      <c r="FUS96" s="80"/>
      <c r="FUT96" s="80"/>
      <c r="FUU96" s="80"/>
      <c r="FUV96" s="80"/>
      <c r="FUW96" s="80"/>
      <c r="FUX96" s="80"/>
      <c r="FUY96" s="80"/>
      <c r="FUZ96" s="80"/>
      <c r="FVA96" s="80"/>
      <c r="FVB96" s="80"/>
      <c r="FVC96" s="80"/>
      <c r="FVD96" s="80"/>
      <c r="FVE96" s="80"/>
      <c r="FVF96" s="80"/>
      <c r="FVG96" s="80"/>
      <c r="FVH96" s="80"/>
      <c r="FVI96" s="80"/>
      <c r="FVJ96" s="80"/>
      <c r="FVK96" s="80"/>
      <c r="FVL96" s="80"/>
      <c r="FVM96" s="80"/>
      <c r="FVN96" s="80"/>
      <c r="FVO96" s="80"/>
      <c r="FVP96" s="80"/>
      <c r="FVQ96" s="80"/>
      <c r="FVR96" s="80"/>
      <c r="FVS96" s="80"/>
      <c r="FVT96" s="80"/>
      <c r="FVU96" s="80"/>
      <c r="FVV96" s="80"/>
      <c r="FVW96" s="80"/>
      <c r="FVX96" s="80"/>
      <c r="FVY96" s="80"/>
      <c r="FVZ96" s="80"/>
      <c r="FWA96" s="80"/>
      <c r="FWB96" s="80"/>
      <c r="FWC96" s="80"/>
      <c r="FWD96" s="80"/>
      <c r="FWE96" s="80"/>
      <c r="FWF96" s="80"/>
      <c r="FWG96" s="80"/>
      <c r="FWH96" s="80"/>
      <c r="FWI96" s="80"/>
      <c r="FWJ96" s="80"/>
      <c r="FWK96" s="80"/>
      <c r="FWL96" s="80"/>
      <c r="FWM96" s="80"/>
      <c r="FWN96" s="80"/>
      <c r="FWO96" s="80"/>
      <c r="FWP96" s="80"/>
      <c r="FWQ96" s="80"/>
      <c r="FWR96" s="80"/>
      <c r="FWS96" s="80"/>
      <c r="FWT96" s="80"/>
      <c r="FWU96" s="80"/>
      <c r="FWV96" s="80"/>
      <c r="FWW96" s="80"/>
      <c r="FWX96" s="80"/>
      <c r="FWY96" s="80"/>
      <c r="FWZ96" s="80"/>
      <c r="FXA96" s="80"/>
      <c r="FXB96" s="80"/>
      <c r="FXC96" s="80"/>
      <c r="FXD96" s="80"/>
      <c r="FXE96" s="80"/>
      <c r="FXF96" s="80"/>
      <c r="FXG96" s="80"/>
      <c r="FXH96" s="80"/>
      <c r="FXI96" s="80"/>
      <c r="FXJ96" s="80"/>
      <c r="FXK96" s="80"/>
      <c r="FXL96" s="80"/>
      <c r="FXM96" s="80"/>
      <c r="FXN96" s="80"/>
      <c r="FXO96" s="80"/>
      <c r="FXP96" s="80"/>
      <c r="FXQ96" s="80"/>
      <c r="FXR96" s="80"/>
      <c r="FXS96" s="80"/>
      <c r="FXT96" s="80"/>
      <c r="FXU96" s="80"/>
      <c r="FXV96" s="80"/>
      <c r="FXW96" s="80"/>
      <c r="FXX96" s="80"/>
      <c r="FXY96" s="80"/>
      <c r="FXZ96" s="80"/>
      <c r="FYA96" s="80"/>
      <c r="FYB96" s="80"/>
      <c r="FYC96" s="80"/>
      <c r="FYD96" s="80"/>
      <c r="FYE96" s="80"/>
      <c r="FYF96" s="80"/>
      <c r="FYG96" s="80"/>
      <c r="FYH96" s="80"/>
      <c r="FYI96" s="80"/>
      <c r="FYJ96" s="80"/>
      <c r="FYK96" s="80"/>
      <c r="FYL96" s="80"/>
      <c r="FYM96" s="80"/>
      <c r="FYN96" s="80"/>
      <c r="FYO96" s="80"/>
      <c r="FYP96" s="80"/>
      <c r="FYQ96" s="80"/>
      <c r="FYR96" s="80"/>
      <c r="FYS96" s="80"/>
      <c r="FYT96" s="80"/>
      <c r="FYU96" s="80"/>
      <c r="FYV96" s="80"/>
      <c r="FYW96" s="80"/>
      <c r="FYX96" s="80"/>
      <c r="FYY96" s="80"/>
      <c r="FYZ96" s="80"/>
      <c r="FZA96" s="80"/>
      <c r="FZB96" s="80"/>
      <c r="FZC96" s="80"/>
      <c r="FZD96" s="80"/>
      <c r="FZE96" s="80"/>
      <c r="FZF96" s="80"/>
      <c r="FZG96" s="80"/>
      <c r="FZH96" s="80"/>
      <c r="FZI96" s="80"/>
      <c r="FZJ96" s="80"/>
      <c r="FZK96" s="80"/>
      <c r="FZL96" s="80"/>
      <c r="FZM96" s="80"/>
      <c r="FZN96" s="80"/>
      <c r="FZO96" s="80"/>
      <c r="FZP96" s="80"/>
      <c r="FZQ96" s="80"/>
      <c r="FZR96" s="80"/>
      <c r="FZS96" s="80"/>
      <c r="FZT96" s="80"/>
      <c r="FZU96" s="80"/>
      <c r="FZV96" s="80"/>
      <c r="FZW96" s="80"/>
      <c r="FZX96" s="80"/>
      <c r="FZY96" s="80"/>
      <c r="FZZ96" s="80"/>
      <c r="GAA96" s="80"/>
      <c r="GAB96" s="80"/>
      <c r="GAC96" s="80"/>
      <c r="GAD96" s="80"/>
      <c r="GAE96" s="80"/>
      <c r="GAF96" s="80"/>
      <c r="GAG96" s="80"/>
      <c r="GAH96" s="80"/>
      <c r="GAI96" s="80"/>
      <c r="GAJ96" s="80"/>
      <c r="GAK96" s="80"/>
      <c r="GAL96" s="80"/>
      <c r="GAM96" s="80"/>
      <c r="GAN96" s="80"/>
      <c r="GAO96" s="80"/>
      <c r="GAP96" s="80"/>
      <c r="GAQ96" s="80"/>
      <c r="GAR96" s="80"/>
      <c r="GAS96" s="80"/>
      <c r="GAT96" s="80"/>
      <c r="GAU96" s="80"/>
      <c r="GAV96" s="80"/>
      <c r="GAW96" s="80"/>
      <c r="GAX96" s="80"/>
      <c r="GAY96" s="80"/>
      <c r="GAZ96" s="80"/>
      <c r="GBA96" s="80"/>
      <c r="GBB96" s="80"/>
      <c r="GBC96" s="80"/>
      <c r="GBD96" s="80"/>
      <c r="GBE96" s="80"/>
      <c r="GBF96" s="80"/>
      <c r="GBG96" s="80"/>
      <c r="GBH96" s="80"/>
      <c r="GBI96" s="80"/>
      <c r="GBJ96" s="80"/>
      <c r="GBK96" s="80"/>
      <c r="GBL96" s="80"/>
      <c r="GBM96" s="80"/>
      <c r="GBN96" s="80"/>
      <c r="GBO96" s="80"/>
      <c r="GBP96" s="80"/>
      <c r="GBQ96" s="80"/>
      <c r="GBR96" s="80"/>
      <c r="GBS96" s="80"/>
      <c r="GBT96" s="80"/>
      <c r="GBU96" s="80"/>
      <c r="GBV96" s="80"/>
      <c r="GBW96" s="80"/>
      <c r="GBX96" s="80"/>
      <c r="GBY96" s="80"/>
      <c r="GBZ96" s="80"/>
      <c r="GCA96" s="80"/>
      <c r="GCB96" s="80"/>
      <c r="GCC96" s="80"/>
      <c r="GCD96" s="80"/>
      <c r="GCE96" s="80"/>
      <c r="GCF96" s="80"/>
      <c r="GCG96" s="80"/>
      <c r="GCH96" s="80"/>
      <c r="GCI96" s="80"/>
      <c r="GCJ96" s="80"/>
      <c r="GCK96" s="80"/>
      <c r="GCL96" s="80"/>
      <c r="GCM96" s="80"/>
      <c r="GCN96" s="80"/>
      <c r="GCO96" s="80"/>
      <c r="GCP96" s="80"/>
      <c r="GCQ96" s="80"/>
      <c r="GCR96" s="80"/>
      <c r="GCS96" s="80"/>
      <c r="GCT96" s="80"/>
      <c r="GCU96" s="80"/>
      <c r="GCV96" s="80"/>
      <c r="GCW96" s="80"/>
      <c r="GCX96" s="80"/>
      <c r="GCY96" s="80"/>
      <c r="GCZ96" s="80"/>
      <c r="GDA96" s="80"/>
      <c r="GDB96" s="80"/>
      <c r="GDC96" s="80"/>
      <c r="GDD96" s="80"/>
      <c r="GDE96" s="80"/>
      <c r="GDF96" s="80"/>
      <c r="GDG96" s="80"/>
      <c r="GDH96" s="80"/>
      <c r="GDI96" s="80"/>
      <c r="GDJ96" s="80"/>
      <c r="GDK96" s="80"/>
      <c r="GDL96" s="80"/>
      <c r="GDM96" s="80"/>
      <c r="GDN96" s="80"/>
      <c r="GDO96" s="80"/>
      <c r="GDP96" s="80"/>
      <c r="GDQ96" s="80"/>
      <c r="GDR96" s="80"/>
      <c r="GDS96" s="80"/>
      <c r="GDT96" s="80"/>
      <c r="GDU96" s="80"/>
      <c r="GDV96" s="80"/>
      <c r="GDW96" s="80"/>
      <c r="GDX96" s="80"/>
      <c r="GDY96" s="80"/>
      <c r="GDZ96" s="80"/>
      <c r="GEA96" s="80"/>
      <c r="GEB96" s="80"/>
      <c r="GEC96" s="80"/>
      <c r="GED96" s="80"/>
      <c r="GEE96" s="80"/>
      <c r="GEF96" s="80"/>
      <c r="GEG96" s="80"/>
      <c r="GEH96" s="80"/>
      <c r="GEI96" s="80"/>
      <c r="GEJ96" s="80"/>
      <c r="GEK96" s="80"/>
      <c r="GEL96" s="80"/>
      <c r="GEM96" s="80"/>
      <c r="GEN96" s="80"/>
      <c r="GEO96" s="80"/>
      <c r="GEP96" s="80"/>
      <c r="GEQ96" s="80"/>
      <c r="GER96" s="80"/>
      <c r="GES96" s="80"/>
      <c r="GET96" s="80"/>
      <c r="GEU96" s="80"/>
      <c r="GEV96" s="80"/>
      <c r="GEW96" s="80"/>
      <c r="GEX96" s="80"/>
      <c r="GEY96" s="80"/>
      <c r="GEZ96" s="80"/>
      <c r="GFA96" s="80"/>
      <c r="GFB96" s="80"/>
      <c r="GFC96" s="80"/>
      <c r="GFD96" s="80"/>
      <c r="GFE96" s="80"/>
      <c r="GFF96" s="80"/>
      <c r="GFG96" s="80"/>
      <c r="GFH96" s="80"/>
      <c r="GFI96" s="80"/>
      <c r="GFJ96" s="80"/>
      <c r="GFK96" s="80"/>
      <c r="GFL96" s="80"/>
      <c r="GFM96" s="80"/>
      <c r="GFN96" s="80"/>
      <c r="GFO96" s="80"/>
      <c r="GFP96" s="80"/>
      <c r="GFQ96" s="80"/>
      <c r="GFR96" s="80"/>
      <c r="GFS96" s="80"/>
      <c r="GFT96" s="80"/>
      <c r="GFU96" s="80"/>
      <c r="GFV96" s="80"/>
      <c r="GFW96" s="80"/>
      <c r="GFX96" s="80"/>
      <c r="GFY96" s="80"/>
      <c r="GFZ96" s="80"/>
      <c r="GGA96" s="80"/>
      <c r="GGB96" s="80"/>
      <c r="GGC96" s="80"/>
      <c r="GGD96" s="80"/>
      <c r="GGE96" s="80"/>
      <c r="GGF96" s="80"/>
      <c r="GGG96" s="80"/>
      <c r="GGH96" s="80"/>
      <c r="GGI96" s="80"/>
      <c r="GGJ96" s="80"/>
      <c r="GGK96" s="80"/>
      <c r="GGL96" s="80"/>
      <c r="GGM96" s="80"/>
      <c r="GGN96" s="80"/>
      <c r="GGO96" s="80"/>
      <c r="GGP96" s="80"/>
      <c r="GGQ96" s="80"/>
      <c r="GGR96" s="80"/>
      <c r="GGS96" s="80"/>
      <c r="GGT96" s="80"/>
      <c r="GGU96" s="80"/>
      <c r="GGV96" s="80"/>
      <c r="GGW96" s="80"/>
      <c r="GGX96" s="80"/>
      <c r="GGY96" s="80"/>
      <c r="GGZ96" s="80"/>
      <c r="GHA96" s="80"/>
      <c r="GHB96" s="80"/>
      <c r="GHC96" s="80"/>
      <c r="GHD96" s="80"/>
      <c r="GHE96" s="80"/>
      <c r="GHF96" s="80"/>
      <c r="GHG96" s="80"/>
      <c r="GHH96" s="80"/>
      <c r="GHI96" s="80"/>
      <c r="GHJ96" s="80"/>
      <c r="GHK96" s="80"/>
      <c r="GHL96" s="80"/>
      <c r="GHM96" s="80"/>
      <c r="GHN96" s="80"/>
      <c r="GHO96" s="80"/>
      <c r="GHP96" s="80"/>
      <c r="GHQ96" s="80"/>
      <c r="GHR96" s="80"/>
      <c r="GHS96" s="80"/>
      <c r="GHT96" s="80"/>
      <c r="GHU96" s="80"/>
      <c r="GHV96" s="80"/>
      <c r="GHW96" s="80"/>
      <c r="GHX96" s="80"/>
      <c r="GHY96" s="80"/>
      <c r="GHZ96" s="80"/>
      <c r="GIA96" s="80"/>
      <c r="GIB96" s="80"/>
      <c r="GIC96" s="80"/>
      <c r="GID96" s="80"/>
      <c r="GIE96" s="80"/>
      <c r="GIF96" s="80"/>
      <c r="GIG96" s="80"/>
      <c r="GIH96" s="80"/>
      <c r="GII96" s="80"/>
      <c r="GIJ96" s="80"/>
      <c r="GIK96" s="80"/>
      <c r="GIL96" s="80"/>
      <c r="GIM96" s="80"/>
      <c r="GIN96" s="80"/>
      <c r="GIO96" s="80"/>
      <c r="GIP96" s="80"/>
      <c r="GIQ96" s="80"/>
      <c r="GIR96" s="80"/>
      <c r="GIS96" s="80"/>
      <c r="GIT96" s="80"/>
      <c r="GIU96" s="80"/>
      <c r="GIV96" s="80"/>
      <c r="GIW96" s="80"/>
      <c r="GIX96" s="80"/>
      <c r="GIY96" s="80"/>
      <c r="GIZ96" s="80"/>
      <c r="GJA96" s="80"/>
      <c r="GJB96" s="80"/>
      <c r="GJC96" s="80"/>
      <c r="GJD96" s="80"/>
      <c r="GJE96" s="80"/>
      <c r="GJF96" s="80"/>
      <c r="GJG96" s="80"/>
      <c r="GJH96" s="80"/>
      <c r="GJI96" s="80"/>
      <c r="GJJ96" s="80"/>
      <c r="GJK96" s="80"/>
      <c r="GJL96" s="80"/>
      <c r="GJM96" s="80"/>
      <c r="GJN96" s="80"/>
      <c r="GJO96" s="80"/>
      <c r="GJP96" s="80"/>
      <c r="GJQ96" s="80"/>
      <c r="GJR96" s="80"/>
      <c r="GJS96" s="80"/>
      <c r="GJT96" s="80"/>
      <c r="GJU96" s="80"/>
      <c r="GJV96" s="80"/>
      <c r="GJW96" s="80"/>
      <c r="GJX96" s="80"/>
      <c r="GJY96" s="80"/>
      <c r="GJZ96" s="80"/>
      <c r="GKA96" s="80"/>
      <c r="GKB96" s="80"/>
      <c r="GKC96" s="80"/>
      <c r="GKD96" s="80"/>
      <c r="GKE96" s="80"/>
      <c r="GKF96" s="80"/>
      <c r="GKG96" s="80"/>
      <c r="GKH96" s="80"/>
      <c r="GKI96" s="80"/>
      <c r="GKJ96" s="80"/>
      <c r="GKK96" s="80"/>
      <c r="GKL96" s="80"/>
      <c r="GKM96" s="80"/>
      <c r="GKN96" s="80"/>
      <c r="GKO96" s="80"/>
      <c r="GKP96" s="80"/>
      <c r="GKQ96" s="80"/>
      <c r="GKR96" s="80"/>
      <c r="GKS96" s="80"/>
      <c r="GKT96" s="80"/>
      <c r="GKU96" s="80"/>
      <c r="GKV96" s="80"/>
      <c r="GKW96" s="80"/>
      <c r="GKX96" s="80"/>
      <c r="GKY96" s="80"/>
      <c r="GKZ96" s="80"/>
      <c r="GLA96" s="80"/>
      <c r="GLB96" s="80"/>
      <c r="GLC96" s="80"/>
      <c r="GLD96" s="80"/>
      <c r="GLE96" s="80"/>
      <c r="GLF96" s="80"/>
      <c r="GLG96" s="80"/>
      <c r="GLH96" s="80"/>
      <c r="GLI96" s="80"/>
      <c r="GLJ96" s="80"/>
      <c r="GLK96" s="80"/>
      <c r="GLL96" s="80"/>
      <c r="GLM96" s="80"/>
      <c r="GLN96" s="80"/>
      <c r="GLO96" s="80"/>
      <c r="GLP96" s="80"/>
      <c r="GLQ96" s="80"/>
      <c r="GLR96" s="80"/>
      <c r="GLS96" s="80"/>
      <c r="GLT96" s="80"/>
      <c r="GLU96" s="80"/>
      <c r="GLV96" s="80"/>
      <c r="GLW96" s="80"/>
      <c r="GLX96" s="80"/>
      <c r="GLY96" s="80"/>
      <c r="GLZ96" s="80"/>
      <c r="GMA96" s="80"/>
      <c r="GMB96" s="80"/>
      <c r="GMC96" s="80"/>
      <c r="GMD96" s="80"/>
      <c r="GME96" s="80"/>
      <c r="GMF96" s="80"/>
      <c r="GMG96" s="80"/>
      <c r="GMH96" s="80"/>
      <c r="GMI96" s="80"/>
      <c r="GMJ96" s="80"/>
      <c r="GMK96" s="80"/>
      <c r="GML96" s="80"/>
      <c r="GMM96" s="80"/>
      <c r="GMN96" s="80"/>
      <c r="GMO96" s="80"/>
      <c r="GMP96" s="80"/>
      <c r="GMQ96" s="80"/>
      <c r="GMR96" s="80"/>
      <c r="GMS96" s="80"/>
      <c r="GMT96" s="80"/>
      <c r="GMU96" s="80"/>
      <c r="GMV96" s="80"/>
      <c r="GMW96" s="80"/>
      <c r="GMX96" s="80"/>
      <c r="GMY96" s="80"/>
      <c r="GMZ96" s="80"/>
      <c r="GNA96" s="80"/>
      <c r="GNB96" s="80"/>
      <c r="GNC96" s="80"/>
      <c r="GND96" s="80"/>
      <c r="GNE96" s="80"/>
      <c r="GNF96" s="80"/>
      <c r="GNG96" s="80"/>
      <c r="GNH96" s="80"/>
      <c r="GNI96" s="80"/>
      <c r="GNJ96" s="80"/>
      <c r="GNK96" s="80"/>
      <c r="GNL96" s="80"/>
      <c r="GNM96" s="80"/>
      <c r="GNN96" s="80"/>
      <c r="GNO96" s="80"/>
      <c r="GNP96" s="80"/>
      <c r="GNQ96" s="80"/>
      <c r="GNR96" s="80"/>
      <c r="GNS96" s="80"/>
      <c r="GNT96" s="80"/>
      <c r="GNU96" s="80"/>
      <c r="GNV96" s="80"/>
      <c r="GNW96" s="80"/>
      <c r="GNX96" s="80"/>
      <c r="GNY96" s="80"/>
      <c r="GNZ96" s="80"/>
      <c r="GOA96" s="80"/>
      <c r="GOB96" s="80"/>
      <c r="GOC96" s="80"/>
      <c r="GOD96" s="80"/>
      <c r="GOE96" s="80"/>
      <c r="GOF96" s="80"/>
      <c r="GOG96" s="80"/>
      <c r="GOH96" s="80"/>
      <c r="GOI96" s="80"/>
      <c r="GOJ96" s="80"/>
      <c r="GOK96" s="80"/>
      <c r="GOL96" s="80"/>
      <c r="GOM96" s="80"/>
      <c r="GON96" s="80"/>
      <c r="GOO96" s="80"/>
      <c r="GOP96" s="80"/>
      <c r="GOQ96" s="80"/>
      <c r="GOR96" s="80"/>
      <c r="GOS96" s="80"/>
      <c r="GOT96" s="80"/>
      <c r="GOU96" s="80"/>
      <c r="GOV96" s="80"/>
      <c r="GOW96" s="80"/>
      <c r="GOX96" s="80"/>
      <c r="GOY96" s="80"/>
      <c r="GOZ96" s="80"/>
      <c r="GPA96" s="80"/>
      <c r="GPB96" s="80"/>
      <c r="GPC96" s="80"/>
      <c r="GPD96" s="80"/>
      <c r="GPE96" s="80"/>
      <c r="GPF96" s="80"/>
      <c r="GPG96" s="80"/>
      <c r="GPH96" s="80"/>
      <c r="GPI96" s="80"/>
      <c r="GPJ96" s="80"/>
      <c r="GPK96" s="80"/>
      <c r="GPL96" s="80"/>
      <c r="GPM96" s="80"/>
      <c r="GPN96" s="80"/>
      <c r="GPO96" s="80"/>
      <c r="GPP96" s="80"/>
      <c r="GPQ96" s="80"/>
      <c r="GPR96" s="80"/>
      <c r="GPS96" s="80"/>
      <c r="GPT96" s="80"/>
      <c r="GPU96" s="80"/>
      <c r="GPV96" s="80"/>
      <c r="GPW96" s="80"/>
      <c r="GPX96" s="80"/>
      <c r="GPY96" s="80"/>
      <c r="GPZ96" s="80"/>
      <c r="GQA96" s="80"/>
      <c r="GQB96" s="80"/>
      <c r="GQC96" s="80"/>
      <c r="GQD96" s="80"/>
      <c r="GQE96" s="80"/>
      <c r="GQF96" s="80"/>
      <c r="GQG96" s="80"/>
      <c r="GQH96" s="80"/>
      <c r="GQI96" s="80"/>
      <c r="GQJ96" s="80"/>
      <c r="GQK96" s="80"/>
      <c r="GQL96" s="80"/>
      <c r="GQM96" s="80"/>
      <c r="GQN96" s="80"/>
      <c r="GQO96" s="80"/>
      <c r="GQP96" s="80"/>
      <c r="GQQ96" s="80"/>
      <c r="GQR96" s="80"/>
      <c r="GQS96" s="80"/>
      <c r="GQT96" s="80"/>
      <c r="GQU96" s="80"/>
      <c r="GQV96" s="80"/>
      <c r="GQW96" s="80"/>
      <c r="GQX96" s="80"/>
      <c r="GQY96" s="80"/>
      <c r="GQZ96" s="80"/>
      <c r="GRA96" s="80"/>
      <c r="GRB96" s="80"/>
      <c r="GRC96" s="80"/>
      <c r="GRD96" s="80"/>
      <c r="GRE96" s="80"/>
      <c r="GRF96" s="80"/>
      <c r="GRG96" s="80"/>
      <c r="GRH96" s="80"/>
      <c r="GRI96" s="80"/>
      <c r="GRJ96" s="80"/>
      <c r="GRK96" s="80"/>
      <c r="GRL96" s="80"/>
      <c r="GRM96" s="80"/>
      <c r="GRN96" s="80"/>
      <c r="GRO96" s="80"/>
      <c r="GRP96" s="80"/>
      <c r="GRQ96" s="80"/>
      <c r="GRR96" s="80"/>
      <c r="GRS96" s="80"/>
      <c r="GRT96" s="80"/>
      <c r="GRU96" s="80"/>
      <c r="GRV96" s="80"/>
      <c r="GRW96" s="80"/>
      <c r="GRX96" s="80"/>
      <c r="GRY96" s="80"/>
      <c r="GRZ96" s="80"/>
      <c r="GSA96" s="80"/>
      <c r="GSB96" s="80"/>
      <c r="GSC96" s="80"/>
      <c r="GSD96" s="80"/>
      <c r="GSE96" s="80"/>
      <c r="GSF96" s="80"/>
      <c r="GSG96" s="80"/>
      <c r="GSH96" s="80"/>
      <c r="GSI96" s="80"/>
      <c r="GSJ96" s="80"/>
      <c r="GSK96" s="80"/>
      <c r="GSL96" s="80"/>
      <c r="GSM96" s="80"/>
      <c r="GSN96" s="80"/>
      <c r="GSO96" s="80"/>
      <c r="GSP96" s="80"/>
      <c r="GSQ96" s="80"/>
      <c r="GSR96" s="80"/>
      <c r="GSS96" s="80"/>
      <c r="GST96" s="80"/>
      <c r="GSU96" s="80"/>
      <c r="GSV96" s="80"/>
      <c r="GSW96" s="80"/>
      <c r="GSX96" s="80"/>
      <c r="GSY96" s="80"/>
      <c r="GSZ96" s="80"/>
      <c r="GTA96" s="80"/>
      <c r="GTB96" s="80"/>
      <c r="GTC96" s="80"/>
      <c r="GTD96" s="80"/>
      <c r="GTE96" s="80"/>
      <c r="GTF96" s="80"/>
      <c r="GTG96" s="80"/>
      <c r="GTH96" s="80"/>
      <c r="GTI96" s="80"/>
      <c r="GTJ96" s="80"/>
      <c r="GTK96" s="80"/>
      <c r="GTL96" s="80"/>
      <c r="GTM96" s="80"/>
      <c r="GTN96" s="80"/>
      <c r="GTO96" s="80"/>
      <c r="GTP96" s="80"/>
      <c r="GTQ96" s="80"/>
      <c r="GTR96" s="80"/>
      <c r="GTS96" s="80"/>
      <c r="GTT96" s="80"/>
      <c r="GTU96" s="80"/>
      <c r="GTV96" s="80"/>
      <c r="GTW96" s="80"/>
      <c r="GTX96" s="80"/>
      <c r="GTY96" s="80"/>
      <c r="GTZ96" s="80"/>
      <c r="GUA96" s="80"/>
      <c r="GUB96" s="80"/>
      <c r="GUC96" s="80"/>
      <c r="GUD96" s="80"/>
      <c r="GUE96" s="80"/>
      <c r="GUF96" s="80"/>
      <c r="GUG96" s="80"/>
      <c r="GUH96" s="80"/>
      <c r="GUI96" s="80"/>
      <c r="GUJ96" s="80"/>
      <c r="GUK96" s="80"/>
      <c r="GUL96" s="80"/>
      <c r="GUM96" s="80"/>
      <c r="GUN96" s="80"/>
      <c r="GUO96" s="80"/>
      <c r="GUP96" s="80"/>
      <c r="GUQ96" s="80"/>
      <c r="GUR96" s="80"/>
      <c r="GUS96" s="80"/>
      <c r="GUT96" s="80"/>
      <c r="GUU96" s="80"/>
      <c r="GUV96" s="80"/>
      <c r="GUW96" s="80"/>
      <c r="GUX96" s="80"/>
      <c r="GUY96" s="80"/>
      <c r="GUZ96" s="80"/>
      <c r="GVA96" s="80"/>
      <c r="GVB96" s="80"/>
      <c r="GVC96" s="80"/>
      <c r="GVD96" s="80"/>
      <c r="GVE96" s="80"/>
      <c r="GVF96" s="80"/>
      <c r="GVG96" s="80"/>
      <c r="GVH96" s="80"/>
      <c r="GVI96" s="80"/>
      <c r="GVJ96" s="80"/>
      <c r="GVK96" s="80"/>
      <c r="GVL96" s="80"/>
      <c r="GVM96" s="80"/>
      <c r="GVN96" s="80"/>
      <c r="GVO96" s="80"/>
      <c r="GVP96" s="80"/>
      <c r="GVQ96" s="80"/>
      <c r="GVR96" s="80"/>
      <c r="GVS96" s="80"/>
      <c r="GVT96" s="80"/>
      <c r="GVU96" s="80"/>
      <c r="GVV96" s="80"/>
      <c r="GVW96" s="80"/>
      <c r="GVX96" s="80"/>
      <c r="GVY96" s="80"/>
      <c r="GVZ96" s="80"/>
      <c r="GWA96" s="80"/>
      <c r="GWB96" s="80"/>
      <c r="GWC96" s="80"/>
      <c r="GWD96" s="80"/>
      <c r="GWE96" s="80"/>
      <c r="GWF96" s="80"/>
      <c r="GWG96" s="80"/>
      <c r="GWH96" s="80"/>
      <c r="GWI96" s="80"/>
      <c r="GWJ96" s="80"/>
      <c r="GWK96" s="80"/>
      <c r="GWL96" s="80"/>
      <c r="GWM96" s="80"/>
      <c r="GWN96" s="80"/>
      <c r="GWO96" s="80"/>
      <c r="GWP96" s="80"/>
      <c r="GWQ96" s="80"/>
      <c r="GWR96" s="80"/>
      <c r="GWS96" s="80"/>
      <c r="GWT96" s="80"/>
      <c r="GWU96" s="80"/>
      <c r="GWV96" s="80"/>
      <c r="GWW96" s="80"/>
      <c r="GWX96" s="80"/>
      <c r="GWY96" s="80"/>
      <c r="GWZ96" s="80"/>
      <c r="GXA96" s="80"/>
      <c r="GXB96" s="80"/>
      <c r="GXC96" s="80"/>
      <c r="GXD96" s="80"/>
      <c r="GXE96" s="80"/>
      <c r="GXF96" s="80"/>
      <c r="GXG96" s="80"/>
      <c r="GXH96" s="80"/>
      <c r="GXI96" s="80"/>
      <c r="GXJ96" s="80"/>
      <c r="GXK96" s="80"/>
      <c r="GXL96" s="80"/>
      <c r="GXM96" s="80"/>
      <c r="GXN96" s="80"/>
      <c r="GXO96" s="80"/>
      <c r="GXP96" s="80"/>
      <c r="GXQ96" s="80"/>
      <c r="GXR96" s="80"/>
      <c r="GXS96" s="80"/>
      <c r="GXT96" s="80"/>
      <c r="GXU96" s="80"/>
      <c r="GXV96" s="80"/>
      <c r="GXW96" s="80"/>
      <c r="GXX96" s="80"/>
      <c r="GXY96" s="80"/>
      <c r="GXZ96" s="80"/>
      <c r="GYA96" s="80"/>
      <c r="GYB96" s="80"/>
      <c r="GYC96" s="80"/>
      <c r="GYD96" s="80"/>
      <c r="GYE96" s="80"/>
      <c r="GYF96" s="80"/>
      <c r="GYG96" s="80"/>
      <c r="GYH96" s="80"/>
      <c r="GYI96" s="80"/>
      <c r="GYJ96" s="80"/>
      <c r="GYK96" s="80"/>
      <c r="GYL96" s="80"/>
      <c r="GYM96" s="80"/>
      <c r="GYN96" s="80"/>
      <c r="GYO96" s="80"/>
      <c r="GYP96" s="80"/>
      <c r="GYQ96" s="80"/>
      <c r="GYR96" s="80"/>
      <c r="GYS96" s="80"/>
      <c r="GYT96" s="80"/>
      <c r="GYU96" s="80"/>
      <c r="GYV96" s="80"/>
      <c r="GYW96" s="80"/>
      <c r="GYX96" s="80"/>
      <c r="GYY96" s="80"/>
      <c r="GYZ96" s="80"/>
      <c r="GZA96" s="80"/>
      <c r="GZB96" s="80"/>
      <c r="GZC96" s="80"/>
      <c r="GZD96" s="80"/>
      <c r="GZE96" s="80"/>
      <c r="GZF96" s="80"/>
      <c r="GZG96" s="80"/>
      <c r="GZH96" s="80"/>
      <c r="GZI96" s="80"/>
      <c r="GZJ96" s="80"/>
      <c r="GZK96" s="80"/>
      <c r="GZL96" s="80"/>
      <c r="GZM96" s="80"/>
      <c r="GZN96" s="80"/>
      <c r="GZO96" s="80"/>
      <c r="GZP96" s="80"/>
      <c r="GZQ96" s="80"/>
      <c r="GZR96" s="80"/>
      <c r="GZS96" s="80"/>
      <c r="GZT96" s="80"/>
      <c r="GZU96" s="80"/>
      <c r="GZV96" s="80"/>
      <c r="GZW96" s="80"/>
      <c r="GZX96" s="80"/>
      <c r="GZY96" s="80"/>
      <c r="GZZ96" s="80"/>
      <c r="HAA96" s="80"/>
      <c r="HAB96" s="80"/>
      <c r="HAC96" s="80"/>
      <c r="HAD96" s="80"/>
      <c r="HAE96" s="80"/>
      <c r="HAF96" s="80"/>
      <c r="HAG96" s="80"/>
      <c r="HAH96" s="80"/>
      <c r="HAI96" s="80"/>
      <c r="HAJ96" s="80"/>
      <c r="HAK96" s="80"/>
      <c r="HAL96" s="80"/>
      <c r="HAM96" s="80"/>
      <c r="HAN96" s="80"/>
      <c r="HAO96" s="80"/>
      <c r="HAP96" s="80"/>
      <c r="HAQ96" s="80"/>
      <c r="HAR96" s="80"/>
      <c r="HAS96" s="80"/>
      <c r="HAT96" s="80"/>
      <c r="HAU96" s="80"/>
      <c r="HAV96" s="80"/>
      <c r="HAW96" s="80"/>
      <c r="HAX96" s="80"/>
      <c r="HAY96" s="80"/>
      <c r="HAZ96" s="80"/>
      <c r="HBA96" s="80"/>
      <c r="HBB96" s="80"/>
      <c r="HBC96" s="80"/>
      <c r="HBD96" s="80"/>
      <c r="HBE96" s="80"/>
      <c r="HBF96" s="80"/>
      <c r="HBG96" s="80"/>
      <c r="HBH96" s="80"/>
      <c r="HBI96" s="80"/>
      <c r="HBJ96" s="80"/>
      <c r="HBK96" s="80"/>
      <c r="HBL96" s="80"/>
      <c r="HBM96" s="80"/>
      <c r="HBN96" s="80"/>
      <c r="HBO96" s="80"/>
      <c r="HBP96" s="80"/>
      <c r="HBQ96" s="80"/>
      <c r="HBR96" s="80"/>
      <c r="HBS96" s="80"/>
      <c r="HBT96" s="80"/>
      <c r="HBU96" s="80"/>
      <c r="HBV96" s="80"/>
      <c r="HBW96" s="80"/>
      <c r="HBX96" s="80"/>
      <c r="HBY96" s="80"/>
      <c r="HBZ96" s="80"/>
      <c r="HCA96" s="80"/>
      <c r="HCB96" s="80"/>
      <c r="HCC96" s="80"/>
      <c r="HCD96" s="80"/>
      <c r="HCE96" s="80"/>
      <c r="HCF96" s="80"/>
      <c r="HCG96" s="80"/>
      <c r="HCH96" s="80"/>
      <c r="HCI96" s="80"/>
      <c r="HCJ96" s="80"/>
      <c r="HCK96" s="80"/>
      <c r="HCL96" s="80"/>
      <c r="HCM96" s="80"/>
      <c r="HCN96" s="80"/>
      <c r="HCO96" s="80"/>
      <c r="HCP96" s="80"/>
      <c r="HCQ96" s="80"/>
      <c r="HCR96" s="80"/>
      <c r="HCS96" s="80"/>
      <c r="HCT96" s="80"/>
      <c r="HCU96" s="80"/>
      <c r="HCV96" s="80"/>
      <c r="HCW96" s="80"/>
      <c r="HCX96" s="80"/>
      <c r="HCY96" s="80"/>
      <c r="HCZ96" s="80"/>
      <c r="HDA96" s="80"/>
      <c r="HDB96" s="80"/>
      <c r="HDC96" s="80"/>
      <c r="HDD96" s="80"/>
      <c r="HDE96" s="80"/>
      <c r="HDF96" s="80"/>
      <c r="HDG96" s="80"/>
      <c r="HDH96" s="80"/>
      <c r="HDI96" s="80"/>
      <c r="HDJ96" s="80"/>
      <c r="HDK96" s="80"/>
      <c r="HDL96" s="80"/>
      <c r="HDM96" s="80"/>
      <c r="HDN96" s="80"/>
      <c r="HDO96" s="80"/>
      <c r="HDP96" s="80"/>
      <c r="HDQ96" s="80"/>
      <c r="HDR96" s="80"/>
      <c r="HDS96" s="80"/>
      <c r="HDT96" s="80"/>
      <c r="HDU96" s="80"/>
      <c r="HDV96" s="80"/>
      <c r="HDW96" s="80"/>
      <c r="HDX96" s="80"/>
      <c r="HDY96" s="80"/>
      <c r="HDZ96" s="80"/>
      <c r="HEA96" s="80"/>
      <c r="HEB96" s="80"/>
      <c r="HEC96" s="80"/>
      <c r="HED96" s="80"/>
      <c r="HEE96" s="80"/>
      <c r="HEF96" s="80"/>
      <c r="HEG96" s="80"/>
      <c r="HEH96" s="80"/>
      <c r="HEI96" s="80"/>
      <c r="HEJ96" s="80"/>
      <c r="HEK96" s="80"/>
      <c r="HEL96" s="80"/>
      <c r="HEM96" s="80"/>
      <c r="HEN96" s="80"/>
      <c r="HEO96" s="80"/>
      <c r="HEP96" s="80"/>
      <c r="HEQ96" s="80"/>
      <c r="HER96" s="80"/>
      <c r="HES96" s="80"/>
      <c r="HET96" s="80"/>
      <c r="HEU96" s="80"/>
      <c r="HEV96" s="80"/>
      <c r="HEW96" s="80"/>
      <c r="HEX96" s="80"/>
      <c r="HEY96" s="80"/>
      <c r="HEZ96" s="80"/>
      <c r="HFA96" s="80"/>
      <c r="HFB96" s="80"/>
      <c r="HFC96" s="80"/>
      <c r="HFD96" s="80"/>
      <c r="HFE96" s="80"/>
      <c r="HFF96" s="80"/>
      <c r="HFG96" s="80"/>
      <c r="HFH96" s="80"/>
      <c r="HFI96" s="80"/>
      <c r="HFJ96" s="80"/>
      <c r="HFK96" s="80"/>
      <c r="HFL96" s="80"/>
      <c r="HFM96" s="80"/>
      <c r="HFN96" s="80"/>
      <c r="HFO96" s="80"/>
      <c r="HFP96" s="80"/>
      <c r="HFQ96" s="80"/>
      <c r="HFR96" s="80"/>
      <c r="HFS96" s="80"/>
      <c r="HFT96" s="80"/>
      <c r="HFU96" s="80"/>
      <c r="HFV96" s="80"/>
      <c r="HFW96" s="80"/>
      <c r="HFX96" s="80"/>
      <c r="HFY96" s="80"/>
      <c r="HFZ96" s="80"/>
      <c r="HGA96" s="80"/>
      <c r="HGB96" s="80"/>
      <c r="HGC96" s="80"/>
      <c r="HGD96" s="80"/>
      <c r="HGE96" s="80"/>
      <c r="HGF96" s="80"/>
      <c r="HGG96" s="80"/>
      <c r="HGH96" s="80"/>
      <c r="HGI96" s="80"/>
      <c r="HGJ96" s="80"/>
      <c r="HGK96" s="80"/>
      <c r="HGL96" s="80"/>
      <c r="HGM96" s="80"/>
      <c r="HGN96" s="80"/>
      <c r="HGO96" s="80"/>
      <c r="HGP96" s="80"/>
      <c r="HGQ96" s="80"/>
      <c r="HGR96" s="80"/>
      <c r="HGS96" s="80"/>
      <c r="HGT96" s="80"/>
      <c r="HGU96" s="80"/>
      <c r="HGV96" s="80"/>
      <c r="HGW96" s="80"/>
      <c r="HGX96" s="80"/>
      <c r="HGY96" s="80"/>
      <c r="HGZ96" s="80"/>
      <c r="HHA96" s="80"/>
      <c r="HHB96" s="80"/>
      <c r="HHC96" s="80"/>
      <c r="HHD96" s="80"/>
      <c r="HHE96" s="80"/>
      <c r="HHF96" s="80"/>
      <c r="HHG96" s="80"/>
      <c r="HHH96" s="80"/>
      <c r="HHI96" s="80"/>
      <c r="HHJ96" s="80"/>
      <c r="HHK96" s="80"/>
      <c r="HHL96" s="80"/>
      <c r="HHM96" s="80"/>
      <c r="HHN96" s="80"/>
      <c r="HHO96" s="80"/>
      <c r="HHP96" s="80"/>
      <c r="HHQ96" s="80"/>
      <c r="HHR96" s="80"/>
      <c r="HHS96" s="80"/>
      <c r="HHT96" s="80"/>
      <c r="HHU96" s="80"/>
      <c r="HHV96" s="80"/>
      <c r="HHW96" s="80"/>
      <c r="HHX96" s="80"/>
      <c r="HHY96" s="80"/>
      <c r="HHZ96" s="80"/>
      <c r="HIA96" s="80"/>
      <c r="HIB96" s="80"/>
      <c r="HIC96" s="80"/>
      <c r="HID96" s="80"/>
      <c r="HIE96" s="80"/>
      <c r="HIF96" s="80"/>
      <c r="HIG96" s="80"/>
      <c r="HIH96" s="80"/>
      <c r="HII96" s="80"/>
      <c r="HIJ96" s="80"/>
      <c r="HIK96" s="80"/>
      <c r="HIL96" s="80"/>
      <c r="HIM96" s="80"/>
      <c r="HIN96" s="80"/>
      <c r="HIO96" s="80"/>
      <c r="HIP96" s="80"/>
      <c r="HIQ96" s="80"/>
      <c r="HIR96" s="80"/>
      <c r="HIS96" s="80"/>
      <c r="HIT96" s="80"/>
      <c r="HIU96" s="80"/>
      <c r="HIV96" s="80"/>
      <c r="HIW96" s="80"/>
      <c r="HIX96" s="80"/>
      <c r="HIY96" s="80"/>
      <c r="HIZ96" s="80"/>
      <c r="HJA96" s="80"/>
      <c r="HJB96" s="80"/>
      <c r="HJC96" s="80"/>
      <c r="HJD96" s="80"/>
      <c r="HJE96" s="80"/>
      <c r="HJF96" s="80"/>
      <c r="HJG96" s="80"/>
      <c r="HJH96" s="80"/>
      <c r="HJI96" s="80"/>
      <c r="HJJ96" s="80"/>
      <c r="HJK96" s="80"/>
      <c r="HJL96" s="80"/>
      <c r="HJM96" s="80"/>
      <c r="HJN96" s="80"/>
      <c r="HJO96" s="80"/>
      <c r="HJP96" s="80"/>
      <c r="HJQ96" s="80"/>
      <c r="HJR96" s="80"/>
      <c r="HJS96" s="80"/>
      <c r="HJT96" s="80"/>
      <c r="HJU96" s="80"/>
      <c r="HJV96" s="80"/>
      <c r="HJW96" s="80"/>
      <c r="HJX96" s="80"/>
      <c r="HJY96" s="80"/>
      <c r="HJZ96" s="80"/>
      <c r="HKA96" s="80"/>
      <c r="HKB96" s="80"/>
      <c r="HKC96" s="80"/>
      <c r="HKD96" s="80"/>
      <c r="HKE96" s="80"/>
      <c r="HKF96" s="80"/>
      <c r="HKG96" s="80"/>
      <c r="HKH96" s="80"/>
      <c r="HKI96" s="80"/>
      <c r="HKJ96" s="80"/>
      <c r="HKK96" s="80"/>
      <c r="HKL96" s="80"/>
      <c r="HKM96" s="80"/>
      <c r="HKN96" s="80"/>
      <c r="HKO96" s="80"/>
      <c r="HKP96" s="80"/>
      <c r="HKQ96" s="80"/>
      <c r="HKR96" s="80"/>
      <c r="HKS96" s="80"/>
      <c r="HKT96" s="80"/>
      <c r="HKU96" s="80"/>
      <c r="HKV96" s="80"/>
      <c r="HKW96" s="80"/>
      <c r="HKX96" s="80"/>
      <c r="HKY96" s="80"/>
      <c r="HKZ96" s="80"/>
      <c r="HLA96" s="80"/>
      <c r="HLB96" s="80"/>
      <c r="HLC96" s="80"/>
      <c r="HLD96" s="80"/>
      <c r="HLE96" s="80"/>
      <c r="HLF96" s="80"/>
      <c r="HLG96" s="80"/>
      <c r="HLH96" s="80"/>
      <c r="HLI96" s="80"/>
      <c r="HLJ96" s="80"/>
      <c r="HLK96" s="80"/>
      <c r="HLL96" s="80"/>
      <c r="HLM96" s="80"/>
      <c r="HLN96" s="80"/>
      <c r="HLO96" s="80"/>
      <c r="HLP96" s="80"/>
      <c r="HLQ96" s="80"/>
      <c r="HLR96" s="80"/>
      <c r="HLS96" s="80"/>
      <c r="HLT96" s="80"/>
      <c r="HLU96" s="80"/>
      <c r="HLV96" s="80"/>
      <c r="HLW96" s="80"/>
      <c r="HLX96" s="80"/>
      <c r="HLY96" s="80"/>
      <c r="HLZ96" s="80"/>
      <c r="HMA96" s="80"/>
      <c r="HMB96" s="80"/>
      <c r="HMC96" s="80"/>
      <c r="HMD96" s="80"/>
      <c r="HME96" s="80"/>
      <c r="HMF96" s="80"/>
      <c r="HMG96" s="80"/>
      <c r="HMH96" s="80"/>
      <c r="HMI96" s="80"/>
      <c r="HMJ96" s="80"/>
      <c r="HMK96" s="80"/>
      <c r="HML96" s="80"/>
      <c r="HMM96" s="80"/>
      <c r="HMN96" s="80"/>
      <c r="HMO96" s="80"/>
      <c r="HMP96" s="80"/>
      <c r="HMQ96" s="80"/>
      <c r="HMR96" s="80"/>
      <c r="HMS96" s="80"/>
      <c r="HMT96" s="80"/>
      <c r="HMU96" s="80"/>
      <c r="HMV96" s="80"/>
      <c r="HMW96" s="80"/>
      <c r="HMX96" s="80"/>
      <c r="HMY96" s="80"/>
      <c r="HMZ96" s="80"/>
      <c r="HNA96" s="80"/>
      <c r="HNB96" s="80"/>
      <c r="HNC96" s="80"/>
      <c r="HND96" s="80"/>
      <c r="HNE96" s="80"/>
      <c r="HNF96" s="80"/>
      <c r="HNG96" s="80"/>
      <c r="HNH96" s="80"/>
      <c r="HNI96" s="80"/>
      <c r="HNJ96" s="80"/>
      <c r="HNK96" s="80"/>
      <c r="HNL96" s="80"/>
      <c r="HNM96" s="80"/>
      <c r="HNN96" s="80"/>
      <c r="HNO96" s="80"/>
      <c r="HNP96" s="80"/>
      <c r="HNQ96" s="80"/>
      <c r="HNR96" s="80"/>
      <c r="HNS96" s="80"/>
      <c r="HNT96" s="80"/>
      <c r="HNU96" s="80"/>
      <c r="HNV96" s="80"/>
      <c r="HNW96" s="80"/>
      <c r="HNX96" s="80"/>
      <c r="HNY96" s="80"/>
      <c r="HNZ96" s="80"/>
      <c r="HOA96" s="80"/>
      <c r="HOB96" s="80"/>
      <c r="HOC96" s="80"/>
      <c r="HOD96" s="80"/>
      <c r="HOE96" s="80"/>
      <c r="HOF96" s="80"/>
      <c r="HOG96" s="80"/>
      <c r="HOH96" s="80"/>
      <c r="HOI96" s="80"/>
      <c r="HOJ96" s="80"/>
      <c r="HOK96" s="80"/>
      <c r="HOL96" s="80"/>
      <c r="HOM96" s="80"/>
      <c r="HON96" s="80"/>
      <c r="HOO96" s="80"/>
      <c r="HOP96" s="80"/>
      <c r="HOQ96" s="80"/>
      <c r="HOR96" s="80"/>
      <c r="HOS96" s="80"/>
      <c r="HOT96" s="80"/>
      <c r="HOU96" s="80"/>
      <c r="HOV96" s="80"/>
      <c r="HOW96" s="80"/>
      <c r="HOX96" s="80"/>
      <c r="HOY96" s="80"/>
      <c r="HOZ96" s="80"/>
      <c r="HPA96" s="80"/>
      <c r="HPB96" s="80"/>
      <c r="HPC96" s="80"/>
      <c r="HPD96" s="80"/>
      <c r="HPE96" s="80"/>
      <c r="HPF96" s="80"/>
      <c r="HPG96" s="80"/>
      <c r="HPH96" s="80"/>
      <c r="HPI96" s="80"/>
      <c r="HPJ96" s="80"/>
      <c r="HPK96" s="80"/>
      <c r="HPL96" s="80"/>
      <c r="HPM96" s="80"/>
      <c r="HPN96" s="80"/>
      <c r="HPO96" s="80"/>
      <c r="HPP96" s="80"/>
      <c r="HPQ96" s="80"/>
      <c r="HPR96" s="80"/>
      <c r="HPS96" s="80"/>
      <c r="HPT96" s="80"/>
      <c r="HPU96" s="80"/>
      <c r="HPV96" s="80"/>
      <c r="HPW96" s="80"/>
      <c r="HPX96" s="80"/>
      <c r="HPY96" s="80"/>
      <c r="HPZ96" s="80"/>
      <c r="HQA96" s="80"/>
      <c r="HQB96" s="80"/>
      <c r="HQC96" s="80"/>
      <c r="HQD96" s="80"/>
      <c r="HQE96" s="80"/>
      <c r="HQF96" s="80"/>
      <c r="HQG96" s="80"/>
      <c r="HQH96" s="80"/>
      <c r="HQI96" s="80"/>
      <c r="HQJ96" s="80"/>
      <c r="HQK96" s="80"/>
      <c r="HQL96" s="80"/>
      <c r="HQM96" s="80"/>
      <c r="HQN96" s="80"/>
      <c r="HQO96" s="80"/>
      <c r="HQP96" s="80"/>
      <c r="HQQ96" s="80"/>
      <c r="HQR96" s="80"/>
      <c r="HQS96" s="80"/>
      <c r="HQT96" s="80"/>
      <c r="HQU96" s="80"/>
      <c r="HQV96" s="80"/>
      <c r="HQW96" s="80"/>
      <c r="HQX96" s="80"/>
      <c r="HQY96" s="80"/>
      <c r="HQZ96" s="80"/>
      <c r="HRA96" s="80"/>
      <c r="HRB96" s="80"/>
      <c r="HRC96" s="80"/>
      <c r="HRD96" s="80"/>
      <c r="HRE96" s="80"/>
      <c r="HRF96" s="80"/>
      <c r="HRG96" s="80"/>
      <c r="HRH96" s="80"/>
      <c r="HRI96" s="80"/>
      <c r="HRJ96" s="80"/>
      <c r="HRK96" s="80"/>
      <c r="HRL96" s="80"/>
      <c r="HRM96" s="80"/>
      <c r="HRN96" s="80"/>
      <c r="HRO96" s="80"/>
      <c r="HRP96" s="80"/>
      <c r="HRQ96" s="80"/>
      <c r="HRR96" s="80"/>
      <c r="HRS96" s="80"/>
      <c r="HRT96" s="80"/>
      <c r="HRU96" s="80"/>
      <c r="HRV96" s="80"/>
      <c r="HRW96" s="80"/>
      <c r="HRX96" s="80"/>
      <c r="HRY96" s="80"/>
      <c r="HRZ96" s="80"/>
      <c r="HSA96" s="80"/>
      <c r="HSB96" s="80"/>
      <c r="HSC96" s="80"/>
      <c r="HSD96" s="80"/>
      <c r="HSE96" s="80"/>
      <c r="HSF96" s="80"/>
      <c r="HSG96" s="80"/>
      <c r="HSH96" s="80"/>
      <c r="HSI96" s="80"/>
      <c r="HSJ96" s="80"/>
      <c r="HSK96" s="80"/>
      <c r="HSL96" s="80"/>
      <c r="HSM96" s="80"/>
      <c r="HSN96" s="80"/>
      <c r="HSO96" s="80"/>
      <c r="HSP96" s="80"/>
      <c r="HSQ96" s="80"/>
      <c r="HSR96" s="80"/>
      <c r="HSS96" s="80"/>
      <c r="HST96" s="80"/>
      <c r="HSU96" s="80"/>
      <c r="HSV96" s="80"/>
      <c r="HSW96" s="80"/>
      <c r="HSX96" s="80"/>
      <c r="HSY96" s="80"/>
      <c r="HSZ96" s="80"/>
      <c r="HTA96" s="80"/>
      <c r="HTB96" s="80"/>
      <c r="HTC96" s="80"/>
      <c r="HTD96" s="80"/>
      <c r="HTE96" s="80"/>
      <c r="HTF96" s="80"/>
      <c r="HTG96" s="80"/>
      <c r="HTH96" s="80"/>
      <c r="HTI96" s="80"/>
      <c r="HTJ96" s="80"/>
      <c r="HTK96" s="80"/>
      <c r="HTL96" s="80"/>
      <c r="HTM96" s="80"/>
      <c r="HTN96" s="80"/>
      <c r="HTO96" s="80"/>
      <c r="HTP96" s="80"/>
      <c r="HTQ96" s="80"/>
      <c r="HTR96" s="80"/>
      <c r="HTS96" s="80"/>
      <c r="HTT96" s="80"/>
      <c r="HTU96" s="80"/>
      <c r="HTV96" s="80"/>
      <c r="HTW96" s="80"/>
      <c r="HTX96" s="80"/>
      <c r="HTY96" s="80"/>
      <c r="HTZ96" s="80"/>
      <c r="HUA96" s="80"/>
      <c r="HUB96" s="80"/>
      <c r="HUC96" s="80"/>
      <c r="HUD96" s="80"/>
      <c r="HUE96" s="80"/>
      <c r="HUF96" s="80"/>
      <c r="HUG96" s="80"/>
      <c r="HUH96" s="80"/>
      <c r="HUI96" s="80"/>
      <c r="HUJ96" s="80"/>
      <c r="HUK96" s="80"/>
      <c r="HUL96" s="80"/>
      <c r="HUM96" s="80"/>
      <c r="HUN96" s="80"/>
      <c r="HUO96" s="80"/>
      <c r="HUP96" s="80"/>
      <c r="HUQ96" s="80"/>
      <c r="HUR96" s="80"/>
      <c r="HUS96" s="80"/>
      <c r="HUT96" s="80"/>
      <c r="HUU96" s="80"/>
      <c r="HUV96" s="80"/>
      <c r="HUW96" s="80"/>
      <c r="HUX96" s="80"/>
      <c r="HUY96" s="80"/>
      <c r="HUZ96" s="80"/>
      <c r="HVA96" s="80"/>
      <c r="HVB96" s="80"/>
      <c r="HVC96" s="80"/>
      <c r="HVD96" s="80"/>
      <c r="HVE96" s="80"/>
      <c r="HVF96" s="80"/>
      <c r="HVG96" s="80"/>
      <c r="HVH96" s="80"/>
      <c r="HVI96" s="80"/>
      <c r="HVJ96" s="80"/>
      <c r="HVK96" s="80"/>
      <c r="HVL96" s="80"/>
      <c r="HVM96" s="80"/>
      <c r="HVN96" s="80"/>
      <c r="HVO96" s="80"/>
      <c r="HVP96" s="80"/>
      <c r="HVQ96" s="80"/>
      <c r="HVR96" s="80"/>
      <c r="HVS96" s="80"/>
      <c r="HVT96" s="80"/>
      <c r="HVU96" s="80"/>
      <c r="HVV96" s="80"/>
      <c r="HVW96" s="80"/>
      <c r="HVX96" s="80"/>
      <c r="HVY96" s="80"/>
      <c r="HVZ96" s="80"/>
      <c r="HWA96" s="80"/>
      <c r="HWB96" s="80"/>
      <c r="HWC96" s="80"/>
      <c r="HWD96" s="80"/>
      <c r="HWE96" s="80"/>
      <c r="HWF96" s="80"/>
      <c r="HWG96" s="80"/>
      <c r="HWH96" s="80"/>
      <c r="HWI96" s="80"/>
      <c r="HWJ96" s="80"/>
      <c r="HWK96" s="80"/>
      <c r="HWL96" s="80"/>
      <c r="HWM96" s="80"/>
      <c r="HWN96" s="80"/>
      <c r="HWO96" s="80"/>
      <c r="HWP96" s="80"/>
      <c r="HWQ96" s="80"/>
      <c r="HWR96" s="80"/>
      <c r="HWS96" s="80"/>
      <c r="HWT96" s="80"/>
      <c r="HWU96" s="80"/>
      <c r="HWV96" s="80"/>
      <c r="HWW96" s="80"/>
      <c r="HWX96" s="80"/>
      <c r="HWY96" s="80"/>
      <c r="HWZ96" s="80"/>
      <c r="HXA96" s="80"/>
      <c r="HXB96" s="80"/>
      <c r="HXC96" s="80"/>
      <c r="HXD96" s="80"/>
      <c r="HXE96" s="80"/>
      <c r="HXF96" s="80"/>
      <c r="HXG96" s="80"/>
      <c r="HXH96" s="80"/>
      <c r="HXI96" s="80"/>
      <c r="HXJ96" s="80"/>
      <c r="HXK96" s="80"/>
      <c r="HXL96" s="80"/>
      <c r="HXM96" s="80"/>
      <c r="HXN96" s="80"/>
      <c r="HXO96" s="80"/>
      <c r="HXP96" s="80"/>
      <c r="HXQ96" s="80"/>
      <c r="HXR96" s="80"/>
      <c r="HXS96" s="80"/>
      <c r="HXT96" s="80"/>
      <c r="HXU96" s="80"/>
      <c r="HXV96" s="80"/>
      <c r="HXW96" s="80"/>
      <c r="HXX96" s="80"/>
      <c r="HXY96" s="80"/>
      <c r="HXZ96" s="80"/>
      <c r="HYA96" s="80"/>
      <c r="HYB96" s="80"/>
      <c r="HYC96" s="80"/>
      <c r="HYD96" s="80"/>
      <c r="HYE96" s="80"/>
      <c r="HYF96" s="80"/>
      <c r="HYG96" s="80"/>
      <c r="HYH96" s="80"/>
      <c r="HYI96" s="80"/>
      <c r="HYJ96" s="80"/>
      <c r="HYK96" s="80"/>
      <c r="HYL96" s="80"/>
      <c r="HYM96" s="80"/>
      <c r="HYN96" s="80"/>
      <c r="HYO96" s="80"/>
      <c r="HYP96" s="80"/>
      <c r="HYQ96" s="80"/>
      <c r="HYR96" s="80"/>
      <c r="HYS96" s="80"/>
      <c r="HYT96" s="80"/>
      <c r="HYU96" s="80"/>
      <c r="HYV96" s="80"/>
      <c r="HYW96" s="80"/>
      <c r="HYX96" s="80"/>
      <c r="HYY96" s="80"/>
      <c r="HYZ96" s="80"/>
      <c r="HZA96" s="80"/>
      <c r="HZB96" s="80"/>
      <c r="HZC96" s="80"/>
      <c r="HZD96" s="80"/>
      <c r="HZE96" s="80"/>
      <c r="HZF96" s="80"/>
      <c r="HZG96" s="80"/>
      <c r="HZH96" s="80"/>
      <c r="HZI96" s="80"/>
      <c r="HZJ96" s="80"/>
      <c r="HZK96" s="80"/>
      <c r="HZL96" s="80"/>
      <c r="HZM96" s="80"/>
      <c r="HZN96" s="80"/>
      <c r="HZO96" s="80"/>
      <c r="HZP96" s="80"/>
      <c r="HZQ96" s="80"/>
      <c r="HZR96" s="80"/>
      <c r="HZS96" s="80"/>
      <c r="HZT96" s="80"/>
      <c r="HZU96" s="80"/>
      <c r="HZV96" s="80"/>
      <c r="HZW96" s="80"/>
      <c r="HZX96" s="80"/>
      <c r="HZY96" s="80"/>
      <c r="HZZ96" s="80"/>
      <c r="IAA96" s="80"/>
      <c r="IAB96" s="80"/>
      <c r="IAC96" s="80"/>
      <c r="IAD96" s="80"/>
      <c r="IAE96" s="80"/>
      <c r="IAF96" s="80"/>
      <c r="IAG96" s="80"/>
      <c r="IAH96" s="80"/>
      <c r="IAI96" s="80"/>
      <c r="IAJ96" s="80"/>
      <c r="IAK96" s="80"/>
      <c r="IAL96" s="80"/>
      <c r="IAM96" s="80"/>
      <c r="IAN96" s="80"/>
      <c r="IAO96" s="80"/>
      <c r="IAP96" s="80"/>
      <c r="IAQ96" s="80"/>
      <c r="IAR96" s="80"/>
      <c r="IAS96" s="80"/>
      <c r="IAT96" s="80"/>
      <c r="IAU96" s="80"/>
      <c r="IAV96" s="80"/>
      <c r="IAW96" s="80"/>
      <c r="IAX96" s="80"/>
      <c r="IAY96" s="80"/>
      <c r="IAZ96" s="80"/>
      <c r="IBA96" s="80"/>
      <c r="IBB96" s="80"/>
      <c r="IBC96" s="80"/>
      <c r="IBD96" s="80"/>
      <c r="IBE96" s="80"/>
      <c r="IBF96" s="80"/>
      <c r="IBG96" s="80"/>
      <c r="IBH96" s="80"/>
      <c r="IBI96" s="80"/>
      <c r="IBJ96" s="80"/>
      <c r="IBK96" s="80"/>
      <c r="IBL96" s="80"/>
      <c r="IBM96" s="80"/>
      <c r="IBN96" s="80"/>
      <c r="IBO96" s="80"/>
      <c r="IBP96" s="80"/>
      <c r="IBQ96" s="80"/>
      <c r="IBR96" s="80"/>
      <c r="IBS96" s="80"/>
      <c r="IBT96" s="80"/>
      <c r="IBU96" s="80"/>
      <c r="IBV96" s="80"/>
      <c r="IBW96" s="80"/>
      <c r="IBX96" s="80"/>
      <c r="IBY96" s="80"/>
      <c r="IBZ96" s="80"/>
      <c r="ICA96" s="80"/>
      <c r="ICB96" s="80"/>
      <c r="ICC96" s="80"/>
      <c r="ICD96" s="80"/>
      <c r="ICE96" s="80"/>
      <c r="ICF96" s="80"/>
      <c r="ICG96" s="80"/>
      <c r="ICH96" s="80"/>
      <c r="ICI96" s="80"/>
      <c r="ICJ96" s="80"/>
      <c r="ICK96" s="80"/>
      <c r="ICL96" s="80"/>
      <c r="ICM96" s="80"/>
      <c r="ICN96" s="80"/>
      <c r="ICO96" s="80"/>
      <c r="ICP96" s="80"/>
      <c r="ICQ96" s="80"/>
      <c r="ICR96" s="80"/>
      <c r="ICS96" s="80"/>
      <c r="ICT96" s="80"/>
      <c r="ICU96" s="80"/>
      <c r="ICV96" s="80"/>
      <c r="ICW96" s="80"/>
      <c r="ICX96" s="80"/>
      <c r="ICY96" s="80"/>
      <c r="ICZ96" s="80"/>
      <c r="IDA96" s="80"/>
      <c r="IDB96" s="80"/>
      <c r="IDC96" s="80"/>
      <c r="IDD96" s="80"/>
      <c r="IDE96" s="80"/>
      <c r="IDF96" s="80"/>
      <c r="IDG96" s="80"/>
      <c r="IDH96" s="80"/>
      <c r="IDI96" s="80"/>
      <c r="IDJ96" s="80"/>
      <c r="IDK96" s="80"/>
      <c r="IDL96" s="80"/>
      <c r="IDM96" s="80"/>
      <c r="IDN96" s="80"/>
      <c r="IDO96" s="80"/>
      <c r="IDP96" s="80"/>
      <c r="IDQ96" s="80"/>
      <c r="IDR96" s="80"/>
      <c r="IDS96" s="80"/>
      <c r="IDT96" s="80"/>
      <c r="IDU96" s="80"/>
      <c r="IDV96" s="80"/>
      <c r="IDW96" s="80"/>
      <c r="IDX96" s="80"/>
      <c r="IDY96" s="80"/>
      <c r="IDZ96" s="80"/>
      <c r="IEA96" s="80"/>
      <c r="IEB96" s="80"/>
      <c r="IEC96" s="80"/>
      <c r="IED96" s="80"/>
      <c r="IEE96" s="80"/>
      <c r="IEF96" s="80"/>
      <c r="IEG96" s="80"/>
      <c r="IEH96" s="80"/>
      <c r="IEI96" s="80"/>
      <c r="IEJ96" s="80"/>
      <c r="IEK96" s="80"/>
      <c r="IEL96" s="80"/>
      <c r="IEM96" s="80"/>
      <c r="IEN96" s="80"/>
      <c r="IEO96" s="80"/>
      <c r="IEP96" s="80"/>
      <c r="IEQ96" s="80"/>
      <c r="IER96" s="80"/>
      <c r="IES96" s="80"/>
      <c r="IET96" s="80"/>
      <c r="IEU96" s="80"/>
      <c r="IEV96" s="80"/>
      <c r="IEW96" s="80"/>
      <c r="IEX96" s="80"/>
      <c r="IEY96" s="80"/>
      <c r="IEZ96" s="80"/>
      <c r="IFA96" s="80"/>
      <c r="IFB96" s="80"/>
      <c r="IFC96" s="80"/>
      <c r="IFD96" s="80"/>
      <c r="IFE96" s="80"/>
      <c r="IFF96" s="80"/>
      <c r="IFG96" s="80"/>
      <c r="IFH96" s="80"/>
      <c r="IFI96" s="80"/>
      <c r="IFJ96" s="80"/>
      <c r="IFK96" s="80"/>
      <c r="IFL96" s="80"/>
      <c r="IFM96" s="80"/>
      <c r="IFN96" s="80"/>
      <c r="IFO96" s="80"/>
      <c r="IFP96" s="80"/>
      <c r="IFQ96" s="80"/>
      <c r="IFR96" s="80"/>
      <c r="IFS96" s="80"/>
      <c r="IFT96" s="80"/>
      <c r="IFU96" s="80"/>
      <c r="IFV96" s="80"/>
      <c r="IFW96" s="80"/>
      <c r="IFX96" s="80"/>
      <c r="IFY96" s="80"/>
      <c r="IFZ96" s="80"/>
      <c r="IGA96" s="80"/>
      <c r="IGB96" s="80"/>
      <c r="IGC96" s="80"/>
      <c r="IGD96" s="80"/>
      <c r="IGE96" s="80"/>
      <c r="IGF96" s="80"/>
      <c r="IGG96" s="80"/>
      <c r="IGH96" s="80"/>
      <c r="IGI96" s="80"/>
      <c r="IGJ96" s="80"/>
      <c r="IGK96" s="80"/>
      <c r="IGL96" s="80"/>
      <c r="IGM96" s="80"/>
      <c r="IGN96" s="80"/>
      <c r="IGO96" s="80"/>
      <c r="IGP96" s="80"/>
      <c r="IGQ96" s="80"/>
      <c r="IGR96" s="80"/>
      <c r="IGS96" s="80"/>
      <c r="IGT96" s="80"/>
      <c r="IGU96" s="80"/>
      <c r="IGV96" s="80"/>
      <c r="IGW96" s="80"/>
      <c r="IGX96" s="80"/>
      <c r="IGY96" s="80"/>
      <c r="IGZ96" s="80"/>
      <c r="IHA96" s="80"/>
      <c r="IHB96" s="80"/>
      <c r="IHC96" s="80"/>
      <c r="IHD96" s="80"/>
      <c r="IHE96" s="80"/>
      <c r="IHF96" s="80"/>
      <c r="IHG96" s="80"/>
      <c r="IHH96" s="80"/>
      <c r="IHI96" s="80"/>
      <c r="IHJ96" s="80"/>
      <c r="IHK96" s="80"/>
      <c r="IHL96" s="80"/>
      <c r="IHM96" s="80"/>
      <c r="IHN96" s="80"/>
      <c r="IHO96" s="80"/>
      <c r="IHP96" s="80"/>
      <c r="IHQ96" s="80"/>
      <c r="IHR96" s="80"/>
      <c r="IHS96" s="80"/>
      <c r="IHT96" s="80"/>
      <c r="IHU96" s="80"/>
      <c r="IHV96" s="80"/>
      <c r="IHW96" s="80"/>
      <c r="IHX96" s="80"/>
      <c r="IHY96" s="80"/>
      <c r="IHZ96" s="80"/>
      <c r="IIA96" s="80"/>
      <c r="IIB96" s="80"/>
      <c r="IIC96" s="80"/>
      <c r="IID96" s="80"/>
      <c r="IIE96" s="80"/>
      <c r="IIF96" s="80"/>
      <c r="IIG96" s="80"/>
      <c r="IIH96" s="80"/>
      <c r="III96" s="80"/>
      <c r="IIJ96" s="80"/>
      <c r="IIK96" s="80"/>
      <c r="IIL96" s="80"/>
      <c r="IIM96" s="80"/>
      <c r="IIN96" s="80"/>
      <c r="IIO96" s="80"/>
      <c r="IIP96" s="80"/>
      <c r="IIQ96" s="80"/>
      <c r="IIR96" s="80"/>
      <c r="IIS96" s="80"/>
      <c r="IIT96" s="80"/>
      <c r="IIU96" s="80"/>
      <c r="IIV96" s="80"/>
      <c r="IIW96" s="80"/>
      <c r="IIX96" s="80"/>
      <c r="IIY96" s="80"/>
      <c r="IIZ96" s="80"/>
      <c r="IJA96" s="80"/>
      <c r="IJB96" s="80"/>
      <c r="IJC96" s="80"/>
      <c r="IJD96" s="80"/>
      <c r="IJE96" s="80"/>
      <c r="IJF96" s="80"/>
      <c r="IJG96" s="80"/>
      <c r="IJH96" s="80"/>
      <c r="IJI96" s="80"/>
      <c r="IJJ96" s="80"/>
      <c r="IJK96" s="80"/>
      <c r="IJL96" s="80"/>
      <c r="IJM96" s="80"/>
      <c r="IJN96" s="80"/>
      <c r="IJO96" s="80"/>
      <c r="IJP96" s="80"/>
      <c r="IJQ96" s="80"/>
      <c r="IJR96" s="80"/>
      <c r="IJS96" s="80"/>
      <c r="IJT96" s="80"/>
      <c r="IJU96" s="80"/>
      <c r="IJV96" s="80"/>
      <c r="IJW96" s="80"/>
      <c r="IJX96" s="80"/>
      <c r="IJY96" s="80"/>
      <c r="IJZ96" s="80"/>
      <c r="IKA96" s="80"/>
      <c r="IKB96" s="80"/>
      <c r="IKC96" s="80"/>
      <c r="IKD96" s="80"/>
      <c r="IKE96" s="80"/>
      <c r="IKF96" s="80"/>
      <c r="IKG96" s="80"/>
      <c r="IKH96" s="80"/>
      <c r="IKI96" s="80"/>
      <c r="IKJ96" s="80"/>
      <c r="IKK96" s="80"/>
      <c r="IKL96" s="80"/>
      <c r="IKM96" s="80"/>
      <c r="IKN96" s="80"/>
      <c r="IKO96" s="80"/>
      <c r="IKP96" s="80"/>
      <c r="IKQ96" s="80"/>
      <c r="IKR96" s="80"/>
      <c r="IKS96" s="80"/>
      <c r="IKT96" s="80"/>
      <c r="IKU96" s="80"/>
      <c r="IKV96" s="80"/>
      <c r="IKW96" s="80"/>
      <c r="IKX96" s="80"/>
      <c r="IKY96" s="80"/>
      <c r="IKZ96" s="80"/>
      <c r="ILA96" s="80"/>
      <c r="ILB96" s="80"/>
      <c r="ILC96" s="80"/>
      <c r="ILD96" s="80"/>
      <c r="ILE96" s="80"/>
      <c r="ILF96" s="80"/>
      <c r="ILG96" s="80"/>
      <c r="ILH96" s="80"/>
      <c r="ILI96" s="80"/>
      <c r="ILJ96" s="80"/>
      <c r="ILK96" s="80"/>
      <c r="ILL96" s="80"/>
      <c r="ILM96" s="80"/>
      <c r="ILN96" s="80"/>
      <c r="ILO96" s="80"/>
      <c r="ILP96" s="80"/>
      <c r="ILQ96" s="80"/>
      <c r="ILR96" s="80"/>
      <c r="ILS96" s="80"/>
      <c r="ILT96" s="80"/>
      <c r="ILU96" s="80"/>
      <c r="ILV96" s="80"/>
      <c r="ILW96" s="80"/>
      <c r="ILX96" s="80"/>
      <c r="ILY96" s="80"/>
      <c r="ILZ96" s="80"/>
      <c r="IMA96" s="80"/>
      <c r="IMB96" s="80"/>
      <c r="IMC96" s="80"/>
      <c r="IMD96" s="80"/>
      <c r="IME96" s="80"/>
      <c r="IMF96" s="80"/>
      <c r="IMG96" s="80"/>
      <c r="IMH96" s="80"/>
      <c r="IMI96" s="80"/>
      <c r="IMJ96" s="80"/>
      <c r="IMK96" s="80"/>
      <c r="IML96" s="80"/>
      <c r="IMM96" s="80"/>
      <c r="IMN96" s="80"/>
      <c r="IMO96" s="80"/>
      <c r="IMP96" s="80"/>
      <c r="IMQ96" s="80"/>
      <c r="IMR96" s="80"/>
      <c r="IMS96" s="80"/>
      <c r="IMT96" s="80"/>
      <c r="IMU96" s="80"/>
      <c r="IMV96" s="80"/>
      <c r="IMW96" s="80"/>
      <c r="IMX96" s="80"/>
      <c r="IMY96" s="80"/>
      <c r="IMZ96" s="80"/>
      <c r="INA96" s="80"/>
      <c r="INB96" s="80"/>
      <c r="INC96" s="80"/>
      <c r="IND96" s="80"/>
      <c r="INE96" s="80"/>
      <c r="INF96" s="80"/>
      <c r="ING96" s="80"/>
      <c r="INH96" s="80"/>
      <c r="INI96" s="80"/>
      <c r="INJ96" s="80"/>
      <c r="INK96" s="80"/>
      <c r="INL96" s="80"/>
      <c r="INM96" s="80"/>
      <c r="INN96" s="80"/>
      <c r="INO96" s="80"/>
      <c r="INP96" s="80"/>
      <c r="INQ96" s="80"/>
      <c r="INR96" s="80"/>
      <c r="INS96" s="80"/>
      <c r="INT96" s="80"/>
      <c r="INU96" s="80"/>
      <c r="INV96" s="80"/>
      <c r="INW96" s="80"/>
      <c r="INX96" s="80"/>
      <c r="INY96" s="80"/>
      <c r="INZ96" s="80"/>
      <c r="IOA96" s="80"/>
      <c r="IOB96" s="80"/>
      <c r="IOC96" s="80"/>
      <c r="IOD96" s="80"/>
      <c r="IOE96" s="80"/>
      <c r="IOF96" s="80"/>
      <c r="IOG96" s="80"/>
      <c r="IOH96" s="80"/>
      <c r="IOI96" s="80"/>
      <c r="IOJ96" s="80"/>
      <c r="IOK96" s="80"/>
      <c r="IOL96" s="80"/>
      <c r="IOM96" s="80"/>
      <c r="ION96" s="80"/>
      <c r="IOO96" s="80"/>
      <c r="IOP96" s="80"/>
      <c r="IOQ96" s="80"/>
      <c r="IOR96" s="80"/>
      <c r="IOS96" s="80"/>
      <c r="IOT96" s="80"/>
      <c r="IOU96" s="80"/>
      <c r="IOV96" s="80"/>
      <c r="IOW96" s="80"/>
      <c r="IOX96" s="80"/>
      <c r="IOY96" s="80"/>
      <c r="IOZ96" s="80"/>
      <c r="IPA96" s="80"/>
      <c r="IPB96" s="80"/>
      <c r="IPC96" s="80"/>
      <c r="IPD96" s="80"/>
      <c r="IPE96" s="80"/>
      <c r="IPF96" s="80"/>
      <c r="IPG96" s="80"/>
      <c r="IPH96" s="80"/>
      <c r="IPI96" s="80"/>
      <c r="IPJ96" s="80"/>
      <c r="IPK96" s="80"/>
      <c r="IPL96" s="80"/>
      <c r="IPM96" s="80"/>
      <c r="IPN96" s="80"/>
      <c r="IPO96" s="80"/>
      <c r="IPP96" s="80"/>
      <c r="IPQ96" s="80"/>
      <c r="IPR96" s="80"/>
      <c r="IPS96" s="80"/>
      <c r="IPT96" s="80"/>
      <c r="IPU96" s="80"/>
      <c r="IPV96" s="80"/>
      <c r="IPW96" s="80"/>
      <c r="IPX96" s="80"/>
      <c r="IPY96" s="80"/>
      <c r="IPZ96" s="80"/>
      <c r="IQA96" s="80"/>
      <c r="IQB96" s="80"/>
      <c r="IQC96" s="80"/>
      <c r="IQD96" s="80"/>
      <c r="IQE96" s="80"/>
      <c r="IQF96" s="80"/>
      <c r="IQG96" s="80"/>
      <c r="IQH96" s="80"/>
      <c r="IQI96" s="80"/>
      <c r="IQJ96" s="80"/>
      <c r="IQK96" s="80"/>
      <c r="IQL96" s="80"/>
      <c r="IQM96" s="80"/>
      <c r="IQN96" s="80"/>
      <c r="IQO96" s="80"/>
      <c r="IQP96" s="80"/>
      <c r="IQQ96" s="80"/>
      <c r="IQR96" s="80"/>
      <c r="IQS96" s="80"/>
      <c r="IQT96" s="80"/>
      <c r="IQU96" s="80"/>
      <c r="IQV96" s="80"/>
      <c r="IQW96" s="80"/>
      <c r="IQX96" s="80"/>
      <c r="IQY96" s="80"/>
      <c r="IQZ96" s="80"/>
      <c r="IRA96" s="80"/>
      <c r="IRB96" s="80"/>
      <c r="IRC96" s="80"/>
      <c r="IRD96" s="80"/>
      <c r="IRE96" s="80"/>
      <c r="IRF96" s="80"/>
      <c r="IRG96" s="80"/>
      <c r="IRH96" s="80"/>
      <c r="IRI96" s="80"/>
      <c r="IRJ96" s="80"/>
      <c r="IRK96" s="80"/>
      <c r="IRL96" s="80"/>
      <c r="IRM96" s="80"/>
      <c r="IRN96" s="80"/>
      <c r="IRO96" s="80"/>
      <c r="IRP96" s="80"/>
      <c r="IRQ96" s="80"/>
      <c r="IRR96" s="80"/>
      <c r="IRS96" s="80"/>
      <c r="IRT96" s="80"/>
      <c r="IRU96" s="80"/>
      <c r="IRV96" s="80"/>
      <c r="IRW96" s="80"/>
      <c r="IRX96" s="80"/>
      <c r="IRY96" s="80"/>
      <c r="IRZ96" s="80"/>
      <c r="ISA96" s="80"/>
      <c r="ISB96" s="80"/>
      <c r="ISC96" s="80"/>
      <c r="ISD96" s="80"/>
      <c r="ISE96" s="80"/>
      <c r="ISF96" s="80"/>
      <c r="ISG96" s="80"/>
      <c r="ISH96" s="80"/>
      <c r="ISI96" s="80"/>
      <c r="ISJ96" s="80"/>
      <c r="ISK96" s="80"/>
      <c r="ISL96" s="80"/>
      <c r="ISM96" s="80"/>
      <c r="ISN96" s="80"/>
      <c r="ISO96" s="80"/>
      <c r="ISP96" s="80"/>
      <c r="ISQ96" s="80"/>
      <c r="ISR96" s="80"/>
      <c r="ISS96" s="80"/>
      <c r="IST96" s="80"/>
      <c r="ISU96" s="80"/>
      <c r="ISV96" s="80"/>
      <c r="ISW96" s="80"/>
      <c r="ISX96" s="80"/>
      <c r="ISY96" s="80"/>
      <c r="ISZ96" s="80"/>
      <c r="ITA96" s="80"/>
      <c r="ITB96" s="80"/>
      <c r="ITC96" s="80"/>
      <c r="ITD96" s="80"/>
      <c r="ITE96" s="80"/>
      <c r="ITF96" s="80"/>
      <c r="ITG96" s="80"/>
      <c r="ITH96" s="80"/>
      <c r="ITI96" s="80"/>
      <c r="ITJ96" s="80"/>
      <c r="ITK96" s="80"/>
      <c r="ITL96" s="80"/>
      <c r="ITM96" s="80"/>
      <c r="ITN96" s="80"/>
      <c r="ITO96" s="80"/>
      <c r="ITP96" s="80"/>
      <c r="ITQ96" s="80"/>
      <c r="ITR96" s="80"/>
      <c r="ITS96" s="80"/>
      <c r="ITT96" s="80"/>
      <c r="ITU96" s="80"/>
      <c r="ITV96" s="80"/>
      <c r="ITW96" s="80"/>
      <c r="ITX96" s="80"/>
      <c r="ITY96" s="80"/>
      <c r="ITZ96" s="80"/>
      <c r="IUA96" s="80"/>
      <c r="IUB96" s="80"/>
      <c r="IUC96" s="80"/>
      <c r="IUD96" s="80"/>
      <c r="IUE96" s="80"/>
      <c r="IUF96" s="80"/>
      <c r="IUG96" s="80"/>
      <c r="IUH96" s="80"/>
      <c r="IUI96" s="80"/>
      <c r="IUJ96" s="80"/>
      <c r="IUK96" s="80"/>
      <c r="IUL96" s="80"/>
      <c r="IUM96" s="80"/>
      <c r="IUN96" s="80"/>
      <c r="IUO96" s="80"/>
      <c r="IUP96" s="80"/>
      <c r="IUQ96" s="80"/>
      <c r="IUR96" s="80"/>
      <c r="IUS96" s="80"/>
      <c r="IUT96" s="80"/>
      <c r="IUU96" s="80"/>
      <c r="IUV96" s="80"/>
      <c r="IUW96" s="80"/>
      <c r="IUX96" s="80"/>
      <c r="IUY96" s="80"/>
      <c r="IUZ96" s="80"/>
      <c r="IVA96" s="80"/>
      <c r="IVB96" s="80"/>
      <c r="IVC96" s="80"/>
      <c r="IVD96" s="80"/>
      <c r="IVE96" s="80"/>
      <c r="IVF96" s="80"/>
      <c r="IVG96" s="80"/>
      <c r="IVH96" s="80"/>
      <c r="IVI96" s="80"/>
      <c r="IVJ96" s="80"/>
      <c r="IVK96" s="80"/>
      <c r="IVL96" s="80"/>
      <c r="IVM96" s="80"/>
      <c r="IVN96" s="80"/>
      <c r="IVO96" s="80"/>
      <c r="IVP96" s="80"/>
      <c r="IVQ96" s="80"/>
      <c r="IVR96" s="80"/>
      <c r="IVS96" s="80"/>
      <c r="IVT96" s="80"/>
      <c r="IVU96" s="80"/>
      <c r="IVV96" s="80"/>
      <c r="IVW96" s="80"/>
      <c r="IVX96" s="80"/>
      <c r="IVY96" s="80"/>
      <c r="IVZ96" s="80"/>
      <c r="IWA96" s="80"/>
      <c r="IWB96" s="80"/>
      <c r="IWC96" s="80"/>
      <c r="IWD96" s="80"/>
      <c r="IWE96" s="80"/>
      <c r="IWF96" s="80"/>
      <c r="IWG96" s="80"/>
      <c r="IWH96" s="80"/>
      <c r="IWI96" s="80"/>
      <c r="IWJ96" s="80"/>
      <c r="IWK96" s="80"/>
      <c r="IWL96" s="80"/>
      <c r="IWM96" s="80"/>
      <c r="IWN96" s="80"/>
      <c r="IWO96" s="80"/>
      <c r="IWP96" s="80"/>
      <c r="IWQ96" s="80"/>
      <c r="IWR96" s="80"/>
      <c r="IWS96" s="80"/>
      <c r="IWT96" s="80"/>
      <c r="IWU96" s="80"/>
      <c r="IWV96" s="80"/>
      <c r="IWW96" s="80"/>
      <c r="IWX96" s="80"/>
      <c r="IWY96" s="80"/>
      <c r="IWZ96" s="80"/>
      <c r="IXA96" s="80"/>
      <c r="IXB96" s="80"/>
      <c r="IXC96" s="80"/>
      <c r="IXD96" s="80"/>
      <c r="IXE96" s="80"/>
      <c r="IXF96" s="80"/>
      <c r="IXG96" s="80"/>
      <c r="IXH96" s="80"/>
      <c r="IXI96" s="80"/>
      <c r="IXJ96" s="80"/>
      <c r="IXK96" s="80"/>
      <c r="IXL96" s="80"/>
      <c r="IXM96" s="80"/>
      <c r="IXN96" s="80"/>
      <c r="IXO96" s="80"/>
      <c r="IXP96" s="80"/>
      <c r="IXQ96" s="80"/>
      <c r="IXR96" s="80"/>
      <c r="IXS96" s="80"/>
      <c r="IXT96" s="80"/>
      <c r="IXU96" s="80"/>
      <c r="IXV96" s="80"/>
      <c r="IXW96" s="80"/>
      <c r="IXX96" s="80"/>
      <c r="IXY96" s="80"/>
      <c r="IXZ96" s="80"/>
      <c r="IYA96" s="80"/>
      <c r="IYB96" s="80"/>
      <c r="IYC96" s="80"/>
      <c r="IYD96" s="80"/>
      <c r="IYE96" s="80"/>
      <c r="IYF96" s="80"/>
      <c r="IYG96" s="80"/>
      <c r="IYH96" s="80"/>
      <c r="IYI96" s="80"/>
      <c r="IYJ96" s="80"/>
      <c r="IYK96" s="80"/>
      <c r="IYL96" s="80"/>
      <c r="IYM96" s="80"/>
      <c r="IYN96" s="80"/>
      <c r="IYO96" s="80"/>
      <c r="IYP96" s="80"/>
      <c r="IYQ96" s="80"/>
      <c r="IYR96" s="80"/>
      <c r="IYS96" s="80"/>
      <c r="IYT96" s="80"/>
      <c r="IYU96" s="80"/>
      <c r="IYV96" s="80"/>
      <c r="IYW96" s="80"/>
      <c r="IYX96" s="80"/>
      <c r="IYY96" s="80"/>
      <c r="IYZ96" s="80"/>
      <c r="IZA96" s="80"/>
      <c r="IZB96" s="80"/>
      <c r="IZC96" s="80"/>
      <c r="IZD96" s="80"/>
      <c r="IZE96" s="80"/>
      <c r="IZF96" s="80"/>
      <c r="IZG96" s="80"/>
      <c r="IZH96" s="80"/>
      <c r="IZI96" s="80"/>
      <c r="IZJ96" s="80"/>
      <c r="IZK96" s="80"/>
      <c r="IZL96" s="80"/>
      <c r="IZM96" s="80"/>
      <c r="IZN96" s="80"/>
      <c r="IZO96" s="80"/>
      <c r="IZP96" s="80"/>
      <c r="IZQ96" s="80"/>
      <c r="IZR96" s="80"/>
      <c r="IZS96" s="80"/>
      <c r="IZT96" s="80"/>
      <c r="IZU96" s="80"/>
      <c r="IZV96" s="80"/>
      <c r="IZW96" s="80"/>
      <c r="IZX96" s="80"/>
      <c r="IZY96" s="80"/>
      <c r="IZZ96" s="80"/>
      <c r="JAA96" s="80"/>
      <c r="JAB96" s="80"/>
      <c r="JAC96" s="80"/>
      <c r="JAD96" s="80"/>
      <c r="JAE96" s="80"/>
      <c r="JAF96" s="80"/>
      <c r="JAG96" s="80"/>
      <c r="JAH96" s="80"/>
      <c r="JAI96" s="80"/>
      <c r="JAJ96" s="80"/>
      <c r="JAK96" s="80"/>
      <c r="JAL96" s="80"/>
      <c r="JAM96" s="80"/>
      <c r="JAN96" s="80"/>
      <c r="JAO96" s="80"/>
      <c r="JAP96" s="80"/>
      <c r="JAQ96" s="80"/>
      <c r="JAR96" s="80"/>
      <c r="JAS96" s="80"/>
      <c r="JAT96" s="80"/>
      <c r="JAU96" s="80"/>
      <c r="JAV96" s="80"/>
      <c r="JAW96" s="80"/>
      <c r="JAX96" s="80"/>
      <c r="JAY96" s="80"/>
      <c r="JAZ96" s="80"/>
      <c r="JBA96" s="80"/>
      <c r="JBB96" s="80"/>
      <c r="JBC96" s="80"/>
      <c r="JBD96" s="80"/>
      <c r="JBE96" s="80"/>
      <c r="JBF96" s="80"/>
      <c r="JBG96" s="80"/>
      <c r="JBH96" s="80"/>
      <c r="JBI96" s="80"/>
      <c r="JBJ96" s="80"/>
      <c r="JBK96" s="80"/>
      <c r="JBL96" s="80"/>
      <c r="JBM96" s="80"/>
      <c r="JBN96" s="80"/>
      <c r="JBO96" s="80"/>
      <c r="JBP96" s="80"/>
      <c r="JBQ96" s="80"/>
      <c r="JBR96" s="80"/>
      <c r="JBS96" s="80"/>
      <c r="JBT96" s="80"/>
      <c r="JBU96" s="80"/>
      <c r="JBV96" s="80"/>
      <c r="JBW96" s="80"/>
      <c r="JBX96" s="80"/>
      <c r="JBY96" s="80"/>
      <c r="JBZ96" s="80"/>
      <c r="JCA96" s="80"/>
      <c r="JCB96" s="80"/>
      <c r="JCC96" s="80"/>
      <c r="JCD96" s="80"/>
      <c r="JCE96" s="80"/>
      <c r="JCF96" s="80"/>
      <c r="JCG96" s="80"/>
      <c r="JCH96" s="80"/>
      <c r="JCI96" s="80"/>
      <c r="JCJ96" s="80"/>
      <c r="JCK96" s="80"/>
      <c r="JCL96" s="80"/>
      <c r="JCM96" s="80"/>
      <c r="JCN96" s="80"/>
      <c r="JCO96" s="80"/>
      <c r="JCP96" s="80"/>
      <c r="JCQ96" s="80"/>
      <c r="JCR96" s="80"/>
      <c r="JCS96" s="80"/>
      <c r="JCT96" s="80"/>
      <c r="JCU96" s="80"/>
      <c r="JCV96" s="80"/>
      <c r="JCW96" s="80"/>
      <c r="JCX96" s="80"/>
      <c r="JCY96" s="80"/>
      <c r="JCZ96" s="80"/>
      <c r="JDA96" s="80"/>
      <c r="JDB96" s="80"/>
      <c r="JDC96" s="80"/>
      <c r="JDD96" s="80"/>
      <c r="JDE96" s="80"/>
      <c r="JDF96" s="80"/>
      <c r="JDG96" s="80"/>
      <c r="JDH96" s="80"/>
      <c r="JDI96" s="80"/>
      <c r="JDJ96" s="80"/>
      <c r="JDK96" s="80"/>
      <c r="JDL96" s="80"/>
      <c r="JDM96" s="80"/>
      <c r="JDN96" s="80"/>
      <c r="JDO96" s="80"/>
      <c r="JDP96" s="80"/>
      <c r="JDQ96" s="80"/>
      <c r="JDR96" s="80"/>
      <c r="JDS96" s="80"/>
      <c r="JDT96" s="80"/>
      <c r="JDU96" s="80"/>
      <c r="JDV96" s="80"/>
      <c r="JDW96" s="80"/>
      <c r="JDX96" s="80"/>
      <c r="JDY96" s="80"/>
      <c r="JDZ96" s="80"/>
      <c r="JEA96" s="80"/>
      <c r="JEB96" s="80"/>
      <c r="JEC96" s="80"/>
      <c r="JED96" s="80"/>
      <c r="JEE96" s="80"/>
      <c r="JEF96" s="80"/>
      <c r="JEG96" s="80"/>
      <c r="JEH96" s="80"/>
      <c r="JEI96" s="80"/>
      <c r="JEJ96" s="80"/>
      <c r="JEK96" s="80"/>
      <c r="JEL96" s="80"/>
      <c r="JEM96" s="80"/>
      <c r="JEN96" s="80"/>
      <c r="JEO96" s="80"/>
      <c r="JEP96" s="80"/>
      <c r="JEQ96" s="80"/>
      <c r="JER96" s="80"/>
      <c r="JES96" s="80"/>
      <c r="JET96" s="80"/>
      <c r="JEU96" s="80"/>
      <c r="JEV96" s="80"/>
      <c r="JEW96" s="80"/>
      <c r="JEX96" s="80"/>
      <c r="JEY96" s="80"/>
      <c r="JEZ96" s="80"/>
      <c r="JFA96" s="80"/>
      <c r="JFB96" s="80"/>
      <c r="JFC96" s="80"/>
      <c r="JFD96" s="80"/>
      <c r="JFE96" s="80"/>
      <c r="JFF96" s="80"/>
      <c r="JFG96" s="80"/>
      <c r="JFH96" s="80"/>
      <c r="JFI96" s="80"/>
      <c r="JFJ96" s="80"/>
      <c r="JFK96" s="80"/>
      <c r="JFL96" s="80"/>
      <c r="JFM96" s="80"/>
      <c r="JFN96" s="80"/>
      <c r="JFO96" s="80"/>
      <c r="JFP96" s="80"/>
      <c r="JFQ96" s="80"/>
      <c r="JFR96" s="80"/>
      <c r="JFS96" s="80"/>
      <c r="JFT96" s="80"/>
      <c r="JFU96" s="80"/>
      <c r="JFV96" s="80"/>
      <c r="JFW96" s="80"/>
      <c r="JFX96" s="80"/>
      <c r="JFY96" s="80"/>
      <c r="JFZ96" s="80"/>
      <c r="JGA96" s="80"/>
      <c r="JGB96" s="80"/>
      <c r="JGC96" s="80"/>
      <c r="JGD96" s="80"/>
      <c r="JGE96" s="80"/>
      <c r="JGF96" s="80"/>
      <c r="JGG96" s="80"/>
      <c r="JGH96" s="80"/>
      <c r="JGI96" s="80"/>
      <c r="JGJ96" s="80"/>
      <c r="JGK96" s="80"/>
      <c r="JGL96" s="80"/>
      <c r="JGM96" s="80"/>
      <c r="JGN96" s="80"/>
      <c r="JGO96" s="80"/>
      <c r="JGP96" s="80"/>
      <c r="JGQ96" s="80"/>
      <c r="JGR96" s="80"/>
      <c r="JGS96" s="80"/>
      <c r="JGT96" s="80"/>
      <c r="JGU96" s="80"/>
      <c r="JGV96" s="80"/>
      <c r="JGW96" s="80"/>
      <c r="JGX96" s="80"/>
      <c r="JGY96" s="80"/>
      <c r="JGZ96" s="80"/>
      <c r="JHA96" s="80"/>
      <c r="JHB96" s="80"/>
      <c r="JHC96" s="80"/>
      <c r="JHD96" s="80"/>
      <c r="JHE96" s="80"/>
      <c r="JHF96" s="80"/>
      <c r="JHG96" s="80"/>
      <c r="JHH96" s="80"/>
      <c r="JHI96" s="80"/>
      <c r="JHJ96" s="80"/>
      <c r="JHK96" s="80"/>
      <c r="JHL96" s="80"/>
      <c r="JHM96" s="80"/>
      <c r="JHN96" s="80"/>
      <c r="JHO96" s="80"/>
      <c r="JHP96" s="80"/>
      <c r="JHQ96" s="80"/>
      <c r="JHR96" s="80"/>
      <c r="JHS96" s="80"/>
      <c r="JHT96" s="80"/>
      <c r="JHU96" s="80"/>
      <c r="JHV96" s="80"/>
      <c r="JHW96" s="80"/>
      <c r="JHX96" s="80"/>
      <c r="JHY96" s="80"/>
      <c r="JHZ96" s="80"/>
      <c r="JIA96" s="80"/>
      <c r="JIB96" s="80"/>
      <c r="JIC96" s="80"/>
      <c r="JID96" s="80"/>
      <c r="JIE96" s="80"/>
      <c r="JIF96" s="80"/>
      <c r="JIG96" s="80"/>
      <c r="JIH96" s="80"/>
      <c r="JII96" s="80"/>
      <c r="JIJ96" s="80"/>
      <c r="JIK96" s="80"/>
      <c r="JIL96" s="80"/>
      <c r="JIM96" s="80"/>
      <c r="JIN96" s="80"/>
      <c r="JIO96" s="80"/>
      <c r="JIP96" s="80"/>
      <c r="JIQ96" s="80"/>
      <c r="JIR96" s="80"/>
      <c r="JIS96" s="80"/>
      <c r="JIT96" s="80"/>
      <c r="JIU96" s="80"/>
      <c r="JIV96" s="80"/>
      <c r="JIW96" s="80"/>
      <c r="JIX96" s="80"/>
      <c r="JIY96" s="80"/>
      <c r="JIZ96" s="80"/>
      <c r="JJA96" s="80"/>
      <c r="JJB96" s="80"/>
      <c r="JJC96" s="80"/>
      <c r="JJD96" s="80"/>
      <c r="JJE96" s="80"/>
      <c r="JJF96" s="80"/>
      <c r="JJG96" s="80"/>
      <c r="JJH96" s="80"/>
      <c r="JJI96" s="80"/>
      <c r="JJJ96" s="80"/>
      <c r="JJK96" s="80"/>
      <c r="JJL96" s="80"/>
      <c r="JJM96" s="80"/>
      <c r="JJN96" s="80"/>
      <c r="JJO96" s="80"/>
      <c r="JJP96" s="80"/>
      <c r="JJQ96" s="80"/>
      <c r="JJR96" s="80"/>
      <c r="JJS96" s="80"/>
      <c r="JJT96" s="80"/>
      <c r="JJU96" s="80"/>
      <c r="JJV96" s="80"/>
      <c r="JJW96" s="80"/>
      <c r="JJX96" s="80"/>
      <c r="JJY96" s="80"/>
      <c r="JJZ96" s="80"/>
      <c r="JKA96" s="80"/>
      <c r="JKB96" s="80"/>
      <c r="JKC96" s="80"/>
      <c r="JKD96" s="80"/>
      <c r="JKE96" s="80"/>
      <c r="JKF96" s="80"/>
      <c r="JKG96" s="80"/>
      <c r="JKH96" s="80"/>
      <c r="JKI96" s="80"/>
      <c r="JKJ96" s="80"/>
      <c r="JKK96" s="80"/>
      <c r="JKL96" s="80"/>
      <c r="JKM96" s="80"/>
      <c r="JKN96" s="80"/>
      <c r="JKO96" s="80"/>
      <c r="JKP96" s="80"/>
      <c r="JKQ96" s="80"/>
      <c r="JKR96" s="80"/>
      <c r="JKS96" s="80"/>
      <c r="JKT96" s="80"/>
      <c r="JKU96" s="80"/>
      <c r="JKV96" s="80"/>
      <c r="JKW96" s="80"/>
      <c r="JKX96" s="80"/>
      <c r="JKY96" s="80"/>
      <c r="JKZ96" s="80"/>
      <c r="JLA96" s="80"/>
      <c r="JLB96" s="80"/>
      <c r="JLC96" s="80"/>
      <c r="JLD96" s="80"/>
      <c r="JLE96" s="80"/>
      <c r="JLF96" s="80"/>
      <c r="JLG96" s="80"/>
      <c r="JLH96" s="80"/>
      <c r="JLI96" s="80"/>
      <c r="JLJ96" s="80"/>
      <c r="JLK96" s="80"/>
      <c r="JLL96" s="80"/>
      <c r="JLM96" s="80"/>
      <c r="JLN96" s="80"/>
      <c r="JLO96" s="80"/>
      <c r="JLP96" s="80"/>
      <c r="JLQ96" s="80"/>
      <c r="JLR96" s="80"/>
      <c r="JLS96" s="80"/>
      <c r="JLT96" s="80"/>
      <c r="JLU96" s="80"/>
      <c r="JLV96" s="80"/>
      <c r="JLW96" s="80"/>
      <c r="JLX96" s="80"/>
      <c r="JLY96" s="80"/>
      <c r="JLZ96" s="80"/>
      <c r="JMA96" s="80"/>
      <c r="JMB96" s="80"/>
      <c r="JMC96" s="80"/>
      <c r="JMD96" s="80"/>
      <c r="JME96" s="80"/>
      <c r="JMF96" s="80"/>
      <c r="JMG96" s="80"/>
      <c r="JMH96" s="80"/>
      <c r="JMI96" s="80"/>
      <c r="JMJ96" s="80"/>
      <c r="JMK96" s="80"/>
      <c r="JML96" s="80"/>
      <c r="JMM96" s="80"/>
      <c r="JMN96" s="80"/>
      <c r="JMO96" s="80"/>
      <c r="JMP96" s="80"/>
      <c r="JMQ96" s="80"/>
      <c r="JMR96" s="80"/>
      <c r="JMS96" s="80"/>
      <c r="JMT96" s="80"/>
      <c r="JMU96" s="80"/>
      <c r="JMV96" s="80"/>
      <c r="JMW96" s="80"/>
      <c r="JMX96" s="80"/>
      <c r="JMY96" s="80"/>
      <c r="JMZ96" s="80"/>
      <c r="JNA96" s="80"/>
      <c r="JNB96" s="80"/>
      <c r="JNC96" s="80"/>
      <c r="JND96" s="80"/>
      <c r="JNE96" s="80"/>
      <c r="JNF96" s="80"/>
      <c r="JNG96" s="80"/>
      <c r="JNH96" s="80"/>
      <c r="JNI96" s="80"/>
      <c r="JNJ96" s="80"/>
      <c r="JNK96" s="80"/>
      <c r="JNL96" s="80"/>
      <c r="JNM96" s="80"/>
      <c r="JNN96" s="80"/>
      <c r="JNO96" s="80"/>
      <c r="JNP96" s="80"/>
      <c r="JNQ96" s="80"/>
      <c r="JNR96" s="80"/>
      <c r="JNS96" s="80"/>
      <c r="JNT96" s="80"/>
      <c r="JNU96" s="80"/>
      <c r="JNV96" s="80"/>
      <c r="JNW96" s="80"/>
      <c r="JNX96" s="80"/>
      <c r="JNY96" s="80"/>
      <c r="JNZ96" s="80"/>
      <c r="JOA96" s="80"/>
      <c r="JOB96" s="80"/>
      <c r="JOC96" s="80"/>
      <c r="JOD96" s="80"/>
      <c r="JOE96" s="80"/>
      <c r="JOF96" s="80"/>
      <c r="JOG96" s="80"/>
      <c r="JOH96" s="80"/>
      <c r="JOI96" s="80"/>
      <c r="JOJ96" s="80"/>
      <c r="JOK96" s="80"/>
      <c r="JOL96" s="80"/>
      <c r="JOM96" s="80"/>
      <c r="JON96" s="80"/>
      <c r="JOO96" s="80"/>
      <c r="JOP96" s="80"/>
      <c r="JOQ96" s="80"/>
      <c r="JOR96" s="80"/>
      <c r="JOS96" s="80"/>
      <c r="JOT96" s="80"/>
      <c r="JOU96" s="80"/>
      <c r="JOV96" s="80"/>
      <c r="JOW96" s="80"/>
      <c r="JOX96" s="80"/>
      <c r="JOY96" s="80"/>
      <c r="JOZ96" s="80"/>
      <c r="JPA96" s="80"/>
      <c r="JPB96" s="80"/>
      <c r="JPC96" s="80"/>
      <c r="JPD96" s="80"/>
      <c r="JPE96" s="80"/>
      <c r="JPF96" s="80"/>
      <c r="JPG96" s="80"/>
      <c r="JPH96" s="80"/>
      <c r="JPI96" s="80"/>
      <c r="JPJ96" s="80"/>
      <c r="JPK96" s="80"/>
      <c r="JPL96" s="80"/>
      <c r="JPM96" s="80"/>
      <c r="JPN96" s="80"/>
      <c r="JPO96" s="80"/>
      <c r="JPP96" s="80"/>
      <c r="JPQ96" s="80"/>
      <c r="JPR96" s="80"/>
      <c r="JPS96" s="80"/>
      <c r="JPT96" s="80"/>
      <c r="JPU96" s="80"/>
      <c r="JPV96" s="80"/>
      <c r="JPW96" s="80"/>
      <c r="JPX96" s="80"/>
      <c r="JPY96" s="80"/>
      <c r="JPZ96" s="80"/>
      <c r="JQA96" s="80"/>
      <c r="JQB96" s="80"/>
      <c r="JQC96" s="80"/>
      <c r="JQD96" s="80"/>
      <c r="JQE96" s="80"/>
      <c r="JQF96" s="80"/>
      <c r="JQG96" s="80"/>
      <c r="JQH96" s="80"/>
      <c r="JQI96" s="80"/>
      <c r="JQJ96" s="80"/>
      <c r="JQK96" s="80"/>
      <c r="JQL96" s="80"/>
      <c r="JQM96" s="80"/>
      <c r="JQN96" s="80"/>
      <c r="JQO96" s="80"/>
      <c r="JQP96" s="80"/>
      <c r="JQQ96" s="80"/>
      <c r="JQR96" s="80"/>
      <c r="JQS96" s="80"/>
      <c r="JQT96" s="80"/>
      <c r="JQU96" s="80"/>
      <c r="JQV96" s="80"/>
      <c r="JQW96" s="80"/>
      <c r="JQX96" s="80"/>
      <c r="JQY96" s="80"/>
      <c r="JQZ96" s="80"/>
      <c r="JRA96" s="80"/>
      <c r="JRB96" s="80"/>
      <c r="JRC96" s="80"/>
      <c r="JRD96" s="80"/>
      <c r="JRE96" s="80"/>
      <c r="JRF96" s="80"/>
      <c r="JRG96" s="80"/>
      <c r="JRH96" s="80"/>
      <c r="JRI96" s="80"/>
      <c r="JRJ96" s="80"/>
      <c r="JRK96" s="80"/>
      <c r="JRL96" s="80"/>
      <c r="JRM96" s="80"/>
      <c r="JRN96" s="80"/>
      <c r="JRO96" s="80"/>
      <c r="JRP96" s="80"/>
      <c r="JRQ96" s="80"/>
      <c r="JRR96" s="80"/>
      <c r="JRS96" s="80"/>
      <c r="JRT96" s="80"/>
      <c r="JRU96" s="80"/>
      <c r="JRV96" s="80"/>
      <c r="JRW96" s="80"/>
      <c r="JRX96" s="80"/>
      <c r="JRY96" s="80"/>
      <c r="JRZ96" s="80"/>
      <c r="JSA96" s="80"/>
      <c r="JSB96" s="80"/>
      <c r="JSC96" s="80"/>
      <c r="JSD96" s="80"/>
      <c r="JSE96" s="80"/>
      <c r="JSF96" s="80"/>
      <c r="JSG96" s="80"/>
      <c r="JSH96" s="80"/>
      <c r="JSI96" s="80"/>
      <c r="JSJ96" s="80"/>
      <c r="JSK96" s="80"/>
      <c r="JSL96" s="80"/>
      <c r="JSM96" s="80"/>
      <c r="JSN96" s="80"/>
      <c r="JSO96" s="80"/>
      <c r="JSP96" s="80"/>
      <c r="JSQ96" s="80"/>
      <c r="JSR96" s="80"/>
      <c r="JSS96" s="80"/>
      <c r="JST96" s="80"/>
      <c r="JSU96" s="80"/>
      <c r="JSV96" s="80"/>
      <c r="JSW96" s="80"/>
      <c r="JSX96" s="80"/>
      <c r="JSY96" s="80"/>
      <c r="JSZ96" s="80"/>
      <c r="JTA96" s="80"/>
      <c r="JTB96" s="80"/>
      <c r="JTC96" s="80"/>
      <c r="JTD96" s="80"/>
      <c r="JTE96" s="80"/>
      <c r="JTF96" s="80"/>
      <c r="JTG96" s="80"/>
      <c r="JTH96" s="80"/>
      <c r="JTI96" s="80"/>
      <c r="JTJ96" s="80"/>
      <c r="JTK96" s="80"/>
      <c r="JTL96" s="80"/>
      <c r="JTM96" s="80"/>
      <c r="JTN96" s="80"/>
      <c r="JTO96" s="80"/>
      <c r="JTP96" s="80"/>
      <c r="JTQ96" s="80"/>
      <c r="JTR96" s="80"/>
      <c r="JTS96" s="80"/>
      <c r="JTT96" s="80"/>
      <c r="JTU96" s="80"/>
      <c r="JTV96" s="80"/>
      <c r="JTW96" s="80"/>
      <c r="JTX96" s="80"/>
      <c r="JTY96" s="80"/>
      <c r="JTZ96" s="80"/>
      <c r="JUA96" s="80"/>
      <c r="JUB96" s="80"/>
      <c r="JUC96" s="80"/>
      <c r="JUD96" s="80"/>
      <c r="JUE96" s="80"/>
      <c r="JUF96" s="80"/>
      <c r="JUG96" s="80"/>
      <c r="JUH96" s="80"/>
      <c r="JUI96" s="80"/>
      <c r="JUJ96" s="80"/>
      <c r="JUK96" s="80"/>
      <c r="JUL96" s="80"/>
      <c r="JUM96" s="80"/>
      <c r="JUN96" s="80"/>
      <c r="JUO96" s="80"/>
      <c r="JUP96" s="80"/>
      <c r="JUQ96" s="80"/>
      <c r="JUR96" s="80"/>
      <c r="JUS96" s="80"/>
      <c r="JUT96" s="80"/>
      <c r="JUU96" s="80"/>
      <c r="JUV96" s="80"/>
      <c r="JUW96" s="80"/>
      <c r="JUX96" s="80"/>
      <c r="JUY96" s="80"/>
      <c r="JUZ96" s="80"/>
      <c r="JVA96" s="80"/>
      <c r="JVB96" s="80"/>
      <c r="JVC96" s="80"/>
      <c r="JVD96" s="80"/>
      <c r="JVE96" s="80"/>
      <c r="JVF96" s="80"/>
      <c r="JVG96" s="80"/>
      <c r="JVH96" s="80"/>
      <c r="JVI96" s="80"/>
      <c r="JVJ96" s="80"/>
      <c r="JVK96" s="80"/>
      <c r="JVL96" s="80"/>
      <c r="JVM96" s="80"/>
      <c r="JVN96" s="80"/>
      <c r="JVO96" s="80"/>
      <c r="JVP96" s="80"/>
      <c r="JVQ96" s="80"/>
      <c r="JVR96" s="80"/>
      <c r="JVS96" s="80"/>
      <c r="JVT96" s="80"/>
      <c r="JVU96" s="80"/>
      <c r="JVV96" s="80"/>
      <c r="JVW96" s="80"/>
      <c r="JVX96" s="80"/>
      <c r="JVY96" s="80"/>
      <c r="JVZ96" s="80"/>
      <c r="JWA96" s="80"/>
      <c r="JWB96" s="80"/>
      <c r="JWC96" s="80"/>
      <c r="JWD96" s="80"/>
      <c r="JWE96" s="80"/>
      <c r="JWF96" s="80"/>
      <c r="JWG96" s="80"/>
      <c r="JWH96" s="80"/>
      <c r="JWI96" s="80"/>
      <c r="JWJ96" s="80"/>
      <c r="JWK96" s="80"/>
      <c r="JWL96" s="80"/>
      <c r="JWM96" s="80"/>
      <c r="JWN96" s="80"/>
      <c r="JWO96" s="80"/>
      <c r="JWP96" s="80"/>
      <c r="JWQ96" s="80"/>
      <c r="JWR96" s="80"/>
      <c r="JWS96" s="80"/>
      <c r="JWT96" s="80"/>
      <c r="JWU96" s="80"/>
      <c r="JWV96" s="80"/>
      <c r="JWW96" s="80"/>
      <c r="JWX96" s="80"/>
      <c r="JWY96" s="80"/>
      <c r="JWZ96" s="80"/>
      <c r="JXA96" s="80"/>
      <c r="JXB96" s="80"/>
      <c r="JXC96" s="80"/>
      <c r="JXD96" s="80"/>
      <c r="JXE96" s="80"/>
      <c r="JXF96" s="80"/>
      <c r="JXG96" s="80"/>
      <c r="JXH96" s="80"/>
      <c r="JXI96" s="80"/>
      <c r="JXJ96" s="80"/>
      <c r="JXK96" s="80"/>
      <c r="JXL96" s="80"/>
      <c r="JXM96" s="80"/>
      <c r="JXN96" s="80"/>
      <c r="JXO96" s="80"/>
      <c r="JXP96" s="80"/>
      <c r="JXQ96" s="80"/>
      <c r="JXR96" s="80"/>
      <c r="JXS96" s="80"/>
      <c r="JXT96" s="80"/>
      <c r="JXU96" s="80"/>
      <c r="JXV96" s="80"/>
      <c r="JXW96" s="80"/>
      <c r="JXX96" s="80"/>
      <c r="JXY96" s="80"/>
      <c r="JXZ96" s="80"/>
      <c r="JYA96" s="80"/>
      <c r="JYB96" s="80"/>
      <c r="JYC96" s="80"/>
      <c r="JYD96" s="80"/>
      <c r="JYE96" s="80"/>
      <c r="JYF96" s="80"/>
      <c r="JYG96" s="80"/>
      <c r="JYH96" s="80"/>
      <c r="JYI96" s="80"/>
      <c r="JYJ96" s="80"/>
      <c r="JYK96" s="80"/>
      <c r="JYL96" s="80"/>
      <c r="JYM96" s="80"/>
      <c r="JYN96" s="80"/>
      <c r="JYO96" s="80"/>
      <c r="JYP96" s="80"/>
      <c r="JYQ96" s="80"/>
      <c r="JYR96" s="80"/>
      <c r="JYS96" s="80"/>
      <c r="JYT96" s="80"/>
      <c r="JYU96" s="80"/>
      <c r="JYV96" s="80"/>
      <c r="JYW96" s="80"/>
      <c r="JYX96" s="80"/>
      <c r="JYY96" s="80"/>
      <c r="JYZ96" s="80"/>
      <c r="JZA96" s="80"/>
      <c r="JZB96" s="80"/>
      <c r="JZC96" s="80"/>
      <c r="JZD96" s="80"/>
      <c r="JZE96" s="80"/>
      <c r="JZF96" s="80"/>
      <c r="JZG96" s="80"/>
      <c r="JZH96" s="80"/>
      <c r="JZI96" s="80"/>
      <c r="JZJ96" s="80"/>
      <c r="JZK96" s="80"/>
      <c r="JZL96" s="80"/>
      <c r="JZM96" s="80"/>
      <c r="JZN96" s="80"/>
      <c r="JZO96" s="80"/>
      <c r="JZP96" s="80"/>
      <c r="JZQ96" s="80"/>
      <c r="JZR96" s="80"/>
      <c r="JZS96" s="80"/>
      <c r="JZT96" s="80"/>
      <c r="JZU96" s="80"/>
      <c r="JZV96" s="80"/>
      <c r="JZW96" s="80"/>
      <c r="JZX96" s="80"/>
      <c r="JZY96" s="80"/>
      <c r="JZZ96" s="80"/>
      <c r="KAA96" s="80"/>
      <c r="KAB96" s="80"/>
      <c r="KAC96" s="80"/>
      <c r="KAD96" s="80"/>
      <c r="KAE96" s="80"/>
      <c r="KAF96" s="80"/>
      <c r="KAG96" s="80"/>
      <c r="KAH96" s="80"/>
      <c r="KAI96" s="80"/>
      <c r="KAJ96" s="80"/>
      <c r="KAK96" s="80"/>
      <c r="KAL96" s="80"/>
      <c r="KAM96" s="80"/>
      <c r="KAN96" s="80"/>
      <c r="KAO96" s="80"/>
      <c r="KAP96" s="80"/>
      <c r="KAQ96" s="80"/>
      <c r="KAR96" s="80"/>
      <c r="KAS96" s="80"/>
      <c r="KAT96" s="80"/>
      <c r="KAU96" s="80"/>
      <c r="KAV96" s="80"/>
      <c r="KAW96" s="80"/>
      <c r="KAX96" s="80"/>
      <c r="KAY96" s="80"/>
      <c r="KAZ96" s="80"/>
      <c r="KBA96" s="80"/>
      <c r="KBB96" s="80"/>
      <c r="KBC96" s="80"/>
      <c r="KBD96" s="80"/>
      <c r="KBE96" s="80"/>
      <c r="KBF96" s="80"/>
      <c r="KBG96" s="80"/>
      <c r="KBH96" s="80"/>
      <c r="KBI96" s="80"/>
      <c r="KBJ96" s="80"/>
      <c r="KBK96" s="80"/>
      <c r="KBL96" s="80"/>
      <c r="KBM96" s="80"/>
      <c r="KBN96" s="80"/>
      <c r="KBO96" s="80"/>
      <c r="KBP96" s="80"/>
      <c r="KBQ96" s="80"/>
      <c r="KBR96" s="80"/>
      <c r="KBS96" s="80"/>
      <c r="KBT96" s="80"/>
      <c r="KBU96" s="80"/>
      <c r="KBV96" s="80"/>
      <c r="KBW96" s="80"/>
      <c r="KBX96" s="80"/>
      <c r="KBY96" s="80"/>
      <c r="KBZ96" s="80"/>
      <c r="KCA96" s="80"/>
      <c r="KCB96" s="80"/>
      <c r="KCC96" s="80"/>
      <c r="KCD96" s="80"/>
      <c r="KCE96" s="80"/>
      <c r="KCF96" s="80"/>
      <c r="KCG96" s="80"/>
      <c r="KCH96" s="80"/>
      <c r="KCI96" s="80"/>
      <c r="KCJ96" s="80"/>
      <c r="KCK96" s="80"/>
      <c r="KCL96" s="80"/>
      <c r="KCM96" s="80"/>
      <c r="KCN96" s="80"/>
      <c r="KCO96" s="80"/>
      <c r="KCP96" s="80"/>
      <c r="KCQ96" s="80"/>
      <c r="KCR96" s="80"/>
      <c r="KCS96" s="80"/>
      <c r="KCT96" s="80"/>
      <c r="KCU96" s="80"/>
      <c r="KCV96" s="80"/>
      <c r="KCW96" s="80"/>
      <c r="KCX96" s="80"/>
      <c r="KCY96" s="80"/>
      <c r="KCZ96" s="80"/>
      <c r="KDA96" s="80"/>
      <c r="KDB96" s="80"/>
      <c r="KDC96" s="80"/>
      <c r="KDD96" s="80"/>
      <c r="KDE96" s="80"/>
      <c r="KDF96" s="80"/>
      <c r="KDG96" s="80"/>
      <c r="KDH96" s="80"/>
      <c r="KDI96" s="80"/>
      <c r="KDJ96" s="80"/>
      <c r="KDK96" s="80"/>
      <c r="KDL96" s="80"/>
      <c r="KDM96" s="80"/>
      <c r="KDN96" s="80"/>
      <c r="KDO96" s="80"/>
      <c r="KDP96" s="80"/>
      <c r="KDQ96" s="80"/>
      <c r="KDR96" s="80"/>
      <c r="KDS96" s="80"/>
      <c r="KDT96" s="80"/>
      <c r="KDU96" s="80"/>
      <c r="KDV96" s="80"/>
      <c r="KDW96" s="80"/>
      <c r="KDX96" s="80"/>
      <c r="KDY96" s="80"/>
      <c r="KDZ96" s="80"/>
      <c r="KEA96" s="80"/>
      <c r="KEB96" s="80"/>
      <c r="KEC96" s="80"/>
      <c r="KED96" s="80"/>
      <c r="KEE96" s="80"/>
      <c r="KEF96" s="80"/>
      <c r="KEG96" s="80"/>
      <c r="KEH96" s="80"/>
      <c r="KEI96" s="80"/>
      <c r="KEJ96" s="80"/>
      <c r="KEK96" s="80"/>
      <c r="KEL96" s="80"/>
      <c r="KEM96" s="80"/>
      <c r="KEN96" s="80"/>
      <c r="KEO96" s="80"/>
      <c r="KEP96" s="80"/>
      <c r="KEQ96" s="80"/>
      <c r="KER96" s="80"/>
      <c r="KES96" s="80"/>
      <c r="KET96" s="80"/>
      <c r="KEU96" s="80"/>
      <c r="KEV96" s="80"/>
      <c r="KEW96" s="80"/>
      <c r="KEX96" s="80"/>
      <c r="KEY96" s="80"/>
      <c r="KEZ96" s="80"/>
      <c r="KFA96" s="80"/>
      <c r="KFB96" s="80"/>
      <c r="KFC96" s="80"/>
      <c r="KFD96" s="80"/>
      <c r="KFE96" s="80"/>
      <c r="KFF96" s="80"/>
      <c r="KFG96" s="80"/>
      <c r="KFH96" s="80"/>
      <c r="KFI96" s="80"/>
      <c r="KFJ96" s="80"/>
      <c r="KFK96" s="80"/>
      <c r="KFL96" s="80"/>
      <c r="KFM96" s="80"/>
      <c r="KFN96" s="80"/>
      <c r="KFO96" s="80"/>
      <c r="KFP96" s="80"/>
      <c r="KFQ96" s="80"/>
      <c r="KFR96" s="80"/>
      <c r="KFS96" s="80"/>
      <c r="KFT96" s="80"/>
      <c r="KFU96" s="80"/>
      <c r="KFV96" s="80"/>
      <c r="KFW96" s="80"/>
      <c r="KFX96" s="80"/>
      <c r="KFY96" s="80"/>
      <c r="KFZ96" s="80"/>
      <c r="KGA96" s="80"/>
      <c r="KGB96" s="80"/>
      <c r="KGC96" s="80"/>
      <c r="KGD96" s="80"/>
      <c r="KGE96" s="80"/>
      <c r="KGF96" s="80"/>
      <c r="KGG96" s="80"/>
      <c r="KGH96" s="80"/>
      <c r="KGI96" s="80"/>
      <c r="KGJ96" s="80"/>
      <c r="KGK96" s="80"/>
      <c r="KGL96" s="80"/>
      <c r="KGM96" s="80"/>
      <c r="KGN96" s="80"/>
      <c r="KGO96" s="80"/>
      <c r="KGP96" s="80"/>
      <c r="KGQ96" s="80"/>
      <c r="KGR96" s="80"/>
      <c r="KGS96" s="80"/>
      <c r="KGT96" s="80"/>
      <c r="KGU96" s="80"/>
      <c r="KGV96" s="80"/>
      <c r="KGW96" s="80"/>
      <c r="KGX96" s="80"/>
      <c r="KGY96" s="80"/>
      <c r="KGZ96" s="80"/>
      <c r="KHA96" s="80"/>
      <c r="KHB96" s="80"/>
      <c r="KHC96" s="80"/>
      <c r="KHD96" s="80"/>
      <c r="KHE96" s="80"/>
      <c r="KHF96" s="80"/>
      <c r="KHG96" s="80"/>
      <c r="KHH96" s="80"/>
      <c r="KHI96" s="80"/>
      <c r="KHJ96" s="80"/>
      <c r="KHK96" s="80"/>
      <c r="KHL96" s="80"/>
      <c r="KHM96" s="80"/>
      <c r="KHN96" s="80"/>
      <c r="KHO96" s="80"/>
      <c r="KHP96" s="80"/>
      <c r="KHQ96" s="80"/>
      <c r="KHR96" s="80"/>
      <c r="KHS96" s="80"/>
      <c r="KHT96" s="80"/>
      <c r="KHU96" s="80"/>
      <c r="KHV96" s="80"/>
      <c r="KHW96" s="80"/>
      <c r="KHX96" s="80"/>
      <c r="KHY96" s="80"/>
      <c r="KHZ96" s="80"/>
      <c r="KIA96" s="80"/>
      <c r="KIB96" s="80"/>
      <c r="KIC96" s="80"/>
      <c r="KID96" s="80"/>
      <c r="KIE96" s="80"/>
      <c r="KIF96" s="80"/>
      <c r="KIG96" s="80"/>
      <c r="KIH96" s="80"/>
      <c r="KII96" s="80"/>
      <c r="KIJ96" s="80"/>
      <c r="KIK96" s="80"/>
      <c r="KIL96" s="80"/>
      <c r="KIM96" s="80"/>
      <c r="KIN96" s="80"/>
      <c r="KIO96" s="80"/>
      <c r="KIP96" s="80"/>
      <c r="KIQ96" s="80"/>
      <c r="KIR96" s="80"/>
      <c r="KIS96" s="80"/>
      <c r="KIT96" s="80"/>
      <c r="KIU96" s="80"/>
      <c r="KIV96" s="80"/>
      <c r="KIW96" s="80"/>
      <c r="KIX96" s="80"/>
      <c r="KIY96" s="80"/>
      <c r="KIZ96" s="80"/>
      <c r="KJA96" s="80"/>
      <c r="KJB96" s="80"/>
      <c r="KJC96" s="80"/>
      <c r="KJD96" s="80"/>
      <c r="KJE96" s="80"/>
      <c r="KJF96" s="80"/>
      <c r="KJG96" s="80"/>
      <c r="KJH96" s="80"/>
      <c r="KJI96" s="80"/>
      <c r="KJJ96" s="80"/>
      <c r="KJK96" s="80"/>
      <c r="KJL96" s="80"/>
      <c r="KJM96" s="80"/>
      <c r="KJN96" s="80"/>
      <c r="KJO96" s="80"/>
      <c r="KJP96" s="80"/>
      <c r="KJQ96" s="80"/>
      <c r="KJR96" s="80"/>
      <c r="KJS96" s="80"/>
      <c r="KJT96" s="80"/>
      <c r="KJU96" s="80"/>
      <c r="KJV96" s="80"/>
      <c r="KJW96" s="80"/>
      <c r="KJX96" s="80"/>
      <c r="KJY96" s="80"/>
      <c r="KJZ96" s="80"/>
      <c r="KKA96" s="80"/>
      <c r="KKB96" s="80"/>
      <c r="KKC96" s="80"/>
      <c r="KKD96" s="80"/>
      <c r="KKE96" s="80"/>
      <c r="KKF96" s="80"/>
      <c r="KKG96" s="80"/>
      <c r="KKH96" s="80"/>
      <c r="KKI96" s="80"/>
      <c r="KKJ96" s="80"/>
      <c r="KKK96" s="80"/>
      <c r="KKL96" s="80"/>
      <c r="KKM96" s="80"/>
      <c r="KKN96" s="80"/>
      <c r="KKO96" s="80"/>
      <c r="KKP96" s="80"/>
      <c r="KKQ96" s="80"/>
      <c r="KKR96" s="80"/>
      <c r="KKS96" s="80"/>
      <c r="KKT96" s="80"/>
      <c r="KKU96" s="80"/>
      <c r="KKV96" s="80"/>
      <c r="KKW96" s="80"/>
      <c r="KKX96" s="80"/>
      <c r="KKY96" s="80"/>
      <c r="KKZ96" s="80"/>
      <c r="KLA96" s="80"/>
      <c r="KLB96" s="80"/>
      <c r="KLC96" s="80"/>
      <c r="KLD96" s="80"/>
      <c r="KLE96" s="80"/>
      <c r="KLF96" s="80"/>
      <c r="KLG96" s="80"/>
      <c r="KLH96" s="80"/>
      <c r="KLI96" s="80"/>
      <c r="KLJ96" s="80"/>
      <c r="KLK96" s="80"/>
      <c r="KLL96" s="80"/>
      <c r="KLM96" s="80"/>
      <c r="KLN96" s="80"/>
      <c r="KLO96" s="80"/>
      <c r="KLP96" s="80"/>
      <c r="KLQ96" s="80"/>
      <c r="KLR96" s="80"/>
      <c r="KLS96" s="80"/>
      <c r="KLT96" s="80"/>
      <c r="KLU96" s="80"/>
      <c r="KLV96" s="80"/>
      <c r="KLW96" s="80"/>
      <c r="KLX96" s="80"/>
      <c r="KLY96" s="80"/>
      <c r="KLZ96" s="80"/>
      <c r="KMA96" s="80"/>
      <c r="KMB96" s="80"/>
      <c r="KMC96" s="80"/>
      <c r="KMD96" s="80"/>
      <c r="KME96" s="80"/>
      <c r="KMF96" s="80"/>
      <c r="KMG96" s="80"/>
      <c r="KMH96" s="80"/>
      <c r="KMI96" s="80"/>
      <c r="KMJ96" s="80"/>
      <c r="KMK96" s="80"/>
      <c r="KML96" s="80"/>
      <c r="KMM96" s="80"/>
      <c r="KMN96" s="80"/>
      <c r="KMO96" s="80"/>
      <c r="KMP96" s="80"/>
      <c r="KMQ96" s="80"/>
      <c r="KMR96" s="80"/>
      <c r="KMS96" s="80"/>
      <c r="KMT96" s="80"/>
      <c r="KMU96" s="80"/>
      <c r="KMV96" s="80"/>
      <c r="KMW96" s="80"/>
      <c r="KMX96" s="80"/>
      <c r="KMY96" s="80"/>
      <c r="KMZ96" s="80"/>
      <c r="KNA96" s="80"/>
      <c r="KNB96" s="80"/>
      <c r="KNC96" s="80"/>
      <c r="KND96" s="80"/>
      <c r="KNE96" s="80"/>
      <c r="KNF96" s="80"/>
      <c r="KNG96" s="80"/>
      <c r="KNH96" s="80"/>
      <c r="KNI96" s="80"/>
      <c r="KNJ96" s="80"/>
      <c r="KNK96" s="80"/>
      <c r="KNL96" s="80"/>
      <c r="KNM96" s="80"/>
      <c r="KNN96" s="80"/>
      <c r="KNO96" s="80"/>
      <c r="KNP96" s="80"/>
      <c r="KNQ96" s="80"/>
      <c r="KNR96" s="80"/>
      <c r="KNS96" s="80"/>
      <c r="KNT96" s="80"/>
      <c r="KNU96" s="80"/>
      <c r="KNV96" s="80"/>
      <c r="KNW96" s="80"/>
      <c r="KNX96" s="80"/>
      <c r="KNY96" s="80"/>
      <c r="KNZ96" s="80"/>
      <c r="KOA96" s="80"/>
      <c r="KOB96" s="80"/>
      <c r="KOC96" s="80"/>
      <c r="KOD96" s="80"/>
      <c r="KOE96" s="80"/>
      <c r="KOF96" s="80"/>
      <c r="KOG96" s="80"/>
      <c r="KOH96" s="80"/>
      <c r="KOI96" s="80"/>
      <c r="KOJ96" s="80"/>
      <c r="KOK96" s="80"/>
      <c r="KOL96" s="80"/>
      <c r="KOM96" s="80"/>
      <c r="KON96" s="80"/>
      <c r="KOO96" s="80"/>
      <c r="KOP96" s="80"/>
      <c r="KOQ96" s="80"/>
      <c r="KOR96" s="80"/>
      <c r="KOS96" s="80"/>
      <c r="KOT96" s="80"/>
      <c r="KOU96" s="80"/>
      <c r="KOV96" s="80"/>
      <c r="KOW96" s="80"/>
      <c r="KOX96" s="80"/>
      <c r="KOY96" s="80"/>
      <c r="KOZ96" s="80"/>
      <c r="KPA96" s="80"/>
      <c r="KPB96" s="80"/>
      <c r="KPC96" s="80"/>
      <c r="KPD96" s="80"/>
      <c r="KPE96" s="80"/>
      <c r="KPF96" s="80"/>
      <c r="KPG96" s="80"/>
      <c r="KPH96" s="80"/>
      <c r="KPI96" s="80"/>
      <c r="KPJ96" s="80"/>
      <c r="KPK96" s="80"/>
      <c r="KPL96" s="80"/>
      <c r="KPM96" s="80"/>
      <c r="KPN96" s="80"/>
      <c r="KPO96" s="80"/>
      <c r="KPP96" s="80"/>
      <c r="KPQ96" s="80"/>
      <c r="KPR96" s="80"/>
      <c r="KPS96" s="80"/>
      <c r="KPT96" s="80"/>
      <c r="KPU96" s="80"/>
      <c r="KPV96" s="80"/>
      <c r="KPW96" s="80"/>
      <c r="KPX96" s="80"/>
      <c r="KPY96" s="80"/>
      <c r="KPZ96" s="80"/>
      <c r="KQA96" s="80"/>
      <c r="KQB96" s="80"/>
      <c r="KQC96" s="80"/>
      <c r="KQD96" s="80"/>
      <c r="KQE96" s="80"/>
      <c r="KQF96" s="80"/>
      <c r="KQG96" s="80"/>
      <c r="KQH96" s="80"/>
      <c r="KQI96" s="80"/>
      <c r="KQJ96" s="80"/>
      <c r="KQK96" s="80"/>
      <c r="KQL96" s="80"/>
      <c r="KQM96" s="80"/>
      <c r="KQN96" s="80"/>
      <c r="KQO96" s="80"/>
      <c r="KQP96" s="80"/>
      <c r="KQQ96" s="80"/>
      <c r="KQR96" s="80"/>
      <c r="KQS96" s="80"/>
      <c r="KQT96" s="80"/>
      <c r="KQU96" s="80"/>
      <c r="KQV96" s="80"/>
      <c r="KQW96" s="80"/>
      <c r="KQX96" s="80"/>
      <c r="KQY96" s="80"/>
      <c r="KQZ96" s="80"/>
      <c r="KRA96" s="80"/>
      <c r="KRB96" s="80"/>
      <c r="KRC96" s="80"/>
      <c r="KRD96" s="80"/>
      <c r="KRE96" s="80"/>
      <c r="KRF96" s="80"/>
      <c r="KRG96" s="80"/>
      <c r="KRH96" s="80"/>
      <c r="KRI96" s="80"/>
      <c r="KRJ96" s="80"/>
      <c r="KRK96" s="80"/>
      <c r="KRL96" s="80"/>
      <c r="KRM96" s="80"/>
      <c r="KRN96" s="80"/>
      <c r="KRO96" s="80"/>
      <c r="KRP96" s="80"/>
      <c r="KRQ96" s="80"/>
      <c r="KRR96" s="80"/>
      <c r="KRS96" s="80"/>
      <c r="KRT96" s="80"/>
      <c r="KRU96" s="80"/>
      <c r="KRV96" s="80"/>
      <c r="KRW96" s="80"/>
      <c r="KRX96" s="80"/>
      <c r="KRY96" s="80"/>
      <c r="KRZ96" s="80"/>
      <c r="KSA96" s="80"/>
      <c r="KSB96" s="80"/>
      <c r="KSC96" s="80"/>
      <c r="KSD96" s="80"/>
      <c r="KSE96" s="80"/>
      <c r="KSF96" s="80"/>
      <c r="KSG96" s="80"/>
      <c r="KSH96" s="80"/>
      <c r="KSI96" s="80"/>
      <c r="KSJ96" s="80"/>
      <c r="KSK96" s="80"/>
      <c r="KSL96" s="80"/>
      <c r="KSM96" s="80"/>
      <c r="KSN96" s="80"/>
      <c r="KSO96" s="80"/>
      <c r="KSP96" s="80"/>
      <c r="KSQ96" s="80"/>
      <c r="KSR96" s="80"/>
      <c r="KSS96" s="80"/>
      <c r="KST96" s="80"/>
      <c r="KSU96" s="80"/>
      <c r="KSV96" s="80"/>
      <c r="KSW96" s="80"/>
      <c r="KSX96" s="80"/>
      <c r="KSY96" s="80"/>
      <c r="KSZ96" s="80"/>
      <c r="KTA96" s="80"/>
      <c r="KTB96" s="80"/>
      <c r="KTC96" s="80"/>
      <c r="KTD96" s="80"/>
      <c r="KTE96" s="80"/>
      <c r="KTF96" s="80"/>
      <c r="KTG96" s="80"/>
      <c r="KTH96" s="80"/>
      <c r="KTI96" s="80"/>
      <c r="KTJ96" s="80"/>
      <c r="KTK96" s="80"/>
      <c r="KTL96" s="80"/>
      <c r="KTM96" s="80"/>
      <c r="KTN96" s="80"/>
      <c r="KTO96" s="80"/>
      <c r="KTP96" s="80"/>
      <c r="KTQ96" s="80"/>
      <c r="KTR96" s="80"/>
      <c r="KTS96" s="80"/>
      <c r="KTT96" s="80"/>
      <c r="KTU96" s="80"/>
      <c r="KTV96" s="80"/>
      <c r="KTW96" s="80"/>
      <c r="KTX96" s="80"/>
      <c r="KTY96" s="80"/>
      <c r="KTZ96" s="80"/>
      <c r="KUA96" s="80"/>
      <c r="KUB96" s="80"/>
      <c r="KUC96" s="80"/>
      <c r="KUD96" s="80"/>
      <c r="KUE96" s="80"/>
      <c r="KUF96" s="80"/>
      <c r="KUG96" s="80"/>
      <c r="KUH96" s="80"/>
      <c r="KUI96" s="80"/>
      <c r="KUJ96" s="80"/>
      <c r="KUK96" s="80"/>
      <c r="KUL96" s="80"/>
      <c r="KUM96" s="80"/>
      <c r="KUN96" s="80"/>
      <c r="KUO96" s="80"/>
      <c r="KUP96" s="80"/>
      <c r="KUQ96" s="80"/>
      <c r="KUR96" s="80"/>
      <c r="KUS96" s="80"/>
      <c r="KUT96" s="80"/>
      <c r="KUU96" s="80"/>
      <c r="KUV96" s="80"/>
      <c r="KUW96" s="80"/>
      <c r="KUX96" s="80"/>
      <c r="KUY96" s="80"/>
      <c r="KUZ96" s="80"/>
      <c r="KVA96" s="80"/>
      <c r="KVB96" s="80"/>
      <c r="KVC96" s="80"/>
      <c r="KVD96" s="80"/>
      <c r="KVE96" s="80"/>
      <c r="KVF96" s="80"/>
      <c r="KVG96" s="80"/>
      <c r="KVH96" s="80"/>
      <c r="KVI96" s="80"/>
      <c r="KVJ96" s="80"/>
      <c r="KVK96" s="80"/>
      <c r="KVL96" s="80"/>
      <c r="KVM96" s="80"/>
      <c r="KVN96" s="80"/>
      <c r="KVO96" s="80"/>
      <c r="KVP96" s="80"/>
      <c r="KVQ96" s="80"/>
      <c r="KVR96" s="80"/>
      <c r="KVS96" s="80"/>
      <c r="KVT96" s="80"/>
      <c r="KVU96" s="80"/>
      <c r="KVV96" s="80"/>
      <c r="KVW96" s="80"/>
      <c r="KVX96" s="80"/>
      <c r="KVY96" s="80"/>
      <c r="KVZ96" s="80"/>
      <c r="KWA96" s="80"/>
      <c r="KWB96" s="80"/>
      <c r="KWC96" s="80"/>
      <c r="KWD96" s="80"/>
      <c r="KWE96" s="80"/>
      <c r="KWF96" s="80"/>
      <c r="KWG96" s="80"/>
      <c r="KWH96" s="80"/>
      <c r="KWI96" s="80"/>
      <c r="KWJ96" s="80"/>
      <c r="KWK96" s="80"/>
      <c r="KWL96" s="80"/>
      <c r="KWM96" s="80"/>
      <c r="KWN96" s="80"/>
      <c r="KWO96" s="80"/>
      <c r="KWP96" s="80"/>
      <c r="KWQ96" s="80"/>
      <c r="KWR96" s="80"/>
      <c r="KWS96" s="80"/>
      <c r="KWT96" s="80"/>
      <c r="KWU96" s="80"/>
      <c r="KWV96" s="80"/>
      <c r="KWW96" s="80"/>
      <c r="KWX96" s="80"/>
      <c r="KWY96" s="80"/>
      <c r="KWZ96" s="80"/>
      <c r="KXA96" s="80"/>
      <c r="KXB96" s="80"/>
      <c r="KXC96" s="80"/>
      <c r="KXD96" s="80"/>
      <c r="KXE96" s="80"/>
      <c r="KXF96" s="80"/>
      <c r="KXG96" s="80"/>
      <c r="KXH96" s="80"/>
      <c r="KXI96" s="80"/>
      <c r="KXJ96" s="80"/>
      <c r="KXK96" s="80"/>
      <c r="KXL96" s="80"/>
      <c r="KXM96" s="80"/>
      <c r="KXN96" s="80"/>
      <c r="KXO96" s="80"/>
      <c r="KXP96" s="80"/>
      <c r="KXQ96" s="80"/>
      <c r="KXR96" s="80"/>
      <c r="KXS96" s="80"/>
      <c r="KXT96" s="80"/>
      <c r="KXU96" s="80"/>
      <c r="KXV96" s="80"/>
      <c r="KXW96" s="80"/>
      <c r="KXX96" s="80"/>
      <c r="KXY96" s="80"/>
      <c r="KXZ96" s="80"/>
      <c r="KYA96" s="80"/>
      <c r="KYB96" s="80"/>
      <c r="KYC96" s="80"/>
      <c r="KYD96" s="80"/>
      <c r="KYE96" s="80"/>
      <c r="KYF96" s="80"/>
      <c r="KYG96" s="80"/>
      <c r="KYH96" s="80"/>
      <c r="KYI96" s="80"/>
      <c r="KYJ96" s="80"/>
      <c r="KYK96" s="80"/>
      <c r="KYL96" s="80"/>
      <c r="KYM96" s="80"/>
      <c r="KYN96" s="80"/>
      <c r="KYO96" s="80"/>
      <c r="KYP96" s="80"/>
      <c r="KYQ96" s="80"/>
      <c r="KYR96" s="80"/>
      <c r="KYS96" s="80"/>
      <c r="KYT96" s="80"/>
      <c r="KYU96" s="80"/>
      <c r="KYV96" s="80"/>
      <c r="KYW96" s="80"/>
      <c r="KYX96" s="80"/>
      <c r="KYY96" s="80"/>
      <c r="KYZ96" s="80"/>
      <c r="KZA96" s="80"/>
      <c r="KZB96" s="80"/>
      <c r="KZC96" s="80"/>
      <c r="KZD96" s="80"/>
      <c r="KZE96" s="80"/>
      <c r="KZF96" s="80"/>
      <c r="KZG96" s="80"/>
      <c r="KZH96" s="80"/>
      <c r="KZI96" s="80"/>
      <c r="KZJ96" s="80"/>
      <c r="KZK96" s="80"/>
      <c r="KZL96" s="80"/>
      <c r="KZM96" s="80"/>
      <c r="KZN96" s="80"/>
      <c r="KZO96" s="80"/>
      <c r="KZP96" s="80"/>
      <c r="KZQ96" s="80"/>
      <c r="KZR96" s="80"/>
      <c r="KZS96" s="80"/>
      <c r="KZT96" s="80"/>
      <c r="KZU96" s="80"/>
      <c r="KZV96" s="80"/>
      <c r="KZW96" s="80"/>
      <c r="KZX96" s="80"/>
      <c r="KZY96" s="80"/>
      <c r="KZZ96" s="80"/>
      <c r="LAA96" s="80"/>
      <c r="LAB96" s="80"/>
      <c r="LAC96" s="80"/>
      <c r="LAD96" s="80"/>
      <c r="LAE96" s="80"/>
      <c r="LAF96" s="80"/>
      <c r="LAG96" s="80"/>
      <c r="LAH96" s="80"/>
      <c r="LAI96" s="80"/>
      <c r="LAJ96" s="80"/>
      <c r="LAK96" s="80"/>
      <c r="LAL96" s="80"/>
      <c r="LAM96" s="80"/>
      <c r="LAN96" s="80"/>
      <c r="LAO96" s="80"/>
      <c r="LAP96" s="80"/>
      <c r="LAQ96" s="80"/>
      <c r="LAR96" s="80"/>
      <c r="LAS96" s="80"/>
      <c r="LAT96" s="80"/>
      <c r="LAU96" s="80"/>
      <c r="LAV96" s="80"/>
      <c r="LAW96" s="80"/>
      <c r="LAX96" s="80"/>
      <c r="LAY96" s="80"/>
      <c r="LAZ96" s="80"/>
      <c r="LBA96" s="80"/>
      <c r="LBB96" s="80"/>
      <c r="LBC96" s="80"/>
      <c r="LBD96" s="80"/>
      <c r="LBE96" s="80"/>
      <c r="LBF96" s="80"/>
      <c r="LBG96" s="80"/>
      <c r="LBH96" s="80"/>
      <c r="LBI96" s="80"/>
      <c r="LBJ96" s="80"/>
      <c r="LBK96" s="80"/>
      <c r="LBL96" s="80"/>
      <c r="LBM96" s="80"/>
      <c r="LBN96" s="80"/>
      <c r="LBO96" s="80"/>
      <c r="LBP96" s="80"/>
      <c r="LBQ96" s="80"/>
      <c r="LBR96" s="80"/>
      <c r="LBS96" s="80"/>
      <c r="LBT96" s="80"/>
      <c r="LBU96" s="80"/>
      <c r="LBV96" s="80"/>
      <c r="LBW96" s="80"/>
      <c r="LBX96" s="80"/>
      <c r="LBY96" s="80"/>
      <c r="LBZ96" s="80"/>
      <c r="LCA96" s="80"/>
      <c r="LCB96" s="80"/>
      <c r="LCC96" s="80"/>
      <c r="LCD96" s="80"/>
      <c r="LCE96" s="80"/>
      <c r="LCF96" s="80"/>
      <c r="LCG96" s="80"/>
      <c r="LCH96" s="80"/>
      <c r="LCI96" s="80"/>
      <c r="LCJ96" s="80"/>
      <c r="LCK96" s="80"/>
      <c r="LCL96" s="80"/>
      <c r="LCM96" s="80"/>
      <c r="LCN96" s="80"/>
      <c r="LCO96" s="80"/>
      <c r="LCP96" s="80"/>
      <c r="LCQ96" s="80"/>
      <c r="LCR96" s="80"/>
      <c r="LCS96" s="80"/>
      <c r="LCT96" s="80"/>
      <c r="LCU96" s="80"/>
      <c r="LCV96" s="80"/>
      <c r="LCW96" s="80"/>
      <c r="LCX96" s="80"/>
      <c r="LCY96" s="80"/>
      <c r="LCZ96" s="80"/>
      <c r="LDA96" s="80"/>
      <c r="LDB96" s="80"/>
      <c r="LDC96" s="80"/>
      <c r="LDD96" s="80"/>
      <c r="LDE96" s="80"/>
      <c r="LDF96" s="80"/>
      <c r="LDG96" s="80"/>
      <c r="LDH96" s="80"/>
      <c r="LDI96" s="80"/>
      <c r="LDJ96" s="80"/>
      <c r="LDK96" s="80"/>
      <c r="LDL96" s="80"/>
      <c r="LDM96" s="80"/>
      <c r="LDN96" s="80"/>
      <c r="LDO96" s="80"/>
      <c r="LDP96" s="80"/>
      <c r="LDQ96" s="80"/>
      <c r="LDR96" s="80"/>
      <c r="LDS96" s="80"/>
      <c r="LDT96" s="80"/>
      <c r="LDU96" s="80"/>
      <c r="LDV96" s="80"/>
      <c r="LDW96" s="80"/>
      <c r="LDX96" s="80"/>
      <c r="LDY96" s="80"/>
      <c r="LDZ96" s="80"/>
      <c r="LEA96" s="80"/>
      <c r="LEB96" s="80"/>
      <c r="LEC96" s="80"/>
      <c r="LED96" s="80"/>
      <c r="LEE96" s="80"/>
      <c r="LEF96" s="80"/>
      <c r="LEG96" s="80"/>
      <c r="LEH96" s="80"/>
      <c r="LEI96" s="80"/>
      <c r="LEJ96" s="80"/>
      <c r="LEK96" s="80"/>
      <c r="LEL96" s="80"/>
      <c r="LEM96" s="80"/>
      <c r="LEN96" s="80"/>
      <c r="LEO96" s="80"/>
      <c r="LEP96" s="80"/>
      <c r="LEQ96" s="80"/>
      <c r="LER96" s="80"/>
      <c r="LES96" s="80"/>
      <c r="LET96" s="80"/>
      <c r="LEU96" s="80"/>
      <c r="LEV96" s="80"/>
      <c r="LEW96" s="80"/>
      <c r="LEX96" s="80"/>
      <c r="LEY96" s="80"/>
      <c r="LEZ96" s="80"/>
      <c r="LFA96" s="80"/>
      <c r="LFB96" s="80"/>
      <c r="LFC96" s="80"/>
      <c r="LFD96" s="80"/>
      <c r="LFE96" s="80"/>
      <c r="LFF96" s="80"/>
      <c r="LFG96" s="80"/>
      <c r="LFH96" s="80"/>
      <c r="LFI96" s="80"/>
      <c r="LFJ96" s="80"/>
      <c r="LFK96" s="80"/>
      <c r="LFL96" s="80"/>
      <c r="LFM96" s="80"/>
      <c r="LFN96" s="80"/>
      <c r="LFO96" s="80"/>
      <c r="LFP96" s="80"/>
      <c r="LFQ96" s="80"/>
      <c r="LFR96" s="80"/>
      <c r="LFS96" s="80"/>
      <c r="LFT96" s="80"/>
      <c r="LFU96" s="80"/>
      <c r="LFV96" s="80"/>
      <c r="LFW96" s="80"/>
      <c r="LFX96" s="80"/>
      <c r="LFY96" s="80"/>
      <c r="LFZ96" s="80"/>
      <c r="LGA96" s="80"/>
      <c r="LGB96" s="80"/>
      <c r="LGC96" s="80"/>
      <c r="LGD96" s="80"/>
      <c r="LGE96" s="80"/>
      <c r="LGF96" s="80"/>
      <c r="LGG96" s="80"/>
      <c r="LGH96" s="80"/>
      <c r="LGI96" s="80"/>
      <c r="LGJ96" s="80"/>
      <c r="LGK96" s="80"/>
      <c r="LGL96" s="80"/>
      <c r="LGM96" s="80"/>
      <c r="LGN96" s="80"/>
      <c r="LGO96" s="80"/>
      <c r="LGP96" s="80"/>
      <c r="LGQ96" s="80"/>
      <c r="LGR96" s="80"/>
      <c r="LGS96" s="80"/>
      <c r="LGT96" s="80"/>
      <c r="LGU96" s="80"/>
      <c r="LGV96" s="80"/>
      <c r="LGW96" s="80"/>
      <c r="LGX96" s="80"/>
      <c r="LGY96" s="80"/>
      <c r="LGZ96" s="80"/>
      <c r="LHA96" s="80"/>
      <c r="LHB96" s="80"/>
      <c r="LHC96" s="80"/>
      <c r="LHD96" s="80"/>
      <c r="LHE96" s="80"/>
      <c r="LHF96" s="80"/>
      <c r="LHG96" s="80"/>
      <c r="LHH96" s="80"/>
      <c r="LHI96" s="80"/>
      <c r="LHJ96" s="80"/>
      <c r="LHK96" s="80"/>
      <c r="LHL96" s="80"/>
      <c r="LHM96" s="80"/>
      <c r="LHN96" s="80"/>
      <c r="LHO96" s="80"/>
      <c r="LHP96" s="80"/>
      <c r="LHQ96" s="80"/>
      <c r="LHR96" s="80"/>
      <c r="LHS96" s="80"/>
      <c r="LHT96" s="80"/>
      <c r="LHU96" s="80"/>
      <c r="LHV96" s="80"/>
      <c r="LHW96" s="80"/>
      <c r="LHX96" s="80"/>
      <c r="LHY96" s="80"/>
      <c r="LHZ96" s="80"/>
      <c r="LIA96" s="80"/>
      <c r="LIB96" s="80"/>
      <c r="LIC96" s="80"/>
      <c r="LID96" s="80"/>
      <c r="LIE96" s="80"/>
      <c r="LIF96" s="80"/>
      <c r="LIG96" s="80"/>
      <c r="LIH96" s="80"/>
      <c r="LII96" s="80"/>
      <c r="LIJ96" s="80"/>
      <c r="LIK96" s="80"/>
      <c r="LIL96" s="80"/>
      <c r="LIM96" s="80"/>
      <c r="LIN96" s="80"/>
      <c r="LIO96" s="80"/>
      <c r="LIP96" s="80"/>
      <c r="LIQ96" s="80"/>
      <c r="LIR96" s="80"/>
      <c r="LIS96" s="80"/>
      <c r="LIT96" s="80"/>
      <c r="LIU96" s="80"/>
      <c r="LIV96" s="80"/>
      <c r="LIW96" s="80"/>
      <c r="LIX96" s="80"/>
      <c r="LIY96" s="80"/>
      <c r="LIZ96" s="80"/>
      <c r="LJA96" s="80"/>
      <c r="LJB96" s="80"/>
      <c r="LJC96" s="80"/>
      <c r="LJD96" s="80"/>
      <c r="LJE96" s="80"/>
      <c r="LJF96" s="80"/>
      <c r="LJG96" s="80"/>
      <c r="LJH96" s="80"/>
      <c r="LJI96" s="80"/>
      <c r="LJJ96" s="80"/>
      <c r="LJK96" s="80"/>
      <c r="LJL96" s="80"/>
      <c r="LJM96" s="80"/>
      <c r="LJN96" s="80"/>
      <c r="LJO96" s="80"/>
      <c r="LJP96" s="80"/>
      <c r="LJQ96" s="80"/>
      <c r="LJR96" s="80"/>
      <c r="LJS96" s="80"/>
      <c r="LJT96" s="80"/>
      <c r="LJU96" s="80"/>
      <c r="LJV96" s="80"/>
      <c r="LJW96" s="80"/>
      <c r="LJX96" s="80"/>
      <c r="LJY96" s="80"/>
      <c r="LJZ96" s="80"/>
      <c r="LKA96" s="80"/>
      <c r="LKB96" s="80"/>
      <c r="LKC96" s="80"/>
      <c r="LKD96" s="80"/>
      <c r="LKE96" s="80"/>
      <c r="LKF96" s="80"/>
      <c r="LKG96" s="80"/>
      <c r="LKH96" s="80"/>
      <c r="LKI96" s="80"/>
      <c r="LKJ96" s="80"/>
      <c r="LKK96" s="80"/>
      <c r="LKL96" s="80"/>
      <c r="LKM96" s="80"/>
      <c r="LKN96" s="80"/>
      <c r="LKO96" s="80"/>
      <c r="LKP96" s="80"/>
      <c r="LKQ96" s="80"/>
      <c r="LKR96" s="80"/>
      <c r="LKS96" s="80"/>
      <c r="LKT96" s="80"/>
      <c r="LKU96" s="80"/>
      <c r="LKV96" s="80"/>
      <c r="LKW96" s="80"/>
      <c r="LKX96" s="80"/>
      <c r="LKY96" s="80"/>
      <c r="LKZ96" s="80"/>
      <c r="LLA96" s="80"/>
      <c r="LLB96" s="80"/>
      <c r="LLC96" s="80"/>
      <c r="LLD96" s="80"/>
      <c r="LLE96" s="80"/>
      <c r="LLF96" s="80"/>
      <c r="LLG96" s="80"/>
      <c r="LLH96" s="80"/>
      <c r="LLI96" s="80"/>
      <c r="LLJ96" s="80"/>
      <c r="LLK96" s="80"/>
      <c r="LLL96" s="80"/>
      <c r="LLM96" s="80"/>
      <c r="LLN96" s="80"/>
      <c r="LLO96" s="80"/>
      <c r="LLP96" s="80"/>
      <c r="LLQ96" s="80"/>
      <c r="LLR96" s="80"/>
      <c r="LLS96" s="80"/>
      <c r="LLT96" s="80"/>
      <c r="LLU96" s="80"/>
      <c r="LLV96" s="80"/>
      <c r="LLW96" s="80"/>
      <c r="LLX96" s="80"/>
      <c r="LLY96" s="80"/>
      <c r="LLZ96" s="80"/>
      <c r="LMA96" s="80"/>
      <c r="LMB96" s="80"/>
      <c r="LMC96" s="80"/>
      <c r="LMD96" s="80"/>
      <c r="LME96" s="80"/>
      <c r="LMF96" s="80"/>
      <c r="LMG96" s="80"/>
      <c r="LMH96" s="80"/>
      <c r="LMI96" s="80"/>
      <c r="LMJ96" s="80"/>
      <c r="LMK96" s="80"/>
      <c r="LML96" s="80"/>
      <c r="LMM96" s="80"/>
      <c r="LMN96" s="80"/>
      <c r="LMO96" s="80"/>
      <c r="LMP96" s="80"/>
      <c r="LMQ96" s="80"/>
      <c r="LMR96" s="80"/>
      <c r="LMS96" s="80"/>
      <c r="LMT96" s="80"/>
      <c r="LMU96" s="80"/>
      <c r="LMV96" s="80"/>
      <c r="LMW96" s="80"/>
      <c r="LMX96" s="80"/>
      <c r="LMY96" s="80"/>
      <c r="LMZ96" s="80"/>
      <c r="LNA96" s="80"/>
      <c r="LNB96" s="80"/>
      <c r="LNC96" s="80"/>
      <c r="LND96" s="80"/>
      <c r="LNE96" s="80"/>
      <c r="LNF96" s="80"/>
      <c r="LNG96" s="80"/>
      <c r="LNH96" s="80"/>
      <c r="LNI96" s="80"/>
      <c r="LNJ96" s="80"/>
      <c r="LNK96" s="80"/>
      <c r="LNL96" s="80"/>
      <c r="LNM96" s="80"/>
      <c r="LNN96" s="80"/>
      <c r="LNO96" s="80"/>
      <c r="LNP96" s="80"/>
      <c r="LNQ96" s="80"/>
      <c r="LNR96" s="80"/>
      <c r="LNS96" s="80"/>
      <c r="LNT96" s="80"/>
      <c r="LNU96" s="80"/>
      <c r="LNV96" s="80"/>
      <c r="LNW96" s="80"/>
      <c r="LNX96" s="80"/>
      <c r="LNY96" s="80"/>
      <c r="LNZ96" s="80"/>
      <c r="LOA96" s="80"/>
      <c r="LOB96" s="80"/>
      <c r="LOC96" s="80"/>
      <c r="LOD96" s="80"/>
      <c r="LOE96" s="80"/>
      <c r="LOF96" s="80"/>
      <c r="LOG96" s="80"/>
      <c r="LOH96" s="80"/>
      <c r="LOI96" s="80"/>
      <c r="LOJ96" s="80"/>
      <c r="LOK96" s="80"/>
      <c r="LOL96" s="80"/>
      <c r="LOM96" s="80"/>
      <c r="LON96" s="80"/>
      <c r="LOO96" s="80"/>
      <c r="LOP96" s="80"/>
      <c r="LOQ96" s="80"/>
      <c r="LOR96" s="80"/>
      <c r="LOS96" s="80"/>
      <c r="LOT96" s="80"/>
      <c r="LOU96" s="80"/>
      <c r="LOV96" s="80"/>
      <c r="LOW96" s="80"/>
      <c r="LOX96" s="80"/>
      <c r="LOY96" s="80"/>
      <c r="LOZ96" s="80"/>
      <c r="LPA96" s="80"/>
      <c r="LPB96" s="80"/>
      <c r="LPC96" s="80"/>
      <c r="LPD96" s="80"/>
      <c r="LPE96" s="80"/>
      <c r="LPF96" s="80"/>
      <c r="LPG96" s="80"/>
      <c r="LPH96" s="80"/>
      <c r="LPI96" s="80"/>
      <c r="LPJ96" s="80"/>
      <c r="LPK96" s="80"/>
      <c r="LPL96" s="80"/>
      <c r="LPM96" s="80"/>
      <c r="LPN96" s="80"/>
      <c r="LPO96" s="80"/>
      <c r="LPP96" s="80"/>
      <c r="LPQ96" s="80"/>
      <c r="LPR96" s="80"/>
      <c r="LPS96" s="80"/>
      <c r="LPT96" s="80"/>
      <c r="LPU96" s="80"/>
      <c r="LPV96" s="80"/>
      <c r="LPW96" s="80"/>
      <c r="LPX96" s="80"/>
      <c r="LPY96" s="80"/>
      <c r="LPZ96" s="80"/>
      <c r="LQA96" s="80"/>
      <c r="LQB96" s="80"/>
      <c r="LQC96" s="80"/>
      <c r="LQD96" s="80"/>
      <c r="LQE96" s="80"/>
      <c r="LQF96" s="80"/>
      <c r="LQG96" s="80"/>
      <c r="LQH96" s="80"/>
      <c r="LQI96" s="80"/>
      <c r="LQJ96" s="80"/>
      <c r="LQK96" s="80"/>
      <c r="LQL96" s="80"/>
      <c r="LQM96" s="80"/>
      <c r="LQN96" s="80"/>
      <c r="LQO96" s="80"/>
      <c r="LQP96" s="80"/>
      <c r="LQQ96" s="80"/>
      <c r="LQR96" s="80"/>
      <c r="LQS96" s="80"/>
      <c r="LQT96" s="80"/>
      <c r="LQU96" s="80"/>
      <c r="LQV96" s="80"/>
      <c r="LQW96" s="80"/>
      <c r="LQX96" s="80"/>
      <c r="LQY96" s="80"/>
      <c r="LQZ96" s="80"/>
      <c r="LRA96" s="80"/>
      <c r="LRB96" s="80"/>
      <c r="LRC96" s="80"/>
      <c r="LRD96" s="80"/>
      <c r="LRE96" s="80"/>
      <c r="LRF96" s="80"/>
      <c r="LRG96" s="80"/>
      <c r="LRH96" s="80"/>
      <c r="LRI96" s="80"/>
      <c r="LRJ96" s="80"/>
      <c r="LRK96" s="80"/>
      <c r="LRL96" s="80"/>
      <c r="LRM96" s="80"/>
      <c r="LRN96" s="80"/>
      <c r="LRO96" s="80"/>
      <c r="LRP96" s="80"/>
      <c r="LRQ96" s="80"/>
      <c r="LRR96" s="80"/>
      <c r="LRS96" s="80"/>
      <c r="LRT96" s="80"/>
      <c r="LRU96" s="80"/>
      <c r="LRV96" s="80"/>
      <c r="LRW96" s="80"/>
      <c r="LRX96" s="80"/>
      <c r="LRY96" s="80"/>
      <c r="LRZ96" s="80"/>
      <c r="LSA96" s="80"/>
      <c r="LSB96" s="80"/>
      <c r="LSC96" s="80"/>
      <c r="LSD96" s="80"/>
      <c r="LSE96" s="80"/>
      <c r="LSF96" s="80"/>
      <c r="LSG96" s="80"/>
      <c r="LSH96" s="80"/>
      <c r="LSI96" s="80"/>
      <c r="LSJ96" s="80"/>
      <c r="LSK96" s="80"/>
      <c r="LSL96" s="80"/>
      <c r="LSM96" s="80"/>
      <c r="LSN96" s="80"/>
      <c r="LSO96" s="80"/>
      <c r="LSP96" s="80"/>
      <c r="LSQ96" s="80"/>
      <c r="LSR96" s="80"/>
      <c r="LSS96" s="80"/>
      <c r="LST96" s="80"/>
      <c r="LSU96" s="80"/>
      <c r="LSV96" s="80"/>
      <c r="LSW96" s="80"/>
      <c r="LSX96" s="80"/>
      <c r="LSY96" s="80"/>
      <c r="LSZ96" s="80"/>
      <c r="LTA96" s="80"/>
      <c r="LTB96" s="80"/>
      <c r="LTC96" s="80"/>
      <c r="LTD96" s="80"/>
      <c r="LTE96" s="80"/>
      <c r="LTF96" s="80"/>
      <c r="LTG96" s="80"/>
      <c r="LTH96" s="80"/>
      <c r="LTI96" s="80"/>
      <c r="LTJ96" s="80"/>
      <c r="LTK96" s="80"/>
      <c r="LTL96" s="80"/>
      <c r="LTM96" s="80"/>
      <c r="LTN96" s="80"/>
      <c r="LTO96" s="80"/>
      <c r="LTP96" s="80"/>
      <c r="LTQ96" s="80"/>
      <c r="LTR96" s="80"/>
      <c r="LTS96" s="80"/>
      <c r="LTT96" s="80"/>
      <c r="LTU96" s="80"/>
      <c r="LTV96" s="80"/>
      <c r="LTW96" s="80"/>
      <c r="LTX96" s="80"/>
      <c r="LTY96" s="80"/>
      <c r="LTZ96" s="80"/>
      <c r="LUA96" s="80"/>
      <c r="LUB96" s="80"/>
      <c r="LUC96" s="80"/>
      <c r="LUD96" s="80"/>
      <c r="LUE96" s="80"/>
      <c r="LUF96" s="80"/>
      <c r="LUG96" s="80"/>
      <c r="LUH96" s="80"/>
      <c r="LUI96" s="80"/>
      <c r="LUJ96" s="80"/>
      <c r="LUK96" s="80"/>
      <c r="LUL96" s="80"/>
      <c r="LUM96" s="80"/>
      <c r="LUN96" s="80"/>
      <c r="LUO96" s="80"/>
      <c r="LUP96" s="80"/>
      <c r="LUQ96" s="80"/>
      <c r="LUR96" s="80"/>
      <c r="LUS96" s="80"/>
      <c r="LUT96" s="80"/>
      <c r="LUU96" s="80"/>
      <c r="LUV96" s="80"/>
      <c r="LUW96" s="80"/>
      <c r="LUX96" s="80"/>
      <c r="LUY96" s="80"/>
      <c r="LUZ96" s="80"/>
      <c r="LVA96" s="80"/>
      <c r="LVB96" s="80"/>
      <c r="LVC96" s="80"/>
      <c r="LVD96" s="80"/>
      <c r="LVE96" s="80"/>
      <c r="LVF96" s="80"/>
      <c r="LVG96" s="80"/>
      <c r="LVH96" s="80"/>
      <c r="LVI96" s="80"/>
      <c r="LVJ96" s="80"/>
      <c r="LVK96" s="80"/>
      <c r="LVL96" s="80"/>
      <c r="LVM96" s="80"/>
      <c r="LVN96" s="80"/>
      <c r="LVO96" s="80"/>
      <c r="LVP96" s="80"/>
      <c r="LVQ96" s="80"/>
      <c r="LVR96" s="80"/>
      <c r="LVS96" s="80"/>
      <c r="LVT96" s="80"/>
      <c r="LVU96" s="80"/>
      <c r="LVV96" s="80"/>
      <c r="LVW96" s="80"/>
      <c r="LVX96" s="80"/>
      <c r="LVY96" s="80"/>
      <c r="LVZ96" s="80"/>
      <c r="LWA96" s="80"/>
      <c r="LWB96" s="80"/>
      <c r="LWC96" s="80"/>
      <c r="LWD96" s="80"/>
      <c r="LWE96" s="80"/>
      <c r="LWF96" s="80"/>
      <c r="LWG96" s="80"/>
      <c r="LWH96" s="80"/>
      <c r="LWI96" s="80"/>
      <c r="LWJ96" s="80"/>
      <c r="LWK96" s="80"/>
      <c r="LWL96" s="80"/>
      <c r="LWM96" s="80"/>
      <c r="LWN96" s="80"/>
      <c r="LWO96" s="80"/>
      <c r="LWP96" s="80"/>
      <c r="LWQ96" s="80"/>
      <c r="LWR96" s="80"/>
      <c r="LWS96" s="80"/>
      <c r="LWT96" s="80"/>
      <c r="LWU96" s="80"/>
      <c r="LWV96" s="80"/>
      <c r="LWW96" s="80"/>
      <c r="LWX96" s="80"/>
      <c r="LWY96" s="80"/>
      <c r="LWZ96" s="80"/>
      <c r="LXA96" s="80"/>
      <c r="LXB96" s="80"/>
      <c r="LXC96" s="80"/>
      <c r="LXD96" s="80"/>
      <c r="LXE96" s="80"/>
      <c r="LXF96" s="80"/>
      <c r="LXG96" s="80"/>
      <c r="LXH96" s="80"/>
      <c r="LXI96" s="80"/>
      <c r="LXJ96" s="80"/>
      <c r="LXK96" s="80"/>
      <c r="LXL96" s="80"/>
      <c r="LXM96" s="80"/>
      <c r="LXN96" s="80"/>
      <c r="LXO96" s="80"/>
      <c r="LXP96" s="80"/>
      <c r="LXQ96" s="80"/>
      <c r="LXR96" s="80"/>
      <c r="LXS96" s="80"/>
      <c r="LXT96" s="80"/>
      <c r="LXU96" s="80"/>
      <c r="LXV96" s="80"/>
      <c r="LXW96" s="80"/>
      <c r="LXX96" s="80"/>
      <c r="LXY96" s="80"/>
      <c r="LXZ96" s="80"/>
      <c r="LYA96" s="80"/>
      <c r="LYB96" s="80"/>
      <c r="LYC96" s="80"/>
      <c r="LYD96" s="80"/>
      <c r="LYE96" s="80"/>
      <c r="LYF96" s="80"/>
      <c r="LYG96" s="80"/>
      <c r="LYH96" s="80"/>
      <c r="LYI96" s="80"/>
      <c r="LYJ96" s="80"/>
      <c r="LYK96" s="80"/>
      <c r="LYL96" s="80"/>
      <c r="LYM96" s="80"/>
      <c r="LYN96" s="80"/>
      <c r="LYO96" s="80"/>
      <c r="LYP96" s="80"/>
      <c r="LYQ96" s="80"/>
      <c r="LYR96" s="80"/>
      <c r="LYS96" s="80"/>
      <c r="LYT96" s="80"/>
      <c r="LYU96" s="80"/>
      <c r="LYV96" s="80"/>
      <c r="LYW96" s="80"/>
      <c r="LYX96" s="80"/>
      <c r="LYY96" s="80"/>
      <c r="LYZ96" s="80"/>
      <c r="LZA96" s="80"/>
      <c r="LZB96" s="80"/>
      <c r="LZC96" s="80"/>
      <c r="LZD96" s="80"/>
      <c r="LZE96" s="80"/>
      <c r="LZF96" s="80"/>
      <c r="LZG96" s="80"/>
      <c r="LZH96" s="80"/>
      <c r="LZI96" s="80"/>
      <c r="LZJ96" s="80"/>
      <c r="LZK96" s="80"/>
      <c r="LZL96" s="80"/>
      <c r="LZM96" s="80"/>
      <c r="LZN96" s="80"/>
      <c r="LZO96" s="80"/>
      <c r="LZP96" s="80"/>
      <c r="LZQ96" s="80"/>
      <c r="LZR96" s="80"/>
      <c r="LZS96" s="80"/>
      <c r="LZT96" s="80"/>
      <c r="LZU96" s="80"/>
      <c r="LZV96" s="80"/>
      <c r="LZW96" s="80"/>
      <c r="LZX96" s="80"/>
      <c r="LZY96" s="80"/>
      <c r="LZZ96" s="80"/>
      <c r="MAA96" s="80"/>
      <c r="MAB96" s="80"/>
      <c r="MAC96" s="80"/>
      <c r="MAD96" s="80"/>
      <c r="MAE96" s="80"/>
      <c r="MAF96" s="80"/>
      <c r="MAG96" s="80"/>
      <c r="MAH96" s="80"/>
      <c r="MAI96" s="80"/>
      <c r="MAJ96" s="80"/>
      <c r="MAK96" s="80"/>
      <c r="MAL96" s="80"/>
      <c r="MAM96" s="80"/>
      <c r="MAN96" s="80"/>
      <c r="MAO96" s="80"/>
      <c r="MAP96" s="80"/>
      <c r="MAQ96" s="80"/>
      <c r="MAR96" s="80"/>
      <c r="MAS96" s="80"/>
      <c r="MAT96" s="80"/>
      <c r="MAU96" s="80"/>
      <c r="MAV96" s="80"/>
      <c r="MAW96" s="80"/>
      <c r="MAX96" s="80"/>
      <c r="MAY96" s="80"/>
      <c r="MAZ96" s="80"/>
      <c r="MBA96" s="80"/>
      <c r="MBB96" s="80"/>
      <c r="MBC96" s="80"/>
      <c r="MBD96" s="80"/>
      <c r="MBE96" s="80"/>
      <c r="MBF96" s="80"/>
      <c r="MBG96" s="80"/>
      <c r="MBH96" s="80"/>
      <c r="MBI96" s="80"/>
      <c r="MBJ96" s="80"/>
      <c r="MBK96" s="80"/>
      <c r="MBL96" s="80"/>
      <c r="MBM96" s="80"/>
      <c r="MBN96" s="80"/>
      <c r="MBO96" s="80"/>
      <c r="MBP96" s="80"/>
      <c r="MBQ96" s="80"/>
      <c r="MBR96" s="80"/>
      <c r="MBS96" s="80"/>
      <c r="MBT96" s="80"/>
      <c r="MBU96" s="80"/>
      <c r="MBV96" s="80"/>
      <c r="MBW96" s="80"/>
      <c r="MBX96" s="80"/>
      <c r="MBY96" s="80"/>
      <c r="MBZ96" s="80"/>
      <c r="MCA96" s="80"/>
      <c r="MCB96" s="80"/>
      <c r="MCC96" s="80"/>
      <c r="MCD96" s="80"/>
      <c r="MCE96" s="80"/>
      <c r="MCF96" s="80"/>
      <c r="MCG96" s="80"/>
      <c r="MCH96" s="80"/>
      <c r="MCI96" s="80"/>
      <c r="MCJ96" s="80"/>
      <c r="MCK96" s="80"/>
      <c r="MCL96" s="80"/>
      <c r="MCM96" s="80"/>
      <c r="MCN96" s="80"/>
      <c r="MCO96" s="80"/>
      <c r="MCP96" s="80"/>
      <c r="MCQ96" s="80"/>
      <c r="MCR96" s="80"/>
      <c r="MCS96" s="80"/>
      <c r="MCT96" s="80"/>
      <c r="MCU96" s="80"/>
      <c r="MCV96" s="80"/>
      <c r="MCW96" s="80"/>
      <c r="MCX96" s="80"/>
      <c r="MCY96" s="80"/>
      <c r="MCZ96" s="80"/>
      <c r="MDA96" s="80"/>
      <c r="MDB96" s="80"/>
      <c r="MDC96" s="80"/>
      <c r="MDD96" s="80"/>
      <c r="MDE96" s="80"/>
      <c r="MDF96" s="80"/>
      <c r="MDG96" s="80"/>
      <c r="MDH96" s="80"/>
      <c r="MDI96" s="80"/>
      <c r="MDJ96" s="80"/>
      <c r="MDK96" s="80"/>
      <c r="MDL96" s="80"/>
      <c r="MDM96" s="80"/>
      <c r="MDN96" s="80"/>
      <c r="MDO96" s="80"/>
      <c r="MDP96" s="80"/>
      <c r="MDQ96" s="80"/>
      <c r="MDR96" s="80"/>
      <c r="MDS96" s="80"/>
      <c r="MDT96" s="80"/>
      <c r="MDU96" s="80"/>
      <c r="MDV96" s="80"/>
      <c r="MDW96" s="80"/>
      <c r="MDX96" s="80"/>
      <c r="MDY96" s="80"/>
      <c r="MDZ96" s="80"/>
      <c r="MEA96" s="80"/>
      <c r="MEB96" s="80"/>
      <c r="MEC96" s="80"/>
      <c r="MED96" s="80"/>
      <c r="MEE96" s="80"/>
      <c r="MEF96" s="80"/>
      <c r="MEG96" s="80"/>
      <c r="MEH96" s="80"/>
      <c r="MEI96" s="80"/>
      <c r="MEJ96" s="80"/>
      <c r="MEK96" s="80"/>
      <c r="MEL96" s="80"/>
      <c r="MEM96" s="80"/>
      <c r="MEN96" s="80"/>
      <c r="MEO96" s="80"/>
      <c r="MEP96" s="80"/>
      <c r="MEQ96" s="80"/>
      <c r="MER96" s="80"/>
      <c r="MES96" s="80"/>
      <c r="MET96" s="80"/>
      <c r="MEU96" s="80"/>
      <c r="MEV96" s="80"/>
      <c r="MEW96" s="80"/>
      <c r="MEX96" s="80"/>
      <c r="MEY96" s="80"/>
      <c r="MEZ96" s="80"/>
      <c r="MFA96" s="80"/>
      <c r="MFB96" s="80"/>
      <c r="MFC96" s="80"/>
      <c r="MFD96" s="80"/>
      <c r="MFE96" s="80"/>
      <c r="MFF96" s="80"/>
      <c r="MFG96" s="80"/>
      <c r="MFH96" s="80"/>
      <c r="MFI96" s="80"/>
      <c r="MFJ96" s="80"/>
      <c r="MFK96" s="80"/>
      <c r="MFL96" s="80"/>
      <c r="MFM96" s="80"/>
      <c r="MFN96" s="80"/>
      <c r="MFO96" s="80"/>
      <c r="MFP96" s="80"/>
      <c r="MFQ96" s="80"/>
      <c r="MFR96" s="80"/>
      <c r="MFS96" s="80"/>
      <c r="MFT96" s="80"/>
      <c r="MFU96" s="80"/>
      <c r="MFV96" s="80"/>
      <c r="MFW96" s="80"/>
      <c r="MFX96" s="80"/>
      <c r="MFY96" s="80"/>
      <c r="MFZ96" s="80"/>
      <c r="MGA96" s="80"/>
      <c r="MGB96" s="80"/>
      <c r="MGC96" s="80"/>
      <c r="MGD96" s="80"/>
      <c r="MGE96" s="80"/>
      <c r="MGF96" s="80"/>
      <c r="MGG96" s="80"/>
      <c r="MGH96" s="80"/>
      <c r="MGI96" s="80"/>
      <c r="MGJ96" s="80"/>
      <c r="MGK96" s="80"/>
      <c r="MGL96" s="80"/>
      <c r="MGM96" s="80"/>
      <c r="MGN96" s="80"/>
      <c r="MGO96" s="80"/>
      <c r="MGP96" s="80"/>
      <c r="MGQ96" s="80"/>
      <c r="MGR96" s="80"/>
      <c r="MGS96" s="80"/>
      <c r="MGT96" s="80"/>
      <c r="MGU96" s="80"/>
      <c r="MGV96" s="80"/>
      <c r="MGW96" s="80"/>
      <c r="MGX96" s="80"/>
      <c r="MGY96" s="80"/>
      <c r="MGZ96" s="80"/>
      <c r="MHA96" s="80"/>
      <c r="MHB96" s="80"/>
      <c r="MHC96" s="80"/>
      <c r="MHD96" s="80"/>
      <c r="MHE96" s="80"/>
      <c r="MHF96" s="80"/>
      <c r="MHG96" s="80"/>
      <c r="MHH96" s="80"/>
      <c r="MHI96" s="80"/>
      <c r="MHJ96" s="80"/>
      <c r="MHK96" s="80"/>
      <c r="MHL96" s="80"/>
      <c r="MHM96" s="80"/>
      <c r="MHN96" s="80"/>
      <c r="MHO96" s="80"/>
      <c r="MHP96" s="80"/>
      <c r="MHQ96" s="80"/>
      <c r="MHR96" s="80"/>
      <c r="MHS96" s="80"/>
      <c r="MHT96" s="80"/>
      <c r="MHU96" s="80"/>
      <c r="MHV96" s="80"/>
      <c r="MHW96" s="80"/>
      <c r="MHX96" s="80"/>
      <c r="MHY96" s="80"/>
      <c r="MHZ96" s="80"/>
      <c r="MIA96" s="80"/>
      <c r="MIB96" s="80"/>
      <c r="MIC96" s="80"/>
      <c r="MID96" s="80"/>
      <c r="MIE96" s="80"/>
      <c r="MIF96" s="80"/>
      <c r="MIG96" s="80"/>
      <c r="MIH96" s="80"/>
      <c r="MII96" s="80"/>
      <c r="MIJ96" s="80"/>
      <c r="MIK96" s="80"/>
      <c r="MIL96" s="80"/>
      <c r="MIM96" s="80"/>
      <c r="MIN96" s="80"/>
      <c r="MIO96" s="80"/>
      <c r="MIP96" s="80"/>
      <c r="MIQ96" s="80"/>
      <c r="MIR96" s="80"/>
      <c r="MIS96" s="80"/>
      <c r="MIT96" s="80"/>
      <c r="MIU96" s="80"/>
      <c r="MIV96" s="80"/>
      <c r="MIW96" s="80"/>
      <c r="MIX96" s="80"/>
      <c r="MIY96" s="80"/>
      <c r="MIZ96" s="80"/>
      <c r="MJA96" s="80"/>
      <c r="MJB96" s="80"/>
      <c r="MJC96" s="80"/>
      <c r="MJD96" s="80"/>
      <c r="MJE96" s="80"/>
      <c r="MJF96" s="80"/>
      <c r="MJG96" s="80"/>
      <c r="MJH96" s="80"/>
      <c r="MJI96" s="80"/>
      <c r="MJJ96" s="80"/>
      <c r="MJK96" s="80"/>
      <c r="MJL96" s="80"/>
      <c r="MJM96" s="80"/>
      <c r="MJN96" s="80"/>
      <c r="MJO96" s="80"/>
      <c r="MJP96" s="80"/>
      <c r="MJQ96" s="80"/>
      <c r="MJR96" s="80"/>
      <c r="MJS96" s="80"/>
      <c r="MJT96" s="80"/>
      <c r="MJU96" s="80"/>
      <c r="MJV96" s="80"/>
      <c r="MJW96" s="80"/>
      <c r="MJX96" s="80"/>
      <c r="MJY96" s="80"/>
      <c r="MJZ96" s="80"/>
      <c r="MKA96" s="80"/>
      <c r="MKB96" s="80"/>
      <c r="MKC96" s="80"/>
      <c r="MKD96" s="80"/>
      <c r="MKE96" s="80"/>
      <c r="MKF96" s="80"/>
      <c r="MKG96" s="80"/>
      <c r="MKH96" s="80"/>
      <c r="MKI96" s="80"/>
      <c r="MKJ96" s="80"/>
      <c r="MKK96" s="80"/>
      <c r="MKL96" s="80"/>
      <c r="MKM96" s="80"/>
      <c r="MKN96" s="80"/>
      <c r="MKO96" s="80"/>
      <c r="MKP96" s="80"/>
      <c r="MKQ96" s="80"/>
      <c r="MKR96" s="80"/>
      <c r="MKS96" s="80"/>
      <c r="MKT96" s="80"/>
      <c r="MKU96" s="80"/>
      <c r="MKV96" s="80"/>
      <c r="MKW96" s="80"/>
      <c r="MKX96" s="80"/>
      <c r="MKY96" s="80"/>
      <c r="MKZ96" s="80"/>
      <c r="MLA96" s="80"/>
      <c r="MLB96" s="80"/>
      <c r="MLC96" s="80"/>
      <c r="MLD96" s="80"/>
      <c r="MLE96" s="80"/>
      <c r="MLF96" s="80"/>
      <c r="MLG96" s="80"/>
      <c r="MLH96" s="80"/>
      <c r="MLI96" s="80"/>
      <c r="MLJ96" s="80"/>
      <c r="MLK96" s="80"/>
      <c r="MLL96" s="80"/>
      <c r="MLM96" s="80"/>
      <c r="MLN96" s="80"/>
      <c r="MLO96" s="80"/>
      <c r="MLP96" s="80"/>
      <c r="MLQ96" s="80"/>
      <c r="MLR96" s="80"/>
      <c r="MLS96" s="80"/>
      <c r="MLT96" s="80"/>
      <c r="MLU96" s="80"/>
      <c r="MLV96" s="80"/>
      <c r="MLW96" s="80"/>
      <c r="MLX96" s="80"/>
      <c r="MLY96" s="80"/>
      <c r="MLZ96" s="80"/>
      <c r="MMA96" s="80"/>
      <c r="MMB96" s="80"/>
      <c r="MMC96" s="80"/>
      <c r="MMD96" s="80"/>
      <c r="MME96" s="80"/>
      <c r="MMF96" s="80"/>
      <c r="MMG96" s="80"/>
      <c r="MMH96" s="80"/>
      <c r="MMI96" s="80"/>
      <c r="MMJ96" s="80"/>
      <c r="MMK96" s="80"/>
      <c r="MML96" s="80"/>
      <c r="MMM96" s="80"/>
      <c r="MMN96" s="80"/>
      <c r="MMO96" s="80"/>
      <c r="MMP96" s="80"/>
      <c r="MMQ96" s="80"/>
      <c r="MMR96" s="80"/>
      <c r="MMS96" s="80"/>
      <c r="MMT96" s="80"/>
      <c r="MMU96" s="80"/>
      <c r="MMV96" s="80"/>
      <c r="MMW96" s="80"/>
      <c r="MMX96" s="80"/>
      <c r="MMY96" s="80"/>
      <c r="MMZ96" s="80"/>
      <c r="MNA96" s="80"/>
      <c r="MNB96" s="80"/>
      <c r="MNC96" s="80"/>
      <c r="MND96" s="80"/>
      <c r="MNE96" s="80"/>
      <c r="MNF96" s="80"/>
      <c r="MNG96" s="80"/>
      <c r="MNH96" s="80"/>
      <c r="MNI96" s="80"/>
      <c r="MNJ96" s="80"/>
      <c r="MNK96" s="80"/>
      <c r="MNL96" s="80"/>
      <c r="MNM96" s="80"/>
      <c r="MNN96" s="80"/>
      <c r="MNO96" s="80"/>
      <c r="MNP96" s="80"/>
      <c r="MNQ96" s="80"/>
      <c r="MNR96" s="80"/>
      <c r="MNS96" s="80"/>
      <c r="MNT96" s="80"/>
      <c r="MNU96" s="80"/>
      <c r="MNV96" s="80"/>
      <c r="MNW96" s="80"/>
      <c r="MNX96" s="80"/>
      <c r="MNY96" s="80"/>
      <c r="MNZ96" s="80"/>
      <c r="MOA96" s="80"/>
      <c r="MOB96" s="80"/>
      <c r="MOC96" s="80"/>
      <c r="MOD96" s="80"/>
      <c r="MOE96" s="80"/>
      <c r="MOF96" s="80"/>
      <c r="MOG96" s="80"/>
      <c r="MOH96" s="80"/>
      <c r="MOI96" s="80"/>
      <c r="MOJ96" s="80"/>
      <c r="MOK96" s="80"/>
      <c r="MOL96" s="80"/>
      <c r="MOM96" s="80"/>
      <c r="MON96" s="80"/>
      <c r="MOO96" s="80"/>
      <c r="MOP96" s="80"/>
      <c r="MOQ96" s="80"/>
      <c r="MOR96" s="80"/>
      <c r="MOS96" s="80"/>
      <c r="MOT96" s="80"/>
      <c r="MOU96" s="80"/>
      <c r="MOV96" s="80"/>
      <c r="MOW96" s="80"/>
      <c r="MOX96" s="80"/>
      <c r="MOY96" s="80"/>
      <c r="MOZ96" s="80"/>
      <c r="MPA96" s="80"/>
      <c r="MPB96" s="80"/>
      <c r="MPC96" s="80"/>
      <c r="MPD96" s="80"/>
      <c r="MPE96" s="80"/>
      <c r="MPF96" s="80"/>
      <c r="MPG96" s="80"/>
      <c r="MPH96" s="80"/>
      <c r="MPI96" s="80"/>
      <c r="MPJ96" s="80"/>
      <c r="MPK96" s="80"/>
      <c r="MPL96" s="80"/>
      <c r="MPM96" s="80"/>
      <c r="MPN96" s="80"/>
      <c r="MPO96" s="80"/>
      <c r="MPP96" s="80"/>
      <c r="MPQ96" s="80"/>
      <c r="MPR96" s="80"/>
      <c r="MPS96" s="80"/>
      <c r="MPT96" s="80"/>
      <c r="MPU96" s="80"/>
      <c r="MPV96" s="80"/>
      <c r="MPW96" s="80"/>
      <c r="MPX96" s="80"/>
      <c r="MPY96" s="80"/>
      <c r="MPZ96" s="80"/>
      <c r="MQA96" s="80"/>
      <c r="MQB96" s="80"/>
      <c r="MQC96" s="80"/>
      <c r="MQD96" s="80"/>
      <c r="MQE96" s="80"/>
      <c r="MQF96" s="80"/>
      <c r="MQG96" s="80"/>
      <c r="MQH96" s="80"/>
      <c r="MQI96" s="80"/>
      <c r="MQJ96" s="80"/>
      <c r="MQK96" s="80"/>
      <c r="MQL96" s="80"/>
      <c r="MQM96" s="80"/>
      <c r="MQN96" s="80"/>
      <c r="MQO96" s="80"/>
      <c r="MQP96" s="80"/>
      <c r="MQQ96" s="80"/>
      <c r="MQR96" s="80"/>
      <c r="MQS96" s="80"/>
      <c r="MQT96" s="80"/>
      <c r="MQU96" s="80"/>
      <c r="MQV96" s="80"/>
      <c r="MQW96" s="80"/>
      <c r="MQX96" s="80"/>
      <c r="MQY96" s="80"/>
      <c r="MQZ96" s="80"/>
      <c r="MRA96" s="80"/>
      <c r="MRB96" s="80"/>
      <c r="MRC96" s="80"/>
      <c r="MRD96" s="80"/>
      <c r="MRE96" s="80"/>
      <c r="MRF96" s="80"/>
      <c r="MRG96" s="80"/>
      <c r="MRH96" s="80"/>
      <c r="MRI96" s="80"/>
      <c r="MRJ96" s="80"/>
      <c r="MRK96" s="80"/>
      <c r="MRL96" s="80"/>
      <c r="MRM96" s="80"/>
      <c r="MRN96" s="80"/>
      <c r="MRO96" s="80"/>
      <c r="MRP96" s="80"/>
      <c r="MRQ96" s="80"/>
      <c r="MRR96" s="80"/>
      <c r="MRS96" s="80"/>
      <c r="MRT96" s="80"/>
      <c r="MRU96" s="80"/>
      <c r="MRV96" s="80"/>
      <c r="MRW96" s="80"/>
      <c r="MRX96" s="80"/>
      <c r="MRY96" s="80"/>
      <c r="MRZ96" s="80"/>
      <c r="MSA96" s="80"/>
      <c r="MSB96" s="80"/>
      <c r="MSC96" s="80"/>
      <c r="MSD96" s="80"/>
      <c r="MSE96" s="80"/>
      <c r="MSF96" s="80"/>
      <c r="MSG96" s="80"/>
      <c r="MSH96" s="80"/>
      <c r="MSI96" s="80"/>
      <c r="MSJ96" s="80"/>
      <c r="MSK96" s="80"/>
      <c r="MSL96" s="80"/>
      <c r="MSM96" s="80"/>
      <c r="MSN96" s="80"/>
      <c r="MSO96" s="80"/>
      <c r="MSP96" s="80"/>
      <c r="MSQ96" s="80"/>
      <c r="MSR96" s="80"/>
      <c r="MSS96" s="80"/>
      <c r="MST96" s="80"/>
      <c r="MSU96" s="80"/>
      <c r="MSV96" s="80"/>
      <c r="MSW96" s="80"/>
      <c r="MSX96" s="80"/>
      <c r="MSY96" s="80"/>
      <c r="MSZ96" s="80"/>
      <c r="MTA96" s="80"/>
      <c r="MTB96" s="80"/>
      <c r="MTC96" s="80"/>
      <c r="MTD96" s="80"/>
      <c r="MTE96" s="80"/>
      <c r="MTF96" s="80"/>
      <c r="MTG96" s="80"/>
      <c r="MTH96" s="80"/>
      <c r="MTI96" s="80"/>
      <c r="MTJ96" s="80"/>
      <c r="MTK96" s="80"/>
      <c r="MTL96" s="80"/>
      <c r="MTM96" s="80"/>
      <c r="MTN96" s="80"/>
      <c r="MTO96" s="80"/>
      <c r="MTP96" s="80"/>
      <c r="MTQ96" s="80"/>
      <c r="MTR96" s="80"/>
      <c r="MTS96" s="80"/>
      <c r="MTT96" s="80"/>
      <c r="MTU96" s="80"/>
      <c r="MTV96" s="80"/>
      <c r="MTW96" s="80"/>
      <c r="MTX96" s="80"/>
      <c r="MTY96" s="80"/>
      <c r="MTZ96" s="80"/>
      <c r="MUA96" s="80"/>
      <c r="MUB96" s="80"/>
      <c r="MUC96" s="80"/>
      <c r="MUD96" s="80"/>
      <c r="MUE96" s="80"/>
      <c r="MUF96" s="80"/>
      <c r="MUG96" s="80"/>
      <c r="MUH96" s="80"/>
      <c r="MUI96" s="80"/>
      <c r="MUJ96" s="80"/>
      <c r="MUK96" s="80"/>
      <c r="MUL96" s="80"/>
      <c r="MUM96" s="80"/>
      <c r="MUN96" s="80"/>
      <c r="MUO96" s="80"/>
      <c r="MUP96" s="80"/>
      <c r="MUQ96" s="80"/>
      <c r="MUR96" s="80"/>
      <c r="MUS96" s="80"/>
      <c r="MUT96" s="80"/>
      <c r="MUU96" s="80"/>
      <c r="MUV96" s="80"/>
      <c r="MUW96" s="80"/>
      <c r="MUX96" s="80"/>
      <c r="MUY96" s="80"/>
      <c r="MUZ96" s="80"/>
      <c r="MVA96" s="80"/>
      <c r="MVB96" s="80"/>
      <c r="MVC96" s="80"/>
      <c r="MVD96" s="80"/>
      <c r="MVE96" s="80"/>
      <c r="MVF96" s="80"/>
      <c r="MVG96" s="80"/>
      <c r="MVH96" s="80"/>
      <c r="MVI96" s="80"/>
      <c r="MVJ96" s="80"/>
      <c r="MVK96" s="80"/>
      <c r="MVL96" s="80"/>
      <c r="MVM96" s="80"/>
      <c r="MVN96" s="80"/>
      <c r="MVO96" s="80"/>
      <c r="MVP96" s="80"/>
      <c r="MVQ96" s="80"/>
      <c r="MVR96" s="80"/>
      <c r="MVS96" s="80"/>
      <c r="MVT96" s="80"/>
      <c r="MVU96" s="80"/>
      <c r="MVV96" s="80"/>
      <c r="MVW96" s="80"/>
      <c r="MVX96" s="80"/>
      <c r="MVY96" s="80"/>
      <c r="MVZ96" s="80"/>
      <c r="MWA96" s="80"/>
      <c r="MWB96" s="80"/>
      <c r="MWC96" s="80"/>
      <c r="MWD96" s="80"/>
      <c r="MWE96" s="80"/>
      <c r="MWF96" s="80"/>
      <c r="MWG96" s="80"/>
      <c r="MWH96" s="80"/>
      <c r="MWI96" s="80"/>
      <c r="MWJ96" s="80"/>
      <c r="MWK96" s="80"/>
      <c r="MWL96" s="80"/>
      <c r="MWM96" s="80"/>
      <c r="MWN96" s="80"/>
      <c r="MWO96" s="80"/>
      <c r="MWP96" s="80"/>
      <c r="MWQ96" s="80"/>
      <c r="MWR96" s="80"/>
      <c r="MWS96" s="80"/>
      <c r="MWT96" s="80"/>
      <c r="MWU96" s="80"/>
      <c r="MWV96" s="80"/>
      <c r="MWW96" s="80"/>
      <c r="MWX96" s="80"/>
      <c r="MWY96" s="80"/>
      <c r="MWZ96" s="80"/>
      <c r="MXA96" s="80"/>
      <c r="MXB96" s="80"/>
      <c r="MXC96" s="80"/>
      <c r="MXD96" s="80"/>
      <c r="MXE96" s="80"/>
      <c r="MXF96" s="80"/>
      <c r="MXG96" s="80"/>
      <c r="MXH96" s="80"/>
      <c r="MXI96" s="80"/>
      <c r="MXJ96" s="80"/>
      <c r="MXK96" s="80"/>
      <c r="MXL96" s="80"/>
      <c r="MXM96" s="80"/>
      <c r="MXN96" s="80"/>
      <c r="MXO96" s="80"/>
      <c r="MXP96" s="80"/>
      <c r="MXQ96" s="80"/>
      <c r="MXR96" s="80"/>
      <c r="MXS96" s="80"/>
      <c r="MXT96" s="80"/>
      <c r="MXU96" s="80"/>
      <c r="MXV96" s="80"/>
      <c r="MXW96" s="80"/>
      <c r="MXX96" s="80"/>
      <c r="MXY96" s="80"/>
      <c r="MXZ96" s="80"/>
      <c r="MYA96" s="80"/>
      <c r="MYB96" s="80"/>
      <c r="MYC96" s="80"/>
      <c r="MYD96" s="80"/>
      <c r="MYE96" s="80"/>
      <c r="MYF96" s="80"/>
      <c r="MYG96" s="80"/>
      <c r="MYH96" s="80"/>
      <c r="MYI96" s="80"/>
      <c r="MYJ96" s="80"/>
      <c r="MYK96" s="80"/>
      <c r="MYL96" s="80"/>
      <c r="MYM96" s="80"/>
      <c r="MYN96" s="80"/>
      <c r="MYO96" s="80"/>
      <c r="MYP96" s="80"/>
      <c r="MYQ96" s="80"/>
      <c r="MYR96" s="80"/>
      <c r="MYS96" s="80"/>
      <c r="MYT96" s="80"/>
      <c r="MYU96" s="80"/>
      <c r="MYV96" s="80"/>
      <c r="MYW96" s="80"/>
      <c r="MYX96" s="80"/>
      <c r="MYY96" s="80"/>
      <c r="MYZ96" s="80"/>
      <c r="MZA96" s="80"/>
      <c r="MZB96" s="80"/>
      <c r="MZC96" s="80"/>
      <c r="MZD96" s="80"/>
      <c r="MZE96" s="80"/>
      <c r="MZF96" s="80"/>
      <c r="MZG96" s="80"/>
      <c r="MZH96" s="80"/>
      <c r="MZI96" s="80"/>
      <c r="MZJ96" s="80"/>
      <c r="MZK96" s="80"/>
      <c r="MZL96" s="80"/>
      <c r="MZM96" s="80"/>
      <c r="MZN96" s="80"/>
      <c r="MZO96" s="80"/>
      <c r="MZP96" s="80"/>
      <c r="MZQ96" s="80"/>
      <c r="MZR96" s="80"/>
      <c r="MZS96" s="80"/>
      <c r="MZT96" s="80"/>
      <c r="MZU96" s="80"/>
      <c r="MZV96" s="80"/>
      <c r="MZW96" s="80"/>
      <c r="MZX96" s="80"/>
      <c r="MZY96" s="80"/>
      <c r="MZZ96" s="80"/>
      <c r="NAA96" s="80"/>
      <c r="NAB96" s="80"/>
      <c r="NAC96" s="80"/>
      <c r="NAD96" s="80"/>
      <c r="NAE96" s="80"/>
      <c r="NAF96" s="80"/>
      <c r="NAG96" s="80"/>
      <c r="NAH96" s="80"/>
      <c r="NAI96" s="80"/>
      <c r="NAJ96" s="80"/>
      <c r="NAK96" s="80"/>
      <c r="NAL96" s="80"/>
      <c r="NAM96" s="80"/>
      <c r="NAN96" s="80"/>
      <c r="NAO96" s="80"/>
      <c r="NAP96" s="80"/>
      <c r="NAQ96" s="80"/>
      <c r="NAR96" s="80"/>
      <c r="NAS96" s="80"/>
      <c r="NAT96" s="80"/>
      <c r="NAU96" s="80"/>
      <c r="NAV96" s="80"/>
      <c r="NAW96" s="80"/>
      <c r="NAX96" s="80"/>
      <c r="NAY96" s="80"/>
      <c r="NAZ96" s="80"/>
      <c r="NBA96" s="80"/>
      <c r="NBB96" s="80"/>
      <c r="NBC96" s="80"/>
      <c r="NBD96" s="80"/>
      <c r="NBE96" s="80"/>
      <c r="NBF96" s="80"/>
      <c r="NBG96" s="80"/>
      <c r="NBH96" s="80"/>
      <c r="NBI96" s="80"/>
      <c r="NBJ96" s="80"/>
      <c r="NBK96" s="80"/>
      <c r="NBL96" s="80"/>
      <c r="NBM96" s="80"/>
      <c r="NBN96" s="80"/>
      <c r="NBO96" s="80"/>
      <c r="NBP96" s="80"/>
      <c r="NBQ96" s="80"/>
      <c r="NBR96" s="80"/>
      <c r="NBS96" s="80"/>
      <c r="NBT96" s="80"/>
      <c r="NBU96" s="80"/>
      <c r="NBV96" s="80"/>
      <c r="NBW96" s="80"/>
      <c r="NBX96" s="80"/>
      <c r="NBY96" s="80"/>
      <c r="NBZ96" s="80"/>
      <c r="NCA96" s="80"/>
      <c r="NCB96" s="80"/>
      <c r="NCC96" s="80"/>
      <c r="NCD96" s="80"/>
      <c r="NCE96" s="80"/>
      <c r="NCF96" s="80"/>
      <c r="NCG96" s="80"/>
      <c r="NCH96" s="80"/>
      <c r="NCI96" s="80"/>
      <c r="NCJ96" s="80"/>
      <c r="NCK96" s="80"/>
      <c r="NCL96" s="80"/>
      <c r="NCM96" s="80"/>
      <c r="NCN96" s="80"/>
      <c r="NCO96" s="80"/>
      <c r="NCP96" s="80"/>
      <c r="NCQ96" s="80"/>
      <c r="NCR96" s="80"/>
      <c r="NCS96" s="80"/>
      <c r="NCT96" s="80"/>
      <c r="NCU96" s="80"/>
      <c r="NCV96" s="80"/>
      <c r="NCW96" s="80"/>
      <c r="NCX96" s="80"/>
      <c r="NCY96" s="80"/>
      <c r="NCZ96" s="80"/>
      <c r="NDA96" s="80"/>
      <c r="NDB96" s="80"/>
      <c r="NDC96" s="80"/>
      <c r="NDD96" s="80"/>
      <c r="NDE96" s="80"/>
      <c r="NDF96" s="80"/>
      <c r="NDG96" s="80"/>
      <c r="NDH96" s="80"/>
      <c r="NDI96" s="80"/>
      <c r="NDJ96" s="80"/>
      <c r="NDK96" s="80"/>
      <c r="NDL96" s="80"/>
      <c r="NDM96" s="80"/>
      <c r="NDN96" s="80"/>
      <c r="NDO96" s="80"/>
      <c r="NDP96" s="80"/>
      <c r="NDQ96" s="80"/>
      <c r="NDR96" s="80"/>
      <c r="NDS96" s="80"/>
      <c r="NDT96" s="80"/>
      <c r="NDU96" s="80"/>
      <c r="NDV96" s="80"/>
      <c r="NDW96" s="80"/>
      <c r="NDX96" s="80"/>
      <c r="NDY96" s="80"/>
      <c r="NDZ96" s="80"/>
      <c r="NEA96" s="80"/>
      <c r="NEB96" s="80"/>
      <c r="NEC96" s="80"/>
      <c r="NED96" s="80"/>
      <c r="NEE96" s="80"/>
      <c r="NEF96" s="80"/>
      <c r="NEG96" s="80"/>
      <c r="NEH96" s="80"/>
      <c r="NEI96" s="80"/>
      <c r="NEJ96" s="80"/>
      <c r="NEK96" s="80"/>
      <c r="NEL96" s="80"/>
      <c r="NEM96" s="80"/>
      <c r="NEN96" s="80"/>
      <c r="NEO96" s="80"/>
      <c r="NEP96" s="80"/>
      <c r="NEQ96" s="80"/>
      <c r="NER96" s="80"/>
      <c r="NES96" s="80"/>
      <c r="NET96" s="80"/>
      <c r="NEU96" s="80"/>
      <c r="NEV96" s="80"/>
      <c r="NEW96" s="80"/>
      <c r="NEX96" s="80"/>
      <c r="NEY96" s="80"/>
      <c r="NEZ96" s="80"/>
      <c r="NFA96" s="80"/>
      <c r="NFB96" s="80"/>
      <c r="NFC96" s="80"/>
      <c r="NFD96" s="80"/>
      <c r="NFE96" s="80"/>
      <c r="NFF96" s="80"/>
      <c r="NFG96" s="80"/>
      <c r="NFH96" s="80"/>
      <c r="NFI96" s="80"/>
      <c r="NFJ96" s="80"/>
      <c r="NFK96" s="80"/>
      <c r="NFL96" s="80"/>
      <c r="NFM96" s="80"/>
      <c r="NFN96" s="80"/>
      <c r="NFO96" s="80"/>
      <c r="NFP96" s="80"/>
      <c r="NFQ96" s="80"/>
      <c r="NFR96" s="80"/>
      <c r="NFS96" s="80"/>
      <c r="NFT96" s="80"/>
      <c r="NFU96" s="80"/>
      <c r="NFV96" s="80"/>
      <c r="NFW96" s="80"/>
      <c r="NFX96" s="80"/>
      <c r="NFY96" s="80"/>
      <c r="NFZ96" s="80"/>
      <c r="NGA96" s="80"/>
      <c r="NGB96" s="80"/>
      <c r="NGC96" s="80"/>
      <c r="NGD96" s="80"/>
      <c r="NGE96" s="80"/>
      <c r="NGF96" s="80"/>
      <c r="NGG96" s="80"/>
      <c r="NGH96" s="80"/>
      <c r="NGI96" s="80"/>
      <c r="NGJ96" s="80"/>
      <c r="NGK96" s="80"/>
      <c r="NGL96" s="80"/>
      <c r="NGM96" s="80"/>
      <c r="NGN96" s="80"/>
      <c r="NGO96" s="80"/>
      <c r="NGP96" s="80"/>
      <c r="NGQ96" s="80"/>
      <c r="NGR96" s="80"/>
      <c r="NGS96" s="80"/>
      <c r="NGT96" s="80"/>
      <c r="NGU96" s="80"/>
      <c r="NGV96" s="80"/>
      <c r="NGW96" s="80"/>
      <c r="NGX96" s="80"/>
      <c r="NGY96" s="80"/>
      <c r="NGZ96" s="80"/>
      <c r="NHA96" s="80"/>
      <c r="NHB96" s="80"/>
      <c r="NHC96" s="80"/>
      <c r="NHD96" s="80"/>
      <c r="NHE96" s="80"/>
      <c r="NHF96" s="80"/>
      <c r="NHG96" s="80"/>
      <c r="NHH96" s="80"/>
      <c r="NHI96" s="80"/>
      <c r="NHJ96" s="80"/>
      <c r="NHK96" s="80"/>
      <c r="NHL96" s="80"/>
      <c r="NHM96" s="80"/>
      <c r="NHN96" s="80"/>
      <c r="NHO96" s="80"/>
      <c r="NHP96" s="80"/>
      <c r="NHQ96" s="80"/>
      <c r="NHR96" s="80"/>
      <c r="NHS96" s="80"/>
      <c r="NHT96" s="80"/>
      <c r="NHU96" s="80"/>
      <c r="NHV96" s="80"/>
      <c r="NHW96" s="80"/>
      <c r="NHX96" s="80"/>
      <c r="NHY96" s="80"/>
      <c r="NHZ96" s="80"/>
      <c r="NIA96" s="80"/>
      <c r="NIB96" s="80"/>
      <c r="NIC96" s="80"/>
      <c r="NID96" s="80"/>
      <c r="NIE96" s="80"/>
      <c r="NIF96" s="80"/>
      <c r="NIG96" s="80"/>
      <c r="NIH96" s="80"/>
      <c r="NII96" s="80"/>
      <c r="NIJ96" s="80"/>
      <c r="NIK96" s="80"/>
      <c r="NIL96" s="80"/>
      <c r="NIM96" s="80"/>
      <c r="NIN96" s="80"/>
      <c r="NIO96" s="80"/>
      <c r="NIP96" s="80"/>
      <c r="NIQ96" s="80"/>
      <c r="NIR96" s="80"/>
      <c r="NIS96" s="80"/>
      <c r="NIT96" s="80"/>
      <c r="NIU96" s="80"/>
      <c r="NIV96" s="80"/>
      <c r="NIW96" s="80"/>
      <c r="NIX96" s="80"/>
      <c r="NIY96" s="80"/>
      <c r="NIZ96" s="80"/>
      <c r="NJA96" s="80"/>
      <c r="NJB96" s="80"/>
      <c r="NJC96" s="80"/>
      <c r="NJD96" s="80"/>
      <c r="NJE96" s="80"/>
      <c r="NJF96" s="80"/>
      <c r="NJG96" s="80"/>
      <c r="NJH96" s="80"/>
      <c r="NJI96" s="80"/>
      <c r="NJJ96" s="80"/>
      <c r="NJK96" s="80"/>
      <c r="NJL96" s="80"/>
      <c r="NJM96" s="80"/>
      <c r="NJN96" s="80"/>
      <c r="NJO96" s="80"/>
      <c r="NJP96" s="80"/>
      <c r="NJQ96" s="80"/>
      <c r="NJR96" s="80"/>
      <c r="NJS96" s="80"/>
      <c r="NJT96" s="80"/>
      <c r="NJU96" s="80"/>
      <c r="NJV96" s="80"/>
      <c r="NJW96" s="80"/>
      <c r="NJX96" s="80"/>
      <c r="NJY96" s="80"/>
      <c r="NJZ96" s="80"/>
      <c r="NKA96" s="80"/>
      <c r="NKB96" s="80"/>
      <c r="NKC96" s="80"/>
      <c r="NKD96" s="80"/>
      <c r="NKE96" s="80"/>
      <c r="NKF96" s="80"/>
      <c r="NKG96" s="80"/>
      <c r="NKH96" s="80"/>
      <c r="NKI96" s="80"/>
      <c r="NKJ96" s="80"/>
      <c r="NKK96" s="80"/>
      <c r="NKL96" s="80"/>
      <c r="NKM96" s="80"/>
      <c r="NKN96" s="80"/>
      <c r="NKO96" s="80"/>
      <c r="NKP96" s="80"/>
      <c r="NKQ96" s="80"/>
      <c r="NKR96" s="80"/>
      <c r="NKS96" s="80"/>
      <c r="NKT96" s="80"/>
      <c r="NKU96" s="80"/>
      <c r="NKV96" s="80"/>
      <c r="NKW96" s="80"/>
      <c r="NKX96" s="80"/>
      <c r="NKY96" s="80"/>
      <c r="NKZ96" s="80"/>
      <c r="NLA96" s="80"/>
      <c r="NLB96" s="80"/>
      <c r="NLC96" s="80"/>
      <c r="NLD96" s="80"/>
      <c r="NLE96" s="80"/>
      <c r="NLF96" s="80"/>
      <c r="NLG96" s="80"/>
      <c r="NLH96" s="80"/>
      <c r="NLI96" s="80"/>
      <c r="NLJ96" s="80"/>
      <c r="NLK96" s="80"/>
      <c r="NLL96" s="80"/>
      <c r="NLM96" s="80"/>
      <c r="NLN96" s="80"/>
      <c r="NLO96" s="80"/>
      <c r="NLP96" s="80"/>
      <c r="NLQ96" s="80"/>
      <c r="NLR96" s="80"/>
      <c r="NLS96" s="80"/>
      <c r="NLT96" s="80"/>
      <c r="NLU96" s="80"/>
      <c r="NLV96" s="80"/>
      <c r="NLW96" s="80"/>
      <c r="NLX96" s="80"/>
      <c r="NLY96" s="80"/>
      <c r="NLZ96" s="80"/>
      <c r="NMA96" s="80"/>
      <c r="NMB96" s="80"/>
      <c r="NMC96" s="80"/>
      <c r="NMD96" s="80"/>
      <c r="NME96" s="80"/>
      <c r="NMF96" s="80"/>
      <c r="NMG96" s="80"/>
      <c r="NMH96" s="80"/>
      <c r="NMI96" s="80"/>
      <c r="NMJ96" s="80"/>
      <c r="NMK96" s="80"/>
      <c r="NML96" s="80"/>
      <c r="NMM96" s="80"/>
      <c r="NMN96" s="80"/>
      <c r="NMO96" s="80"/>
      <c r="NMP96" s="80"/>
      <c r="NMQ96" s="80"/>
      <c r="NMR96" s="80"/>
      <c r="NMS96" s="80"/>
      <c r="NMT96" s="80"/>
      <c r="NMU96" s="80"/>
      <c r="NMV96" s="80"/>
      <c r="NMW96" s="80"/>
      <c r="NMX96" s="80"/>
      <c r="NMY96" s="80"/>
      <c r="NMZ96" s="80"/>
      <c r="NNA96" s="80"/>
      <c r="NNB96" s="80"/>
      <c r="NNC96" s="80"/>
      <c r="NND96" s="80"/>
      <c r="NNE96" s="80"/>
      <c r="NNF96" s="80"/>
      <c r="NNG96" s="80"/>
      <c r="NNH96" s="80"/>
      <c r="NNI96" s="80"/>
      <c r="NNJ96" s="80"/>
      <c r="NNK96" s="80"/>
      <c r="NNL96" s="80"/>
      <c r="NNM96" s="80"/>
      <c r="NNN96" s="80"/>
      <c r="NNO96" s="80"/>
      <c r="NNP96" s="80"/>
      <c r="NNQ96" s="80"/>
      <c r="NNR96" s="80"/>
      <c r="NNS96" s="80"/>
      <c r="NNT96" s="80"/>
      <c r="NNU96" s="80"/>
      <c r="NNV96" s="80"/>
      <c r="NNW96" s="80"/>
      <c r="NNX96" s="80"/>
      <c r="NNY96" s="80"/>
      <c r="NNZ96" s="80"/>
      <c r="NOA96" s="80"/>
      <c r="NOB96" s="80"/>
      <c r="NOC96" s="80"/>
      <c r="NOD96" s="80"/>
      <c r="NOE96" s="80"/>
      <c r="NOF96" s="80"/>
      <c r="NOG96" s="80"/>
      <c r="NOH96" s="80"/>
      <c r="NOI96" s="80"/>
      <c r="NOJ96" s="80"/>
      <c r="NOK96" s="80"/>
      <c r="NOL96" s="80"/>
      <c r="NOM96" s="80"/>
      <c r="NON96" s="80"/>
      <c r="NOO96" s="80"/>
      <c r="NOP96" s="80"/>
      <c r="NOQ96" s="80"/>
      <c r="NOR96" s="80"/>
      <c r="NOS96" s="80"/>
      <c r="NOT96" s="80"/>
      <c r="NOU96" s="80"/>
      <c r="NOV96" s="80"/>
      <c r="NOW96" s="80"/>
      <c r="NOX96" s="80"/>
      <c r="NOY96" s="80"/>
      <c r="NOZ96" s="80"/>
      <c r="NPA96" s="80"/>
      <c r="NPB96" s="80"/>
      <c r="NPC96" s="80"/>
      <c r="NPD96" s="80"/>
      <c r="NPE96" s="80"/>
      <c r="NPF96" s="80"/>
      <c r="NPG96" s="80"/>
      <c r="NPH96" s="80"/>
      <c r="NPI96" s="80"/>
      <c r="NPJ96" s="80"/>
      <c r="NPK96" s="80"/>
      <c r="NPL96" s="80"/>
      <c r="NPM96" s="80"/>
      <c r="NPN96" s="80"/>
      <c r="NPO96" s="80"/>
      <c r="NPP96" s="80"/>
      <c r="NPQ96" s="80"/>
      <c r="NPR96" s="80"/>
      <c r="NPS96" s="80"/>
      <c r="NPT96" s="80"/>
      <c r="NPU96" s="80"/>
      <c r="NPV96" s="80"/>
      <c r="NPW96" s="80"/>
      <c r="NPX96" s="80"/>
      <c r="NPY96" s="80"/>
      <c r="NPZ96" s="80"/>
      <c r="NQA96" s="80"/>
      <c r="NQB96" s="80"/>
      <c r="NQC96" s="80"/>
      <c r="NQD96" s="80"/>
      <c r="NQE96" s="80"/>
      <c r="NQF96" s="80"/>
      <c r="NQG96" s="80"/>
      <c r="NQH96" s="80"/>
      <c r="NQI96" s="80"/>
      <c r="NQJ96" s="80"/>
      <c r="NQK96" s="80"/>
      <c r="NQL96" s="80"/>
      <c r="NQM96" s="80"/>
      <c r="NQN96" s="80"/>
      <c r="NQO96" s="80"/>
      <c r="NQP96" s="80"/>
      <c r="NQQ96" s="80"/>
      <c r="NQR96" s="80"/>
      <c r="NQS96" s="80"/>
      <c r="NQT96" s="80"/>
      <c r="NQU96" s="80"/>
      <c r="NQV96" s="80"/>
      <c r="NQW96" s="80"/>
      <c r="NQX96" s="80"/>
      <c r="NQY96" s="80"/>
      <c r="NQZ96" s="80"/>
      <c r="NRA96" s="80"/>
      <c r="NRB96" s="80"/>
      <c r="NRC96" s="80"/>
      <c r="NRD96" s="80"/>
      <c r="NRE96" s="80"/>
      <c r="NRF96" s="80"/>
      <c r="NRG96" s="80"/>
      <c r="NRH96" s="80"/>
      <c r="NRI96" s="80"/>
      <c r="NRJ96" s="80"/>
      <c r="NRK96" s="80"/>
      <c r="NRL96" s="80"/>
      <c r="NRM96" s="80"/>
      <c r="NRN96" s="80"/>
      <c r="NRO96" s="80"/>
      <c r="NRP96" s="80"/>
      <c r="NRQ96" s="80"/>
      <c r="NRR96" s="80"/>
      <c r="NRS96" s="80"/>
      <c r="NRT96" s="80"/>
      <c r="NRU96" s="80"/>
      <c r="NRV96" s="80"/>
      <c r="NRW96" s="80"/>
      <c r="NRX96" s="80"/>
      <c r="NRY96" s="80"/>
      <c r="NRZ96" s="80"/>
      <c r="NSA96" s="80"/>
      <c r="NSB96" s="80"/>
      <c r="NSC96" s="80"/>
      <c r="NSD96" s="80"/>
      <c r="NSE96" s="80"/>
      <c r="NSF96" s="80"/>
      <c r="NSG96" s="80"/>
      <c r="NSH96" s="80"/>
      <c r="NSI96" s="80"/>
      <c r="NSJ96" s="80"/>
      <c r="NSK96" s="80"/>
      <c r="NSL96" s="80"/>
      <c r="NSM96" s="80"/>
      <c r="NSN96" s="80"/>
      <c r="NSO96" s="80"/>
      <c r="NSP96" s="80"/>
      <c r="NSQ96" s="80"/>
      <c r="NSR96" s="80"/>
      <c r="NSS96" s="80"/>
      <c r="NST96" s="80"/>
      <c r="NSU96" s="80"/>
      <c r="NSV96" s="80"/>
      <c r="NSW96" s="80"/>
      <c r="NSX96" s="80"/>
      <c r="NSY96" s="80"/>
      <c r="NSZ96" s="80"/>
      <c r="NTA96" s="80"/>
      <c r="NTB96" s="80"/>
      <c r="NTC96" s="80"/>
      <c r="NTD96" s="80"/>
      <c r="NTE96" s="80"/>
      <c r="NTF96" s="80"/>
      <c r="NTG96" s="80"/>
      <c r="NTH96" s="80"/>
      <c r="NTI96" s="80"/>
      <c r="NTJ96" s="80"/>
      <c r="NTK96" s="80"/>
      <c r="NTL96" s="80"/>
      <c r="NTM96" s="80"/>
      <c r="NTN96" s="80"/>
      <c r="NTO96" s="80"/>
      <c r="NTP96" s="80"/>
      <c r="NTQ96" s="80"/>
      <c r="NTR96" s="80"/>
      <c r="NTS96" s="80"/>
      <c r="NTT96" s="80"/>
      <c r="NTU96" s="80"/>
      <c r="NTV96" s="80"/>
      <c r="NTW96" s="80"/>
      <c r="NTX96" s="80"/>
      <c r="NTY96" s="80"/>
      <c r="NTZ96" s="80"/>
      <c r="NUA96" s="80"/>
      <c r="NUB96" s="80"/>
      <c r="NUC96" s="80"/>
      <c r="NUD96" s="80"/>
      <c r="NUE96" s="80"/>
      <c r="NUF96" s="80"/>
      <c r="NUG96" s="80"/>
      <c r="NUH96" s="80"/>
      <c r="NUI96" s="80"/>
      <c r="NUJ96" s="80"/>
      <c r="NUK96" s="80"/>
      <c r="NUL96" s="80"/>
      <c r="NUM96" s="80"/>
      <c r="NUN96" s="80"/>
      <c r="NUO96" s="80"/>
      <c r="NUP96" s="80"/>
      <c r="NUQ96" s="80"/>
      <c r="NUR96" s="80"/>
      <c r="NUS96" s="80"/>
      <c r="NUT96" s="80"/>
      <c r="NUU96" s="80"/>
      <c r="NUV96" s="80"/>
      <c r="NUW96" s="80"/>
      <c r="NUX96" s="80"/>
      <c r="NUY96" s="80"/>
      <c r="NUZ96" s="80"/>
      <c r="NVA96" s="80"/>
      <c r="NVB96" s="80"/>
      <c r="NVC96" s="80"/>
      <c r="NVD96" s="80"/>
      <c r="NVE96" s="80"/>
      <c r="NVF96" s="80"/>
      <c r="NVG96" s="80"/>
      <c r="NVH96" s="80"/>
      <c r="NVI96" s="80"/>
      <c r="NVJ96" s="80"/>
      <c r="NVK96" s="80"/>
      <c r="NVL96" s="80"/>
      <c r="NVM96" s="80"/>
      <c r="NVN96" s="80"/>
      <c r="NVO96" s="80"/>
      <c r="NVP96" s="80"/>
      <c r="NVQ96" s="80"/>
      <c r="NVR96" s="80"/>
      <c r="NVS96" s="80"/>
      <c r="NVT96" s="80"/>
      <c r="NVU96" s="80"/>
      <c r="NVV96" s="80"/>
      <c r="NVW96" s="80"/>
      <c r="NVX96" s="80"/>
      <c r="NVY96" s="80"/>
      <c r="NVZ96" s="80"/>
      <c r="NWA96" s="80"/>
      <c r="NWB96" s="80"/>
      <c r="NWC96" s="80"/>
      <c r="NWD96" s="80"/>
      <c r="NWE96" s="80"/>
      <c r="NWF96" s="80"/>
      <c r="NWG96" s="80"/>
      <c r="NWH96" s="80"/>
      <c r="NWI96" s="80"/>
      <c r="NWJ96" s="80"/>
      <c r="NWK96" s="80"/>
      <c r="NWL96" s="80"/>
      <c r="NWM96" s="80"/>
      <c r="NWN96" s="80"/>
      <c r="NWO96" s="80"/>
      <c r="NWP96" s="80"/>
      <c r="NWQ96" s="80"/>
      <c r="NWR96" s="80"/>
      <c r="NWS96" s="80"/>
      <c r="NWT96" s="80"/>
      <c r="NWU96" s="80"/>
      <c r="NWV96" s="80"/>
      <c r="NWW96" s="80"/>
      <c r="NWX96" s="80"/>
      <c r="NWY96" s="80"/>
      <c r="NWZ96" s="80"/>
      <c r="NXA96" s="80"/>
      <c r="NXB96" s="80"/>
      <c r="NXC96" s="80"/>
      <c r="NXD96" s="80"/>
      <c r="NXE96" s="80"/>
      <c r="NXF96" s="80"/>
      <c r="NXG96" s="80"/>
      <c r="NXH96" s="80"/>
      <c r="NXI96" s="80"/>
      <c r="NXJ96" s="80"/>
      <c r="NXK96" s="80"/>
      <c r="NXL96" s="80"/>
      <c r="NXM96" s="80"/>
      <c r="NXN96" s="80"/>
      <c r="NXO96" s="80"/>
      <c r="NXP96" s="80"/>
      <c r="NXQ96" s="80"/>
      <c r="NXR96" s="80"/>
      <c r="NXS96" s="80"/>
      <c r="NXT96" s="80"/>
      <c r="NXU96" s="80"/>
      <c r="NXV96" s="80"/>
      <c r="NXW96" s="80"/>
      <c r="NXX96" s="80"/>
      <c r="NXY96" s="80"/>
      <c r="NXZ96" s="80"/>
      <c r="NYA96" s="80"/>
      <c r="NYB96" s="80"/>
      <c r="NYC96" s="80"/>
      <c r="NYD96" s="80"/>
      <c r="NYE96" s="80"/>
      <c r="NYF96" s="80"/>
      <c r="NYG96" s="80"/>
      <c r="NYH96" s="80"/>
      <c r="NYI96" s="80"/>
      <c r="NYJ96" s="80"/>
      <c r="NYK96" s="80"/>
      <c r="NYL96" s="80"/>
      <c r="NYM96" s="80"/>
      <c r="NYN96" s="80"/>
      <c r="NYO96" s="80"/>
      <c r="NYP96" s="80"/>
      <c r="NYQ96" s="80"/>
      <c r="NYR96" s="80"/>
      <c r="NYS96" s="80"/>
      <c r="NYT96" s="80"/>
      <c r="NYU96" s="80"/>
      <c r="NYV96" s="80"/>
      <c r="NYW96" s="80"/>
      <c r="NYX96" s="80"/>
      <c r="NYY96" s="80"/>
      <c r="NYZ96" s="80"/>
      <c r="NZA96" s="80"/>
      <c r="NZB96" s="80"/>
      <c r="NZC96" s="80"/>
      <c r="NZD96" s="80"/>
      <c r="NZE96" s="80"/>
      <c r="NZF96" s="80"/>
      <c r="NZG96" s="80"/>
      <c r="NZH96" s="80"/>
      <c r="NZI96" s="80"/>
      <c r="NZJ96" s="80"/>
      <c r="NZK96" s="80"/>
      <c r="NZL96" s="80"/>
      <c r="NZM96" s="80"/>
      <c r="NZN96" s="80"/>
      <c r="NZO96" s="80"/>
      <c r="NZP96" s="80"/>
      <c r="NZQ96" s="80"/>
      <c r="NZR96" s="80"/>
      <c r="NZS96" s="80"/>
      <c r="NZT96" s="80"/>
      <c r="NZU96" s="80"/>
      <c r="NZV96" s="80"/>
      <c r="NZW96" s="80"/>
      <c r="NZX96" s="80"/>
      <c r="NZY96" s="80"/>
      <c r="NZZ96" s="80"/>
      <c r="OAA96" s="80"/>
      <c r="OAB96" s="80"/>
      <c r="OAC96" s="80"/>
      <c r="OAD96" s="80"/>
      <c r="OAE96" s="80"/>
      <c r="OAF96" s="80"/>
      <c r="OAG96" s="80"/>
      <c r="OAH96" s="80"/>
      <c r="OAI96" s="80"/>
      <c r="OAJ96" s="80"/>
      <c r="OAK96" s="80"/>
      <c r="OAL96" s="80"/>
      <c r="OAM96" s="80"/>
      <c r="OAN96" s="80"/>
      <c r="OAO96" s="80"/>
      <c r="OAP96" s="80"/>
      <c r="OAQ96" s="80"/>
      <c r="OAR96" s="80"/>
      <c r="OAS96" s="80"/>
      <c r="OAT96" s="80"/>
      <c r="OAU96" s="80"/>
      <c r="OAV96" s="80"/>
      <c r="OAW96" s="80"/>
      <c r="OAX96" s="80"/>
      <c r="OAY96" s="80"/>
      <c r="OAZ96" s="80"/>
      <c r="OBA96" s="80"/>
      <c r="OBB96" s="80"/>
      <c r="OBC96" s="80"/>
      <c r="OBD96" s="80"/>
      <c r="OBE96" s="80"/>
      <c r="OBF96" s="80"/>
      <c r="OBG96" s="80"/>
      <c r="OBH96" s="80"/>
      <c r="OBI96" s="80"/>
      <c r="OBJ96" s="80"/>
      <c r="OBK96" s="80"/>
      <c r="OBL96" s="80"/>
      <c r="OBM96" s="80"/>
      <c r="OBN96" s="80"/>
      <c r="OBO96" s="80"/>
      <c r="OBP96" s="80"/>
      <c r="OBQ96" s="80"/>
      <c r="OBR96" s="80"/>
      <c r="OBS96" s="80"/>
      <c r="OBT96" s="80"/>
      <c r="OBU96" s="80"/>
      <c r="OBV96" s="80"/>
      <c r="OBW96" s="80"/>
      <c r="OBX96" s="80"/>
      <c r="OBY96" s="80"/>
      <c r="OBZ96" s="80"/>
      <c r="OCA96" s="80"/>
      <c r="OCB96" s="80"/>
      <c r="OCC96" s="80"/>
      <c r="OCD96" s="80"/>
      <c r="OCE96" s="80"/>
      <c r="OCF96" s="80"/>
      <c r="OCG96" s="80"/>
      <c r="OCH96" s="80"/>
      <c r="OCI96" s="80"/>
      <c r="OCJ96" s="80"/>
      <c r="OCK96" s="80"/>
      <c r="OCL96" s="80"/>
      <c r="OCM96" s="80"/>
      <c r="OCN96" s="80"/>
      <c r="OCO96" s="80"/>
      <c r="OCP96" s="80"/>
      <c r="OCQ96" s="80"/>
      <c r="OCR96" s="80"/>
      <c r="OCS96" s="80"/>
      <c r="OCT96" s="80"/>
      <c r="OCU96" s="80"/>
      <c r="OCV96" s="80"/>
      <c r="OCW96" s="80"/>
      <c r="OCX96" s="80"/>
      <c r="OCY96" s="80"/>
      <c r="OCZ96" s="80"/>
      <c r="ODA96" s="80"/>
      <c r="ODB96" s="80"/>
      <c r="ODC96" s="80"/>
      <c r="ODD96" s="80"/>
      <c r="ODE96" s="80"/>
      <c r="ODF96" s="80"/>
      <c r="ODG96" s="80"/>
      <c r="ODH96" s="80"/>
      <c r="ODI96" s="80"/>
      <c r="ODJ96" s="80"/>
      <c r="ODK96" s="80"/>
      <c r="ODL96" s="80"/>
      <c r="ODM96" s="80"/>
      <c r="ODN96" s="80"/>
      <c r="ODO96" s="80"/>
      <c r="ODP96" s="80"/>
      <c r="ODQ96" s="80"/>
      <c r="ODR96" s="80"/>
      <c r="ODS96" s="80"/>
      <c r="ODT96" s="80"/>
      <c r="ODU96" s="80"/>
      <c r="ODV96" s="80"/>
      <c r="ODW96" s="80"/>
      <c r="ODX96" s="80"/>
      <c r="ODY96" s="80"/>
      <c r="ODZ96" s="80"/>
      <c r="OEA96" s="80"/>
      <c r="OEB96" s="80"/>
      <c r="OEC96" s="80"/>
      <c r="OED96" s="80"/>
      <c r="OEE96" s="80"/>
      <c r="OEF96" s="80"/>
      <c r="OEG96" s="80"/>
      <c r="OEH96" s="80"/>
      <c r="OEI96" s="80"/>
      <c r="OEJ96" s="80"/>
      <c r="OEK96" s="80"/>
      <c r="OEL96" s="80"/>
      <c r="OEM96" s="80"/>
      <c r="OEN96" s="80"/>
      <c r="OEO96" s="80"/>
      <c r="OEP96" s="80"/>
      <c r="OEQ96" s="80"/>
      <c r="OER96" s="80"/>
      <c r="OES96" s="80"/>
      <c r="OET96" s="80"/>
      <c r="OEU96" s="80"/>
      <c r="OEV96" s="80"/>
      <c r="OEW96" s="80"/>
      <c r="OEX96" s="80"/>
      <c r="OEY96" s="80"/>
      <c r="OEZ96" s="80"/>
      <c r="OFA96" s="80"/>
      <c r="OFB96" s="80"/>
      <c r="OFC96" s="80"/>
      <c r="OFD96" s="80"/>
      <c r="OFE96" s="80"/>
      <c r="OFF96" s="80"/>
      <c r="OFG96" s="80"/>
      <c r="OFH96" s="80"/>
      <c r="OFI96" s="80"/>
      <c r="OFJ96" s="80"/>
      <c r="OFK96" s="80"/>
      <c r="OFL96" s="80"/>
      <c r="OFM96" s="80"/>
      <c r="OFN96" s="80"/>
      <c r="OFO96" s="80"/>
      <c r="OFP96" s="80"/>
      <c r="OFQ96" s="80"/>
      <c r="OFR96" s="80"/>
      <c r="OFS96" s="80"/>
      <c r="OFT96" s="80"/>
      <c r="OFU96" s="80"/>
      <c r="OFV96" s="80"/>
      <c r="OFW96" s="80"/>
      <c r="OFX96" s="80"/>
      <c r="OFY96" s="80"/>
      <c r="OFZ96" s="80"/>
      <c r="OGA96" s="80"/>
      <c r="OGB96" s="80"/>
      <c r="OGC96" s="80"/>
      <c r="OGD96" s="80"/>
      <c r="OGE96" s="80"/>
      <c r="OGF96" s="80"/>
      <c r="OGG96" s="80"/>
      <c r="OGH96" s="80"/>
      <c r="OGI96" s="80"/>
      <c r="OGJ96" s="80"/>
      <c r="OGK96" s="80"/>
      <c r="OGL96" s="80"/>
      <c r="OGM96" s="80"/>
      <c r="OGN96" s="80"/>
      <c r="OGO96" s="80"/>
      <c r="OGP96" s="80"/>
      <c r="OGQ96" s="80"/>
      <c r="OGR96" s="80"/>
      <c r="OGS96" s="80"/>
      <c r="OGT96" s="80"/>
      <c r="OGU96" s="80"/>
      <c r="OGV96" s="80"/>
      <c r="OGW96" s="80"/>
      <c r="OGX96" s="80"/>
      <c r="OGY96" s="80"/>
      <c r="OGZ96" s="80"/>
      <c r="OHA96" s="80"/>
      <c r="OHB96" s="80"/>
      <c r="OHC96" s="80"/>
      <c r="OHD96" s="80"/>
      <c r="OHE96" s="80"/>
      <c r="OHF96" s="80"/>
      <c r="OHG96" s="80"/>
      <c r="OHH96" s="80"/>
      <c r="OHI96" s="80"/>
      <c r="OHJ96" s="80"/>
      <c r="OHK96" s="80"/>
      <c r="OHL96" s="80"/>
      <c r="OHM96" s="80"/>
      <c r="OHN96" s="80"/>
      <c r="OHO96" s="80"/>
      <c r="OHP96" s="80"/>
      <c r="OHQ96" s="80"/>
      <c r="OHR96" s="80"/>
      <c r="OHS96" s="80"/>
      <c r="OHT96" s="80"/>
      <c r="OHU96" s="80"/>
      <c r="OHV96" s="80"/>
      <c r="OHW96" s="80"/>
      <c r="OHX96" s="80"/>
      <c r="OHY96" s="80"/>
      <c r="OHZ96" s="80"/>
      <c r="OIA96" s="80"/>
      <c r="OIB96" s="80"/>
      <c r="OIC96" s="80"/>
      <c r="OID96" s="80"/>
      <c r="OIE96" s="80"/>
      <c r="OIF96" s="80"/>
      <c r="OIG96" s="80"/>
      <c r="OIH96" s="80"/>
      <c r="OII96" s="80"/>
      <c r="OIJ96" s="80"/>
      <c r="OIK96" s="80"/>
      <c r="OIL96" s="80"/>
      <c r="OIM96" s="80"/>
      <c r="OIN96" s="80"/>
      <c r="OIO96" s="80"/>
      <c r="OIP96" s="80"/>
      <c r="OIQ96" s="80"/>
      <c r="OIR96" s="80"/>
      <c r="OIS96" s="80"/>
      <c r="OIT96" s="80"/>
      <c r="OIU96" s="80"/>
      <c r="OIV96" s="80"/>
      <c r="OIW96" s="80"/>
      <c r="OIX96" s="80"/>
      <c r="OIY96" s="80"/>
      <c r="OIZ96" s="80"/>
      <c r="OJA96" s="80"/>
      <c r="OJB96" s="80"/>
      <c r="OJC96" s="80"/>
      <c r="OJD96" s="80"/>
      <c r="OJE96" s="80"/>
      <c r="OJF96" s="80"/>
      <c r="OJG96" s="80"/>
      <c r="OJH96" s="80"/>
      <c r="OJI96" s="80"/>
      <c r="OJJ96" s="80"/>
      <c r="OJK96" s="80"/>
      <c r="OJL96" s="80"/>
      <c r="OJM96" s="80"/>
      <c r="OJN96" s="80"/>
      <c r="OJO96" s="80"/>
      <c r="OJP96" s="80"/>
      <c r="OJQ96" s="80"/>
      <c r="OJR96" s="80"/>
      <c r="OJS96" s="80"/>
      <c r="OJT96" s="80"/>
      <c r="OJU96" s="80"/>
      <c r="OJV96" s="80"/>
      <c r="OJW96" s="80"/>
      <c r="OJX96" s="80"/>
      <c r="OJY96" s="80"/>
      <c r="OJZ96" s="80"/>
      <c r="OKA96" s="80"/>
      <c r="OKB96" s="80"/>
      <c r="OKC96" s="80"/>
      <c r="OKD96" s="80"/>
      <c r="OKE96" s="80"/>
      <c r="OKF96" s="80"/>
      <c r="OKG96" s="80"/>
      <c r="OKH96" s="80"/>
      <c r="OKI96" s="80"/>
      <c r="OKJ96" s="80"/>
      <c r="OKK96" s="80"/>
      <c r="OKL96" s="80"/>
      <c r="OKM96" s="80"/>
      <c r="OKN96" s="80"/>
      <c r="OKO96" s="80"/>
      <c r="OKP96" s="80"/>
      <c r="OKQ96" s="80"/>
      <c r="OKR96" s="80"/>
      <c r="OKS96" s="80"/>
      <c r="OKT96" s="80"/>
      <c r="OKU96" s="80"/>
      <c r="OKV96" s="80"/>
      <c r="OKW96" s="80"/>
      <c r="OKX96" s="80"/>
      <c r="OKY96" s="80"/>
      <c r="OKZ96" s="80"/>
      <c r="OLA96" s="80"/>
      <c r="OLB96" s="80"/>
      <c r="OLC96" s="80"/>
      <c r="OLD96" s="80"/>
      <c r="OLE96" s="80"/>
      <c r="OLF96" s="80"/>
      <c r="OLG96" s="80"/>
      <c r="OLH96" s="80"/>
      <c r="OLI96" s="80"/>
      <c r="OLJ96" s="80"/>
      <c r="OLK96" s="80"/>
      <c r="OLL96" s="80"/>
      <c r="OLM96" s="80"/>
      <c r="OLN96" s="80"/>
      <c r="OLO96" s="80"/>
      <c r="OLP96" s="80"/>
      <c r="OLQ96" s="80"/>
      <c r="OLR96" s="80"/>
      <c r="OLS96" s="80"/>
      <c r="OLT96" s="80"/>
      <c r="OLU96" s="80"/>
      <c r="OLV96" s="80"/>
      <c r="OLW96" s="80"/>
      <c r="OLX96" s="80"/>
      <c r="OLY96" s="80"/>
      <c r="OLZ96" s="80"/>
      <c r="OMA96" s="80"/>
      <c r="OMB96" s="80"/>
      <c r="OMC96" s="80"/>
      <c r="OMD96" s="80"/>
      <c r="OME96" s="80"/>
      <c r="OMF96" s="80"/>
      <c r="OMG96" s="80"/>
      <c r="OMH96" s="80"/>
      <c r="OMI96" s="80"/>
      <c r="OMJ96" s="80"/>
      <c r="OMK96" s="80"/>
      <c r="OML96" s="80"/>
      <c r="OMM96" s="80"/>
      <c r="OMN96" s="80"/>
      <c r="OMO96" s="80"/>
      <c r="OMP96" s="80"/>
      <c r="OMQ96" s="80"/>
      <c r="OMR96" s="80"/>
      <c r="OMS96" s="80"/>
      <c r="OMT96" s="80"/>
      <c r="OMU96" s="80"/>
      <c r="OMV96" s="80"/>
      <c r="OMW96" s="80"/>
      <c r="OMX96" s="80"/>
      <c r="OMY96" s="80"/>
      <c r="OMZ96" s="80"/>
      <c r="ONA96" s="80"/>
      <c r="ONB96" s="80"/>
      <c r="ONC96" s="80"/>
      <c r="OND96" s="80"/>
      <c r="ONE96" s="80"/>
      <c r="ONF96" s="80"/>
      <c r="ONG96" s="80"/>
      <c r="ONH96" s="80"/>
      <c r="ONI96" s="80"/>
      <c r="ONJ96" s="80"/>
      <c r="ONK96" s="80"/>
      <c r="ONL96" s="80"/>
      <c r="ONM96" s="80"/>
      <c r="ONN96" s="80"/>
      <c r="ONO96" s="80"/>
      <c r="ONP96" s="80"/>
      <c r="ONQ96" s="80"/>
      <c r="ONR96" s="80"/>
      <c r="ONS96" s="80"/>
      <c r="ONT96" s="80"/>
      <c r="ONU96" s="80"/>
      <c r="ONV96" s="80"/>
      <c r="ONW96" s="80"/>
      <c r="ONX96" s="80"/>
      <c r="ONY96" s="80"/>
      <c r="ONZ96" s="80"/>
      <c r="OOA96" s="80"/>
      <c r="OOB96" s="80"/>
      <c r="OOC96" s="80"/>
      <c r="OOD96" s="80"/>
      <c r="OOE96" s="80"/>
      <c r="OOF96" s="80"/>
      <c r="OOG96" s="80"/>
      <c r="OOH96" s="80"/>
      <c r="OOI96" s="80"/>
      <c r="OOJ96" s="80"/>
      <c r="OOK96" s="80"/>
      <c r="OOL96" s="80"/>
      <c r="OOM96" s="80"/>
      <c r="OON96" s="80"/>
      <c r="OOO96" s="80"/>
      <c r="OOP96" s="80"/>
      <c r="OOQ96" s="80"/>
      <c r="OOR96" s="80"/>
      <c r="OOS96" s="80"/>
      <c r="OOT96" s="80"/>
      <c r="OOU96" s="80"/>
      <c r="OOV96" s="80"/>
      <c r="OOW96" s="80"/>
      <c r="OOX96" s="80"/>
      <c r="OOY96" s="80"/>
      <c r="OOZ96" s="80"/>
      <c r="OPA96" s="80"/>
      <c r="OPB96" s="80"/>
      <c r="OPC96" s="80"/>
      <c r="OPD96" s="80"/>
      <c r="OPE96" s="80"/>
      <c r="OPF96" s="80"/>
      <c r="OPG96" s="80"/>
      <c r="OPH96" s="80"/>
      <c r="OPI96" s="80"/>
      <c r="OPJ96" s="80"/>
      <c r="OPK96" s="80"/>
      <c r="OPL96" s="80"/>
      <c r="OPM96" s="80"/>
      <c r="OPN96" s="80"/>
      <c r="OPO96" s="80"/>
      <c r="OPP96" s="80"/>
      <c r="OPQ96" s="80"/>
      <c r="OPR96" s="80"/>
      <c r="OPS96" s="80"/>
      <c r="OPT96" s="80"/>
      <c r="OPU96" s="80"/>
      <c r="OPV96" s="80"/>
      <c r="OPW96" s="80"/>
      <c r="OPX96" s="80"/>
      <c r="OPY96" s="80"/>
      <c r="OPZ96" s="80"/>
      <c r="OQA96" s="80"/>
      <c r="OQB96" s="80"/>
      <c r="OQC96" s="80"/>
      <c r="OQD96" s="80"/>
      <c r="OQE96" s="80"/>
      <c r="OQF96" s="80"/>
      <c r="OQG96" s="80"/>
      <c r="OQH96" s="80"/>
      <c r="OQI96" s="80"/>
      <c r="OQJ96" s="80"/>
      <c r="OQK96" s="80"/>
      <c r="OQL96" s="80"/>
      <c r="OQM96" s="80"/>
      <c r="OQN96" s="80"/>
      <c r="OQO96" s="80"/>
      <c r="OQP96" s="80"/>
      <c r="OQQ96" s="80"/>
      <c r="OQR96" s="80"/>
      <c r="OQS96" s="80"/>
      <c r="OQT96" s="80"/>
      <c r="OQU96" s="80"/>
      <c r="OQV96" s="80"/>
      <c r="OQW96" s="80"/>
      <c r="OQX96" s="80"/>
      <c r="OQY96" s="80"/>
      <c r="OQZ96" s="80"/>
      <c r="ORA96" s="80"/>
      <c r="ORB96" s="80"/>
      <c r="ORC96" s="80"/>
      <c r="ORD96" s="80"/>
      <c r="ORE96" s="80"/>
      <c r="ORF96" s="80"/>
      <c r="ORG96" s="80"/>
      <c r="ORH96" s="80"/>
      <c r="ORI96" s="80"/>
      <c r="ORJ96" s="80"/>
      <c r="ORK96" s="80"/>
      <c r="ORL96" s="80"/>
      <c r="ORM96" s="80"/>
      <c r="ORN96" s="80"/>
      <c r="ORO96" s="80"/>
      <c r="ORP96" s="80"/>
      <c r="ORQ96" s="80"/>
      <c r="ORR96" s="80"/>
      <c r="ORS96" s="80"/>
      <c r="ORT96" s="80"/>
      <c r="ORU96" s="80"/>
      <c r="ORV96" s="80"/>
      <c r="ORW96" s="80"/>
      <c r="ORX96" s="80"/>
      <c r="ORY96" s="80"/>
      <c r="ORZ96" s="80"/>
      <c r="OSA96" s="80"/>
      <c r="OSB96" s="80"/>
      <c r="OSC96" s="80"/>
      <c r="OSD96" s="80"/>
      <c r="OSE96" s="80"/>
      <c r="OSF96" s="80"/>
      <c r="OSG96" s="80"/>
      <c r="OSH96" s="80"/>
      <c r="OSI96" s="80"/>
      <c r="OSJ96" s="80"/>
      <c r="OSK96" s="80"/>
      <c r="OSL96" s="80"/>
      <c r="OSM96" s="80"/>
      <c r="OSN96" s="80"/>
      <c r="OSO96" s="80"/>
      <c r="OSP96" s="80"/>
      <c r="OSQ96" s="80"/>
      <c r="OSR96" s="80"/>
      <c r="OSS96" s="80"/>
      <c r="OST96" s="80"/>
      <c r="OSU96" s="80"/>
      <c r="OSV96" s="80"/>
      <c r="OSW96" s="80"/>
      <c r="OSX96" s="80"/>
      <c r="OSY96" s="80"/>
      <c r="OSZ96" s="80"/>
      <c r="OTA96" s="80"/>
      <c r="OTB96" s="80"/>
      <c r="OTC96" s="80"/>
      <c r="OTD96" s="80"/>
      <c r="OTE96" s="80"/>
      <c r="OTF96" s="80"/>
      <c r="OTG96" s="80"/>
      <c r="OTH96" s="80"/>
      <c r="OTI96" s="80"/>
      <c r="OTJ96" s="80"/>
      <c r="OTK96" s="80"/>
      <c r="OTL96" s="80"/>
      <c r="OTM96" s="80"/>
      <c r="OTN96" s="80"/>
      <c r="OTO96" s="80"/>
      <c r="OTP96" s="80"/>
      <c r="OTQ96" s="80"/>
      <c r="OTR96" s="80"/>
      <c r="OTS96" s="80"/>
      <c r="OTT96" s="80"/>
      <c r="OTU96" s="80"/>
      <c r="OTV96" s="80"/>
      <c r="OTW96" s="80"/>
      <c r="OTX96" s="80"/>
      <c r="OTY96" s="80"/>
      <c r="OTZ96" s="80"/>
      <c r="OUA96" s="80"/>
      <c r="OUB96" s="80"/>
      <c r="OUC96" s="80"/>
      <c r="OUD96" s="80"/>
      <c r="OUE96" s="80"/>
      <c r="OUF96" s="80"/>
      <c r="OUG96" s="80"/>
      <c r="OUH96" s="80"/>
      <c r="OUI96" s="80"/>
      <c r="OUJ96" s="80"/>
      <c r="OUK96" s="80"/>
      <c r="OUL96" s="80"/>
      <c r="OUM96" s="80"/>
      <c r="OUN96" s="80"/>
      <c r="OUO96" s="80"/>
      <c r="OUP96" s="80"/>
      <c r="OUQ96" s="80"/>
      <c r="OUR96" s="80"/>
      <c r="OUS96" s="80"/>
      <c r="OUT96" s="80"/>
      <c r="OUU96" s="80"/>
      <c r="OUV96" s="80"/>
      <c r="OUW96" s="80"/>
      <c r="OUX96" s="80"/>
      <c r="OUY96" s="80"/>
      <c r="OUZ96" s="80"/>
      <c r="OVA96" s="80"/>
      <c r="OVB96" s="80"/>
      <c r="OVC96" s="80"/>
      <c r="OVD96" s="80"/>
      <c r="OVE96" s="80"/>
      <c r="OVF96" s="80"/>
      <c r="OVG96" s="80"/>
      <c r="OVH96" s="80"/>
      <c r="OVI96" s="80"/>
      <c r="OVJ96" s="80"/>
      <c r="OVK96" s="80"/>
      <c r="OVL96" s="80"/>
      <c r="OVM96" s="80"/>
      <c r="OVN96" s="80"/>
      <c r="OVO96" s="80"/>
      <c r="OVP96" s="80"/>
      <c r="OVQ96" s="80"/>
      <c r="OVR96" s="80"/>
      <c r="OVS96" s="80"/>
      <c r="OVT96" s="80"/>
      <c r="OVU96" s="80"/>
      <c r="OVV96" s="80"/>
      <c r="OVW96" s="80"/>
      <c r="OVX96" s="80"/>
      <c r="OVY96" s="80"/>
      <c r="OVZ96" s="80"/>
      <c r="OWA96" s="80"/>
      <c r="OWB96" s="80"/>
      <c r="OWC96" s="80"/>
      <c r="OWD96" s="80"/>
      <c r="OWE96" s="80"/>
      <c r="OWF96" s="80"/>
      <c r="OWG96" s="80"/>
      <c r="OWH96" s="80"/>
      <c r="OWI96" s="80"/>
      <c r="OWJ96" s="80"/>
      <c r="OWK96" s="80"/>
      <c r="OWL96" s="80"/>
      <c r="OWM96" s="80"/>
      <c r="OWN96" s="80"/>
      <c r="OWO96" s="80"/>
      <c r="OWP96" s="80"/>
      <c r="OWQ96" s="80"/>
      <c r="OWR96" s="80"/>
      <c r="OWS96" s="80"/>
      <c r="OWT96" s="80"/>
      <c r="OWU96" s="80"/>
      <c r="OWV96" s="80"/>
      <c r="OWW96" s="80"/>
      <c r="OWX96" s="80"/>
      <c r="OWY96" s="80"/>
      <c r="OWZ96" s="80"/>
      <c r="OXA96" s="80"/>
      <c r="OXB96" s="80"/>
      <c r="OXC96" s="80"/>
      <c r="OXD96" s="80"/>
      <c r="OXE96" s="80"/>
      <c r="OXF96" s="80"/>
      <c r="OXG96" s="80"/>
      <c r="OXH96" s="80"/>
      <c r="OXI96" s="80"/>
      <c r="OXJ96" s="80"/>
      <c r="OXK96" s="80"/>
      <c r="OXL96" s="80"/>
      <c r="OXM96" s="80"/>
      <c r="OXN96" s="80"/>
      <c r="OXO96" s="80"/>
      <c r="OXP96" s="80"/>
      <c r="OXQ96" s="80"/>
      <c r="OXR96" s="80"/>
      <c r="OXS96" s="80"/>
      <c r="OXT96" s="80"/>
      <c r="OXU96" s="80"/>
      <c r="OXV96" s="80"/>
      <c r="OXW96" s="80"/>
      <c r="OXX96" s="80"/>
      <c r="OXY96" s="80"/>
      <c r="OXZ96" s="80"/>
      <c r="OYA96" s="80"/>
      <c r="OYB96" s="80"/>
      <c r="OYC96" s="80"/>
      <c r="OYD96" s="80"/>
      <c r="OYE96" s="80"/>
      <c r="OYF96" s="80"/>
      <c r="OYG96" s="80"/>
      <c r="OYH96" s="80"/>
      <c r="OYI96" s="80"/>
      <c r="OYJ96" s="80"/>
      <c r="OYK96" s="80"/>
      <c r="OYL96" s="80"/>
      <c r="OYM96" s="80"/>
      <c r="OYN96" s="80"/>
      <c r="OYO96" s="80"/>
      <c r="OYP96" s="80"/>
      <c r="OYQ96" s="80"/>
      <c r="OYR96" s="80"/>
      <c r="OYS96" s="80"/>
      <c r="OYT96" s="80"/>
      <c r="OYU96" s="80"/>
      <c r="OYV96" s="80"/>
      <c r="OYW96" s="80"/>
      <c r="OYX96" s="80"/>
      <c r="OYY96" s="80"/>
      <c r="OYZ96" s="80"/>
      <c r="OZA96" s="80"/>
      <c r="OZB96" s="80"/>
      <c r="OZC96" s="80"/>
      <c r="OZD96" s="80"/>
      <c r="OZE96" s="80"/>
      <c r="OZF96" s="80"/>
      <c r="OZG96" s="80"/>
      <c r="OZH96" s="80"/>
      <c r="OZI96" s="80"/>
      <c r="OZJ96" s="80"/>
      <c r="OZK96" s="80"/>
      <c r="OZL96" s="80"/>
      <c r="OZM96" s="80"/>
      <c r="OZN96" s="80"/>
      <c r="OZO96" s="80"/>
      <c r="OZP96" s="80"/>
      <c r="OZQ96" s="80"/>
      <c r="OZR96" s="80"/>
      <c r="OZS96" s="80"/>
      <c r="OZT96" s="80"/>
      <c r="OZU96" s="80"/>
      <c r="OZV96" s="80"/>
      <c r="OZW96" s="80"/>
      <c r="OZX96" s="80"/>
      <c r="OZY96" s="80"/>
      <c r="OZZ96" s="80"/>
      <c r="PAA96" s="80"/>
      <c r="PAB96" s="80"/>
      <c r="PAC96" s="80"/>
      <c r="PAD96" s="80"/>
      <c r="PAE96" s="80"/>
      <c r="PAF96" s="80"/>
      <c r="PAG96" s="80"/>
      <c r="PAH96" s="80"/>
      <c r="PAI96" s="80"/>
      <c r="PAJ96" s="80"/>
      <c r="PAK96" s="80"/>
      <c r="PAL96" s="80"/>
      <c r="PAM96" s="80"/>
      <c r="PAN96" s="80"/>
      <c r="PAO96" s="80"/>
      <c r="PAP96" s="80"/>
      <c r="PAQ96" s="80"/>
      <c r="PAR96" s="80"/>
      <c r="PAS96" s="80"/>
      <c r="PAT96" s="80"/>
      <c r="PAU96" s="80"/>
      <c r="PAV96" s="80"/>
      <c r="PAW96" s="80"/>
      <c r="PAX96" s="80"/>
      <c r="PAY96" s="80"/>
      <c r="PAZ96" s="80"/>
      <c r="PBA96" s="80"/>
      <c r="PBB96" s="80"/>
      <c r="PBC96" s="80"/>
      <c r="PBD96" s="80"/>
      <c r="PBE96" s="80"/>
      <c r="PBF96" s="80"/>
      <c r="PBG96" s="80"/>
      <c r="PBH96" s="80"/>
      <c r="PBI96" s="80"/>
      <c r="PBJ96" s="80"/>
      <c r="PBK96" s="80"/>
      <c r="PBL96" s="80"/>
      <c r="PBM96" s="80"/>
      <c r="PBN96" s="80"/>
      <c r="PBO96" s="80"/>
      <c r="PBP96" s="80"/>
      <c r="PBQ96" s="80"/>
      <c r="PBR96" s="80"/>
      <c r="PBS96" s="80"/>
      <c r="PBT96" s="80"/>
      <c r="PBU96" s="80"/>
      <c r="PBV96" s="80"/>
      <c r="PBW96" s="80"/>
      <c r="PBX96" s="80"/>
      <c r="PBY96" s="80"/>
      <c r="PBZ96" s="80"/>
      <c r="PCA96" s="80"/>
      <c r="PCB96" s="80"/>
      <c r="PCC96" s="80"/>
      <c r="PCD96" s="80"/>
      <c r="PCE96" s="80"/>
      <c r="PCF96" s="80"/>
      <c r="PCG96" s="80"/>
      <c r="PCH96" s="80"/>
      <c r="PCI96" s="80"/>
      <c r="PCJ96" s="80"/>
      <c r="PCK96" s="80"/>
      <c r="PCL96" s="80"/>
      <c r="PCM96" s="80"/>
      <c r="PCN96" s="80"/>
      <c r="PCO96" s="80"/>
      <c r="PCP96" s="80"/>
      <c r="PCQ96" s="80"/>
      <c r="PCR96" s="80"/>
      <c r="PCS96" s="80"/>
      <c r="PCT96" s="80"/>
      <c r="PCU96" s="80"/>
      <c r="PCV96" s="80"/>
      <c r="PCW96" s="80"/>
      <c r="PCX96" s="80"/>
      <c r="PCY96" s="80"/>
      <c r="PCZ96" s="80"/>
      <c r="PDA96" s="80"/>
      <c r="PDB96" s="80"/>
      <c r="PDC96" s="80"/>
      <c r="PDD96" s="80"/>
      <c r="PDE96" s="80"/>
      <c r="PDF96" s="80"/>
      <c r="PDG96" s="80"/>
      <c r="PDH96" s="80"/>
      <c r="PDI96" s="80"/>
      <c r="PDJ96" s="80"/>
      <c r="PDK96" s="80"/>
      <c r="PDL96" s="80"/>
      <c r="PDM96" s="80"/>
      <c r="PDN96" s="80"/>
      <c r="PDO96" s="80"/>
      <c r="PDP96" s="80"/>
      <c r="PDQ96" s="80"/>
      <c r="PDR96" s="80"/>
      <c r="PDS96" s="80"/>
      <c r="PDT96" s="80"/>
      <c r="PDU96" s="80"/>
      <c r="PDV96" s="80"/>
      <c r="PDW96" s="80"/>
      <c r="PDX96" s="80"/>
      <c r="PDY96" s="80"/>
      <c r="PDZ96" s="80"/>
      <c r="PEA96" s="80"/>
      <c r="PEB96" s="80"/>
      <c r="PEC96" s="80"/>
      <c r="PED96" s="80"/>
      <c r="PEE96" s="80"/>
      <c r="PEF96" s="80"/>
      <c r="PEG96" s="80"/>
      <c r="PEH96" s="80"/>
      <c r="PEI96" s="80"/>
      <c r="PEJ96" s="80"/>
      <c r="PEK96" s="80"/>
      <c r="PEL96" s="80"/>
      <c r="PEM96" s="80"/>
      <c r="PEN96" s="80"/>
      <c r="PEO96" s="80"/>
      <c r="PEP96" s="80"/>
      <c r="PEQ96" s="80"/>
      <c r="PER96" s="80"/>
      <c r="PES96" s="80"/>
      <c r="PET96" s="80"/>
      <c r="PEU96" s="80"/>
      <c r="PEV96" s="80"/>
      <c r="PEW96" s="80"/>
      <c r="PEX96" s="80"/>
      <c r="PEY96" s="80"/>
      <c r="PEZ96" s="80"/>
      <c r="PFA96" s="80"/>
      <c r="PFB96" s="80"/>
      <c r="PFC96" s="80"/>
      <c r="PFD96" s="80"/>
      <c r="PFE96" s="80"/>
      <c r="PFF96" s="80"/>
      <c r="PFG96" s="80"/>
      <c r="PFH96" s="80"/>
      <c r="PFI96" s="80"/>
      <c r="PFJ96" s="80"/>
      <c r="PFK96" s="80"/>
      <c r="PFL96" s="80"/>
      <c r="PFM96" s="80"/>
      <c r="PFN96" s="80"/>
      <c r="PFO96" s="80"/>
      <c r="PFP96" s="80"/>
      <c r="PFQ96" s="80"/>
      <c r="PFR96" s="80"/>
      <c r="PFS96" s="80"/>
      <c r="PFT96" s="80"/>
      <c r="PFU96" s="80"/>
      <c r="PFV96" s="80"/>
      <c r="PFW96" s="80"/>
      <c r="PFX96" s="80"/>
      <c r="PFY96" s="80"/>
      <c r="PFZ96" s="80"/>
      <c r="PGA96" s="80"/>
      <c r="PGB96" s="80"/>
      <c r="PGC96" s="80"/>
      <c r="PGD96" s="80"/>
      <c r="PGE96" s="80"/>
      <c r="PGF96" s="80"/>
      <c r="PGG96" s="80"/>
      <c r="PGH96" s="80"/>
      <c r="PGI96" s="80"/>
      <c r="PGJ96" s="80"/>
      <c r="PGK96" s="80"/>
      <c r="PGL96" s="80"/>
      <c r="PGM96" s="80"/>
      <c r="PGN96" s="80"/>
      <c r="PGO96" s="80"/>
      <c r="PGP96" s="80"/>
      <c r="PGQ96" s="80"/>
      <c r="PGR96" s="80"/>
      <c r="PGS96" s="80"/>
      <c r="PGT96" s="80"/>
      <c r="PGU96" s="80"/>
      <c r="PGV96" s="80"/>
      <c r="PGW96" s="80"/>
      <c r="PGX96" s="80"/>
      <c r="PGY96" s="80"/>
      <c r="PGZ96" s="80"/>
      <c r="PHA96" s="80"/>
      <c r="PHB96" s="80"/>
      <c r="PHC96" s="80"/>
      <c r="PHD96" s="80"/>
      <c r="PHE96" s="80"/>
      <c r="PHF96" s="80"/>
      <c r="PHG96" s="80"/>
      <c r="PHH96" s="80"/>
      <c r="PHI96" s="80"/>
      <c r="PHJ96" s="80"/>
      <c r="PHK96" s="80"/>
      <c r="PHL96" s="80"/>
      <c r="PHM96" s="80"/>
      <c r="PHN96" s="80"/>
      <c r="PHO96" s="80"/>
      <c r="PHP96" s="80"/>
      <c r="PHQ96" s="80"/>
      <c r="PHR96" s="80"/>
      <c r="PHS96" s="80"/>
      <c r="PHT96" s="80"/>
      <c r="PHU96" s="80"/>
      <c r="PHV96" s="80"/>
      <c r="PHW96" s="80"/>
      <c r="PHX96" s="80"/>
      <c r="PHY96" s="80"/>
      <c r="PHZ96" s="80"/>
      <c r="PIA96" s="80"/>
      <c r="PIB96" s="80"/>
      <c r="PIC96" s="80"/>
      <c r="PID96" s="80"/>
      <c r="PIE96" s="80"/>
      <c r="PIF96" s="80"/>
      <c r="PIG96" s="80"/>
      <c r="PIH96" s="80"/>
      <c r="PII96" s="80"/>
      <c r="PIJ96" s="80"/>
      <c r="PIK96" s="80"/>
      <c r="PIL96" s="80"/>
      <c r="PIM96" s="80"/>
      <c r="PIN96" s="80"/>
      <c r="PIO96" s="80"/>
      <c r="PIP96" s="80"/>
      <c r="PIQ96" s="80"/>
      <c r="PIR96" s="80"/>
      <c r="PIS96" s="80"/>
      <c r="PIT96" s="80"/>
      <c r="PIU96" s="80"/>
      <c r="PIV96" s="80"/>
      <c r="PIW96" s="80"/>
      <c r="PIX96" s="80"/>
      <c r="PIY96" s="80"/>
      <c r="PIZ96" s="80"/>
      <c r="PJA96" s="80"/>
      <c r="PJB96" s="80"/>
      <c r="PJC96" s="80"/>
      <c r="PJD96" s="80"/>
      <c r="PJE96" s="80"/>
      <c r="PJF96" s="80"/>
      <c r="PJG96" s="80"/>
      <c r="PJH96" s="80"/>
      <c r="PJI96" s="80"/>
      <c r="PJJ96" s="80"/>
      <c r="PJK96" s="80"/>
      <c r="PJL96" s="80"/>
      <c r="PJM96" s="80"/>
      <c r="PJN96" s="80"/>
      <c r="PJO96" s="80"/>
      <c r="PJP96" s="80"/>
      <c r="PJQ96" s="80"/>
      <c r="PJR96" s="80"/>
      <c r="PJS96" s="80"/>
      <c r="PJT96" s="80"/>
      <c r="PJU96" s="80"/>
      <c r="PJV96" s="80"/>
      <c r="PJW96" s="80"/>
      <c r="PJX96" s="80"/>
      <c r="PJY96" s="80"/>
      <c r="PJZ96" s="80"/>
      <c r="PKA96" s="80"/>
      <c r="PKB96" s="80"/>
      <c r="PKC96" s="80"/>
      <c r="PKD96" s="80"/>
      <c r="PKE96" s="80"/>
      <c r="PKF96" s="80"/>
      <c r="PKG96" s="80"/>
      <c r="PKH96" s="80"/>
      <c r="PKI96" s="80"/>
      <c r="PKJ96" s="80"/>
      <c r="PKK96" s="80"/>
      <c r="PKL96" s="80"/>
      <c r="PKM96" s="80"/>
      <c r="PKN96" s="80"/>
      <c r="PKO96" s="80"/>
      <c r="PKP96" s="80"/>
      <c r="PKQ96" s="80"/>
      <c r="PKR96" s="80"/>
      <c r="PKS96" s="80"/>
      <c r="PKT96" s="80"/>
      <c r="PKU96" s="80"/>
      <c r="PKV96" s="80"/>
      <c r="PKW96" s="80"/>
      <c r="PKX96" s="80"/>
      <c r="PKY96" s="80"/>
      <c r="PKZ96" s="80"/>
      <c r="PLA96" s="80"/>
      <c r="PLB96" s="80"/>
      <c r="PLC96" s="80"/>
      <c r="PLD96" s="80"/>
      <c r="PLE96" s="80"/>
      <c r="PLF96" s="80"/>
      <c r="PLG96" s="80"/>
      <c r="PLH96" s="80"/>
      <c r="PLI96" s="80"/>
      <c r="PLJ96" s="80"/>
      <c r="PLK96" s="80"/>
      <c r="PLL96" s="80"/>
      <c r="PLM96" s="80"/>
      <c r="PLN96" s="80"/>
      <c r="PLO96" s="80"/>
      <c r="PLP96" s="80"/>
      <c r="PLQ96" s="80"/>
      <c r="PLR96" s="80"/>
      <c r="PLS96" s="80"/>
      <c r="PLT96" s="80"/>
      <c r="PLU96" s="80"/>
      <c r="PLV96" s="80"/>
      <c r="PLW96" s="80"/>
      <c r="PLX96" s="80"/>
      <c r="PLY96" s="80"/>
      <c r="PLZ96" s="80"/>
      <c r="PMA96" s="80"/>
      <c r="PMB96" s="80"/>
      <c r="PMC96" s="80"/>
      <c r="PMD96" s="80"/>
      <c r="PME96" s="80"/>
      <c r="PMF96" s="80"/>
      <c r="PMG96" s="80"/>
      <c r="PMH96" s="80"/>
      <c r="PMI96" s="80"/>
      <c r="PMJ96" s="80"/>
      <c r="PMK96" s="80"/>
      <c r="PML96" s="80"/>
      <c r="PMM96" s="80"/>
      <c r="PMN96" s="80"/>
      <c r="PMO96" s="80"/>
      <c r="PMP96" s="80"/>
      <c r="PMQ96" s="80"/>
      <c r="PMR96" s="80"/>
      <c r="PMS96" s="80"/>
      <c r="PMT96" s="80"/>
      <c r="PMU96" s="80"/>
      <c r="PMV96" s="80"/>
      <c r="PMW96" s="80"/>
      <c r="PMX96" s="80"/>
      <c r="PMY96" s="80"/>
      <c r="PMZ96" s="80"/>
      <c r="PNA96" s="80"/>
      <c r="PNB96" s="80"/>
      <c r="PNC96" s="80"/>
      <c r="PND96" s="80"/>
      <c r="PNE96" s="80"/>
      <c r="PNF96" s="80"/>
      <c r="PNG96" s="80"/>
      <c r="PNH96" s="80"/>
      <c r="PNI96" s="80"/>
      <c r="PNJ96" s="80"/>
      <c r="PNK96" s="80"/>
      <c r="PNL96" s="80"/>
      <c r="PNM96" s="80"/>
      <c r="PNN96" s="80"/>
      <c r="PNO96" s="80"/>
      <c r="PNP96" s="80"/>
      <c r="PNQ96" s="80"/>
      <c r="PNR96" s="80"/>
      <c r="PNS96" s="80"/>
      <c r="PNT96" s="80"/>
      <c r="PNU96" s="80"/>
      <c r="PNV96" s="80"/>
      <c r="PNW96" s="80"/>
      <c r="PNX96" s="80"/>
      <c r="PNY96" s="80"/>
      <c r="PNZ96" s="80"/>
      <c r="POA96" s="80"/>
      <c r="POB96" s="80"/>
      <c r="POC96" s="80"/>
      <c r="POD96" s="80"/>
      <c r="POE96" s="80"/>
      <c r="POF96" s="80"/>
      <c r="POG96" s="80"/>
      <c r="POH96" s="80"/>
      <c r="POI96" s="80"/>
      <c r="POJ96" s="80"/>
      <c r="POK96" s="80"/>
      <c r="POL96" s="80"/>
      <c r="POM96" s="80"/>
      <c r="PON96" s="80"/>
      <c r="POO96" s="80"/>
      <c r="POP96" s="80"/>
      <c r="POQ96" s="80"/>
      <c r="POR96" s="80"/>
      <c r="POS96" s="80"/>
      <c r="POT96" s="80"/>
      <c r="POU96" s="80"/>
      <c r="POV96" s="80"/>
      <c r="POW96" s="80"/>
      <c r="POX96" s="80"/>
      <c r="POY96" s="80"/>
      <c r="POZ96" s="80"/>
      <c r="PPA96" s="80"/>
      <c r="PPB96" s="80"/>
      <c r="PPC96" s="80"/>
      <c r="PPD96" s="80"/>
      <c r="PPE96" s="80"/>
      <c r="PPF96" s="80"/>
      <c r="PPG96" s="80"/>
      <c r="PPH96" s="80"/>
      <c r="PPI96" s="80"/>
      <c r="PPJ96" s="80"/>
      <c r="PPK96" s="80"/>
      <c r="PPL96" s="80"/>
      <c r="PPM96" s="80"/>
      <c r="PPN96" s="80"/>
      <c r="PPO96" s="80"/>
      <c r="PPP96" s="80"/>
      <c r="PPQ96" s="80"/>
      <c r="PPR96" s="80"/>
      <c r="PPS96" s="80"/>
      <c r="PPT96" s="80"/>
      <c r="PPU96" s="80"/>
      <c r="PPV96" s="80"/>
      <c r="PPW96" s="80"/>
      <c r="PPX96" s="80"/>
      <c r="PPY96" s="80"/>
      <c r="PPZ96" s="80"/>
      <c r="PQA96" s="80"/>
      <c r="PQB96" s="80"/>
      <c r="PQC96" s="80"/>
      <c r="PQD96" s="80"/>
      <c r="PQE96" s="80"/>
      <c r="PQF96" s="80"/>
      <c r="PQG96" s="80"/>
      <c r="PQH96" s="80"/>
      <c r="PQI96" s="80"/>
      <c r="PQJ96" s="80"/>
      <c r="PQK96" s="80"/>
      <c r="PQL96" s="80"/>
      <c r="PQM96" s="80"/>
      <c r="PQN96" s="80"/>
      <c r="PQO96" s="80"/>
      <c r="PQP96" s="80"/>
      <c r="PQQ96" s="80"/>
      <c r="PQR96" s="80"/>
      <c r="PQS96" s="80"/>
      <c r="PQT96" s="80"/>
      <c r="PQU96" s="80"/>
      <c r="PQV96" s="80"/>
      <c r="PQW96" s="80"/>
      <c r="PQX96" s="80"/>
      <c r="PQY96" s="80"/>
      <c r="PQZ96" s="80"/>
      <c r="PRA96" s="80"/>
      <c r="PRB96" s="80"/>
      <c r="PRC96" s="80"/>
      <c r="PRD96" s="80"/>
      <c r="PRE96" s="80"/>
      <c r="PRF96" s="80"/>
      <c r="PRG96" s="80"/>
      <c r="PRH96" s="80"/>
      <c r="PRI96" s="80"/>
      <c r="PRJ96" s="80"/>
      <c r="PRK96" s="80"/>
      <c r="PRL96" s="80"/>
      <c r="PRM96" s="80"/>
      <c r="PRN96" s="80"/>
      <c r="PRO96" s="80"/>
      <c r="PRP96" s="80"/>
      <c r="PRQ96" s="80"/>
      <c r="PRR96" s="80"/>
      <c r="PRS96" s="80"/>
      <c r="PRT96" s="80"/>
      <c r="PRU96" s="80"/>
      <c r="PRV96" s="80"/>
      <c r="PRW96" s="80"/>
      <c r="PRX96" s="80"/>
      <c r="PRY96" s="80"/>
      <c r="PRZ96" s="80"/>
      <c r="PSA96" s="80"/>
      <c r="PSB96" s="80"/>
      <c r="PSC96" s="80"/>
      <c r="PSD96" s="80"/>
      <c r="PSE96" s="80"/>
      <c r="PSF96" s="80"/>
      <c r="PSG96" s="80"/>
      <c r="PSH96" s="80"/>
      <c r="PSI96" s="80"/>
      <c r="PSJ96" s="80"/>
      <c r="PSK96" s="80"/>
      <c r="PSL96" s="80"/>
      <c r="PSM96" s="80"/>
      <c r="PSN96" s="80"/>
      <c r="PSO96" s="80"/>
      <c r="PSP96" s="80"/>
      <c r="PSQ96" s="80"/>
      <c r="PSR96" s="80"/>
      <c r="PSS96" s="80"/>
      <c r="PST96" s="80"/>
      <c r="PSU96" s="80"/>
      <c r="PSV96" s="80"/>
      <c r="PSW96" s="80"/>
      <c r="PSX96" s="80"/>
      <c r="PSY96" s="80"/>
      <c r="PSZ96" s="80"/>
      <c r="PTA96" s="80"/>
      <c r="PTB96" s="80"/>
      <c r="PTC96" s="80"/>
      <c r="PTD96" s="80"/>
      <c r="PTE96" s="80"/>
      <c r="PTF96" s="80"/>
      <c r="PTG96" s="80"/>
      <c r="PTH96" s="80"/>
      <c r="PTI96" s="80"/>
      <c r="PTJ96" s="80"/>
      <c r="PTK96" s="80"/>
      <c r="PTL96" s="80"/>
      <c r="PTM96" s="80"/>
      <c r="PTN96" s="80"/>
      <c r="PTO96" s="80"/>
      <c r="PTP96" s="80"/>
      <c r="PTQ96" s="80"/>
      <c r="PTR96" s="80"/>
      <c r="PTS96" s="80"/>
      <c r="PTT96" s="80"/>
      <c r="PTU96" s="80"/>
      <c r="PTV96" s="80"/>
      <c r="PTW96" s="80"/>
      <c r="PTX96" s="80"/>
      <c r="PTY96" s="80"/>
      <c r="PTZ96" s="80"/>
      <c r="PUA96" s="80"/>
      <c r="PUB96" s="80"/>
      <c r="PUC96" s="80"/>
      <c r="PUD96" s="80"/>
      <c r="PUE96" s="80"/>
      <c r="PUF96" s="80"/>
      <c r="PUG96" s="80"/>
      <c r="PUH96" s="80"/>
      <c r="PUI96" s="80"/>
      <c r="PUJ96" s="80"/>
      <c r="PUK96" s="80"/>
      <c r="PUL96" s="80"/>
      <c r="PUM96" s="80"/>
      <c r="PUN96" s="80"/>
      <c r="PUO96" s="80"/>
      <c r="PUP96" s="80"/>
      <c r="PUQ96" s="80"/>
      <c r="PUR96" s="80"/>
      <c r="PUS96" s="80"/>
      <c r="PUT96" s="80"/>
      <c r="PUU96" s="80"/>
      <c r="PUV96" s="80"/>
      <c r="PUW96" s="80"/>
      <c r="PUX96" s="80"/>
      <c r="PUY96" s="80"/>
      <c r="PUZ96" s="80"/>
      <c r="PVA96" s="80"/>
      <c r="PVB96" s="80"/>
      <c r="PVC96" s="80"/>
      <c r="PVD96" s="80"/>
      <c r="PVE96" s="80"/>
      <c r="PVF96" s="80"/>
      <c r="PVG96" s="80"/>
      <c r="PVH96" s="80"/>
      <c r="PVI96" s="80"/>
      <c r="PVJ96" s="80"/>
      <c r="PVK96" s="80"/>
      <c r="PVL96" s="80"/>
      <c r="PVM96" s="80"/>
      <c r="PVN96" s="80"/>
      <c r="PVO96" s="80"/>
      <c r="PVP96" s="80"/>
      <c r="PVQ96" s="80"/>
      <c r="PVR96" s="80"/>
      <c r="PVS96" s="80"/>
      <c r="PVT96" s="80"/>
      <c r="PVU96" s="80"/>
      <c r="PVV96" s="80"/>
      <c r="PVW96" s="80"/>
      <c r="PVX96" s="80"/>
      <c r="PVY96" s="80"/>
      <c r="PVZ96" s="80"/>
      <c r="PWA96" s="80"/>
      <c r="PWB96" s="80"/>
      <c r="PWC96" s="80"/>
      <c r="PWD96" s="80"/>
      <c r="PWE96" s="80"/>
      <c r="PWF96" s="80"/>
      <c r="PWG96" s="80"/>
      <c r="PWH96" s="80"/>
      <c r="PWI96" s="80"/>
      <c r="PWJ96" s="80"/>
      <c r="PWK96" s="80"/>
      <c r="PWL96" s="80"/>
      <c r="PWM96" s="80"/>
      <c r="PWN96" s="80"/>
      <c r="PWO96" s="80"/>
      <c r="PWP96" s="80"/>
      <c r="PWQ96" s="80"/>
      <c r="PWR96" s="80"/>
      <c r="PWS96" s="80"/>
      <c r="PWT96" s="80"/>
      <c r="PWU96" s="80"/>
      <c r="PWV96" s="80"/>
      <c r="PWW96" s="80"/>
      <c r="PWX96" s="80"/>
      <c r="PWY96" s="80"/>
      <c r="PWZ96" s="80"/>
      <c r="PXA96" s="80"/>
      <c r="PXB96" s="80"/>
      <c r="PXC96" s="80"/>
      <c r="PXD96" s="80"/>
      <c r="PXE96" s="80"/>
      <c r="PXF96" s="80"/>
      <c r="PXG96" s="80"/>
      <c r="PXH96" s="80"/>
      <c r="PXI96" s="80"/>
      <c r="PXJ96" s="80"/>
      <c r="PXK96" s="80"/>
      <c r="PXL96" s="80"/>
      <c r="PXM96" s="80"/>
      <c r="PXN96" s="80"/>
      <c r="PXO96" s="80"/>
      <c r="PXP96" s="80"/>
      <c r="PXQ96" s="80"/>
      <c r="PXR96" s="80"/>
      <c r="PXS96" s="80"/>
      <c r="PXT96" s="80"/>
      <c r="PXU96" s="80"/>
      <c r="PXV96" s="80"/>
      <c r="PXW96" s="80"/>
      <c r="PXX96" s="80"/>
      <c r="PXY96" s="80"/>
      <c r="PXZ96" s="80"/>
      <c r="PYA96" s="80"/>
      <c r="PYB96" s="80"/>
      <c r="PYC96" s="80"/>
      <c r="PYD96" s="80"/>
      <c r="PYE96" s="80"/>
      <c r="PYF96" s="80"/>
      <c r="PYG96" s="80"/>
      <c r="PYH96" s="80"/>
      <c r="PYI96" s="80"/>
      <c r="PYJ96" s="80"/>
      <c r="PYK96" s="80"/>
      <c r="PYL96" s="80"/>
      <c r="PYM96" s="80"/>
      <c r="PYN96" s="80"/>
      <c r="PYO96" s="80"/>
      <c r="PYP96" s="80"/>
      <c r="PYQ96" s="80"/>
      <c r="PYR96" s="80"/>
      <c r="PYS96" s="80"/>
      <c r="PYT96" s="80"/>
      <c r="PYU96" s="80"/>
      <c r="PYV96" s="80"/>
      <c r="PYW96" s="80"/>
      <c r="PYX96" s="80"/>
      <c r="PYY96" s="80"/>
      <c r="PYZ96" s="80"/>
      <c r="PZA96" s="80"/>
      <c r="PZB96" s="80"/>
      <c r="PZC96" s="80"/>
      <c r="PZD96" s="80"/>
      <c r="PZE96" s="80"/>
      <c r="PZF96" s="80"/>
      <c r="PZG96" s="80"/>
      <c r="PZH96" s="80"/>
      <c r="PZI96" s="80"/>
      <c r="PZJ96" s="80"/>
      <c r="PZK96" s="80"/>
      <c r="PZL96" s="80"/>
      <c r="PZM96" s="80"/>
      <c r="PZN96" s="80"/>
      <c r="PZO96" s="80"/>
      <c r="PZP96" s="80"/>
      <c r="PZQ96" s="80"/>
      <c r="PZR96" s="80"/>
      <c r="PZS96" s="80"/>
      <c r="PZT96" s="80"/>
      <c r="PZU96" s="80"/>
      <c r="PZV96" s="80"/>
      <c r="PZW96" s="80"/>
      <c r="PZX96" s="80"/>
      <c r="PZY96" s="80"/>
      <c r="PZZ96" s="80"/>
      <c r="QAA96" s="80"/>
      <c r="QAB96" s="80"/>
      <c r="QAC96" s="80"/>
      <c r="QAD96" s="80"/>
      <c r="QAE96" s="80"/>
      <c r="QAF96" s="80"/>
      <c r="QAG96" s="80"/>
      <c r="QAH96" s="80"/>
      <c r="QAI96" s="80"/>
      <c r="QAJ96" s="80"/>
      <c r="QAK96" s="80"/>
      <c r="QAL96" s="80"/>
      <c r="QAM96" s="80"/>
      <c r="QAN96" s="80"/>
      <c r="QAO96" s="80"/>
      <c r="QAP96" s="80"/>
      <c r="QAQ96" s="80"/>
      <c r="QAR96" s="80"/>
      <c r="QAS96" s="80"/>
      <c r="QAT96" s="80"/>
      <c r="QAU96" s="80"/>
      <c r="QAV96" s="80"/>
      <c r="QAW96" s="80"/>
      <c r="QAX96" s="80"/>
      <c r="QAY96" s="80"/>
      <c r="QAZ96" s="80"/>
      <c r="QBA96" s="80"/>
      <c r="QBB96" s="80"/>
      <c r="QBC96" s="80"/>
      <c r="QBD96" s="80"/>
      <c r="QBE96" s="80"/>
      <c r="QBF96" s="80"/>
      <c r="QBG96" s="80"/>
      <c r="QBH96" s="80"/>
      <c r="QBI96" s="80"/>
      <c r="QBJ96" s="80"/>
      <c r="QBK96" s="80"/>
      <c r="QBL96" s="80"/>
      <c r="QBM96" s="80"/>
      <c r="QBN96" s="80"/>
      <c r="QBO96" s="80"/>
      <c r="QBP96" s="80"/>
      <c r="QBQ96" s="80"/>
      <c r="QBR96" s="80"/>
      <c r="QBS96" s="80"/>
      <c r="QBT96" s="80"/>
      <c r="QBU96" s="80"/>
      <c r="QBV96" s="80"/>
      <c r="QBW96" s="80"/>
      <c r="QBX96" s="80"/>
      <c r="QBY96" s="80"/>
      <c r="QBZ96" s="80"/>
      <c r="QCA96" s="80"/>
      <c r="QCB96" s="80"/>
      <c r="QCC96" s="80"/>
      <c r="QCD96" s="80"/>
      <c r="QCE96" s="80"/>
      <c r="QCF96" s="80"/>
      <c r="QCG96" s="80"/>
      <c r="QCH96" s="80"/>
      <c r="QCI96" s="80"/>
      <c r="QCJ96" s="80"/>
      <c r="QCK96" s="80"/>
      <c r="QCL96" s="80"/>
      <c r="QCM96" s="80"/>
      <c r="QCN96" s="80"/>
      <c r="QCO96" s="80"/>
      <c r="QCP96" s="80"/>
      <c r="QCQ96" s="80"/>
      <c r="QCR96" s="80"/>
      <c r="QCS96" s="80"/>
      <c r="QCT96" s="80"/>
      <c r="QCU96" s="80"/>
      <c r="QCV96" s="80"/>
      <c r="QCW96" s="80"/>
      <c r="QCX96" s="80"/>
      <c r="QCY96" s="80"/>
      <c r="QCZ96" s="80"/>
      <c r="QDA96" s="80"/>
      <c r="QDB96" s="80"/>
      <c r="QDC96" s="80"/>
      <c r="QDD96" s="80"/>
      <c r="QDE96" s="80"/>
      <c r="QDF96" s="80"/>
      <c r="QDG96" s="80"/>
      <c r="QDH96" s="80"/>
      <c r="QDI96" s="80"/>
      <c r="QDJ96" s="80"/>
      <c r="QDK96" s="80"/>
      <c r="QDL96" s="80"/>
      <c r="QDM96" s="80"/>
      <c r="QDN96" s="80"/>
      <c r="QDO96" s="80"/>
      <c r="QDP96" s="80"/>
      <c r="QDQ96" s="80"/>
      <c r="QDR96" s="80"/>
      <c r="QDS96" s="80"/>
      <c r="QDT96" s="80"/>
      <c r="QDU96" s="80"/>
      <c r="QDV96" s="80"/>
      <c r="QDW96" s="80"/>
      <c r="QDX96" s="80"/>
      <c r="QDY96" s="80"/>
      <c r="QDZ96" s="80"/>
      <c r="QEA96" s="80"/>
      <c r="QEB96" s="80"/>
      <c r="QEC96" s="80"/>
      <c r="QED96" s="80"/>
      <c r="QEE96" s="80"/>
      <c r="QEF96" s="80"/>
      <c r="QEG96" s="80"/>
      <c r="QEH96" s="80"/>
      <c r="QEI96" s="80"/>
      <c r="QEJ96" s="80"/>
      <c r="QEK96" s="80"/>
      <c r="QEL96" s="80"/>
      <c r="QEM96" s="80"/>
      <c r="QEN96" s="80"/>
      <c r="QEO96" s="80"/>
      <c r="QEP96" s="80"/>
      <c r="QEQ96" s="80"/>
      <c r="QER96" s="80"/>
      <c r="QES96" s="80"/>
      <c r="QET96" s="80"/>
      <c r="QEU96" s="80"/>
      <c r="QEV96" s="80"/>
      <c r="QEW96" s="80"/>
      <c r="QEX96" s="80"/>
      <c r="QEY96" s="80"/>
      <c r="QEZ96" s="80"/>
      <c r="QFA96" s="80"/>
      <c r="QFB96" s="80"/>
      <c r="QFC96" s="80"/>
      <c r="QFD96" s="80"/>
      <c r="QFE96" s="80"/>
      <c r="QFF96" s="80"/>
      <c r="QFG96" s="80"/>
      <c r="QFH96" s="80"/>
      <c r="QFI96" s="80"/>
      <c r="QFJ96" s="80"/>
      <c r="QFK96" s="80"/>
      <c r="QFL96" s="80"/>
      <c r="QFM96" s="80"/>
      <c r="QFN96" s="80"/>
      <c r="QFO96" s="80"/>
      <c r="QFP96" s="80"/>
      <c r="QFQ96" s="80"/>
      <c r="QFR96" s="80"/>
      <c r="QFS96" s="80"/>
      <c r="QFT96" s="80"/>
      <c r="QFU96" s="80"/>
      <c r="QFV96" s="80"/>
      <c r="QFW96" s="80"/>
      <c r="QFX96" s="80"/>
      <c r="QFY96" s="80"/>
      <c r="QFZ96" s="80"/>
      <c r="QGA96" s="80"/>
      <c r="QGB96" s="80"/>
      <c r="QGC96" s="80"/>
      <c r="QGD96" s="80"/>
      <c r="QGE96" s="80"/>
      <c r="QGF96" s="80"/>
      <c r="QGG96" s="80"/>
      <c r="QGH96" s="80"/>
      <c r="QGI96" s="80"/>
      <c r="QGJ96" s="80"/>
      <c r="QGK96" s="80"/>
      <c r="QGL96" s="80"/>
      <c r="QGM96" s="80"/>
      <c r="QGN96" s="80"/>
      <c r="QGO96" s="80"/>
      <c r="QGP96" s="80"/>
      <c r="QGQ96" s="80"/>
      <c r="QGR96" s="80"/>
      <c r="QGS96" s="80"/>
      <c r="QGT96" s="80"/>
      <c r="QGU96" s="80"/>
      <c r="QGV96" s="80"/>
      <c r="QGW96" s="80"/>
      <c r="QGX96" s="80"/>
      <c r="QGY96" s="80"/>
      <c r="QGZ96" s="80"/>
      <c r="QHA96" s="80"/>
      <c r="QHB96" s="80"/>
      <c r="QHC96" s="80"/>
      <c r="QHD96" s="80"/>
      <c r="QHE96" s="80"/>
      <c r="QHF96" s="80"/>
      <c r="QHG96" s="80"/>
      <c r="QHH96" s="80"/>
      <c r="QHI96" s="80"/>
      <c r="QHJ96" s="80"/>
      <c r="QHK96" s="80"/>
      <c r="QHL96" s="80"/>
      <c r="QHM96" s="80"/>
      <c r="QHN96" s="80"/>
      <c r="QHO96" s="80"/>
      <c r="QHP96" s="80"/>
      <c r="QHQ96" s="80"/>
      <c r="QHR96" s="80"/>
      <c r="QHS96" s="80"/>
      <c r="QHT96" s="80"/>
      <c r="QHU96" s="80"/>
      <c r="QHV96" s="80"/>
      <c r="QHW96" s="80"/>
      <c r="QHX96" s="80"/>
      <c r="QHY96" s="80"/>
      <c r="QHZ96" s="80"/>
      <c r="QIA96" s="80"/>
      <c r="QIB96" s="80"/>
      <c r="QIC96" s="80"/>
      <c r="QID96" s="80"/>
      <c r="QIE96" s="80"/>
      <c r="QIF96" s="80"/>
      <c r="QIG96" s="80"/>
      <c r="QIH96" s="80"/>
      <c r="QII96" s="80"/>
      <c r="QIJ96" s="80"/>
      <c r="QIK96" s="80"/>
      <c r="QIL96" s="80"/>
      <c r="QIM96" s="80"/>
      <c r="QIN96" s="80"/>
      <c r="QIO96" s="80"/>
      <c r="QIP96" s="80"/>
      <c r="QIQ96" s="80"/>
      <c r="QIR96" s="80"/>
      <c r="QIS96" s="80"/>
      <c r="QIT96" s="80"/>
      <c r="QIU96" s="80"/>
      <c r="QIV96" s="80"/>
      <c r="QIW96" s="80"/>
      <c r="QIX96" s="80"/>
      <c r="QIY96" s="80"/>
      <c r="QIZ96" s="80"/>
      <c r="QJA96" s="80"/>
      <c r="QJB96" s="80"/>
      <c r="QJC96" s="80"/>
      <c r="QJD96" s="80"/>
      <c r="QJE96" s="80"/>
      <c r="QJF96" s="80"/>
      <c r="QJG96" s="80"/>
      <c r="QJH96" s="80"/>
      <c r="QJI96" s="80"/>
      <c r="QJJ96" s="80"/>
      <c r="QJK96" s="80"/>
      <c r="QJL96" s="80"/>
      <c r="QJM96" s="80"/>
      <c r="QJN96" s="80"/>
      <c r="QJO96" s="80"/>
      <c r="QJP96" s="80"/>
      <c r="QJQ96" s="80"/>
      <c r="QJR96" s="80"/>
      <c r="QJS96" s="80"/>
      <c r="QJT96" s="80"/>
      <c r="QJU96" s="80"/>
      <c r="QJV96" s="80"/>
      <c r="QJW96" s="80"/>
      <c r="QJX96" s="80"/>
      <c r="QJY96" s="80"/>
      <c r="QJZ96" s="80"/>
      <c r="QKA96" s="80"/>
      <c r="QKB96" s="80"/>
      <c r="QKC96" s="80"/>
      <c r="QKD96" s="80"/>
      <c r="QKE96" s="80"/>
      <c r="QKF96" s="80"/>
      <c r="QKG96" s="80"/>
      <c r="QKH96" s="80"/>
      <c r="QKI96" s="80"/>
      <c r="QKJ96" s="80"/>
      <c r="QKK96" s="80"/>
      <c r="QKL96" s="80"/>
      <c r="QKM96" s="80"/>
      <c r="QKN96" s="80"/>
      <c r="QKO96" s="80"/>
      <c r="QKP96" s="80"/>
      <c r="QKQ96" s="80"/>
      <c r="QKR96" s="80"/>
      <c r="QKS96" s="80"/>
      <c r="QKT96" s="80"/>
      <c r="QKU96" s="80"/>
      <c r="QKV96" s="80"/>
      <c r="QKW96" s="80"/>
      <c r="QKX96" s="80"/>
      <c r="QKY96" s="80"/>
      <c r="QKZ96" s="80"/>
      <c r="QLA96" s="80"/>
      <c r="QLB96" s="80"/>
      <c r="QLC96" s="80"/>
      <c r="QLD96" s="80"/>
      <c r="QLE96" s="80"/>
      <c r="QLF96" s="80"/>
      <c r="QLG96" s="80"/>
      <c r="QLH96" s="80"/>
      <c r="QLI96" s="80"/>
      <c r="QLJ96" s="80"/>
      <c r="QLK96" s="80"/>
      <c r="QLL96" s="80"/>
      <c r="QLM96" s="80"/>
      <c r="QLN96" s="80"/>
      <c r="QLO96" s="80"/>
      <c r="QLP96" s="80"/>
      <c r="QLQ96" s="80"/>
      <c r="QLR96" s="80"/>
      <c r="QLS96" s="80"/>
      <c r="QLT96" s="80"/>
      <c r="QLU96" s="80"/>
      <c r="QLV96" s="80"/>
      <c r="QLW96" s="80"/>
      <c r="QLX96" s="80"/>
      <c r="QLY96" s="80"/>
      <c r="QLZ96" s="80"/>
      <c r="QMA96" s="80"/>
      <c r="QMB96" s="80"/>
      <c r="QMC96" s="80"/>
      <c r="QMD96" s="80"/>
      <c r="QME96" s="80"/>
      <c r="QMF96" s="80"/>
      <c r="QMG96" s="80"/>
      <c r="QMH96" s="80"/>
      <c r="QMI96" s="80"/>
      <c r="QMJ96" s="80"/>
      <c r="QMK96" s="80"/>
      <c r="QML96" s="80"/>
      <c r="QMM96" s="80"/>
      <c r="QMN96" s="80"/>
      <c r="QMO96" s="80"/>
      <c r="QMP96" s="80"/>
      <c r="QMQ96" s="80"/>
      <c r="QMR96" s="80"/>
      <c r="QMS96" s="80"/>
      <c r="QMT96" s="80"/>
      <c r="QMU96" s="80"/>
      <c r="QMV96" s="80"/>
      <c r="QMW96" s="80"/>
      <c r="QMX96" s="80"/>
      <c r="QMY96" s="80"/>
      <c r="QMZ96" s="80"/>
      <c r="QNA96" s="80"/>
      <c r="QNB96" s="80"/>
      <c r="QNC96" s="80"/>
      <c r="QND96" s="80"/>
      <c r="QNE96" s="80"/>
      <c r="QNF96" s="80"/>
      <c r="QNG96" s="80"/>
      <c r="QNH96" s="80"/>
      <c r="QNI96" s="80"/>
      <c r="QNJ96" s="80"/>
      <c r="QNK96" s="80"/>
      <c r="QNL96" s="80"/>
      <c r="QNM96" s="80"/>
      <c r="QNN96" s="80"/>
      <c r="QNO96" s="80"/>
      <c r="QNP96" s="80"/>
      <c r="QNQ96" s="80"/>
      <c r="QNR96" s="80"/>
      <c r="QNS96" s="80"/>
      <c r="QNT96" s="80"/>
      <c r="QNU96" s="80"/>
      <c r="QNV96" s="80"/>
      <c r="QNW96" s="80"/>
      <c r="QNX96" s="80"/>
      <c r="QNY96" s="80"/>
      <c r="QNZ96" s="80"/>
      <c r="QOA96" s="80"/>
      <c r="QOB96" s="80"/>
      <c r="QOC96" s="80"/>
      <c r="QOD96" s="80"/>
      <c r="QOE96" s="80"/>
      <c r="QOF96" s="80"/>
      <c r="QOG96" s="80"/>
      <c r="QOH96" s="80"/>
      <c r="QOI96" s="80"/>
      <c r="QOJ96" s="80"/>
      <c r="QOK96" s="80"/>
      <c r="QOL96" s="80"/>
      <c r="QOM96" s="80"/>
      <c r="QON96" s="80"/>
      <c r="QOO96" s="80"/>
      <c r="QOP96" s="80"/>
      <c r="QOQ96" s="80"/>
      <c r="QOR96" s="80"/>
      <c r="QOS96" s="80"/>
      <c r="QOT96" s="80"/>
      <c r="QOU96" s="80"/>
      <c r="QOV96" s="80"/>
      <c r="QOW96" s="80"/>
      <c r="QOX96" s="80"/>
      <c r="QOY96" s="80"/>
      <c r="QOZ96" s="80"/>
      <c r="QPA96" s="80"/>
      <c r="QPB96" s="80"/>
      <c r="QPC96" s="80"/>
      <c r="QPD96" s="80"/>
      <c r="QPE96" s="80"/>
      <c r="QPF96" s="80"/>
      <c r="QPG96" s="80"/>
      <c r="QPH96" s="80"/>
      <c r="QPI96" s="80"/>
      <c r="QPJ96" s="80"/>
      <c r="QPK96" s="80"/>
      <c r="QPL96" s="80"/>
      <c r="QPM96" s="80"/>
      <c r="QPN96" s="80"/>
      <c r="QPO96" s="80"/>
      <c r="QPP96" s="80"/>
      <c r="QPQ96" s="80"/>
      <c r="QPR96" s="80"/>
      <c r="QPS96" s="80"/>
      <c r="QPT96" s="80"/>
      <c r="QPU96" s="80"/>
      <c r="QPV96" s="80"/>
      <c r="QPW96" s="80"/>
      <c r="QPX96" s="80"/>
      <c r="QPY96" s="80"/>
      <c r="QPZ96" s="80"/>
      <c r="QQA96" s="80"/>
      <c r="QQB96" s="80"/>
      <c r="QQC96" s="80"/>
      <c r="QQD96" s="80"/>
      <c r="QQE96" s="80"/>
      <c r="QQF96" s="80"/>
      <c r="QQG96" s="80"/>
      <c r="QQH96" s="80"/>
      <c r="QQI96" s="80"/>
      <c r="QQJ96" s="80"/>
      <c r="QQK96" s="80"/>
      <c r="QQL96" s="80"/>
      <c r="QQM96" s="80"/>
      <c r="QQN96" s="80"/>
      <c r="QQO96" s="80"/>
      <c r="QQP96" s="80"/>
      <c r="QQQ96" s="80"/>
      <c r="QQR96" s="80"/>
      <c r="QQS96" s="80"/>
      <c r="QQT96" s="80"/>
      <c r="QQU96" s="80"/>
      <c r="QQV96" s="80"/>
      <c r="QQW96" s="80"/>
      <c r="QQX96" s="80"/>
      <c r="QQY96" s="80"/>
      <c r="QQZ96" s="80"/>
      <c r="QRA96" s="80"/>
      <c r="QRB96" s="80"/>
      <c r="QRC96" s="80"/>
      <c r="QRD96" s="80"/>
      <c r="QRE96" s="80"/>
      <c r="QRF96" s="80"/>
      <c r="QRG96" s="80"/>
      <c r="QRH96" s="80"/>
      <c r="QRI96" s="80"/>
      <c r="QRJ96" s="80"/>
      <c r="QRK96" s="80"/>
      <c r="QRL96" s="80"/>
      <c r="QRM96" s="80"/>
      <c r="QRN96" s="80"/>
      <c r="QRO96" s="80"/>
      <c r="QRP96" s="80"/>
      <c r="QRQ96" s="80"/>
      <c r="QRR96" s="80"/>
      <c r="QRS96" s="80"/>
      <c r="QRT96" s="80"/>
      <c r="QRU96" s="80"/>
      <c r="QRV96" s="80"/>
      <c r="QRW96" s="80"/>
      <c r="QRX96" s="80"/>
      <c r="QRY96" s="80"/>
      <c r="QRZ96" s="80"/>
      <c r="QSA96" s="80"/>
      <c r="QSB96" s="80"/>
      <c r="QSC96" s="80"/>
      <c r="QSD96" s="80"/>
      <c r="QSE96" s="80"/>
      <c r="QSF96" s="80"/>
      <c r="QSG96" s="80"/>
      <c r="QSH96" s="80"/>
      <c r="QSI96" s="80"/>
      <c r="QSJ96" s="80"/>
      <c r="QSK96" s="80"/>
      <c r="QSL96" s="80"/>
      <c r="QSM96" s="80"/>
      <c r="QSN96" s="80"/>
      <c r="QSO96" s="80"/>
      <c r="QSP96" s="80"/>
      <c r="QSQ96" s="80"/>
      <c r="QSR96" s="80"/>
      <c r="QSS96" s="80"/>
      <c r="QST96" s="80"/>
      <c r="QSU96" s="80"/>
      <c r="QSV96" s="80"/>
      <c r="QSW96" s="80"/>
      <c r="QSX96" s="80"/>
      <c r="QSY96" s="80"/>
      <c r="QSZ96" s="80"/>
      <c r="QTA96" s="80"/>
      <c r="QTB96" s="80"/>
      <c r="QTC96" s="80"/>
      <c r="QTD96" s="80"/>
      <c r="QTE96" s="80"/>
      <c r="QTF96" s="80"/>
      <c r="QTG96" s="80"/>
      <c r="QTH96" s="80"/>
      <c r="QTI96" s="80"/>
      <c r="QTJ96" s="80"/>
      <c r="QTK96" s="80"/>
      <c r="QTL96" s="80"/>
      <c r="QTM96" s="80"/>
      <c r="QTN96" s="80"/>
      <c r="QTO96" s="80"/>
      <c r="QTP96" s="80"/>
      <c r="QTQ96" s="80"/>
      <c r="QTR96" s="80"/>
      <c r="QTS96" s="80"/>
      <c r="QTT96" s="80"/>
      <c r="QTU96" s="80"/>
      <c r="QTV96" s="80"/>
      <c r="QTW96" s="80"/>
      <c r="QTX96" s="80"/>
      <c r="QTY96" s="80"/>
      <c r="QTZ96" s="80"/>
      <c r="QUA96" s="80"/>
      <c r="QUB96" s="80"/>
      <c r="QUC96" s="80"/>
      <c r="QUD96" s="80"/>
      <c r="QUE96" s="80"/>
      <c r="QUF96" s="80"/>
      <c r="QUG96" s="80"/>
      <c r="QUH96" s="80"/>
      <c r="QUI96" s="80"/>
      <c r="QUJ96" s="80"/>
      <c r="QUK96" s="80"/>
      <c r="QUL96" s="80"/>
      <c r="QUM96" s="80"/>
      <c r="QUN96" s="80"/>
      <c r="QUO96" s="80"/>
      <c r="QUP96" s="80"/>
      <c r="QUQ96" s="80"/>
      <c r="QUR96" s="80"/>
      <c r="QUS96" s="80"/>
      <c r="QUT96" s="80"/>
      <c r="QUU96" s="80"/>
      <c r="QUV96" s="80"/>
      <c r="QUW96" s="80"/>
      <c r="QUX96" s="80"/>
      <c r="QUY96" s="80"/>
      <c r="QUZ96" s="80"/>
      <c r="QVA96" s="80"/>
      <c r="QVB96" s="80"/>
      <c r="QVC96" s="80"/>
      <c r="QVD96" s="80"/>
      <c r="QVE96" s="80"/>
      <c r="QVF96" s="80"/>
      <c r="QVG96" s="80"/>
      <c r="QVH96" s="80"/>
      <c r="QVI96" s="80"/>
      <c r="QVJ96" s="80"/>
      <c r="QVK96" s="80"/>
      <c r="QVL96" s="80"/>
      <c r="QVM96" s="80"/>
      <c r="QVN96" s="80"/>
      <c r="QVO96" s="80"/>
      <c r="QVP96" s="80"/>
      <c r="QVQ96" s="80"/>
      <c r="QVR96" s="80"/>
      <c r="QVS96" s="80"/>
      <c r="QVT96" s="80"/>
      <c r="QVU96" s="80"/>
      <c r="QVV96" s="80"/>
      <c r="QVW96" s="80"/>
      <c r="QVX96" s="80"/>
      <c r="QVY96" s="80"/>
      <c r="QVZ96" s="80"/>
      <c r="QWA96" s="80"/>
      <c r="QWB96" s="80"/>
      <c r="QWC96" s="80"/>
      <c r="QWD96" s="80"/>
      <c r="QWE96" s="80"/>
      <c r="QWF96" s="80"/>
      <c r="QWG96" s="80"/>
      <c r="QWH96" s="80"/>
      <c r="QWI96" s="80"/>
      <c r="QWJ96" s="80"/>
      <c r="QWK96" s="80"/>
      <c r="QWL96" s="80"/>
      <c r="QWM96" s="80"/>
      <c r="QWN96" s="80"/>
      <c r="QWO96" s="80"/>
      <c r="QWP96" s="80"/>
      <c r="QWQ96" s="80"/>
      <c r="QWR96" s="80"/>
      <c r="QWS96" s="80"/>
      <c r="QWT96" s="80"/>
      <c r="QWU96" s="80"/>
      <c r="QWV96" s="80"/>
      <c r="QWW96" s="80"/>
      <c r="QWX96" s="80"/>
      <c r="QWY96" s="80"/>
      <c r="QWZ96" s="80"/>
      <c r="QXA96" s="80"/>
      <c r="QXB96" s="80"/>
      <c r="QXC96" s="80"/>
      <c r="QXD96" s="80"/>
      <c r="QXE96" s="80"/>
      <c r="QXF96" s="80"/>
      <c r="QXG96" s="80"/>
      <c r="QXH96" s="80"/>
      <c r="QXI96" s="80"/>
      <c r="QXJ96" s="80"/>
      <c r="QXK96" s="80"/>
      <c r="QXL96" s="80"/>
      <c r="QXM96" s="80"/>
      <c r="QXN96" s="80"/>
      <c r="QXO96" s="80"/>
      <c r="QXP96" s="80"/>
      <c r="QXQ96" s="80"/>
      <c r="QXR96" s="80"/>
      <c r="QXS96" s="80"/>
      <c r="QXT96" s="80"/>
      <c r="QXU96" s="80"/>
      <c r="QXV96" s="80"/>
      <c r="QXW96" s="80"/>
      <c r="QXX96" s="80"/>
      <c r="QXY96" s="80"/>
      <c r="QXZ96" s="80"/>
      <c r="QYA96" s="80"/>
      <c r="QYB96" s="80"/>
      <c r="QYC96" s="80"/>
      <c r="QYD96" s="80"/>
      <c r="QYE96" s="80"/>
      <c r="QYF96" s="80"/>
      <c r="QYG96" s="80"/>
      <c r="QYH96" s="80"/>
      <c r="QYI96" s="80"/>
      <c r="QYJ96" s="80"/>
      <c r="QYK96" s="80"/>
      <c r="QYL96" s="80"/>
      <c r="QYM96" s="80"/>
      <c r="QYN96" s="80"/>
      <c r="QYO96" s="80"/>
      <c r="QYP96" s="80"/>
      <c r="QYQ96" s="80"/>
      <c r="QYR96" s="80"/>
      <c r="QYS96" s="80"/>
      <c r="QYT96" s="80"/>
      <c r="QYU96" s="80"/>
      <c r="QYV96" s="80"/>
      <c r="QYW96" s="80"/>
      <c r="QYX96" s="80"/>
      <c r="QYY96" s="80"/>
      <c r="QYZ96" s="80"/>
      <c r="QZA96" s="80"/>
      <c r="QZB96" s="80"/>
      <c r="QZC96" s="80"/>
      <c r="QZD96" s="80"/>
      <c r="QZE96" s="80"/>
      <c r="QZF96" s="80"/>
      <c r="QZG96" s="80"/>
      <c r="QZH96" s="80"/>
      <c r="QZI96" s="80"/>
      <c r="QZJ96" s="80"/>
      <c r="QZK96" s="80"/>
      <c r="QZL96" s="80"/>
      <c r="QZM96" s="80"/>
      <c r="QZN96" s="80"/>
      <c r="QZO96" s="80"/>
      <c r="QZP96" s="80"/>
      <c r="QZQ96" s="80"/>
      <c r="QZR96" s="80"/>
      <c r="QZS96" s="80"/>
      <c r="QZT96" s="80"/>
      <c r="QZU96" s="80"/>
      <c r="QZV96" s="80"/>
      <c r="QZW96" s="80"/>
      <c r="QZX96" s="80"/>
      <c r="QZY96" s="80"/>
      <c r="QZZ96" s="80"/>
      <c r="RAA96" s="80"/>
      <c r="RAB96" s="80"/>
      <c r="RAC96" s="80"/>
      <c r="RAD96" s="80"/>
      <c r="RAE96" s="80"/>
      <c r="RAF96" s="80"/>
      <c r="RAG96" s="80"/>
      <c r="RAH96" s="80"/>
      <c r="RAI96" s="80"/>
      <c r="RAJ96" s="80"/>
      <c r="RAK96" s="80"/>
      <c r="RAL96" s="80"/>
      <c r="RAM96" s="80"/>
      <c r="RAN96" s="80"/>
      <c r="RAO96" s="80"/>
      <c r="RAP96" s="80"/>
      <c r="RAQ96" s="80"/>
      <c r="RAR96" s="80"/>
      <c r="RAS96" s="80"/>
      <c r="RAT96" s="80"/>
      <c r="RAU96" s="80"/>
      <c r="RAV96" s="80"/>
      <c r="RAW96" s="80"/>
      <c r="RAX96" s="80"/>
      <c r="RAY96" s="80"/>
      <c r="RAZ96" s="80"/>
      <c r="RBA96" s="80"/>
      <c r="RBB96" s="80"/>
      <c r="RBC96" s="80"/>
      <c r="RBD96" s="80"/>
      <c r="RBE96" s="80"/>
      <c r="RBF96" s="80"/>
      <c r="RBG96" s="80"/>
      <c r="RBH96" s="80"/>
      <c r="RBI96" s="80"/>
      <c r="RBJ96" s="80"/>
      <c r="RBK96" s="80"/>
      <c r="RBL96" s="80"/>
      <c r="RBM96" s="80"/>
      <c r="RBN96" s="80"/>
      <c r="RBO96" s="80"/>
      <c r="RBP96" s="80"/>
      <c r="RBQ96" s="80"/>
      <c r="RBR96" s="80"/>
      <c r="RBS96" s="80"/>
      <c r="RBT96" s="80"/>
      <c r="RBU96" s="80"/>
      <c r="RBV96" s="80"/>
      <c r="RBW96" s="80"/>
      <c r="RBX96" s="80"/>
      <c r="RBY96" s="80"/>
      <c r="RBZ96" s="80"/>
      <c r="RCA96" s="80"/>
      <c r="RCB96" s="80"/>
      <c r="RCC96" s="80"/>
      <c r="RCD96" s="80"/>
      <c r="RCE96" s="80"/>
      <c r="RCF96" s="80"/>
      <c r="RCG96" s="80"/>
      <c r="RCH96" s="80"/>
      <c r="RCI96" s="80"/>
      <c r="RCJ96" s="80"/>
      <c r="RCK96" s="80"/>
      <c r="RCL96" s="80"/>
      <c r="RCM96" s="80"/>
      <c r="RCN96" s="80"/>
      <c r="RCO96" s="80"/>
      <c r="RCP96" s="80"/>
      <c r="RCQ96" s="80"/>
      <c r="RCR96" s="80"/>
      <c r="RCS96" s="80"/>
      <c r="RCT96" s="80"/>
      <c r="RCU96" s="80"/>
      <c r="RCV96" s="80"/>
      <c r="RCW96" s="80"/>
      <c r="RCX96" s="80"/>
      <c r="RCY96" s="80"/>
      <c r="RCZ96" s="80"/>
      <c r="RDA96" s="80"/>
      <c r="RDB96" s="80"/>
      <c r="RDC96" s="80"/>
      <c r="RDD96" s="80"/>
      <c r="RDE96" s="80"/>
      <c r="RDF96" s="80"/>
      <c r="RDG96" s="80"/>
      <c r="RDH96" s="80"/>
      <c r="RDI96" s="80"/>
      <c r="RDJ96" s="80"/>
      <c r="RDK96" s="80"/>
      <c r="RDL96" s="80"/>
      <c r="RDM96" s="80"/>
      <c r="RDN96" s="80"/>
      <c r="RDO96" s="80"/>
      <c r="RDP96" s="80"/>
      <c r="RDQ96" s="80"/>
      <c r="RDR96" s="80"/>
      <c r="RDS96" s="80"/>
      <c r="RDT96" s="80"/>
      <c r="RDU96" s="80"/>
      <c r="RDV96" s="80"/>
      <c r="RDW96" s="80"/>
      <c r="RDX96" s="80"/>
      <c r="RDY96" s="80"/>
      <c r="RDZ96" s="80"/>
      <c r="REA96" s="80"/>
      <c r="REB96" s="80"/>
      <c r="REC96" s="80"/>
      <c r="RED96" s="80"/>
      <c r="REE96" s="80"/>
      <c r="REF96" s="80"/>
      <c r="REG96" s="80"/>
      <c r="REH96" s="80"/>
      <c r="REI96" s="80"/>
      <c r="REJ96" s="80"/>
      <c r="REK96" s="80"/>
      <c r="REL96" s="80"/>
      <c r="REM96" s="80"/>
      <c r="REN96" s="80"/>
      <c r="REO96" s="80"/>
      <c r="REP96" s="80"/>
      <c r="REQ96" s="80"/>
      <c r="RER96" s="80"/>
      <c r="RES96" s="80"/>
      <c r="RET96" s="80"/>
      <c r="REU96" s="80"/>
      <c r="REV96" s="80"/>
      <c r="REW96" s="80"/>
      <c r="REX96" s="80"/>
      <c r="REY96" s="80"/>
      <c r="REZ96" s="80"/>
      <c r="RFA96" s="80"/>
      <c r="RFB96" s="80"/>
      <c r="RFC96" s="80"/>
      <c r="RFD96" s="80"/>
      <c r="RFE96" s="80"/>
      <c r="RFF96" s="80"/>
      <c r="RFG96" s="80"/>
      <c r="RFH96" s="80"/>
      <c r="RFI96" s="80"/>
      <c r="RFJ96" s="80"/>
      <c r="RFK96" s="80"/>
      <c r="RFL96" s="80"/>
      <c r="RFM96" s="80"/>
      <c r="RFN96" s="80"/>
      <c r="RFO96" s="80"/>
      <c r="RFP96" s="80"/>
      <c r="RFQ96" s="80"/>
      <c r="RFR96" s="80"/>
      <c r="RFS96" s="80"/>
      <c r="RFT96" s="80"/>
      <c r="RFU96" s="80"/>
      <c r="RFV96" s="80"/>
      <c r="RFW96" s="80"/>
      <c r="RFX96" s="80"/>
      <c r="RFY96" s="80"/>
      <c r="RFZ96" s="80"/>
      <c r="RGA96" s="80"/>
      <c r="RGB96" s="80"/>
      <c r="RGC96" s="80"/>
      <c r="RGD96" s="80"/>
      <c r="RGE96" s="80"/>
      <c r="RGF96" s="80"/>
      <c r="RGG96" s="80"/>
      <c r="RGH96" s="80"/>
      <c r="RGI96" s="80"/>
      <c r="RGJ96" s="80"/>
      <c r="RGK96" s="80"/>
      <c r="RGL96" s="80"/>
      <c r="RGM96" s="80"/>
      <c r="RGN96" s="80"/>
      <c r="RGO96" s="80"/>
      <c r="RGP96" s="80"/>
      <c r="RGQ96" s="80"/>
      <c r="RGR96" s="80"/>
      <c r="RGS96" s="80"/>
      <c r="RGT96" s="80"/>
      <c r="RGU96" s="80"/>
      <c r="RGV96" s="80"/>
      <c r="RGW96" s="80"/>
      <c r="RGX96" s="80"/>
      <c r="RGY96" s="80"/>
      <c r="RGZ96" s="80"/>
      <c r="RHA96" s="80"/>
      <c r="RHB96" s="80"/>
      <c r="RHC96" s="80"/>
      <c r="RHD96" s="80"/>
      <c r="RHE96" s="80"/>
      <c r="RHF96" s="80"/>
      <c r="RHG96" s="80"/>
      <c r="RHH96" s="80"/>
      <c r="RHI96" s="80"/>
      <c r="RHJ96" s="80"/>
      <c r="RHK96" s="80"/>
      <c r="RHL96" s="80"/>
      <c r="RHM96" s="80"/>
      <c r="RHN96" s="80"/>
      <c r="RHO96" s="80"/>
      <c r="RHP96" s="80"/>
      <c r="RHQ96" s="80"/>
      <c r="RHR96" s="80"/>
      <c r="RHS96" s="80"/>
      <c r="RHT96" s="80"/>
      <c r="RHU96" s="80"/>
      <c r="RHV96" s="80"/>
      <c r="RHW96" s="80"/>
      <c r="RHX96" s="80"/>
      <c r="RHY96" s="80"/>
      <c r="RHZ96" s="80"/>
      <c r="RIA96" s="80"/>
      <c r="RIB96" s="80"/>
      <c r="RIC96" s="80"/>
      <c r="RID96" s="80"/>
      <c r="RIE96" s="80"/>
      <c r="RIF96" s="80"/>
      <c r="RIG96" s="80"/>
      <c r="RIH96" s="80"/>
      <c r="RII96" s="80"/>
      <c r="RIJ96" s="80"/>
      <c r="RIK96" s="80"/>
      <c r="RIL96" s="80"/>
      <c r="RIM96" s="80"/>
      <c r="RIN96" s="80"/>
      <c r="RIO96" s="80"/>
      <c r="RIP96" s="80"/>
      <c r="RIQ96" s="80"/>
      <c r="RIR96" s="80"/>
      <c r="RIS96" s="80"/>
      <c r="RIT96" s="80"/>
      <c r="RIU96" s="80"/>
      <c r="RIV96" s="80"/>
      <c r="RIW96" s="80"/>
      <c r="RIX96" s="80"/>
      <c r="RIY96" s="80"/>
      <c r="RIZ96" s="80"/>
      <c r="RJA96" s="80"/>
      <c r="RJB96" s="80"/>
      <c r="RJC96" s="80"/>
      <c r="RJD96" s="80"/>
      <c r="RJE96" s="80"/>
      <c r="RJF96" s="80"/>
      <c r="RJG96" s="80"/>
      <c r="RJH96" s="80"/>
      <c r="RJI96" s="80"/>
      <c r="RJJ96" s="80"/>
      <c r="RJK96" s="80"/>
      <c r="RJL96" s="80"/>
      <c r="RJM96" s="80"/>
      <c r="RJN96" s="80"/>
      <c r="RJO96" s="80"/>
      <c r="RJP96" s="80"/>
      <c r="RJQ96" s="80"/>
      <c r="RJR96" s="80"/>
      <c r="RJS96" s="80"/>
      <c r="RJT96" s="80"/>
      <c r="RJU96" s="80"/>
      <c r="RJV96" s="80"/>
      <c r="RJW96" s="80"/>
      <c r="RJX96" s="80"/>
      <c r="RJY96" s="80"/>
      <c r="RJZ96" s="80"/>
      <c r="RKA96" s="80"/>
      <c r="RKB96" s="80"/>
      <c r="RKC96" s="80"/>
      <c r="RKD96" s="80"/>
      <c r="RKE96" s="80"/>
      <c r="RKF96" s="80"/>
      <c r="RKG96" s="80"/>
      <c r="RKH96" s="80"/>
      <c r="RKI96" s="80"/>
      <c r="RKJ96" s="80"/>
      <c r="RKK96" s="80"/>
      <c r="RKL96" s="80"/>
      <c r="RKM96" s="80"/>
      <c r="RKN96" s="80"/>
      <c r="RKO96" s="80"/>
      <c r="RKP96" s="80"/>
      <c r="RKQ96" s="80"/>
      <c r="RKR96" s="80"/>
      <c r="RKS96" s="80"/>
      <c r="RKT96" s="80"/>
      <c r="RKU96" s="80"/>
      <c r="RKV96" s="80"/>
      <c r="RKW96" s="80"/>
      <c r="RKX96" s="80"/>
      <c r="RKY96" s="80"/>
      <c r="RKZ96" s="80"/>
      <c r="RLA96" s="80"/>
      <c r="RLB96" s="80"/>
      <c r="RLC96" s="80"/>
      <c r="RLD96" s="80"/>
      <c r="RLE96" s="80"/>
      <c r="RLF96" s="80"/>
      <c r="RLG96" s="80"/>
      <c r="RLH96" s="80"/>
      <c r="RLI96" s="80"/>
      <c r="RLJ96" s="80"/>
      <c r="RLK96" s="80"/>
      <c r="RLL96" s="80"/>
      <c r="RLM96" s="80"/>
      <c r="RLN96" s="80"/>
      <c r="RLO96" s="80"/>
      <c r="RLP96" s="80"/>
      <c r="RLQ96" s="80"/>
      <c r="RLR96" s="80"/>
      <c r="RLS96" s="80"/>
      <c r="RLT96" s="80"/>
      <c r="RLU96" s="80"/>
      <c r="RLV96" s="80"/>
      <c r="RLW96" s="80"/>
      <c r="RLX96" s="80"/>
      <c r="RLY96" s="80"/>
      <c r="RLZ96" s="80"/>
      <c r="RMA96" s="80"/>
      <c r="RMB96" s="80"/>
      <c r="RMC96" s="80"/>
      <c r="RMD96" s="80"/>
      <c r="RME96" s="80"/>
      <c r="RMF96" s="80"/>
      <c r="RMG96" s="80"/>
      <c r="RMH96" s="80"/>
      <c r="RMI96" s="80"/>
      <c r="RMJ96" s="80"/>
      <c r="RMK96" s="80"/>
      <c r="RML96" s="80"/>
      <c r="RMM96" s="80"/>
      <c r="RMN96" s="80"/>
      <c r="RMO96" s="80"/>
      <c r="RMP96" s="80"/>
      <c r="RMQ96" s="80"/>
      <c r="RMR96" s="80"/>
      <c r="RMS96" s="80"/>
      <c r="RMT96" s="80"/>
      <c r="RMU96" s="80"/>
      <c r="RMV96" s="80"/>
      <c r="RMW96" s="80"/>
      <c r="RMX96" s="80"/>
      <c r="RMY96" s="80"/>
      <c r="RMZ96" s="80"/>
      <c r="RNA96" s="80"/>
      <c r="RNB96" s="80"/>
      <c r="RNC96" s="80"/>
      <c r="RND96" s="80"/>
      <c r="RNE96" s="80"/>
      <c r="RNF96" s="80"/>
      <c r="RNG96" s="80"/>
      <c r="RNH96" s="80"/>
      <c r="RNI96" s="80"/>
      <c r="RNJ96" s="80"/>
      <c r="RNK96" s="80"/>
      <c r="RNL96" s="80"/>
      <c r="RNM96" s="80"/>
      <c r="RNN96" s="80"/>
      <c r="RNO96" s="80"/>
      <c r="RNP96" s="80"/>
      <c r="RNQ96" s="80"/>
      <c r="RNR96" s="80"/>
      <c r="RNS96" s="80"/>
      <c r="RNT96" s="80"/>
      <c r="RNU96" s="80"/>
      <c r="RNV96" s="80"/>
      <c r="RNW96" s="80"/>
      <c r="RNX96" s="80"/>
      <c r="RNY96" s="80"/>
      <c r="RNZ96" s="80"/>
      <c r="ROA96" s="80"/>
      <c r="ROB96" s="80"/>
      <c r="ROC96" s="80"/>
      <c r="ROD96" s="80"/>
      <c r="ROE96" s="80"/>
      <c r="ROF96" s="80"/>
      <c r="ROG96" s="80"/>
      <c r="ROH96" s="80"/>
      <c r="ROI96" s="80"/>
      <c r="ROJ96" s="80"/>
      <c r="ROK96" s="80"/>
      <c r="ROL96" s="80"/>
      <c r="ROM96" s="80"/>
      <c r="RON96" s="80"/>
      <c r="ROO96" s="80"/>
      <c r="ROP96" s="80"/>
      <c r="ROQ96" s="80"/>
      <c r="ROR96" s="80"/>
      <c r="ROS96" s="80"/>
      <c r="ROT96" s="80"/>
      <c r="ROU96" s="80"/>
      <c r="ROV96" s="80"/>
      <c r="ROW96" s="80"/>
      <c r="ROX96" s="80"/>
      <c r="ROY96" s="80"/>
      <c r="ROZ96" s="80"/>
      <c r="RPA96" s="80"/>
      <c r="RPB96" s="80"/>
      <c r="RPC96" s="80"/>
      <c r="RPD96" s="80"/>
      <c r="RPE96" s="80"/>
      <c r="RPF96" s="80"/>
      <c r="RPG96" s="80"/>
      <c r="RPH96" s="80"/>
      <c r="RPI96" s="80"/>
      <c r="RPJ96" s="80"/>
      <c r="RPK96" s="80"/>
      <c r="RPL96" s="80"/>
      <c r="RPM96" s="80"/>
      <c r="RPN96" s="80"/>
      <c r="RPO96" s="80"/>
      <c r="RPP96" s="80"/>
      <c r="RPQ96" s="80"/>
      <c r="RPR96" s="80"/>
      <c r="RPS96" s="80"/>
      <c r="RPT96" s="80"/>
      <c r="RPU96" s="80"/>
      <c r="RPV96" s="80"/>
      <c r="RPW96" s="80"/>
      <c r="RPX96" s="80"/>
      <c r="RPY96" s="80"/>
      <c r="RPZ96" s="80"/>
      <c r="RQA96" s="80"/>
      <c r="RQB96" s="80"/>
      <c r="RQC96" s="80"/>
      <c r="RQD96" s="80"/>
      <c r="RQE96" s="80"/>
      <c r="RQF96" s="80"/>
      <c r="RQG96" s="80"/>
      <c r="RQH96" s="80"/>
      <c r="RQI96" s="80"/>
      <c r="RQJ96" s="80"/>
      <c r="RQK96" s="80"/>
      <c r="RQL96" s="80"/>
      <c r="RQM96" s="80"/>
      <c r="RQN96" s="80"/>
      <c r="RQO96" s="80"/>
      <c r="RQP96" s="80"/>
      <c r="RQQ96" s="80"/>
      <c r="RQR96" s="80"/>
      <c r="RQS96" s="80"/>
      <c r="RQT96" s="80"/>
      <c r="RQU96" s="80"/>
      <c r="RQV96" s="80"/>
      <c r="RQW96" s="80"/>
      <c r="RQX96" s="80"/>
      <c r="RQY96" s="80"/>
      <c r="RQZ96" s="80"/>
      <c r="RRA96" s="80"/>
      <c r="RRB96" s="80"/>
      <c r="RRC96" s="80"/>
      <c r="RRD96" s="80"/>
      <c r="RRE96" s="80"/>
      <c r="RRF96" s="80"/>
      <c r="RRG96" s="80"/>
      <c r="RRH96" s="80"/>
      <c r="RRI96" s="80"/>
      <c r="RRJ96" s="80"/>
      <c r="RRK96" s="80"/>
      <c r="RRL96" s="80"/>
      <c r="RRM96" s="80"/>
      <c r="RRN96" s="80"/>
      <c r="RRO96" s="80"/>
      <c r="RRP96" s="80"/>
      <c r="RRQ96" s="80"/>
      <c r="RRR96" s="80"/>
      <c r="RRS96" s="80"/>
      <c r="RRT96" s="80"/>
      <c r="RRU96" s="80"/>
      <c r="RRV96" s="80"/>
      <c r="RRW96" s="80"/>
      <c r="RRX96" s="80"/>
      <c r="RRY96" s="80"/>
      <c r="RRZ96" s="80"/>
      <c r="RSA96" s="80"/>
      <c r="RSB96" s="80"/>
      <c r="RSC96" s="80"/>
      <c r="RSD96" s="80"/>
      <c r="RSE96" s="80"/>
      <c r="RSF96" s="80"/>
      <c r="RSG96" s="80"/>
      <c r="RSH96" s="80"/>
      <c r="RSI96" s="80"/>
      <c r="RSJ96" s="80"/>
      <c r="RSK96" s="80"/>
      <c r="RSL96" s="80"/>
      <c r="RSM96" s="80"/>
      <c r="RSN96" s="80"/>
      <c r="RSO96" s="80"/>
      <c r="RSP96" s="80"/>
      <c r="RSQ96" s="80"/>
      <c r="RSR96" s="80"/>
      <c r="RSS96" s="80"/>
      <c r="RST96" s="80"/>
      <c r="RSU96" s="80"/>
      <c r="RSV96" s="80"/>
      <c r="RSW96" s="80"/>
      <c r="RSX96" s="80"/>
      <c r="RSY96" s="80"/>
      <c r="RSZ96" s="80"/>
      <c r="RTA96" s="80"/>
      <c r="RTB96" s="80"/>
      <c r="RTC96" s="80"/>
      <c r="RTD96" s="80"/>
      <c r="RTE96" s="80"/>
      <c r="RTF96" s="80"/>
      <c r="RTG96" s="80"/>
      <c r="RTH96" s="80"/>
      <c r="RTI96" s="80"/>
      <c r="RTJ96" s="80"/>
      <c r="RTK96" s="80"/>
      <c r="RTL96" s="80"/>
      <c r="RTM96" s="80"/>
      <c r="RTN96" s="80"/>
      <c r="RTO96" s="80"/>
      <c r="RTP96" s="80"/>
      <c r="RTQ96" s="80"/>
      <c r="RTR96" s="80"/>
      <c r="RTS96" s="80"/>
      <c r="RTT96" s="80"/>
      <c r="RTU96" s="80"/>
      <c r="RTV96" s="80"/>
      <c r="RTW96" s="80"/>
      <c r="RTX96" s="80"/>
      <c r="RTY96" s="80"/>
      <c r="RTZ96" s="80"/>
      <c r="RUA96" s="80"/>
      <c r="RUB96" s="80"/>
      <c r="RUC96" s="80"/>
      <c r="RUD96" s="80"/>
      <c r="RUE96" s="80"/>
      <c r="RUF96" s="80"/>
      <c r="RUG96" s="80"/>
      <c r="RUH96" s="80"/>
      <c r="RUI96" s="80"/>
      <c r="RUJ96" s="80"/>
      <c r="RUK96" s="80"/>
      <c r="RUL96" s="80"/>
      <c r="RUM96" s="80"/>
      <c r="RUN96" s="80"/>
      <c r="RUO96" s="80"/>
      <c r="RUP96" s="80"/>
      <c r="RUQ96" s="80"/>
      <c r="RUR96" s="80"/>
      <c r="RUS96" s="80"/>
      <c r="RUT96" s="80"/>
      <c r="RUU96" s="80"/>
      <c r="RUV96" s="80"/>
      <c r="RUW96" s="80"/>
      <c r="RUX96" s="80"/>
      <c r="RUY96" s="80"/>
      <c r="RUZ96" s="80"/>
      <c r="RVA96" s="80"/>
      <c r="RVB96" s="80"/>
      <c r="RVC96" s="80"/>
      <c r="RVD96" s="80"/>
      <c r="RVE96" s="80"/>
      <c r="RVF96" s="80"/>
      <c r="RVG96" s="80"/>
      <c r="RVH96" s="80"/>
      <c r="RVI96" s="80"/>
      <c r="RVJ96" s="80"/>
      <c r="RVK96" s="80"/>
      <c r="RVL96" s="80"/>
      <c r="RVM96" s="80"/>
      <c r="RVN96" s="80"/>
      <c r="RVO96" s="80"/>
      <c r="RVP96" s="80"/>
      <c r="RVQ96" s="80"/>
      <c r="RVR96" s="80"/>
      <c r="RVS96" s="80"/>
      <c r="RVT96" s="80"/>
      <c r="RVU96" s="80"/>
      <c r="RVV96" s="80"/>
      <c r="RVW96" s="80"/>
      <c r="RVX96" s="80"/>
      <c r="RVY96" s="80"/>
      <c r="RVZ96" s="80"/>
      <c r="RWA96" s="80"/>
      <c r="RWB96" s="80"/>
      <c r="RWC96" s="80"/>
      <c r="RWD96" s="80"/>
      <c r="RWE96" s="80"/>
      <c r="RWF96" s="80"/>
      <c r="RWG96" s="80"/>
      <c r="RWH96" s="80"/>
      <c r="RWI96" s="80"/>
      <c r="RWJ96" s="80"/>
      <c r="RWK96" s="80"/>
      <c r="RWL96" s="80"/>
      <c r="RWM96" s="80"/>
      <c r="RWN96" s="80"/>
      <c r="RWO96" s="80"/>
      <c r="RWP96" s="80"/>
      <c r="RWQ96" s="80"/>
      <c r="RWR96" s="80"/>
      <c r="RWS96" s="80"/>
      <c r="RWT96" s="80"/>
      <c r="RWU96" s="80"/>
      <c r="RWV96" s="80"/>
      <c r="RWW96" s="80"/>
      <c r="RWX96" s="80"/>
      <c r="RWY96" s="80"/>
      <c r="RWZ96" s="80"/>
      <c r="RXA96" s="80"/>
      <c r="RXB96" s="80"/>
      <c r="RXC96" s="80"/>
      <c r="RXD96" s="80"/>
      <c r="RXE96" s="80"/>
      <c r="RXF96" s="80"/>
      <c r="RXG96" s="80"/>
      <c r="RXH96" s="80"/>
      <c r="RXI96" s="80"/>
      <c r="RXJ96" s="80"/>
      <c r="RXK96" s="80"/>
      <c r="RXL96" s="80"/>
      <c r="RXM96" s="80"/>
      <c r="RXN96" s="80"/>
      <c r="RXO96" s="80"/>
      <c r="RXP96" s="80"/>
      <c r="RXQ96" s="80"/>
      <c r="RXR96" s="80"/>
      <c r="RXS96" s="80"/>
      <c r="RXT96" s="80"/>
      <c r="RXU96" s="80"/>
      <c r="RXV96" s="80"/>
      <c r="RXW96" s="80"/>
      <c r="RXX96" s="80"/>
      <c r="RXY96" s="80"/>
      <c r="RXZ96" s="80"/>
      <c r="RYA96" s="80"/>
      <c r="RYB96" s="80"/>
      <c r="RYC96" s="80"/>
      <c r="RYD96" s="80"/>
      <c r="RYE96" s="80"/>
      <c r="RYF96" s="80"/>
      <c r="RYG96" s="80"/>
      <c r="RYH96" s="80"/>
      <c r="RYI96" s="80"/>
      <c r="RYJ96" s="80"/>
      <c r="RYK96" s="80"/>
      <c r="RYL96" s="80"/>
      <c r="RYM96" s="80"/>
      <c r="RYN96" s="80"/>
      <c r="RYO96" s="80"/>
      <c r="RYP96" s="80"/>
      <c r="RYQ96" s="80"/>
      <c r="RYR96" s="80"/>
      <c r="RYS96" s="80"/>
      <c r="RYT96" s="80"/>
      <c r="RYU96" s="80"/>
      <c r="RYV96" s="80"/>
      <c r="RYW96" s="80"/>
      <c r="RYX96" s="80"/>
      <c r="RYY96" s="80"/>
      <c r="RYZ96" s="80"/>
      <c r="RZA96" s="80"/>
      <c r="RZB96" s="80"/>
      <c r="RZC96" s="80"/>
      <c r="RZD96" s="80"/>
      <c r="RZE96" s="80"/>
      <c r="RZF96" s="80"/>
      <c r="RZG96" s="80"/>
      <c r="RZH96" s="80"/>
      <c r="RZI96" s="80"/>
      <c r="RZJ96" s="80"/>
      <c r="RZK96" s="80"/>
      <c r="RZL96" s="80"/>
      <c r="RZM96" s="80"/>
      <c r="RZN96" s="80"/>
      <c r="RZO96" s="80"/>
      <c r="RZP96" s="80"/>
      <c r="RZQ96" s="80"/>
      <c r="RZR96" s="80"/>
      <c r="RZS96" s="80"/>
      <c r="RZT96" s="80"/>
      <c r="RZU96" s="80"/>
      <c r="RZV96" s="80"/>
      <c r="RZW96" s="80"/>
      <c r="RZX96" s="80"/>
      <c r="RZY96" s="80"/>
      <c r="RZZ96" s="80"/>
      <c r="SAA96" s="80"/>
      <c r="SAB96" s="80"/>
      <c r="SAC96" s="80"/>
      <c r="SAD96" s="80"/>
      <c r="SAE96" s="80"/>
      <c r="SAF96" s="80"/>
      <c r="SAG96" s="80"/>
      <c r="SAH96" s="80"/>
      <c r="SAI96" s="80"/>
      <c r="SAJ96" s="80"/>
      <c r="SAK96" s="80"/>
      <c r="SAL96" s="80"/>
      <c r="SAM96" s="80"/>
      <c r="SAN96" s="80"/>
      <c r="SAO96" s="80"/>
      <c r="SAP96" s="80"/>
      <c r="SAQ96" s="80"/>
      <c r="SAR96" s="80"/>
      <c r="SAS96" s="80"/>
      <c r="SAT96" s="80"/>
      <c r="SAU96" s="80"/>
      <c r="SAV96" s="80"/>
      <c r="SAW96" s="80"/>
      <c r="SAX96" s="80"/>
      <c r="SAY96" s="80"/>
      <c r="SAZ96" s="80"/>
      <c r="SBA96" s="80"/>
      <c r="SBB96" s="80"/>
      <c r="SBC96" s="80"/>
      <c r="SBD96" s="80"/>
      <c r="SBE96" s="80"/>
      <c r="SBF96" s="80"/>
      <c r="SBG96" s="80"/>
      <c r="SBH96" s="80"/>
      <c r="SBI96" s="80"/>
      <c r="SBJ96" s="80"/>
      <c r="SBK96" s="80"/>
      <c r="SBL96" s="80"/>
      <c r="SBM96" s="80"/>
      <c r="SBN96" s="80"/>
      <c r="SBO96" s="80"/>
      <c r="SBP96" s="80"/>
      <c r="SBQ96" s="80"/>
      <c r="SBR96" s="80"/>
      <c r="SBS96" s="80"/>
      <c r="SBT96" s="80"/>
      <c r="SBU96" s="80"/>
      <c r="SBV96" s="80"/>
      <c r="SBW96" s="80"/>
      <c r="SBX96" s="80"/>
      <c r="SBY96" s="80"/>
      <c r="SBZ96" s="80"/>
      <c r="SCA96" s="80"/>
      <c r="SCB96" s="80"/>
      <c r="SCC96" s="80"/>
      <c r="SCD96" s="80"/>
      <c r="SCE96" s="80"/>
      <c r="SCF96" s="80"/>
      <c r="SCG96" s="80"/>
      <c r="SCH96" s="80"/>
      <c r="SCI96" s="80"/>
      <c r="SCJ96" s="80"/>
      <c r="SCK96" s="80"/>
      <c r="SCL96" s="80"/>
      <c r="SCM96" s="80"/>
      <c r="SCN96" s="80"/>
      <c r="SCO96" s="80"/>
      <c r="SCP96" s="80"/>
      <c r="SCQ96" s="80"/>
      <c r="SCR96" s="80"/>
      <c r="SCS96" s="80"/>
      <c r="SCT96" s="80"/>
      <c r="SCU96" s="80"/>
      <c r="SCV96" s="80"/>
      <c r="SCW96" s="80"/>
      <c r="SCX96" s="80"/>
      <c r="SCY96" s="80"/>
      <c r="SCZ96" s="80"/>
      <c r="SDA96" s="80"/>
      <c r="SDB96" s="80"/>
      <c r="SDC96" s="80"/>
      <c r="SDD96" s="80"/>
      <c r="SDE96" s="80"/>
      <c r="SDF96" s="80"/>
      <c r="SDG96" s="80"/>
      <c r="SDH96" s="80"/>
      <c r="SDI96" s="80"/>
      <c r="SDJ96" s="80"/>
      <c r="SDK96" s="80"/>
      <c r="SDL96" s="80"/>
      <c r="SDM96" s="80"/>
      <c r="SDN96" s="80"/>
      <c r="SDO96" s="80"/>
      <c r="SDP96" s="80"/>
      <c r="SDQ96" s="80"/>
      <c r="SDR96" s="80"/>
      <c r="SDS96" s="80"/>
      <c r="SDT96" s="80"/>
      <c r="SDU96" s="80"/>
      <c r="SDV96" s="80"/>
      <c r="SDW96" s="80"/>
      <c r="SDX96" s="80"/>
      <c r="SDY96" s="80"/>
      <c r="SDZ96" s="80"/>
      <c r="SEA96" s="80"/>
      <c r="SEB96" s="80"/>
      <c r="SEC96" s="80"/>
      <c r="SED96" s="80"/>
      <c r="SEE96" s="80"/>
      <c r="SEF96" s="80"/>
      <c r="SEG96" s="80"/>
      <c r="SEH96" s="80"/>
      <c r="SEI96" s="80"/>
      <c r="SEJ96" s="80"/>
      <c r="SEK96" s="80"/>
      <c r="SEL96" s="80"/>
      <c r="SEM96" s="80"/>
      <c r="SEN96" s="80"/>
      <c r="SEO96" s="80"/>
      <c r="SEP96" s="80"/>
      <c r="SEQ96" s="80"/>
      <c r="SER96" s="80"/>
      <c r="SES96" s="80"/>
      <c r="SET96" s="80"/>
      <c r="SEU96" s="80"/>
      <c r="SEV96" s="80"/>
      <c r="SEW96" s="80"/>
      <c r="SEX96" s="80"/>
      <c r="SEY96" s="80"/>
      <c r="SEZ96" s="80"/>
      <c r="SFA96" s="80"/>
      <c r="SFB96" s="80"/>
      <c r="SFC96" s="80"/>
      <c r="SFD96" s="80"/>
      <c r="SFE96" s="80"/>
      <c r="SFF96" s="80"/>
      <c r="SFG96" s="80"/>
      <c r="SFH96" s="80"/>
      <c r="SFI96" s="80"/>
      <c r="SFJ96" s="80"/>
      <c r="SFK96" s="80"/>
      <c r="SFL96" s="80"/>
      <c r="SFM96" s="80"/>
      <c r="SFN96" s="80"/>
      <c r="SFO96" s="80"/>
      <c r="SFP96" s="80"/>
      <c r="SFQ96" s="80"/>
      <c r="SFR96" s="80"/>
      <c r="SFS96" s="80"/>
      <c r="SFT96" s="80"/>
      <c r="SFU96" s="80"/>
      <c r="SFV96" s="80"/>
      <c r="SFW96" s="80"/>
      <c r="SFX96" s="80"/>
      <c r="SFY96" s="80"/>
      <c r="SFZ96" s="80"/>
      <c r="SGA96" s="80"/>
      <c r="SGB96" s="80"/>
      <c r="SGC96" s="80"/>
      <c r="SGD96" s="80"/>
      <c r="SGE96" s="80"/>
      <c r="SGF96" s="80"/>
      <c r="SGG96" s="80"/>
      <c r="SGH96" s="80"/>
      <c r="SGI96" s="80"/>
      <c r="SGJ96" s="80"/>
      <c r="SGK96" s="80"/>
      <c r="SGL96" s="80"/>
      <c r="SGM96" s="80"/>
      <c r="SGN96" s="80"/>
      <c r="SGO96" s="80"/>
      <c r="SGP96" s="80"/>
      <c r="SGQ96" s="80"/>
      <c r="SGR96" s="80"/>
      <c r="SGS96" s="80"/>
      <c r="SGT96" s="80"/>
      <c r="SGU96" s="80"/>
      <c r="SGV96" s="80"/>
      <c r="SGW96" s="80"/>
      <c r="SGX96" s="80"/>
      <c r="SGY96" s="80"/>
      <c r="SGZ96" s="80"/>
      <c r="SHA96" s="80"/>
      <c r="SHB96" s="80"/>
      <c r="SHC96" s="80"/>
      <c r="SHD96" s="80"/>
      <c r="SHE96" s="80"/>
      <c r="SHF96" s="80"/>
      <c r="SHG96" s="80"/>
      <c r="SHH96" s="80"/>
      <c r="SHI96" s="80"/>
      <c r="SHJ96" s="80"/>
      <c r="SHK96" s="80"/>
      <c r="SHL96" s="80"/>
      <c r="SHM96" s="80"/>
      <c r="SHN96" s="80"/>
      <c r="SHO96" s="80"/>
      <c r="SHP96" s="80"/>
      <c r="SHQ96" s="80"/>
      <c r="SHR96" s="80"/>
      <c r="SHS96" s="80"/>
      <c r="SHT96" s="80"/>
      <c r="SHU96" s="80"/>
      <c r="SHV96" s="80"/>
      <c r="SHW96" s="80"/>
      <c r="SHX96" s="80"/>
      <c r="SHY96" s="80"/>
      <c r="SHZ96" s="80"/>
      <c r="SIA96" s="80"/>
      <c r="SIB96" s="80"/>
      <c r="SIC96" s="80"/>
      <c r="SID96" s="80"/>
      <c r="SIE96" s="80"/>
      <c r="SIF96" s="80"/>
      <c r="SIG96" s="80"/>
      <c r="SIH96" s="80"/>
      <c r="SII96" s="80"/>
      <c r="SIJ96" s="80"/>
      <c r="SIK96" s="80"/>
      <c r="SIL96" s="80"/>
      <c r="SIM96" s="80"/>
      <c r="SIN96" s="80"/>
      <c r="SIO96" s="80"/>
      <c r="SIP96" s="80"/>
      <c r="SIQ96" s="80"/>
      <c r="SIR96" s="80"/>
      <c r="SIS96" s="80"/>
      <c r="SIT96" s="80"/>
      <c r="SIU96" s="80"/>
      <c r="SIV96" s="80"/>
      <c r="SIW96" s="80"/>
      <c r="SIX96" s="80"/>
      <c r="SIY96" s="80"/>
      <c r="SIZ96" s="80"/>
      <c r="SJA96" s="80"/>
      <c r="SJB96" s="80"/>
      <c r="SJC96" s="80"/>
      <c r="SJD96" s="80"/>
      <c r="SJE96" s="80"/>
      <c r="SJF96" s="80"/>
      <c r="SJG96" s="80"/>
      <c r="SJH96" s="80"/>
      <c r="SJI96" s="80"/>
      <c r="SJJ96" s="80"/>
      <c r="SJK96" s="80"/>
      <c r="SJL96" s="80"/>
      <c r="SJM96" s="80"/>
      <c r="SJN96" s="80"/>
      <c r="SJO96" s="80"/>
      <c r="SJP96" s="80"/>
      <c r="SJQ96" s="80"/>
      <c r="SJR96" s="80"/>
      <c r="SJS96" s="80"/>
      <c r="SJT96" s="80"/>
      <c r="SJU96" s="80"/>
      <c r="SJV96" s="80"/>
      <c r="SJW96" s="80"/>
      <c r="SJX96" s="80"/>
      <c r="SJY96" s="80"/>
      <c r="SJZ96" s="80"/>
      <c r="SKA96" s="80"/>
      <c r="SKB96" s="80"/>
      <c r="SKC96" s="80"/>
      <c r="SKD96" s="80"/>
      <c r="SKE96" s="80"/>
      <c r="SKF96" s="80"/>
      <c r="SKG96" s="80"/>
      <c r="SKH96" s="80"/>
      <c r="SKI96" s="80"/>
      <c r="SKJ96" s="80"/>
      <c r="SKK96" s="80"/>
      <c r="SKL96" s="80"/>
      <c r="SKM96" s="80"/>
      <c r="SKN96" s="80"/>
      <c r="SKO96" s="80"/>
      <c r="SKP96" s="80"/>
      <c r="SKQ96" s="80"/>
      <c r="SKR96" s="80"/>
      <c r="SKS96" s="80"/>
      <c r="SKT96" s="80"/>
      <c r="SKU96" s="80"/>
      <c r="SKV96" s="80"/>
      <c r="SKW96" s="80"/>
      <c r="SKX96" s="80"/>
      <c r="SKY96" s="80"/>
      <c r="SKZ96" s="80"/>
      <c r="SLA96" s="80"/>
      <c r="SLB96" s="80"/>
      <c r="SLC96" s="80"/>
      <c r="SLD96" s="80"/>
      <c r="SLE96" s="80"/>
      <c r="SLF96" s="80"/>
      <c r="SLG96" s="80"/>
      <c r="SLH96" s="80"/>
      <c r="SLI96" s="80"/>
      <c r="SLJ96" s="80"/>
      <c r="SLK96" s="80"/>
      <c r="SLL96" s="80"/>
      <c r="SLM96" s="80"/>
      <c r="SLN96" s="80"/>
      <c r="SLO96" s="80"/>
      <c r="SLP96" s="80"/>
      <c r="SLQ96" s="80"/>
      <c r="SLR96" s="80"/>
      <c r="SLS96" s="80"/>
      <c r="SLT96" s="80"/>
      <c r="SLU96" s="80"/>
      <c r="SLV96" s="80"/>
      <c r="SLW96" s="80"/>
      <c r="SLX96" s="80"/>
      <c r="SLY96" s="80"/>
      <c r="SLZ96" s="80"/>
      <c r="SMA96" s="80"/>
      <c r="SMB96" s="80"/>
      <c r="SMC96" s="80"/>
      <c r="SMD96" s="80"/>
      <c r="SME96" s="80"/>
      <c r="SMF96" s="80"/>
      <c r="SMG96" s="80"/>
      <c r="SMH96" s="80"/>
      <c r="SMI96" s="80"/>
      <c r="SMJ96" s="80"/>
      <c r="SMK96" s="80"/>
      <c r="SML96" s="80"/>
      <c r="SMM96" s="80"/>
      <c r="SMN96" s="80"/>
      <c r="SMO96" s="80"/>
      <c r="SMP96" s="80"/>
      <c r="SMQ96" s="80"/>
      <c r="SMR96" s="80"/>
      <c r="SMS96" s="80"/>
      <c r="SMT96" s="80"/>
      <c r="SMU96" s="80"/>
      <c r="SMV96" s="80"/>
      <c r="SMW96" s="80"/>
      <c r="SMX96" s="80"/>
      <c r="SMY96" s="80"/>
      <c r="SMZ96" s="80"/>
      <c r="SNA96" s="80"/>
      <c r="SNB96" s="80"/>
      <c r="SNC96" s="80"/>
      <c r="SND96" s="80"/>
      <c r="SNE96" s="80"/>
      <c r="SNF96" s="80"/>
      <c r="SNG96" s="80"/>
      <c r="SNH96" s="80"/>
      <c r="SNI96" s="80"/>
      <c r="SNJ96" s="80"/>
      <c r="SNK96" s="80"/>
      <c r="SNL96" s="80"/>
      <c r="SNM96" s="80"/>
      <c r="SNN96" s="80"/>
      <c r="SNO96" s="80"/>
      <c r="SNP96" s="80"/>
      <c r="SNQ96" s="80"/>
      <c r="SNR96" s="80"/>
      <c r="SNS96" s="80"/>
      <c r="SNT96" s="80"/>
      <c r="SNU96" s="80"/>
      <c r="SNV96" s="80"/>
      <c r="SNW96" s="80"/>
      <c r="SNX96" s="80"/>
      <c r="SNY96" s="80"/>
      <c r="SNZ96" s="80"/>
      <c r="SOA96" s="80"/>
      <c r="SOB96" s="80"/>
      <c r="SOC96" s="80"/>
      <c r="SOD96" s="80"/>
      <c r="SOE96" s="80"/>
      <c r="SOF96" s="80"/>
      <c r="SOG96" s="80"/>
      <c r="SOH96" s="80"/>
      <c r="SOI96" s="80"/>
      <c r="SOJ96" s="80"/>
      <c r="SOK96" s="80"/>
      <c r="SOL96" s="80"/>
      <c r="SOM96" s="80"/>
      <c r="SON96" s="80"/>
      <c r="SOO96" s="80"/>
      <c r="SOP96" s="80"/>
      <c r="SOQ96" s="80"/>
      <c r="SOR96" s="80"/>
      <c r="SOS96" s="80"/>
      <c r="SOT96" s="80"/>
      <c r="SOU96" s="80"/>
      <c r="SOV96" s="80"/>
      <c r="SOW96" s="80"/>
      <c r="SOX96" s="80"/>
      <c r="SOY96" s="80"/>
      <c r="SOZ96" s="80"/>
      <c r="SPA96" s="80"/>
      <c r="SPB96" s="80"/>
      <c r="SPC96" s="80"/>
      <c r="SPD96" s="80"/>
      <c r="SPE96" s="80"/>
      <c r="SPF96" s="80"/>
      <c r="SPG96" s="80"/>
      <c r="SPH96" s="80"/>
      <c r="SPI96" s="80"/>
      <c r="SPJ96" s="80"/>
      <c r="SPK96" s="80"/>
      <c r="SPL96" s="80"/>
      <c r="SPM96" s="80"/>
      <c r="SPN96" s="80"/>
      <c r="SPO96" s="80"/>
      <c r="SPP96" s="80"/>
      <c r="SPQ96" s="80"/>
      <c r="SPR96" s="80"/>
      <c r="SPS96" s="80"/>
      <c r="SPT96" s="80"/>
      <c r="SPU96" s="80"/>
      <c r="SPV96" s="80"/>
      <c r="SPW96" s="80"/>
      <c r="SPX96" s="80"/>
      <c r="SPY96" s="80"/>
      <c r="SPZ96" s="80"/>
      <c r="SQA96" s="80"/>
      <c r="SQB96" s="80"/>
      <c r="SQC96" s="80"/>
      <c r="SQD96" s="80"/>
      <c r="SQE96" s="80"/>
      <c r="SQF96" s="80"/>
      <c r="SQG96" s="80"/>
      <c r="SQH96" s="80"/>
      <c r="SQI96" s="80"/>
      <c r="SQJ96" s="80"/>
      <c r="SQK96" s="80"/>
      <c r="SQL96" s="80"/>
      <c r="SQM96" s="80"/>
      <c r="SQN96" s="80"/>
      <c r="SQO96" s="80"/>
      <c r="SQP96" s="80"/>
      <c r="SQQ96" s="80"/>
      <c r="SQR96" s="80"/>
      <c r="SQS96" s="80"/>
      <c r="SQT96" s="80"/>
      <c r="SQU96" s="80"/>
      <c r="SQV96" s="80"/>
      <c r="SQW96" s="80"/>
      <c r="SQX96" s="80"/>
      <c r="SQY96" s="80"/>
      <c r="SQZ96" s="80"/>
      <c r="SRA96" s="80"/>
      <c r="SRB96" s="80"/>
      <c r="SRC96" s="80"/>
      <c r="SRD96" s="80"/>
      <c r="SRE96" s="80"/>
      <c r="SRF96" s="80"/>
      <c r="SRG96" s="80"/>
      <c r="SRH96" s="80"/>
      <c r="SRI96" s="80"/>
      <c r="SRJ96" s="80"/>
      <c r="SRK96" s="80"/>
      <c r="SRL96" s="80"/>
      <c r="SRM96" s="80"/>
      <c r="SRN96" s="80"/>
      <c r="SRO96" s="80"/>
      <c r="SRP96" s="80"/>
      <c r="SRQ96" s="80"/>
      <c r="SRR96" s="80"/>
      <c r="SRS96" s="80"/>
      <c r="SRT96" s="80"/>
      <c r="SRU96" s="80"/>
      <c r="SRV96" s="80"/>
      <c r="SRW96" s="80"/>
      <c r="SRX96" s="80"/>
      <c r="SRY96" s="80"/>
      <c r="SRZ96" s="80"/>
      <c r="SSA96" s="80"/>
      <c r="SSB96" s="80"/>
      <c r="SSC96" s="80"/>
      <c r="SSD96" s="80"/>
      <c r="SSE96" s="80"/>
      <c r="SSF96" s="80"/>
      <c r="SSG96" s="80"/>
      <c r="SSH96" s="80"/>
      <c r="SSI96" s="80"/>
      <c r="SSJ96" s="80"/>
      <c r="SSK96" s="80"/>
      <c r="SSL96" s="80"/>
      <c r="SSM96" s="80"/>
      <c r="SSN96" s="80"/>
      <c r="SSO96" s="80"/>
      <c r="SSP96" s="80"/>
      <c r="SSQ96" s="80"/>
      <c r="SSR96" s="80"/>
      <c r="SSS96" s="80"/>
      <c r="SST96" s="80"/>
      <c r="SSU96" s="80"/>
      <c r="SSV96" s="80"/>
      <c r="SSW96" s="80"/>
      <c r="SSX96" s="80"/>
      <c r="SSY96" s="80"/>
      <c r="SSZ96" s="80"/>
      <c r="STA96" s="80"/>
      <c r="STB96" s="80"/>
      <c r="STC96" s="80"/>
      <c r="STD96" s="80"/>
      <c r="STE96" s="80"/>
      <c r="STF96" s="80"/>
      <c r="STG96" s="80"/>
      <c r="STH96" s="80"/>
      <c r="STI96" s="80"/>
      <c r="STJ96" s="80"/>
      <c r="STK96" s="80"/>
      <c r="STL96" s="80"/>
      <c r="STM96" s="80"/>
      <c r="STN96" s="80"/>
      <c r="STO96" s="80"/>
      <c r="STP96" s="80"/>
      <c r="STQ96" s="80"/>
      <c r="STR96" s="80"/>
      <c r="STS96" s="80"/>
      <c r="STT96" s="80"/>
      <c r="STU96" s="80"/>
      <c r="STV96" s="80"/>
      <c r="STW96" s="80"/>
      <c r="STX96" s="80"/>
      <c r="STY96" s="80"/>
      <c r="STZ96" s="80"/>
      <c r="SUA96" s="80"/>
      <c r="SUB96" s="80"/>
      <c r="SUC96" s="80"/>
      <c r="SUD96" s="80"/>
      <c r="SUE96" s="80"/>
      <c r="SUF96" s="80"/>
      <c r="SUG96" s="80"/>
      <c r="SUH96" s="80"/>
      <c r="SUI96" s="80"/>
      <c r="SUJ96" s="80"/>
      <c r="SUK96" s="80"/>
      <c r="SUL96" s="80"/>
      <c r="SUM96" s="80"/>
      <c r="SUN96" s="80"/>
      <c r="SUO96" s="80"/>
      <c r="SUP96" s="80"/>
      <c r="SUQ96" s="80"/>
      <c r="SUR96" s="80"/>
      <c r="SUS96" s="80"/>
      <c r="SUT96" s="80"/>
      <c r="SUU96" s="80"/>
      <c r="SUV96" s="80"/>
      <c r="SUW96" s="80"/>
      <c r="SUX96" s="80"/>
      <c r="SUY96" s="80"/>
      <c r="SUZ96" s="80"/>
      <c r="SVA96" s="80"/>
      <c r="SVB96" s="80"/>
      <c r="SVC96" s="80"/>
      <c r="SVD96" s="80"/>
      <c r="SVE96" s="80"/>
      <c r="SVF96" s="80"/>
      <c r="SVG96" s="80"/>
      <c r="SVH96" s="80"/>
      <c r="SVI96" s="80"/>
      <c r="SVJ96" s="80"/>
      <c r="SVK96" s="80"/>
      <c r="SVL96" s="80"/>
      <c r="SVM96" s="80"/>
      <c r="SVN96" s="80"/>
      <c r="SVO96" s="80"/>
      <c r="SVP96" s="80"/>
      <c r="SVQ96" s="80"/>
      <c r="SVR96" s="80"/>
      <c r="SVS96" s="80"/>
      <c r="SVT96" s="80"/>
      <c r="SVU96" s="80"/>
      <c r="SVV96" s="80"/>
      <c r="SVW96" s="80"/>
      <c r="SVX96" s="80"/>
      <c r="SVY96" s="80"/>
      <c r="SVZ96" s="80"/>
      <c r="SWA96" s="80"/>
      <c r="SWB96" s="80"/>
      <c r="SWC96" s="80"/>
      <c r="SWD96" s="80"/>
      <c r="SWE96" s="80"/>
      <c r="SWF96" s="80"/>
      <c r="SWG96" s="80"/>
      <c r="SWH96" s="80"/>
      <c r="SWI96" s="80"/>
      <c r="SWJ96" s="80"/>
      <c r="SWK96" s="80"/>
      <c r="SWL96" s="80"/>
      <c r="SWM96" s="80"/>
      <c r="SWN96" s="80"/>
      <c r="SWO96" s="80"/>
      <c r="SWP96" s="80"/>
      <c r="SWQ96" s="80"/>
      <c r="SWR96" s="80"/>
      <c r="SWS96" s="80"/>
      <c r="SWT96" s="80"/>
      <c r="SWU96" s="80"/>
      <c r="SWV96" s="80"/>
      <c r="SWW96" s="80"/>
      <c r="SWX96" s="80"/>
      <c r="SWY96" s="80"/>
      <c r="SWZ96" s="80"/>
      <c r="SXA96" s="80"/>
      <c r="SXB96" s="80"/>
      <c r="SXC96" s="80"/>
      <c r="SXD96" s="80"/>
      <c r="SXE96" s="80"/>
      <c r="SXF96" s="80"/>
      <c r="SXG96" s="80"/>
      <c r="SXH96" s="80"/>
      <c r="SXI96" s="80"/>
      <c r="SXJ96" s="80"/>
      <c r="SXK96" s="80"/>
      <c r="SXL96" s="80"/>
      <c r="SXM96" s="80"/>
      <c r="SXN96" s="80"/>
      <c r="SXO96" s="80"/>
      <c r="SXP96" s="80"/>
      <c r="SXQ96" s="80"/>
      <c r="SXR96" s="80"/>
      <c r="SXS96" s="80"/>
      <c r="SXT96" s="80"/>
      <c r="SXU96" s="80"/>
      <c r="SXV96" s="80"/>
      <c r="SXW96" s="80"/>
      <c r="SXX96" s="80"/>
      <c r="SXY96" s="80"/>
      <c r="SXZ96" s="80"/>
      <c r="SYA96" s="80"/>
      <c r="SYB96" s="80"/>
      <c r="SYC96" s="80"/>
      <c r="SYD96" s="80"/>
      <c r="SYE96" s="80"/>
      <c r="SYF96" s="80"/>
      <c r="SYG96" s="80"/>
      <c r="SYH96" s="80"/>
      <c r="SYI96" s="80"/>
      <c r="SYJ96" s="80"/>
      <c r="SYK96" s="80"/>
      <c r="SYL96" s="80"/>
      <c r="SYM96" s="80"/>
      <c r="SYN96" s="80"/>
      <c r="SYO96" s="80"/>
      <c r="SYP96" s="80"/>
      <c r="SYQ96" s="80"/>
      <c r="SYR96" s="80"/>
      <c r="SYS96" s="80"/>
      <c r="SYT96" s="80"/>
      <c r="SYU96" s="80"/>
      <c r="SYV96" s="80"/>
      <c r="SYW96" s="80"/>
      <c r="SYX96" s="80"/>
      <c r="SYY96" s="80"/>
      <c r="SYZ96" s="80"/>
      <c r="SZA96" s="80"/>
      <c r="SZB96" s="80"/>
      <c r="SZC96" s="80"/>
      <c r="SZD96" s="80"/>
      <c r="SZE96" s="80"/>
      <c r="SZF96" s="80"/>
      <c r="SZG96" s="80"/>
      <c r="SZH96" s="80"/>
      <c r="SZI96" s="80"/>
      <c r="SZJ96" s="80"/>
      <c r="SZK96" s="80"/>
      <c r="SZL96" s="80"/>
      <c r="SZM96" s="80"/>
      <c r="SZN96" s="80"/>
      <c r="SZO96" s="80"/>
      <c r="SZP96" s="80"/>
      <c r="SZQ96" s="80"/>
      <c r="SZR96" s="80"/>
      <c r="SZS96" s="80"/>
      <c r="SZT96" s="80"/>
      <c r="SZU96" s="80"/>
      <c r="SZV96" s="80"/>
      <c r="SZW96" s="80"/>
      <c r="SZX96" s="80"/>
      <c r="SZY96" s="80"/>
      <c r="SZZ96" s="80"/>
      <c r="TAA96" s="80"/>
      <c r="TAB96" s="80"/>
      <c r="TAC96" s="80"/>
      <c r="TAD96" s="80"/>
      <c r="TAE96" s="80"/>
      <c r="TAF96" s="80"/>
      <c r="TAG96" s="80"/>
      <c r="TAH96" s="80"/>
      <c r="TAI96" s="80"/>
      <c r="TAJ96" s="80"/>
      <c r="TAK96" s="80"/>
      <c r="TAL96" s="80"/>
      <c r="TAM96" s="80"/>
      <c r="TAN96" s="80"/>
      <c r="TAO96" s="80"/>
      <c r="TAP96" s="80"/>
      <c r="TAQ96" s="80"/>
      <c r="TAR96" s="80"/>
      <c r="TAS96" s="80"/>
      <c r="TAT96" s="80"/>
      <c r="TAU96" s="80"/>
      <c r="TAV96" s="80"/>
      <c r="TAW96" s="80"/>
      <c r="TAX96" s="80"/>
      <c r="TAY96" s="80"/>
      <c r="TAZ96" s="80"/>
      <c r="TBA96" s="80"/>
      <c r="TBB96" s="80"/>
      <c r="TBC96" s="80"/>
      <c r="TBD96" s="80"/>
      <c r="TBE96" s="80"/>
      <c r="TBF96" s="80"/>
      <c r="TBG96" s="80"/>
      <c r="TBH96" s="80"/>
      <c r="TBI96" s="80"/>
      <c r="TBJ96" s="80"/>
      <c r="TBK96" s="80"/>
      <c r="TBL96" s="80"/>
      <c r="TBM96" s="80"/>
      <c r="TBN96" s="80"/>
      <c r="TBO96" s="80"/>
      <c r="TBP96" s="80"/>
      <c r="TBQ96" s="80"/>
      <c r="TBR96" s="80"/>
      <c r="TBS96" s="80"/>
      <c r="TBT96" s="80"/>
      <c r="TBU96" s="80"/>
      <c r="TBV96" s="80"/>
      <c r="TBW96" s="80"/>
      <c r="TBX96" s="80"/>
      <c r="TBY96" s="80"/>
      <c r="TBZ96" s="80"/>
      <c r="TCA96" s="80"/>
      <c r="TCB96" s="80"/>
      <c r="TCC96" s="80"/>
      <c r="TCD96" s="80"/>
      <c r="TCE96" s="80"/>
      <c r="TCF96" s="80"/>
      <c r="TCG96" s="80"/>
      <c r="TCH96" s="80"/>
      <c r="TCI96" s="80"/>
      <c r="TCJ96" s="80"/>
      <c r="TCK96" s="80"/>
      <c r="TCL96" s="80"/>
      <c r="TCM96" s="80"/>
      <c r="TCN96" s="80"/>
      <c r="TCO96" s="80"/>
      <c r="TCP96" s="80"/>
      <c r="TCQ96" s="80"/>
      <c r="TCR96" s="80"/>
      <c r="TCS96" s="80"/>
      <c r="TCT96" s="80"/>
      <c r="TCU96" s="80"/>
      <c r="TCV96" s="80"/>
      <c r="TCW96" s="80"/>
      <c r="TCX96" s="80"/>
      <c r="TCY96" s="80"/>
      <c r="TCZ96" s="80"/>
      <c r="TDA96" s="80"/>
      <c r="TDB96" s="80"/>
      <c r="TDC96" s="80"/>
      <c r="TDD96" s="80"/>
      <c r="TDE96" s="80"/>
      <c r="TDF96" s="80"/>
      <c r="TDG96" s="80"/>
      <c r="TDH96" s="80"/>
      <c r="TDI96" s="80"/>
      <c r="TDJ96" s="80"/>
      <c r="TDK96" s="80"/>
      <c r="TDL96" s="80"/>
      <c r="TDM96" s="80"/>
      <c r="TDN96" s="80"/>
      <c r="TDO96" s="80"/>
      <c r="TDP96" s="80"/>
      <c r="TDQ96" s="80"/>
      <c r="TDR96" s="80"/>
      <c r="TDS96" s="80"/>
      <c r="TDT96" s="80"/>
      <c r="TDU96" s="80"/>
      <c r="TDV96" s="80"/>
      <c r="TDW96" s="80"/>
      <c r="TDX96" s="80"/>
      <c r="TDY96" s="80"/>
      <c r="TDZ96" s="80"/>
      <c r="TEA96" s="80"/>
      <c r="TEB96" s="80"/>
      <c r="TEC96" s="80"/>
      <c r="TED96" s="80"/>
      <c r="TEE96" s="80"/>
      <c r="TEF96" s="80"/>
      <c r="TEG96" s="80"/>
      <c r="TEH96" s="80"/>
      <c r="TEI96" s="80"/>
      <c r="TEJ96" s="80"/>
      <c r="TEK96" s="80"/>
      <c r="TEL96" s="80"/>
      <c r="TEM96" s="80"/>
      <c r="TEN96" s="80"/>
      <c r="TEO96" s="80"/>
      <c r="TEP96" s="80"/>
      <c r="TEQ96" s="80"/>
      <c r="TER96" s="80"/>
      <c r="TES96" s="80"/>
      <c r="TET96" s="80"/>
      <c r="TEU96" s="80"/>
      <c r="TEV96" s="80"/>
      <c r="TEW96" s="80"/>
      <c r="TEX96" s="80"/>
      <c r="TEY96" s="80"/>
      <c r="TEZ96" s="80"/>
      <c r="TFA96" s="80"/>
      <c r="TFB96" s="80"/>
      <c r="TFC96" s="80"/>
      <c r="TFD96" s="80"/>
      <c r="TFE96" s="80"/>
      <c r="TFF96" s="80"/>
      <c r="TFG96" s="80"/>
      <c r="TFH96" s="80"/>
      <c r="TFI96" s="80"/>
      <c r="TFJ96" s="80"/>
      <c r="TFK96" s="80"/>
      <c r="TFL96" s="80"/>
      <c r="TFM96" s="80"/>
      <c r="TFN96" s="80"/>
      <c r="TFO96" s="80"/>
      <c r="TFP96" s="80"/>
      <c r="TFQ96" s="80"/>
      <c r="TFR96" s="80"/>
      <c r="TFS96" s="80"/>
      <c r="TFT96" s="80"/>
      <c r="TFU96" s="80"/>
      <c r="TFV96" s="80"/>
      <c r="TFW96" s="80"/>
      <c r="TFX96" s="80"/>
      <c r="TFY96" s="80"/>
      <c r="TFZ96" s="80"/>
      <c r="TGA96" s="80"/>
      <c r="TGB96" s="80"/>
      <c r="TGC96" s="80"/>
      <c r="TGD96" s="80"/>
      <c r="TGE96" s="80"/>
      <c r="TGF96" s="80"/>
      <c r="TGG96" s="80"/>
      <c r="TGH96" s="80"/>
      <c r="TGI96" s="80"/>
      <c r="TGJ96" s="80"/>
      <c r="TGK96" s="80"/>
      <c r="TGL96" s="80"/>
      <c r="TGM96" s="80"/>
      <c r="TGN96" s="80"/>
      <c r="TGO96" s="80"/>
      <c r="TGP96" s="80"/>
      <c r="TGQ96" s="80"/>
      <c r="TGR96" s="80"/>
      <c r="TGS96" s="80"/>
      <c r="TGT96" s="80"/>
      <c r="TGU96" s="80"/>
      <c r="TGV96" s="80"/>
      <c r="TGW96" s="80"/>
      <c r="TGX96" s="80"/>
      <c r="TGY96" s="80"/>
      <c r="TGZ96" s="80"/>
      <c r="THA96" s="80"/>
      <c r="THB96" s="80"/>
      <c r="THC96" s="80"/>
      <c r="THD96" s="80"/>
      <c r="THE96" s="80"/>
      <c r="THF96" s="80"/>
      <c r="THG96" s="80"/>
      <c r="THH96" s="80"/>
      <c r="THI96" s="80"/>
      <c r="THJ96" s="80"/>
      <c r="THK96" s="80"/>
      <c r="THL96" s="80"/>
      <c r="THM96" s="80"/>
      <c r="THN96" s="80"/>
      <c r="THO96" s="80"/>
      <c r="THP96" s="80"/>
      <c r="THQ96" s="80"/>
      <c r="THR96" s="80"/>
      <c r="THS96" s="80"/>
      <c r="THT96" s="80"/>
      <c r="THU96" s="80"/>
      <c r="THV96" s="80"/>
      <c r="THW96" s="80"/>
      <c r="THX96" s="80"/>
      <c r="THY96" s="80"/>
      <c r="THZ96" s="80"/>
      <c r="TIA96" s="80"/>
      <c r="TIB96" s="80"/>
      <c r="TIC96" s="80"/>
      <c r="TID96" s="80"/>
      <c r="TIE96" s="80"/>
      <c r="TIF96" s="80"/>
      <c r="TIG96" s="80"/>
      <c r="TIH96" s="80"/>
      <c r="TII96" s="80"/>
      <c r="TIJ96" s="80"/>
      <c r="TIK96" s="80"/>
      <c r="TIL96" s="80"/>
      <c r="TIM96" s="80"/>
      <c r="TIN96" s="80"/>
      <c r="TIO96" s="80"/>
      <c r="TIP96" s="80"/>
      <c r="TIQ96" s="80"/>
      <c r="TIR96" s="80"/>
      <c r="TIS96" s="80"/>
      <c r="TIT96" s="80"/>
      <c r="TIU96" s="80"/>
      <c r="TIV96" s="80"/>
      <c r="TIW96" s="80"/>
      <c r="TIX96" s="80"/>
      <c r="TIY96" s="80"/>
      <c r="TIZ96" s="80"/>
      <c r="TJA96" s="80"/>
      <c r="TJB96" s="80"/>
      <c r="TJC96" s="80"/>
      <c r="TJD96" s="80"/>
      <c r="TJE96" s="80"/>
      <c r="TJF96" s="80"/>
      <c r="TJG96" s="80"/>
      <c r="TJH96" s="80"/>
      <c r="TJI96" s="80"/>
      <c r="TJJ96" s="80"/>
      <c r="TJK96" s="80"/>
      <c r="TJL96" s="80"/>
      <c r="TJM96" s="80"/>
      <c r="TJN96" s="80"/>
      <c r="TJO96" s="80"/>
      <c r="TJP96" s="80"/>
      <c r="TJQ96" s="80"/>
      <c r="TJR96" s="80"/>
      <c r="TJS96" s="80"/>
      <c r="TJT96" s="80"/>
      <c r="TJU96" s="80"/>
      <c r="TJV96" s="80"/>
      <c r="TJW96" s="80"/>
      <c r="TJX96" s="80"/>
      <c r="TJY96" s="80"/>
      <c r="TJZ96" s="80"/>
      <c r="TKA96" s="80"/>
      <c r="TKB96" s="80"/>
      <c r="TKC96" s="80"/>
      <c r="TKD96" s="80"/>
      <c r="TKE96" s="80"/>
      <c r="TKF96" s="80"/>
      <c r="TKG96" s="80"/>
      <c r="TKH96" s="80"/>
      <c r="TKI96" s="80"/>
      <c r="TKJ96" s="80"/>
      <c r="TKK96" s="80"/>
      <c r="TKL96" s="80"/>
      <c r="TKM96" s="80"/>
      <c r="TKN96" s="80"/>
      <c r="TKO96" s="80"/>
      <c r="TKP96" s="80"/>
      <c r="TKQ96" s="80"/>
      <c r="TKR96" s="80"/>
      <c r="TKS96" s="80"/>
      <c r="TKT96" s="80"/>
      <c r="TKU96" s="80"/>
      <c r="TKV96" s="80"/>
      <c r="TKW96" s="80"/>
      <c r="TKX96" s="80"/>
      <c r="TKY96" s="80"/>
      <c r="TKZ96" s="80"/>
      <c r="TLA96" s="80"/>
      <c r="TLB96" s="80"/>
      <c r="TLC96" s="80"/>
      <c r="TLD96" s="80"/>
      <c r="TLE96" s="80"/>
      <c r="TLF96" s="80"/>
      <c r="TLG96" s="80"/>
      <c r="TLH96" s="80"/>
      <c r="TLI96" s="80"/>
      <c r="TLJ96" s="80"/>
      <c r="TLK96" s="80"/>
      <c r="TLL96" s="80"/>
      <c r="TLM96" s="80"/>
      <c r="TLN96" s="80"/>
      <c r="TLO96" s="80"/>
      <c r="TLP96" s="80"/>
      <c r="TLQ96" s="80"/>
      <c r="TLR96" s="80"/>
      <c r="TLS96" s="80"/>
      <c r="TLT96" s="80"/>
      <c r="TLU96" s="80"/>
      <c r="TLV96" s="80"/>
      <c r="TLW96" s="80"/>
      <c r="TLX96" s="80"/>
      <c r="TLY96" s="80"/>
      <c r="TLZ96" s="80"/>
      <c r="TMA96" s="80"/>
      <c r="TMB96" s="80"/>
      <c r="TMC96" s="80"/>
      <c r="TMD96" s="80"/>
      <c r="TME96" s="80"/>
      <c r="TMF96" s="80"/>
      <c r="TMG96" s="80"/>
      <c r="TMH96" s="80"/>
      <c r="TMI96" s="80"/>
      <c r="TMJ96" s="80"/>
      <c r="TMK96" s="80"/>
      <c r="TML96" s="80"/>
      <c r="TMM96" s="80"/>
      <c r="TMN96" s="80"/>
      <c r="TMO96" s="80"/>
      <c r="TMP96" s="80"/>
      <c r="TMQ96" s="80"/>
      <c r="TMR96" s="80"/>
      <c r="TMS96" s="80"/>
      <c r="TMT96" s="80"/>
      <c r="TMU96" s="80"/>
      <c r="TMV96" s="80"/>
      <c r="TMW96" s="80"/>
      <c r="TMX96" s="80"/>
      <c r="TMY96" s="80"/>
      <c r="TMZ96" s="80"/>
      <c r="TNA96" s="80"/>
      <c r="TNB96" s="80"/>
      <c r="TNC96" s="80"/>
      <c r="TND96" s="80"/>
      <c r="TNE96" s="80"/>
      <c r="TNF96" s="80"/>
      <c r="TNG96" s="80"/>
      <c r="TNH96" s="80"/>
      <c r="TNI96" s="80"/>
      <c r="TNJ96" s="80"/>
      <c r="TNK96" s="80"/>
      <c r="TNL96" s="80"/>
      <c r="TNM96" s="80"/>
      <c r="TNN96" s="80"/>
      <c r="TNO96" s="80"/>
      <c r="TNP96" s="80"/>
      <c r="TNQ96" s="80"/>
      <c r="TNR96" s="80"/>
      <c r="TNS96" s="80"/>
      <c r="TNT96" s="80"/>
      <c r="TNU96" s="80"/>
      <c r="TNV96" s="80"/>
      <c r="TNW96" s="80"/>
      <c r="TNX96" s="80"/>
      <c r="TNY96" s="80"/>
      <c r="TNZ96" s="80"/>
      <c r="TOA96" s="80"/>
      <c r="TOB96" s="80"/>
      <c r="TOC96" s="80"/>
      <c r="TOD96" s="80"/>
      <c r="TOE96" s="80"/>
      <c r="TOF96" s="80"/>
      <c r="TOG96" s="80"/>
      <c r="TOH96" s="80"/>
      <c r="TOI96" s="80"/>
      <c r="TOJ96" s="80"/>
      <c r="TOK96" s="80"/>
      <c r="TOL96" s="80"/>
      <c r="TOM96" s="80"/>
      <c r="TON96" s="80"/>
      <c r="TOO96" s="80"/>
      <c r="TOP96" s="80"/>
      <c r="TOQ96" s="80"/>
      <c r="TOR96" s="80"/>
      <c r="TOS96" s="80"/>
      <c r="TOT96" s="80"/>
      <c r="TOU96" s="80"/>
      <c r="TOV96" s="80"/>
      <c r="TOW96" s="80"/>
      <c r="TOX96" s="80"/>
      <c r="TOY96" s="80"/>
      <c r="TOZ96" s="80"/>
      <c r="TPA96" s="80"/>
      <c r="TPB96" s="80"/>
      <c r="TPC96" s="80"/>
      <c r="TPD96" s="80"/>
      <c r="TPE96" s="80"/>
      <c r="TPF96" s="80"/>
      <c r="TPG96" s="80"/>
      <c r="TPH96" s="80"/>
      <c r="TPI96" s="80"/>
      <c r="TPJ96" s="80"/>
      <c r="TPK96" s="80"/>
      <c r="TPL96" s="80"/>
      <c r="TPM96" s="80"/>
      <c r="TPN96" s="80"/>
      <c r="TPO96" s="80"/>
      <c r="TPP96" s="80"/>
      <c r="TPQ96" s="80"/>
      <c r="TPR96" s="80"/>
      <c r="TPS96" s="80"/>
      <c r="TPT96" s="80"/>
      <c r="TPU96" s="80"/>
      <c r="TPV96" s="80"/>
      <c r="TPW96" s="80"/>
      <c r="TPX96" s="80"/>
      <c r="TPY96" s="80"/>
      <c r="TPZ96" s="80"/>
      <c r="TQA96" s="80"/>
      <c r="TQB96" s="80"/>
      <c r="TQC96" s="80"/>
      <c r="TQD96" s="80"/>
      <c r="TQE96" s="80"/>
      <c r="TQF96" s="80"/>
      <c r="TQG96" s="80"/>
      <c r="TQH96" s="80"/>
      <c r="TQI96" s="80"/>
      <c r="TQJ96" s="80"/>
      <c r="TQK96" s="80"/>
      <c r="TQL96" s="80"/>
      <c r="TQM96" s="80"/>
      <c r="TQN96" s="80"/>
      <c r="TQO96" s="80"/>
      <c r="TQP96" s="80"/>
      <c r="TQQ96" s="80"/>
      <c r="TQR96" s="80"/>
      <c r="TQS96" s="80"/>
      <c r="TQT96" s="80"/>
      <c r="TQU96" s="80"/>
      <c r="TQV96" s="80"/>
      <c r="TQW96" s="80"/>
      <c r="TQX96" s="80"/>
      <c r="TQY96" s="80"/>
      <c r="TQZ96" s="80"/>
      <c r="TRA96" s="80"/>
      <c r="TRB96" s="80"/>
      <c r="TRC96" s="80"/>
      <c r="TRD96" s="80"/>
      <c r="TRE96" s="80"/>
      <c r="TRF96" s="80"/>
      <c r="TRG96" s="80"/>
      <c r="TRH96" s="80"/>
      <c r="TRI96" s="80"/>
      <c r="TRJ96" s="80"/>
      <c r="TRK96" s="80"/>
      <c r="TRL96" s="80"/>
      <c r="TRM96" s="80"/>
      <c r="TRN96" s="80"/>
      <c r="TRO96" s="80"/>
      <c r="TRP96" s="80"/>
      <c r="TRQ96" s="80"/>
      <c r="TRR96" s="80"/>
      <c r="TRS96" s="80"/>
      <c r="TRT96" s="80"/>
      <c r="TRU96" s="80"/>
      <c r="TRV96" s="80"/>
      <c r="TRW96" s="80"/>
      <c r="TRX96" s="80"/>
      <c r="TRY96" s="80"/>
      <c r="TRZ96" s="80"/>
      <c r="TSA96" s="80"/>
      <c r="TSB96" s="80"/>
      <c r="TSC96" s="80"/>
      <c r="TSD96" s="80"/>
      <c r="TSE96" s="80"/>
      <c r="TSF96" s="80"/>
      <c r="TSG96" s="80"/>
      <c r="TSH96" s="80"/>
      <c r="TSI96" s="80"/>
      <c r="TSJ96" s="80"/>
      <c r="TSK96" s="80"/>
      <c r="TSL96" s="80"/>
      <c r="TSM96" s="80"/>
      <c r="TSN96" s="80"/>
      <c r="TSO96" s="80"/>
      <c r="TSP96" s="80"/>
      <c r="TSQ96" s="80"/>
      <c r="TSR96" s="80"/>
      <c r="TSS96" s="80"/>
      <c r="TST96" s="80"/>
      <c r="TSU96" s="80"/>
      <c r="TSV96" s="80"/>
      <c r="TSW96" s="80"/>
      <c r="TSX96" s="80"/>
      <c r="TSY96" s="80"/>
      <c r="TSZ96" s="80"/>
      <c r="TTA96" s="80"/>
      <c r="TTB96" s="80"/>
      <c r="TTC96" s="80"/>
      <c r="TTD96" s="80"/>
      <c r="TTE96" s="80"/>
      <c r="TTF96" s="80"/>
      <c r="TTG96" s="80"/>
      <c r="TTH96" s="80"/>
      <c r="TTI96" s="80"/>
      <c r="TTJ96" s="80"/>
      <c r="TTK96" s="80"/>
      <c r="TTL96" s="80"/>
      <c r="TTM96" s="80"/>
      <c r="TTN96" s="80"/>
      <c r="TTO96" s="80"/>
      <c r="TTP96" s="80"/>
      <c r="TTQ96" s="80"/>
      <c r="TTR96" s="80"/>
      <c r="TTS96" s="80"/>
      <c r="TTT96" s="80"/>
      <c r="TTU96" s="80"/>
      <c r="TTV96" s="80"/>
      <c r="TTW96" s="80"/>
      <c r="TTX96" s="80"/>
      <c r="TTY96" s="80"/>
      <c r="TTZ96" s="80"/>
      <c r="TUA96" s="80"/>
      <c r="TUB96" s="80"/>
      <c r="TUC96" s="80"/>
      <c r="TUD96" s="80"/>
      <c r="TUE96" s="80"/>
      <c r="TUF96" s="80"/>
      <c r="TUG96" s="80"/>
      <c r="TUH96" s="80"/>
      <c r="TUI96" s="80"/>
      <c r="TUJ96" s="80"/>
      <c r="TUK96" s="80"/>
      <c r="TUL96" s="80"/>
      <c r="TUM96" s="80"/>
      <c r="TUN96" s="80"/>
      <c r="TUO96" s="80"/>
      <c r="TUP96" s="80"/>
      <c r="TUQ96" s="80"/>
      <c r="TUR96" s="80"/>
      <c r="TUS96" s="80"/>
      <c r="TUT96" s="80"/>
      <c r="TUU96" s="80"/>
      <c r="TUV96" s="80"/>
      <c r="TUW96" s="80"/>
      <c r="TUX96" s="80"/>
      <c r="TUY96" s="80"/>
      <c r="TUZ96" s="80"/>
      <c r="TVA96" s="80"/>
      <c r="TVB96" s="80"/>
      <c r="TVC96" s="80"/>
      <c r="TVD96" s="80"/>
      <c r="TVE96" s="80"/>
      <c r="TVF96" s="80"/>
      <c r="TVG96" s="80"/>
      <c r="TVH96" s="80"/>
      <c r="TVI96" s="80"/>
      <c r="TVJ96" s="80"/>
      <c r="TVK96" s="80"/>
      <c r="TVL96" s="80"/>
      <c r="TVM96" s="80"/>
      <c r="TVN96" s="80"/>
      <c r="TVO96" s="80"/>
      <c r="TVP96" s="80"/>
      <c r="TVQ96" s="80"/>
      <c r="TVR96" s="80"/>
      <c r="TVS96" s="80"/>
      <c r="TVT96" s="80"/>
      <c r="TVU96" s="80"/>
      <c r="TVV96" s="80"/>
      <c r="TVW96" s="80"/>
      <c r="TVX96" s="80"/>
      <c r="TVY96" s="80"/>
      <c r="TVZ96" s="80"/>
      <c r="TWA96" s="80"/>
      <c r="TWB96" s="80"/>
      <c r="TWC96" s="80"/>
      <c r="TWD96" s="80"/>
      <c r="TWE96" s="80"/>
      <c r="TWF96" s="80"/>
      <c r="TWG96" s="80"/>
      <c r="TWH96" s="80"/>
      <c r="TWI96" s="80"/>
      <c r="TWJ96" s="80"/>
      <c r="TWK96" s="80"/>
      <c r="TWL96" s="80"/>
      <c r="TWM96" s="80"/>
      <c r="TWN96" s="80"/>
      <c r="TWO96" s="80"/>
      <c r="TWP96" s="80"/>
      <c r="TWQ96" s="80"/>
      <c r="TWR96" s="80"/>
      <c r="TWS96" s="80"/>
      <c r="TWT96" s="80"/>
      <c r="TWU96" s="80"/>
      <c r="TWV96" s="80"/>
      <c r="TWW96" s="80"/>
      <c r="TWX96" s="80"/>
      <c r="TWY96" s="80"/>
      <c r="TWZ96" s="80"/>
      <c r="TXA96" s="80"/>
      <c r="TXB96" s="80"/>
      <c r="TXC96" s="80"/>
      <c r="TXD96" s="80"/>
      <c r="TXE96" s="80"/>
      <c r="TXF96" s="80"/>
      <c r="TXG96" s="80"/>
      <c r="TXH96" s="80"/>
      <c r="TXI96" s="80"/>
      <c r="TXJ96" s="80"/>
      <c r="TXK96" s="80"/>
      <c r="TXL96" s="80"/>
      <c r="TXM96" s="80"/>
      <c r="TXN96" s="80"/>
      <c r="TXO96" s="80"/>
      <c r="TXP96" s="80"/>
      <c r="TXQ96" s="80"/>
      <c r="TXR96" s="80"/>
      <c r="TXS96" s="80"/>
      <c r="TXT96" s="80"/>
      <c r="TXU96" s="80"/>
      <c r="TXV96" s="80"/>
      <c r="TXW96" s="80"/>
      <c r="TXX96" s="80"/>
      <c r="TXY96" s="80"/>
      <c r="TXZ96" s="80"/>
      <c r="TYA96" s="80"/>
      <c r="TYB96" s="80"/>
      <c r="TYC96" s="80"/>
      <c r="TYD96" s="80"/>
      <c r="TYE96" s="80"/>
      <c r="TYF96" s="80"/>
      <c r="TYG96" s="80"/>
      <c r="TYH96" s="80"/>
      <c r="TYI96" s="80"/>
      <c r="TYJ96" s="80"/>
      <c r="TYK96" s="80"/>
      <c r="TYL96" s="80"/>
      <c r="TYM96" s="80"/>
      <c r="TYN96" s="80"/>
      <c r="TYO96" s="80"/>
      <c r="TYP96" s="80"/>
      <c r="TYQ96" s="80"/>
      <c r="TYR96" s="80"/>
      <c r="TYS96" s="80"/>
      <c r="TYT96" s="80"/>
      <c r="TYU96" s="80"/>
      <c r="TYV96" s="80"/>
      <c r="TYW96" s="80"/>
      <c r="TYX96" s="80"/>
      <c r="TYY96" s="80"/>
      <c r="TYZ96" s="80"/>
      <c r="TZA96" s="80"/>
      <c r="TZB96" s="80"/>
      <c r="TZC96" s="80"/>
      <c r="TZD96" s="80"/>
      <c r="TZE96" s="80"/>
      <c r="TZF96" s="80"/>
      <c r="TZG96" s="80"/>
      <c r="TZH96" s="80"/>
      <c r="TZI96" s="80"/>
      <c r="TZJ96" s="80"/>
      <c r="TZK96" s="80"/>
      <c r="TZL96" s="80"/>
      <c r="TZM96" s="80"/>
      <c r="TZN96" s="80"/>
      <c r="TZO96" s="80"/>
      <c r="TZP96" s="80"/>
      <c r="TZQ96" s="80"/>
      <c r="TZR96" s="80"/>
      <c r="TZS96" s="80"/>
      <c r="TZT96" s="80"/>
      <c r="TZU96" s="80"/>
      <c r="TZV96" s="80"/>
      <c r="TZW96" s="80"/>
      <c r="TZX96" s="80"/>
      <c r="TZY96" s="80"/>
      <c r="TZZ96" s="80"/>
      <c r="UAA96" s="80"/>
      <c r="UAB96" s="80"/>
      <c r="UAC96" s="80"/>
      <c r="UAD96" s="80"/>
      <c r="UAE96" s="80"/>
      <c r="UAF96" s="80"/>
      <c r="UAG96" s="80"/>
      <c r="UAH96" s="80"/>
      <c r="UAI96" s="80"/>
      <c r="UAJ96" s="80"/>
      <c r="UAK96" s="80"/>
      <c r="UAL96" s="80"/>
      <c r="UAM96" s="80"/>
      <c r="UAN96" s="80"/>
      <c r="UAO96" s="80"/>
      <c r="UAP96" s="80"/>
      <c r="UAQ96" s="80"/>
      <c r="UAR96" s="80"/>
      <c r="UAS96" s="80"/>
      <c r="UAT96" s="80"/>
      <c r="UAU96" s="80"/>
      <c r="UAV96" s="80"/>
      <c r="UAW96" s="80"/>
      <c r="UAX96" s="80"/>
      <c r="UAY96" s="80"/>
      <c r="UAZ96" s="80"/>
      <c r="UBA96" s="80"/>
      <c r="UBB96" s="80"/>
      <c r="UBC96" s="80"/>
      <c r="UBD96" s="80"/>
      <c r="UBE96" s="80"/>
      <c r="UBF96" s="80"/>
      <c r="UBG96" s="80"/>
      <c r="UBH96" s="80"/>
      <c r="UBI96" s="80"/>
      <c r="UBJ96" s="80"/>
      <c r="UBK96" s="80"/>
      <c r="UBL96" s="80"/>
      <c r="UBM96" s="80"/>
      <c r="UBN96" s="80"/>
      <c r="UBO96" s="80"/>
      <c r="UBP96" s="80"/>
      <c r="UBQ96" s="80"/>
      <c r="UBR96" s="80"/>
      <c r="UBS96" s="80"/>
      <c r="UBT96" s="80"/>
      <c r="UBU96" s="80"/>
      <c r="UBV96" s="80"/>
      <c r="UBW96" s="80"/>
      <c r="UBX96" s="80"/>
      <c r="UBY96" s="80"/>
      <c r="UBZ96" s="80"/>
      <c r="UCA96" s="80"/>
      <c r="UCB96" s="80"/>
      <c r="UCC96" s="80"/>
      <c r="UCD96" s="80"/>
      <c r="UCE96" s="80"/>
      <c r="UCF96" s="80"/>
      <c r="UCG96" s="80"/>
      <c r="UCH96" s="80"/>
      <c r="UCI96" s="80"/>
      <c r="UCJ96" s="80"/>
      <c r="UCK96" s="80"/>
      <c r="UCL96" s="80"/>
      <c r="UCM96" s="80"/>
      <c r="UCN96" s="80"/>
      <c r="UCO96" s="80"/>
      <c r="UCP96" s="80"/>
      <c r="UCQ96" s="80"/>
      <c r="UCR96" s="80"/>
      <c r="UCS96" s="80"/>
      <c r="UCT96" s="80"/>
      <c r="UCU96" s="80"/>
      <c r="UCV96" s="80"/>
      <c r="UCW96" s="80"/>
      <c r="UCX96" s="80"/>
      <c r="UCY96" s="80"/>
      <c r="UCZ96" s="80"/>
      <c r="UDA96" s="80"/>
      <c r="UDB96" s="80"/>
      <c r="UDC96" s="80"/>
      <c r="UDD96" s="80"/>
      <c r="UDE96" s="80"/>
      <c r="UDF96" s="80"/>
      <c r="UDG96" s="80"/>
      <c r="UDH96" s="80"/>
      <c r="UDI96" s="80"/>
      <c r="UDJ96" s="80"/>
      <c r="UDK96" s="80"/>
      <c r="UDL96" s="80"/>
      <c r="UDM96" s="80"/>
      <c r="UDN96" s="80"/>
      <c r="UDO96" s="80"/>
      <c r="UDP96" s="80"/>
      <c r="UDQ96" s="80"/>
      <c r="UDR96" s="80"/>
      <c r="UDS96" s="80"/>
      <c r="UDT96" s="80"/>
      <c r="UDU96" s="80"/>
      <c r="UDV96" s="80"/>
      <c r="UDW96" s="80"/>
      <c r="UDX96" s="80"/>
      <c r="UDY96" s="80"/>
      <c r="UDZ96" s="80"/>
      <c r="UEA96" s="80"/>
      <c r="UEB96" s="80"/>
      <c r="UEC96" s="80"/>
      <c r="UED96" s="80"/>
      <c r="UEE96" s="80"/>
      <c r="UEF96" s="80"/>
      <c r="UEG96" s="80"/>
      <c r="UEH96" s="80"/>
      <c r="UEI96" s="80"/>
      <c r="UEJ96" s="80"/>
      <c r="UEK96" s="80"/>
      <c r="UEL96" s="80"/>
      <c r="UEM96" s="80"/>
      <c r="UEN96" s="80"/>
      <c r="UEO96" s="80"/>
      <c r="UEP96" s="80"/>
      <c r="UEQ96" s="80"/>
      <c r="UER96" s="80"/>
      <c r="UES96" s="80"/>
      <c r="UET96" s="80"/>
      <c r="UEU96" s="80"/>
      <c r="UEV96" s="80"/>
      <c r="UEW96" s="80"/>
      <c r="UEX96" s="80"/>
      <c r="UEY96" s="80"/>
      <c r="UEZ96" s="80"/>
      <c r="UFA96" s="80"/>
      <c r="UFB96" s="80"/>
      <c r="UFC96" s="80"/>
      <c r="UFD96" s="80"/>
      <c r="UFE96" s="80"/>
      <c r="UFF96" s="80"/>
      <c r="UFG96" s="80"/>
      <c r="UFH96" s="80"/>
      <c r="UFI96" s="80"/>
      <c r="UFJ96" s="80"/>
      <c r="UFK96" s="80"/>
      <c r="UFL96" s="80"/>
      <c r="UFM96" s="80"/>
      <c r="UFN96" s="80"/>
      <c r="UFO96" s="80"/>
      <c r="UFP96" s="80"/>
      <c r="UFQ96" s="80"/>
      <c r="UFR96" s="80"/>
      <c r="UFS96" s="80"/>
      <c r="UFT96" s="80"/>
      <c r="UFU96" s="80"/>
      <c r="UFV96" s="80"/>
      <c r="UFW96" s="80"/>
      <c r="UFX96" s="80"/>
      <c r="UFY96" s="80"/>
      <c r="UFZ96" s="80"/>
      <c r="UGA96" s="80"/>
      <c r="UGB96" s="80"/>
      <c r="UGC96" s="80"/>
      <c r="UGD96" s="80"/>
      <c r="UGE96" s="80"/>
      <c r="UGF96" s="80"/>
      <c r="UGG96" s="80"/>
      <c r="UGH96" s="80"/>
      <c r="UGI96" s="80"/>
      <c r="UGJ96" s="80"/>
      <c r="UGK96" s="80"/>
      <c r="UGL96" s="80"/>
      <c r="UGM96" s="80"/>
      <c r="UGN96" s="80"/>
      <c r="UGO96" s="80"/>
      <c r="UGP96" s="80"/>
      <c r="UGQ96" s="80"/>
      <c r="UGR96" s="80"/>
      <c r="UGS96" s="80"/>
      <c r="UGT96" s="80"/>
      <c r="UGU96" s="80"/>
      <c r="UGV96" s="80"/>
      <c r="UGW96" s="80"/>
      <c r="UGX96" s="80"/>
      <c r="UGY96" s="80"/>
      <c r="UGZ96" s="80"/>
      <c r="UHA96" s="80"/>
      <c r="UHB96" s="80"/>
      <c r="UHC96" s="80"/>
      <c r="UHD96" s="80"/>
      <c r="UHE96" s="80"/>
      <c r="UHF96" s="80"/>
      <c r="UHG96" s="80"/>
      <c r="UHH96" s="80"/>
      <c r="UHI96" s="80"/>
      <c r="UHJ96" s="80"/>
      <c r="UHK96" s="80"/>
      <c r="UHL96" s="80"/>
      <c r="UHM96" s="80"/>
      <c r="UHN96" s="80"/>
      <c r="UHO96" s="80"/>
      <c r="UHP96" s="80"/>
      <c r="UHQ96" s="80"/>
      <c r="UHR96" s="80"/>
      <c r="UHS96" s="80"/>
      <c r="UHT96" s="80"/>
      <c r="UHU96" s="80"/>
      <c r="UHV96" s="80"/>
      <c r="UHW96" s="80"/>
      <c r="UHX96" s="80"/>
      <c r="UHY96" s="80"/>
      <c r="UHZ96" s="80"/>
      <c r="UIA96" s="80"/>
      <c r="UIB96" s="80"/>
      <c r="UIC96" s="80"/>
      <c r="UID96" s="80"/>
      <c r="UIE96" s="80"/>
      <c r="UIF96" s="80"/>
      <c r="UIG96" s="80"/>
      <c r="UIH96" s="80"/>
      <c r="UII96" s="80"/>
      <c r="UIJ96" s="80"/>
      <c r="UIK96" s="80"/>
      <c r="UIL96" s="80"/>
      <c r="UIM96" s="80"/>
      <c r="UIN96" s="80"/>
      <c r="UIO96" s="80"/>
      <c r="UIP96" s="80"/>
      <c r="UIQ96" s="80"/>
      <c r="UIR96" s="80"/>
      <c r="UIS96" s="80"/>
      <c r="UIT96" s="80"/>
      <c r="UIU96" s="80"/>
      <c r="UIV96" s="80"/>
      <c r="UIW96" s="80"/>
      <c r="UIX96" s="80"/>
      <c r="UIY96" s="80"/>
      <c r="UIZ96" s="80"/>
      <c r="UJA96" s="80"/>
      <c r="UJB96" s="80"/>
      <c r="UJC96" s="80"/>
      <c r="UJD96" s="80"/>
      <c r="UJE96" s="80"/>
      <c r="UJF96" s="80"/>
      <c r="UJG96" s="80"/>
      <c r="UJH96" s="80"/>
      <c r="UJI96" s="80"/>
      <c r="UJJ96" s="80"/>
      <c r="UJK96" s="80"/>
      <c r="UJL96" s="80"/>
      <c r="UJM96" s="80"/>
      <c r="UJN96" s="80"/>
      <c r="UJO96" s="80"/>
      <c r="UJP96" s="80"/>
      <c r="UJQ96" s="80"/>
      <c r="UJR96" s="80"/>
      <c r="UJS96" s="80"/>
      <c r="UJT96" s="80"/>
      <c r="UJU96" s="80"/>
      <c r="UJV96" s="80"/>
      <c r="UJW96" s="80"/>
      <c r="UJX96" s="80"/>
      <c r="UJY96" s="80"/>
      <c r="UJZ96" s="80"/>
      <c r="UKA96" s="80"/>
      <c r="UKB96" s="80"/>
      <c r="UKC96" s="80"/>
      <c r="UKD96" s="80"/>
      <c r="UKE96" s="80"/>
      <c r="UKF96" s="80"/>
      <c r="UKG96" s="80"/>
      <c r="UKH96" s="80"/>
      <c r="UKI96" s="80"/>
      <c r="UKJ96" s="80"/>
      <c r="UKK96" s="80"/>
      <c r="UKL96" s="80"/>
      <c r="UKM96" s="80"/>
      <c r="UKN96" s="80"/>
      <c r="UKO96" s="80"/>
      <c r="UKP96" s="80"/>
      <c r="UKQ96" s="80"/>
      <c r="UKR96" s="80"/>
      <c r="UKS96" s="80"/>
      <c r="UKT96" s="80"/>
      <c r="UKU96" s="80"/>
      <c r="UKV96" s="80"/>
      <c r="UKW96" s="80"/>
      <c r="UKX96" s="80"/>
      <c r="UKY96" s="80"/>
      <c r="UKZ96" s="80"/>
      <c r="ULA96" s="80"/>
      <c r="ULB96" s="80"/>
      <c r="ULC96" s="80"/>
      <c r="ULD96" s="80"/>
      <c r="ULE96" s="80"/>
      <c r="ULF96" s="80"/>
      <c r="ULG96" s="80"/>
      <c r="ULH96" s="80"/>
      <c r="ULI96" s="80"/>
      <c r="ULJ96" s="80"/>
      <c r="ULK96" s="80"/>
      <c r="ULL96" s="80"/>
      <c r="ULM96" s="80"/>
      <c r="ULN96" s="80"/>
      <c r="ULO96" s="80"/>
      <c r="ULP96" s="80"/>
      <c r="ULQ96" s="80"/>
      <c r="ULR96" s="80"/>
      <c r="ULS96" s="80"/>
      <c r="ULT96" s="80"/>
      <c r="ULU96" s="80"/>
      <c r="ULV96" s="80"/>
      <c r="ULW96" s="80"/>
      <c r="ULX96" s="80"/>
      <c r="ULY96" s="80"/>
      <c r="ULZ96" s="80"/>
      <c r="UMA96" s="80"/>
      <c r="UMB96" s="80"/>
      <c r="UMC96" s="80"/>
      <c r="UMD96" s="80"/>
      <c r="UME96" s="80"/>
      <c r="UMF96" s="80"/>
      <c r="UMG96" s="80"/>
      <c r="UMH96" s="80"/>
      <c r="UMI96" s="80"/>
      <c r="UMJ96" s="80"/>
      <c r="UMK96" s="80"/>
      <c r="UML96" s="80"/>
      <c r="UMM96" s="80"/>
      <c r="UMN96" s="80"/>
      <c r="UMO96" s="80"/>
      <c r="UMP96" s="80"/>
      <c r="UMQ96" s="80"/>
      <c r="UMR96" s="80"/>
      <c r="UMS96" s="80"/>
      <c r="UMT96" s="80"/>
      <c r="UMU96" s="80"/>
      <c r="UMV96" s="80"/>
      <c r="UMW96" s="80"/>
      <c r="UMX96" s="80"/>
      <c r="UMY96" s="80"/>
      <c r="UMZ96" s="80"/>
      <c r="UNA96" s="80"/>
      <c r="UNB96" s="80"/>
      <c r="UNC96" s="80"/>
      <c r="UND96" s="80"/>
      <c r="UNE96" s="80"/>
      <c r="UNF96" s="80"/>
      <c r="UNG96" s="80"/>
      <c r="UNH96" s="80"/>
      <c r="UNI96" s="80"/>
      <c r="UNJ96" s="80"/>
      <c r="UNK96" s="80"/>
      <c r="UNL96" s="80"/>
      <c r="UNM96" s="80"/>
      <c r="UNN96" s="80"/>
      <c r="UNO96" s="80"/>
      <c r="UNP96" s="80"/>
      <c r="UNQ96" s="80"/>
      <c r="UNR96" s="80"/>
      <c r="UNS96" s="80"/>
      <c r="UNT96" s="80"/>
      <c r="UNU96" s="80"/>
      <c r="UNV96" s="80"/>
      <c r="UNW96" s="80"/>
      <c r="UNX96" s="80"/>
      <c r="UNY96" s="80"/>
      <c r="UNZ96" s="80"/>
      <c r="UOA96" s="80"/>
      <c r="UOB96" s="80"/>
      <c r="UOC96" s="80"/>
      <c r="UOD96" s="80"/>
      <c r="UOE96" s="80"/>
      <c r="UOF96" s="80"/>
      <c r="UOG96" s="80"/>
      <c r="UOH96" s="80"/>
      <c r="UOI96" s="80"/>
      <c r="UOJ96" s="80"/>
      <c r="UOK96" s="80"/>
      <c r="UOL96" s="80"/>
      <c r="UOM96" s="80"/>
      <c r="UON96" s="80"/>
      <c r="UOO96" s="80"/>
      <c r="UOP96" s="80"/>
      <c r="UOQ96" s="80"/>
      <c r="UOR96" s="80"/>
      <c r="UOS96" s="80"/>
      <c r="UOT96" s="80"/>
      <c r="UOU96" s="80"/>
      <c r="UOV96" s="80"/>
      <c r="UOW96" s="80"/>
      <c r="UOX96" s="80"/>
      <c r="UOY96" s="80"/>
      <c r="UOZ96" s="80"/>
      <c r="UPA96" s="80"/>
      <c r="UPB96" s="80"/>
      <c r="UPC96" s="80"/>
      <c r="UPD96" s="80"/>
      <c r="UPE96" s="80"/>
      <c r="UPF96" s="80"/>
      <c r="UPG96" s="80"/>
      <c r="UPH96" s="80"/>
      <c r="UPI96" s="80"/>
      <c r="UPJ96" s="80"/>
      <c r="UPK96" s="80"/>
      <c r="UPL96" s="80"/>
      <c r="UPM96" s="80"/>
      <c r="UPN96" s="80"/>
      <c r="UPO96" s="80"/>
      <c r="UPP96" s="80"/>
      <c r="UPQ96" s="80"/>
      <c r="UPR96" s="80"/>
      <c r="UPS96" s="80"/>
      <c r="UPT96" s="80"/>
      <c r="UPU96" s="80"/>
      <c r="UPV96" s="80"/>
      <c r="UPW96" s="80"/>
      <c r="UPX96" s="80"/>
      <c r="UPY96" s="80"/>
      <c r="UPZ96" s="80"/>
      <c r="UQA96" s="80"/>
      <c r="UQB96" s="80"/>
      <c r="UQC96" s="80"/>
      <c r="UQD96" s="80"/>
      <c r="UQE96" s="80"/>
      <c r="UQF96" s="80"/>
      <c r="UQG96" s="80"/>
      <c r="UQH96" s="80"/>
      <c r="UQI96" s="80"/>
      <c r="UQJ96" s="80"/>
      <c r="UQK96" s="80"/>
      <c r="UQL96" s="80"/>
      <c r="UQM96" s="80"/>
      <c r="UQN96" s="80"/>
      <c r="UQO96" s="80"/>
      <c r="UQP96" s="80"/>
      <c r="UQQ96" s="80"/>
      <c r="UQR96" s="80"/>
      <c r="UQS96" s="80"/>
      <c r="UQT96" s="80"/>
      <c r="UQU96" s="80"/>
      <c r="UQV96" s="80"/>
      <c r="UQW96" s="80"/>
      <c r="UQX96" s="80"/>
      <c r="UQY96" s="80"/>
      <c r="UQZ96" s="80"/>
      <c r="URA96" s="80"/>
      <c r="URB96" s="80"/>
      <c r="URC96" s="80"/>
      <c r="URD96" s="80"/>
      <c r="URE96" s="80"/>
      <c r="URF96" s="80"/>
      <c r="URG96" s="80"/>
      <c r="URH96" s="80"/>
      <c r="URI96" s="80"/>
      <c r="URJ96" s="80"/>
      <c r="URK96" s="80"/>
      <c r="URL96" s="80"/>
      <c r="URM96" s="80"/>
      <c r="URN96" s="80"/>
      <c r="URO96" s="80"/>
      <c r="URP96" s="80"/>
      <c r="URQ96" s="80"/>
      <c r="URR96" s="80"/>
      <c r="URS96" s="80"/>
      <c r="URT96" s="80"/>
      <c r="URU96" s="80"/>
      <c r="URV96" s="80"/>
      <c r="URW96" s="80"/>
      <c r="URX96" s="80"/>
      <c r="URY96" s="80"/>
      <c r="URZ96" s="80"/>
      <c r="USA96" s="80"/>
      <c r="USB96" s="80"/>
      <c r="USC96" s="80"/>
      <c r="USD96" s="80"/>
      <c r="USE96" s="80"/>
      <c r="USF96" s="80"/>
      <c r="USG96" s="80"/>
      <c r="USH96" s="80"/>
      <c r="USI96" s="80"/>
      <c r="USJ96" s="80"/>
      <c r="USK96" s="80"/>
      <c r="USL96" s="80"/>
      <c r="USM96" s="80"/>
      <c r="USN96" s="80"/>
      <c r="USO96" s="80"/>
      <c r="USP96" s="80"/>
      <c r="USQ96" s="80"/>
      <c r="USR96" s="80"/>
      <c r="USS96" s="80"/>
      <c r="UST96" s="80"/>
      <c r="USU96" s="80"/>
      <c r="USV96" s="80"/>
      <c r="USW96" s="80"/>
      <c r="USX96" s="80"/>
      <c r="USY96" s="80"/>
      <c r="USZ96" s="80"/>
      <c r="UTA96" s="80"/>
      <c r="UTB96" s="80"/>
      <c r="UTC96" s="80"/>
      <c r="UTD96" s="80"/>
      <c r="UTE96" s="80"/>
      <c r="UTF96" s="80"/>
      <c r="UTG96" s="80"/>
      <c r="UTH96" s="80"/>
      <c r="UTI96" s="80"/>
      <c r="UTJ96" s="80"/>
      <c r="UTK96" s="80"/>
      <c r="UTL96" s="80"/>
      <c r="UTM96" s="80"/>
      <c r="UTN96" s="80"/>
      <c r="UTO96" s="80"/>
      <c r="UTP96" s="80"/>
      <c r="UTQ96" s="80"/>
      <c r="UTR96" s="80"/>
      <c r="UTS96" s="80"/>
      <c r="UTT96" s="80"/>
      <c r="UTU96" s="80"/>
      <c r="UTV96" s="80"/>
      <c r="UTW96" s="80"/>
      <c r="UTX96" s="80"/>
      <c r="UTY96" s="80"/>
      <c r="UTZ96" s="80"/>
      <c r="UUA96" s="80"/>
      <c r="UUB96" s="80"/>
      <c r="UUC96" s="80"/>
      <c r="UUD96" s="80"/>
      <c r="UUE96" s="80"/>
      <c r="UUF96" s="80"/>
      <c r="UUG96" s="80"/>
      <c r="UUH96" s="80"/>
      <c r="UUI96" s="80"/>
      <c r="UUJ96" s="80"/>
      <c r="UUK96" s="80"/>
      <c r="UUL96" s="80"/>
      <c r="UUM96" s="80"/>
      <c r="UUN96" s="80"/>
      <c r="UUO96" s="80"/>
      <c r="UUP96" s="80"/>
      <c r="UUQ96" s="80"/>
      <c r="UUR96" s="80"/>
      <c r="UUS96" s="80"/>
      <c r="UUT96" s="80"/>
      <c r="UUU96" s="80"/>
      <c r="UUV96" s="80"/>
      <c r="UUW96" s="80"/>
      <c r="UUX96" s="80"/>
      <c r="UUY96" s="80"/>
      <c r="UUZ96" s="80"/>
      <c r="UVA96" s="80"/>
      <c r="UVB96" s="80"/>
      <c r="UVC96" s="80"/>
      <c r="UVD96" s="80"/>
      <c r="UVE96" s="80"/>
      <c r="UVF96" s="80"/>
      <c r="UVG96" s="80"/>
      <c r="UVH96" s="80"/>
      <c r="UVI96" s="80"/>
      <c r="UVJ96" s="80"/>
      <c r="UVK96" s="80"/>
      <c r="UVL96" s="80"/>
      <c r="UVM96" s="80"/>
      <c r="UVN96" s="80"/>
      <c r="UVO96" s="80"/>
      <c r="UVP96" s="80"/>
      <c r="UVQ96" s="80"/>
      <c r="UVR96" s="80"/>
      <c r="UVS96" s="80"/>
      <c r="UVT96" s="80"/>
      <c r="UVU96" s="80"/>
      <c r="UVV96" s="80"/>
      <c r="UVW96" s="80"/>
      <c r="UVX96" s="80"/>
      <c r="UVY96" s="80"/>
      <c r="UVZ96" s="80"/>
      <c r="UWA96" s="80"/>
      <c r="UWB96" s="80"/>
      <c r="UWC96" s="80"/>
      <c r="UWD96" s="80"/>
      <c r="UWE96" s="80"/>
      <c r="UWF96" s="80"/>
      <c r="UWG96" s="80"/>
      <c r="UWH96" s="80"/>
      <c r="UWI96" s="80"/>
      <c r="UWJ96" s="80"/>
      <c r="UWK96" s="80"/>
      <c r="UWL96" s="80"/>
      <c r="UWM96" s="80"/>
      <c r="UWN96" s="80"/>
      <c r="UWO96" s="80"/>
      <c r="UWP96" s="80"/>
      <c r="UWQ96" s="80"/>
      <c r="UWR96" s="80"/>
      <c r="UWS96" s="80"/>
      <c r="UWT96" s="80"/>
      <c r="UWU96" s="80"/>
      <c r="UWV96" s="80"/>
      <c r="UWW96" s="80"/>
      <c r="UWX96" s="80"/>
      <c r="UWY96" s="80"/>
      <c r="UWZ96" s="80"/>
      <c r="UXA96" s="80"/>
      <c r="UXB96" s="80"/>
      <c r="UXC96" s="80"/>
      <c r="UXD96" s="80"/>
      <c r="UXE96" s="80"/>
      <c r="UXF96" s="80"/>
      <c r="UXG96" s="80"/>
      <c r="UXH96" s="80"/>
      <c r="UXI96" s="80"/>
      <c r="UXJ96" s="80"/>
      <c r="UXK96" s="80"/>
      <c r="UXL96" s="80"/>
      <c r="UXM96" s="80"/>
      <c r="UXN96" s="80"/>
      <c r="UXO96" s="80"/>
      <c r="UXP96" s="80"/>
      <c r="UXQ96" s="80"/>
      <c r="UXR96" s="80"/>
      <c r="UXS96" s="80"/>
      <c r="UXT96" s="80"/>
      <c r="UXU96" s="80"/>
      <c r="UXV96" s="80"/>
      <c r="UXW96" s="80"/>
      <c r="UXX96" s="80"/>
      <c r="UXY96" s="80"/>
      <c r="UXZ96" s="80"/>
      <c r="UYA96" s="80"/>
      <c r="UYB96" s="80"/>
      <c r="UYC96" s="80"/>
      <c r="UYD96" s="80"/>
      <c r="UYE96" s="80"/>
      <c r="UYF96" s="80"/>
      <c r="UYG96" s="80"/>
      <c r="UYH96" s="80"/>
      <c r="UYI96" s="80"/>
      <c r="UYJ96" s="80"/>
      <c r="UYK96" s="80"/>
      <c r="UYL96" s="80"/>
      <c r="UYM96" s="80"/>
      <c r="UYN96" s="80"/>
      <c r="UYO96" s="80"/>
      <c r="UYP96" s="80"/>
      <c r="UYQ96" s="80"/>
      <c r="UYR96" s="80"/>
      <c r="UYS96" s="80"/>
      <c r="UYT96" s="80"/>
      <c r="UYU96" s="80"/>
      <c r="UYV96" s="80"/>
      <c r="UYW96" s="80"/>
      <c r="UYX96" s="80"/>
      <c r="UYY96" s="80"/>
      <c r="UYZ96" s="80"/>
      <c r="UZA96" s="80"/>
      <c r="UZB96" s="80"/>
      <c r="UZC96" s="80"/>
      <c r="UZD96" s="80"/>
      <c r="UZE96" s="80"/>
      <c r="UZF96" s="80"/>
      <c r="UZG96" s="80"/>
      <c r="UZH96" s="80"/>
      <c r="UZI96" s="80"/>
      <c r="UZJ96" s="80"/>
      <c r="UZK96" s="80"/>
      <c r="UZL96" s="80"/>
      <c r="UZM96" s="80"/>
      <c r="UZN96" s="80"/>
      <c r="UZO96" s="80"/>
      <c r="UZP96" s="80"/>
      <c r="UZQ96" s="80"/>
      <c r="UZR96" s="80"/>
      <c r="UZS96" s="80"/>
      <c r="UZT96" s="80"/>
      <c r="UZU96" s="80"/>
      <c r="UZV96" s="80"/>
      <c r="UZW96" s="80"/>
      <c r="UZX96" s="80"/>
      <c r="UZY96" s="80"/>
      <c r="UZZ96" s="80"/>
      <c r="VAA96" s="80"/>
      <c r="VAB96" s="80"/>
      <c r="VAC96" s="80"/>
      <c r="VAD96" s="80"/>
      <c r="VAE96" s="80"/>
      <c r="VAF96" s="80"/>
      <c r="VAG96" s="80"/>
      <c r="VAH96" s="80"/>
      <c r="VAI96" s="80"/>
      <c r="VAJ96" s="80"/>
      <c r="VAK96" s="80"/>
      <c r="VAL96" s="80"/>
      <c r="VAM96" s="80"/>
      <c r="VAN96" s="80"/>
      <c r="VAO96" s="80"/>
      <c r="VAP96" s="80"/>
      <c r="VAQ96" s="80"/>
      <c r="VAR96" s="80"/>
      <c r="VAS96" s="80"/>
      <c r="VAT96" s="80"/>
      <c r="VAU96" s="80"/>
      <c r="VAV96" s="80"/>
      <c r="VAW96" s="80"/>
      <c r="VAX96" s="80"/>
      <c r="VAY96" s="80"/>
      <c r="VAZ96" s="80"/>
      <c r="VBA96" s="80"/>
      <c r="VBB96" s="80"/>
      <c r="VBC96" s="80"/>
      <c r="VBD96" s="80"/>
      <c r="VBE96" s="80"/>
      <c r="VBF96" s="80"/>
      <c r="VBG96" s="80"/>
      <c r="VBH96" s="80"/>
      <c r="VBI96" s="80"/>
      <c r="VBJ96" s="80"/>
      <c r="VBK96" s="80"/>
      <c r="VBL96" s="80"/>
      <c r="VBM96" s="80"/>
      <c r="VBN96" s="80"/>
      <c r="VBO96" s="80"/>
      <c r="VBP96" s="80"/>
      <c r="VBQ96" s="80"/>
      <c r="VBR96" s="80"/>
      <c r="VBS96" s="80"/>
      <c r="VBT96" s="80"/>
      <c r="VBU96" s="80"/>
      <c r="VBV96" s="80"/>
      <c r="VBW96" s="80"/>
      <c r="VBX96" s="80"/>
      <c r="VBY96" s="80"/>
      <c r="VBZ96" s="80"/>
      <c r="VCA96" s="80"/>
      <c r="VCB96" s="80"/>
      <c r="VCC96" s="80"/>
      <c r="VCD96" s="80"/>
      <c r="VCE96" s="80"/>
      <c r="VCF96" s="80"/>
      <c r="VCG96" s="80"/>
      <c r="VCH96" s="80"/>
      <c r="VCI96" s="80"/>
      <c r="VCJ96" s="80"/>
      <c r="VCK96" s="80"/>
      <c r="VCL96" s="80"/>
      <c r="VCM96" s="80"/>
      <c r="VCN96" s="80"/>
      <c r="VCO96" s="80"/>
      <c r="VCP96" s="80"/>
      <c r="VCQ96" s="80"/>
      <c r="VCR96" s="80"/>
      <c r="VCS96" s="80"/>
      <c r="VCT96" s="80"/>
      <c r="VCU96" s="80"/>
      <c r="VCV96" s="80"/>
      <c r="VCW96" s="80"/>
      <c r="VCX96" s="80"/>
      <c r="VCY96" s="80"/>
      <c r="VCZ96" s="80"/>
      <c r="VDA96" s="80"/>
      <c r="VDB96" s="80"/>
      <c r="VDC96" s="80"/>
      <c r="VDD96" s="80"/>
      <c r="VDE96" s="80"/>
      <c r="VDF96" s="80"/>
      <c r="VDG96" s="80"/>
      <c r="VDH96" s="80"/>
      <c r="VDI96" s="80"/>
      <c r="VDJ96" s="80"/>
      <c r="VDK96" s="80"/>
      <c r="VDL96" s="80"/>
      <c r="VDM96" s="80"/>
      <c r="VDN96" s="80"/>
      <c r="VDO96" s="80"/>
      <c r="VDP96" s="80"/>
      <c r="VDQ96" s="80"/>
      <c r="VDR96" s="80"/>
      <c r="VDS96" s="80"/>
      <c r="VDT96" s="80"/>
      <c r="VDU96" s="80"/>
      <c r="VDV96" s="80"/>
      <c r="VDW96" s="80"/>
      <c r="VDX96" s="80"/>
      <c r="VDY96" s="80"/>
      <c r="VDZ96" s="80"/>
      <c r="VEA96" s="80"/>
      <c r="VEB96" s="80"/>
      <c r="VEC96" s="80"/>
      <c r="VED96" s="80"/>
      <c r="VEE96" s="80"/>
      <c r="VEF96" s="80"/>
      <c r="VEG96" s="80"/>
      <c r="VEH96" s="80"/>
      <c r="VEI96" s="80"/>
      <c r="VEJ96" s="80"/>
      <c r="VEK96" s="80"/>
      <c r="VEL96" s="80"/>
      <c r="VEM96" s="80"/>
      <c r="VEN96" s="80"/>
      <c r="VEO96" s="80"/>
      <c r="VEP96" s="80"/>
      <c r="VEQ96" s="80"/>
      <c r="VER96" s="80"/>
      <c r="VES96" s="80"/>
      <c r="VET96" s="80"/>
      <c r="VEU96" s="80"/>
      <c r="VEV96" s="80"/>
      <c r="VEW96" s="80"/>
      <c r="VEX96" s="80"/>
      <c r="VEY96" s="80"/>
      <c r="VEZ96" s="80"/>
      <c r="VFA96" s="80"/>
      <c r="VFB96" s="80"/>
      <c r="VFC96" s="80"/>
      <c r="VFD96" s="80"/>
      <c r="VFE96" s="80"/>
      <c r="VFF96" s="80"/>
      <c r="VFG96" s="80"/>
      <c r="VFH96" s="80"/>
      <c r="VFI96" s="80"/>
      <c r="VFJ96" s="80"/>
      <c r="VFK96" s="80"/>
      <c r="VFL96" s="80"/>
      <c r="VFM96" s="80"/>
      <c r="VFN96" s="80"/>
      <c r="VFO96" s="80"/>
      <c r="VFP96" s="80"/>
      <c r="VFQ96" s="80"/>
      <c r="VFR96" s="80"/>
      <c r="VFS96" s="80"/>
      <c r="VFT96" s="80"/>
      <c r="VFU96" s="80"/>
      <c r="VFV96" s="80"/>
      <c r="VFW96" s="80"/>
      <c r="VFX96" s="80"/>
      <c r="VFY96" s="80"/>
      <c r="VFZ96" s="80"/>
      <c r="VGA96" s="80"/>
      <c r="VGB96" s="80"/>
      <c r="VGC96" s="80"/>
      <c r="VGD96" s="80"/>
      <c r="VGE96" s="80"/>
      <c r="VGF96" s="80"/>
      <c r="VGG96" s="80"/>
      <c r="VGH96" s="80"/>
      <c r="VGI96" s="80"/>
      <c r="VGJ96" s="80"/>
      <c r="VGK96" s="80"/>
      <c r="VGL96" s="80"/>
      <c r="VGM96" s="80"/>
      <c r="VGN96" s="80"/>
      <c r="VGO96" s="80"/>
      <c r="VGP96" s="80"/>
      <c r="VGQ96" s="80"/>
      <c r="VGR96" s="80"/>
      <c r="VGS96" s="80"/>
      <c r="VGT96" s="80"/>
      <c r="VGU96" s="80"/>
      <c r="VGV96" s="80"/>
      <c r="VGW96" s="80"/>
      <c r="VGX96" s="80"/>
      <c r="VGY96" s="80"/>
      <c r="VGZ96" s="80"/>
      <c r="VHA96" s="80"/>
      <c r="VHB96" s="80"/>
      <c r="VHC96" s="80"/>
      <c r="VHD96" s="80"/>
      <c r="VHE96" s="80"/>
      <c r="VHF96" s="80"/>
      <c r="VHG96" s="80"/>
      <c r="VHH96" s="80"/>
      <c r="VHI96" s="80"/>
      <c r="VHJ96" s="80"/>
      <c r="VHK96" s="80"/>
      <c r="VHL96" s="80"/>
      <c r="VHM96" s="80"/>
      <c r="VHN96" s="80"/>
      <c r="VHO96" s="80"/>
      <c r="VHP96" s="80"/>
      <c r="VHQ96" s="80"/>
      <c r="VHR96" s="80"/>
      <c r="VHS96" s="80"/>
      <c r="VHT96" s="80"/>
      <c r="VHU96" s="80"/>
      <c r="VHV96" s="80"/>
      <c r="VHW96" s="80"/>
      <c r="VHX96" s="80"/>
      <c r="VHY96" s="80"/>
      <c r="VHZ96" s="80"/>
      <c r="VIA96" s="80"/>
      <c r="VIB96" s="80"/>
      <c r="VIC96" s="80"/>
      <c r="VID96" s="80"/>
      <c r="VIE96" s="80"/>
      <c r="VIF96" s="80"/>
      <c r="VIG96" s="80"/>
      <c r="VIH96" s="80"/>
      <c r="VII96" s="80"/>
      <c r="VIJ96" s="80"/>
      <c r="VIK96" s="80"/>
      <c r="VIL96" s="80"/>
      <c r="VIM96" s="80"/>
      <c r="VIN96" s="80"/>
      <c r="VIO96" s="80"/>
      <c r="VIP96" s="80"/>
      <c r="VIQ96" s="80"/>
      <c r="VIR96" s="80"/>
      <c r="VIS96" s="80"/>
      <c r="VIT96" s="80"/>
      <c r="VIU96" s="80"/>
      <c r="VIV96" s="80"/>
      <c r="VIW96" s="80"/>
      <c r="VIX96" s="80"/>
      <c r="VIY96" s="80"/>
      <c r="VIZ96" s="80"/>
      <c r="VJA96" s="80"/>
      <c r="VJB96" s="80"/>
      <c r="VJC96" s="80"/>
      <c r="VJD96" s="80"/>
      <c r="VJE96" s="80"/>
      <c r="VJF96" s="80"/>
      <c r="VJG96" s="80"/>
      <c r="VJH96" s="80"/>
      <c r="VJI96" s="80"/>
      <c r="VJJ96" s="80"/>
      <c r="VJK96" s="80"/>
      <c r="VJL96" s="80"/>
      <c r="VJM96" s="80"/>
      <c r="VJN96" s="80"/>
      <c r="VJO96" s="80"/>
      <c r="VJP96" s="80"/>
      <c r="VJQ96" s="80"/>
      <c r="VJR96" s="80"/>
      <c r="VJS96" s="80"/>
      <c r="VJT96" s="80"/>
      <c r="VJU96" s="80"/>
      <c r="VJV96" s="80"/>
      <c r="VJW96" s="80"/>
      <c r="VJX96" s="80"/>
      <c r="VJY96" s="80"/>
      <c r="VJZ96" s="80"/>
      <c r="VKA96" s="80"/>
      <c r="VKB96" s="80"/>
      <c r="VKC96" s="80"/>
      <c r="VKD96" s="80"/>
      <c r="VKE96" s="80"/>
      <c r="VKF96" s="80"/>
      <c r="VKG96" s="80"/>
      <c r="VKH96" s="80"/>
      <c r="VKI96" s="80"/>
      <c r="VKJ96" s="80"/>
      <c r="VKK96" s="80"/>
      <c r="VKL96" s="80"/>
      <c r="VKM96" s="80"/>
      <c r="VKN96" s="80"/>
      <c r="VKO96" s="80"/>
      <c r="VKP96" s="80"/>
      <c r="VKQ96" s="80"/>
      <c r="VKR96" s="80"/>
      <c r="VKS96" s="80"/>
      <c r="VKT96" s="80"/>
      <c r="VKU96" s="80"/>
      <c r="VKV96" s="80"/>
      <c r="VKW96" s="80"/>
      <c r="VKX96" s="80"/>
      <c r="VKY96" s="80"/>
      <c r="VKZ96" s="80"/>
      <c r="VLA96" s="80"/>
      <c r="VLB96" s="80"/>
      <c r="VLC96" s="80"/>
      <c r="VLD96" s="80"/>
      <c r="VLE96" s="80"/>
      <c r="VLF96" s="80"/>
      <c r="VLG96" s="80"/>
      <c r="VLH96" s="80"/>
      <c r="VLI96" s="80"/>
      <c r="VLJ96" s="80"/>
      <c r="VLK96" s="80"/>
      <c r="VLL96" s="80"/>
      <c r="VLM96" s="80"/>
      <c r="VLN96" s="80"/>
      <c r="VLO96" s="80"/>
      <c r="VLP96" s="80"/>
      <c r="VLQ96" s="80"/>
      <c r="VLR96" s="80"/>
      <c r="VLS96" s="80"/>
      <c r="VLT96" s="80"/>
      <c r="VLU96" s="80"/>
      <c r="VLV96" s="80"/>
      <c r="VLW96" s="80"/>
      <c r="VLX96" s="80"/>
      <c r="VLY96" s="80"/>
      <c r="VLZ96" s="80"/>
      <c r="VMA96" s="80"/>
      <c r="VMB96" s="80"/>
      <c r="VMC96" s="80"/>
      <c r="VMD96" s="80"/>
      <c r="VME96" s="80"/>
      <c r="VMF96" s="80"/>
      <c r="VMG96" s="80"/>
      <c r="VMH96" s="80"/>
      <c r="VMI96" s="80"/>
      <c r="VMJ96" s="80"/>
      <c r="VMK96" s="80"/>
      <c r="VML96" s="80"/>
      <c r="VMM96" s="80"/>
      <c r="VMN96" s="80"/>
      <c r="VMO96" s="80"/>
      <c r="VMP96" s="80"/>
      <c r="VMQ96" s="80"/>
      <c r="VMR96" s="80"/>
      <c r="VMS96" s="80"/>
      <c r="VMT96" s="80"/>
      <c r="VMU96" s="80"/>
      <c r="VMV96" s="80"/>
      <c r="VMW96" s="80"/>
      <c r="VMX96" s="80"/>
      <c r="VMY96" s="80"/>
      <c r="VMZ96" s="80"/>
      <c r="VNA96" s="80"/>
      <c r="VNB96" s="80"/>
      <c r="VNC96" s="80"/>
      <c r="VND96" s="80"/>
      <c r="VNE96" s="80"/>
      <c r="VNF96" s="80"/>
      <c r="VNG96" s="80"/>
      <c r="VNH96" s="80"/>
      <c r="VNI96" s="80"/>
      <c r="VNJ96" s="80"/>
      <c r="VNK96" s="80"/>
      <c r="VNL96" s="80"/>
      <c r="VNM96" s="80"/>
      <c r="VNN96" s="80"/>
      <c r="VNO96" s="80"/>
      <c r="VNP96" s="80"/>
      <c r="VNQ96" s="80"/>
      <c r="VNR96" s="80"/>
      <c r="VNS96" s="80"/>
      <c r="VNT96" s="80"/>
      <c r="VNU96" s="80"/>
      <c r="VNV96" s="80"/>
      <c r="VNW96" s="80"/>
      <c r="VNX96" s="80"/>
      <c r="VNY96" s="80"/>
      <c r="VNZ96" s="80"/>
      <c r="VOA96" s="80"/>
      <c r="VOB96" s="80"/>
      <c r="VOC96" s="80"/>
      <c r="VOD96" s="80"/>
      <c r="VOE96" s="80"/>
      <c r="VOF96" s="80"/>
      <c r="VOG96" s="80"/>
      <c r="VOH96" s="80"/>
      <c r="VOI96" s="80"/>
      <c r="VOJ96" s="80"/>
      <c r="VOK96" s="80"/>
      <c r="VOL96" s="80"/>
      <c r="VOM96" s="80"/>
      <c r="VON96" s="80"/>
      <c r="VOO96" s="80"/>
      <c r="VOP96" s="80"/>
      <c r="VOQ96" s="80"/>
      <c r="VOR96" s="80"/>
      <c r="VOS96" s="80"/>
      <c r="VOT96" s="80"/>
      <c r="VOU96" s="80"/>
      <c r="VOV96" s="80"/>
      <c r="VOW96" s="80"/>
      <c r="VOX96" s="80"/>
      <c r="VOY96" s="80"/>
      <c r="VOZ96" s="80"/>
      <c r="VPA96" s="80"/>
      <c r="VPB96" s="80"/>
      <c r="VPC96" s="80"/>
      <c r="VPD96" s="80"/>
      <c r="VPE96" s="80"/>
      <c r="VPF96" s="80"/>
      <c r="VPG96" s="80"/>
      <c r="VPH96" s="80"/>
      <c r="VPI96" s="80"/>
      <c r="VPJ96" s="80"/>
      <c r="VPK96" s="80"/>
      <c r="VPL96" s="80"/>
      <c r="VPM96" s="80"/>
      <c r="VPN96" s="80"/>
      <c r="VPO96" s="80"/>
      <c r="VPP96" s="80"/>
      <c r="VPQ96" s="80"/>
      <c r="VPR96" s="80"/>
      <c r="VPS96" s="80"/>
      <c r="VPT96" s="80"/>
      <c r="VPU96" s="80"/>
      <c r="VPV96" s="80"/>
      <c r="VPW96" s="80"/>
      <c r="VPX96" s="80"/>
      <c r="VPY96" s="80"/>
      <c r="VPZ96" s="80"/>
      <c r="VQA96" s="80"/>
      <c r="VQB96" s="80"/>
      <c r="VQC96" s="80"/>
      <c r="VQD96" s="80"/>
      <c r="VQE96" s="80"/>
      <c r="VQF96" s="80"/>
      <c r="VQG96" s="80"/>
      <c r="VQH96" s="80"/>
      <c r="VQI96" s="80"/>
      <c r="VQJ96" s="80"/>
      <c r="VQK96" s="80"/>
      <c r="VQL96" s="80"/>
      <c r="VQM96" s="80"/>
      <c r="VQN96" s="80"/>
      <c r="VQO96" s="80"/>
      <c r="VQP96" s="80"/>
      <c r="VQQ96" s="80"/>
      <c r="VQR96" s="80"/>
      <c r="VQS96" s="80"/>
      <c r="VQT96" s="80"/>
      <c r="VQU96" s="80"/>
      <c r="VQV96" s="80"/>
      <c r="VQW96" s="80"/>
      <c r="VQX96" s="80"/>
      <c r="VQY96" s="80"/>
      <c r="VQZ96" s="80"/>
      <c r="VRA96" s="80"/>
      <c r="VRB96" s="80"/>
      <c r="VRC96" s="80"/>
      <c r="VRD96" s="80"/>
      <c r="VRE96" s="80"/>
      <c r="VRF96" s="80"/>
      <c r="VRG96" s="80"/>
      <c r="VRH96" s="80"/>
      <c r="VRI96" s="80"/>
      <c r="VRJ96" s="80"/>
      <c r="VRK96" s="80"/>
      <c r="VRL96" s="80"/>
      <c r="VRM96" s="80"/>
      <c r="VRN96" s="80"/>
      <c r="VRO96" s="80"/>
      <c r="VRP96" s="80"/>
      <c r="VRQ96" s="80"/>
      <c r="VRR96" s="80"/>
      <c r="VRS96" s="80"/>
      <c r="VRT96" s="80"/>
      <c r="VRU96" s="80"/>
      <c r="VRV96" s="80"/>
      <c r="VRW96" s="80"/>
      <c r="VRX96" s="80"/>
      <c r="VRY96" s="80"/>
      <c r="VRZ96" s="80"/>
      <c r="VSA96" s="80"/>
      <c r="VSB96" s="80"/>
      <c r="VSC96" s="80"/>
      <c r="VSD96" s="80"/>
      <c r="VSE96" s="80"/>
      <c r="VSF96" s="80"/>
      <c r="VSG96" s="80"/>
      <c r="VSH96" s="80"/>
      <c r="VSI96" s="80"/>
      <c r="VSJ96" s="80"/>
      <c r="VSK96" s="80"/>
      <c r="VSL96" s="80"/>
      <c r="VSM96" s="80"/>
      <c r="VSN96" s="80"/>
      <c r="VSO96" s="80"/>
      <c r="VSP96" s="80"/>
      <c r="VSQ96" s="80"/>
      <c r="VSR96" s="80"/>
      <c r="VSS96" s="80"/>
      <c r="VST96" s="80"/>
      <c r="VSU96" s="80"/>
      <c r="VSV96" s="80"/>
      <c r="VSW96" s="80"/>
      <c r="VSX96" s="80"/>
      <c r="VSY96" s="80"/>
      <c r="VSZ96" s="80"/>
      <c r="VTA96" s="80"/>
      <c r="VTB96" s="80"/>
      <c r="VTC96" s="80"/>
      <c r="VTD96" s="80"/>
      <c r="VTE96" s="80"/>
      <c r="VTF96" s="80"/>
      <c r="VTG96" s="80"/>
      <c r="VTH96" s="80"/>
      <c r="VTI96" s="80"/>
      <c r="VTJ96" s="80"/>
      <c r="VTK96" s="80"/>
      <c r="VTL96" s="80"/>
      <c r="VTM96" s="80"/>
      <c r="VTN96" s="80"/>
      <c r="VTO96" s="80"/>
      <c r="VTP96" s="80"/>
      <c r="VTQ96" s="80"/>
      <c r="VTR96" s="80"/>
      <c r="VTS96" s="80"/>
      <c r="VTT96" s="80"/>
      <c r="VTU96" s="80"/>
      <c r="VTV96" s="80"/>
      <c r="VTW96" s="80"/>
      <c r="VTX96" s="80"/>
      <c r="VTY96" s="80"/>
      <c r="VTZ96" s="80"/>
      <c r="VUA96" s="80"/>
      <c r="VUB96" s="80"/>
      <c r="VUC96" s="80"/>
      <c r="VUD96" s="80"/>
      <c r="VUE96" s="80"/>
      <c r="VUF96" s="80"/>
      <c r="VUG96" s="80"/>
      <c r="VUH96" s="80"/>
      <c r="VUI96" s="80"/>
      <c r="VUJ96" s="80"/>
      <c r="VUK96" s="80"/>
      <c r="VUL96" s="80"/>
      <c r="VUM96" s="80"/>
      <c r="VUN96" s="80"/>
      <c r="VUO96" s="80"/>
      <c r="VUP96" s="80"/>
      <c r="VUQ96" s="80"/>
      <c r="VUR96" s="80"/>
      <c r="VUS96" s="80"/>
      <c r="VUT96" s="80"/>
      <c r="VUU96" s="80"/>
      <c r="VUV96" s="80"/>
      <c r="VUW96" s="80"/>
      <c r="VUX96" s="80"/>
      <c r="VUY96" s="80"/>
      <c r="VUZ96" s="80"/>
      <c r="VVA96" s="80"/>
      <c r="VVB96" s="80"/>
      <c r="VVC96" s="80"/>
      <c r="VVD96" s="80"/>
      <c r="VVE96" s="80"/>
      <c r="VVF96" s="80"/>
      <c r="VVG96" s="80"/>
      <c r="VVH96" s="80"/>
      <c r="VVI96" s="80"/>
      <c r="VVJ96" s="80"/>
      <c r="VVK96" s="80"/>
      <c r="VVL96" s="80"/>
      <c r="VVM96" s="80"/>
      <c r="VVN96" s="80"/>
      <c r="VVO96" s="80"/>
      <c r="VVP96" s="80"/>
      <c r="VVQ96" s="80"/>
      <c r="VVR96" s="80"/>
      <c r="VVS96" s="80"/>
      <c r="VVT96" s="80"/>
      <c r="VVU96" s="80"/>
      <c r="VVV96" s="80"/>
      <c r="VVW96" s="80"/>
      <c r="VVX96" s="80"/>
      <c r="VVY96" s="80"/>
      <c r="VVZ96" s="80"/>
      <c r="VWA96" s="80"/>
      <c r="VWB96" s="80"/>
      <c r="VWC96" s="80"/>
      <c r="VWD96" s="80"/>
      <c r="VWE96" s="80"/>
      <c r="VWF96" s="80"/>
      <c r="VWG96" s="80"/>
      <c r="VWH96" s="80"/>
      <c r="VWI96" s="80"/>
      <c r="VWJ96" s="80"/>
      <c r="VWK96" s="80"/>
      <c r="VWL96" s="80"/>
      <c r="VWM96" s="80"/>
      <c r="VWN96" s="80"/>
      <c r="VWO96" s="80"/>
      <c r="VWP96" s="80"/>
      <c r="VWQ96" s="80"/>
      <c r="VWR96" s="80"/>
      <c r="VWS96" s="80"/>
      <c r="VWT96" s="80"/>
      <c r="VWU96" s="80"/>
      <c r="VWV96" s="80"/>
      <c r="VWW96" s="80"/>
      <c r="VWX96" s="80"/>
      <c r="VWY96" s="80"/>
      <c r="VWZ96" s="80"/>
      <c r="VXA96" s="80"/>
      <c r="VXB96" s="80"/>
      <c r="VXC96" s="80"/>
      <c r="VXD96" s="80"/>
      <c r="VXE96" s="80"/>
      <c r="VXF96" s="80"/>
      <c r="VXG96" s="80"/>
      <c r="VXH96" s="80"/>
      <c r="VXI96" s="80"/>
      <c r="VXJ96" s="80"/>
      <c r="VXK96" s="80"/>
      <c r="VXL96" s="80"/>
      <c r="VXM96" s="80"/>
      <c r="VXN96" s="80"/>
      <c r="VXO96" s="80"/>
      <c r="VXP96" s="80"/>
      <c r="VXQ96" s="80"/>
      <c r="VXR96" s="80"/>
      <c r="VXS96" s="80"/>
      <c r="VXT96" s="80"/>
      <c r="VXU96" s="80"/>
      <c r="VXV96" s="80"/>
      <c r="VXW96" s="80"/>
      <c r="VXX96" s="80"/>
      <c r="VXY96" s="80"/>
      <c r="VXZ96" s="80"/>
      <c r="VYA96" s="80"/>
      <c r="VYB96" s="80"/>
      <c r="VYC96" s="80"/>
      <c r="VYD96" s="80"/>
      <c r="VYE96" s="80"/>
      <c r="VYF96" s="80"/>
      <c r="VYG96" s="80"/>
      <c r="VYH96" s="80"/>
      <c r="VYI96" s="80"/>
      <c r="VYJ96" s="80"/>
      <c r="VYK96" s="80"/>
      <c r="VYL96" s="80"/>
      <c r="VYM96" s="80"/>
      <c r="VYN96" s="80"/>
      <c r="VYO96" s="80"/>
      <c r="VYP96" s="80"/>
      <c r="VYQ96" s="80"/>
      <c r="VYR96" s="80"/>
      <c r="VYS96" s="80"/>
      <c r="VYT96" s="80"/>
      <c r="VYU96" s="80"/>
      <c r="VYV96" s="80"/>
      <c r="VYW96" s="80"/>
      <c r="VYX96" s="80"/>
      <c r="VYY96" s="80"/>
      <c r="VYZ96" s="80"/>
      <c r="VZA96" s="80"/>
      <c r="VZB96" s="80"/>
      <c r="VZC96" s="80"/>
      <c r="VZD96" s="80"/>
      <c r="VZE96" s="80"/>
      <c r="VZF96" s="80"/>
      <c r="VZG96" s="80"/>
      <c r="VZH96" s="80"/>
      <c r="VZI96" s="80"/>
      <c r="VZJ96" s="80"/>
      <c r="VZK96" s="80"/>
      <c r="VZL96" s="80"/>
      <c r="VZM96" s="80"/>
      <c r="VZN96" s="80"/>
      <c r="VZO96" s="80"/>
      <c r="VZP96" s="80"/>
      <c r="VZQ96" s="80"/>
      <c r="VZR96" s="80"/>
      <c r="VZS96" s="80"/>
      <c r="VZT96" s="80"/>
      <c r="VZU96" s="80"/>
      <c r="VZV96" s="80"/>
      <c r="VZW96" s="80"/>
      <c r="VZX96" s="80"/>
      <c r="VZY96" s="80"/>
      <c r="VZZ96" s="80"/>
      <c r="WAA96" s="80"/>
      <c r="WAB96" s="80"/>
      <c r="WAC96" s="80"/>
      <c r="WAD96" s="80"/>
      <c r="WAE96" s="80"/>
      <c r="WAF96" s="80"/>
      <c r="WAG96" s="80"/>
      <c r="WAH96" s="80"/>
      <c r="WAI96" s="80"/>
      <c r="WAJ96" s="80"/>
      <c r="WAK96" s="80"/>
      <c r="WAL96" s="80"/>
      <c r="WAM96" s="80"/>
      <c r="WAN96" s="80"/>
      <c r="WAO96" s="80"/>
      <c r="WAP96" s="80"/>
      <c r="WAQ96" s="80"/>
      <c r="WAR96" s="80"/>
      <c r="WAS96" s="80"/>
      <c r="WAT96" s="80"/>
      <c r="WAU96" s="80"/>
      <c r="WAV96" s="80"/>
      <c r="WAW96" s="80"/>
      <c r="WAX96" s="80"/>
      <c r="WAY96" s="80"/>
      <c r="WAZ96" s="80"/>
      <c r="WBA96" s="80"/>
      <c r="WBB96" s="80"/>
      <c r="WBC96" s="80"/>
      <c r="WBD96" s="80"/>
      <c r="WBE96" s="80"/>
      <c r="WBF96" s="80"/>
      <c r="WBG96" s="80"/>
      <c r="WBH96" s="80"/>
      <c r="WBI96" s="80"/>
      <c r="WBJ96" s="80"/>
      <c r="WBK96" s="80"/>
      <c r="WBL96" s="80"/>
      <c r="WBM96" s="80"/>
      <c r="WBN96" s="80"/>
      <c r="WBO96" s="80"/>
      <c r="WBP96" s="80"/>
      <c r="WBQ96" s="80"/>
      <c r="WBR96" s="80"/>
      <c r="WBS96" s="80"/>
      <c r="WBT96" s="80"/>
      <c r="WBU96" s="80"/>
      <c r="WBV96" s="80"/>
      <c r="WBW96" s="80"/>
      <c r="WBX96" s="80"/>
      <c r="WBY96" s="80"/>
      <c r="WBZ96" s="80"/>
      <c r="WCA96" s="80"/>
      <c r="WCB96" s="80"/>
      <c r="WCC96" s="80"/>
      <c r="WCD96" s="80"/>
      <c r="WCE96" s="80"/>
      <c r="WCF96" s="80"/>
      <c r="WCG96" s="80"/>
      <c r="WCH96" s="80"/>
      <c r="WCI96" s="80"/>
      <c r="WCJ96" s="80"/>
      <c r="WCK96" s="80"/>
      <c r="WCL96" s="80"/>
      <c r="WCM96" s="80"/>
      <c r="WCN96" s="80"/>
      <c r="WCO96" s="80"/>
      <c r="WCP96" s="80"/>
      <c r="WCQ96" s="80"/>
      <c r="WCR96" s="80"/>
      <c r="WCS96" s="80"/>
      <c r="WCT96" s="80"/>
      <c r="WCU96" s="80"/>
      <c r="WCV96" s="80"/>
      <c r="WCW96" s="80"/>
      <c r="WCX96" s="80"/>
      <c r="WCY96" s="80"/>
      <c r="WCZ96" s="80"/>
      <c r="WDA96" s="80"/>
      <c r="WDB96" s="80"/>
      <c r="WDC96" s="80"/>
      <c r="WDD96" s="80"/>
      <c r="WDE96" s="80"/>
      <c r="WDF96" s="80"/>
      <c r="WDG96" s="80"/>
      <c r="WDH96" s="80"/>
      <c r="WDI96" s="80"/>
      <c r="WDJ96" s="80"/>
      <c r="WDK96" s="80"/>
      <c r="WDL96" s="80"/>
      <c r="WDM96" s="80"/>
      <c r="WDN96" s="80"/>
      <c r="WDO96" s="80"/>
      <c r="WDP96" s="80"/>
      <c r="WDQ96" s="80"/>
      <c r="WDR96" s="80"/>
      <c r="WDS96" s="80"/>
      <c r="WDT96" s="80"/>
      <c r="WDU96" s="80"/>
      <c r="WDV96" s="80"/>
      <c r="WDW96" s="80"/>
      <c r="WDX96" s="80"/>
      <c r="WDY96" s="80"/>
      <c r="WDZ96" s="80"/>
      <c r="WEA96" s="80"/>
      <c r="WEB96" s="80"/>
      <c r="WEC96" s="80"/>
      <c r="WED96" s="80"/>
      <c r="WEE96" s="80"/>
      <c r="WEF96" s="80"/>
      <c r="WEG96" s="80"/>
      <c r="WEH96" s="80"/>
      <c r="WEI96" s="80"/>
      <c r="WEJ96" s="80"/>
      <c r="WEK96" s="80"/>
      <c r="WEL96" s="80"/>
      <c r="WEM96" s="80"/>
      <c r="WEN96" s="80"/>
      <c r="WEO96" s="80"/>
      <c r="WEP96" s="80"/>
      <c r="WEQ96" s="80"/>
      <c r="WER96" s="80"/>
      <c r="WES96" s="80"/>
      <c r="WET96" s="80"/>
      <c r="WEU96" s="80"/>
      <c r="WEV96" s="80"/>
      <c r="WEW96" s="80"/>
      <c r="WEX96" s="80"/>
      <c r="WEY96" s="80"/>
      <c r="WEZ96" s="80"/>
      <c r="WFA96" s="80"/>
      <c r="WFB96" s="80"/>
      <c r="WFC96" s="80"/>
      <c r="WFD96" s="80"/>
      <c r="WFE96" s="80"/>
      <c r="WFF96" s="80"/>
      <c r="WFG96" s="80"/>
      <c r="WFH96" s="80"/>
      <c r="WFI96" s="80"/>
      <c r="WFJ96" s="80"/>
      <c r="WFK96" s="80"/>
      <c r="WFL96" s="80"/>
      <c r="WFM96" s="80"/>
      <c r="WFN96" s="80"/>
      <c r="WFO96" s="80"/>
      <c r="WFP96" s="80"/>
      <c r="WFQ96" s="80"/>
      <c r="WFR96" s="80"/>
      <c r="WFS96" s="80"/>
      <c r="WFT96" s="80"/>
      <c r="WFU96" s="80"/>
      <c r="WFV96" s="80"/>
      <c r="WFW96" s="80"/>
      <c r="WFX96" s="80"/>
      <c r="WFY96" s="80"/>
      <c r="WFZ96" s="80"/>
      <c r="WGA96" s="80"/>
      <c r="WGB96" s="80"/>
      <c r="WGC96" s="80"/>
      <c r="WGD96" s="80"/>
      <c r="WGE96" s="80"/>
      <c r="WGF96" s="80"/>
      <c r="WGG96" s="80"/>
      <c r="WGH96" s="80"/>
      <c r="WGI96" s="80"/>
      <c r="WGJ96" s="80"/>
      <c r="WGK96" s="80"/>
      <c r="WGL96" s="80"/>
      <c r="WGM96" s="80"/>
      <c r="WGN96" s="80"/>
      <c r="WGO96" s="80"/>
      <c r="WGP96" s="80"/>
      <c r="WGQ96" s="80"/>
      <c r="WGR96" s="80"/>
      <c r="WGS96" s="80"/>
      <c r="WGT96" s="80"/>
      <c r="WGU96" s="80"/>
      <c r="WGV96" s="80"/>
      <c r="WGW96" s="80"/>
      <c r="WGX96" s="80"/>
      <c r="WGY96" s="80"/>
      <c r="WGZ96" s="80"/>
      <c r="WHA96" s="80"/>
      <c r="WHB96" s="80"/>
      <c r="WHC96" s="80"/>
      <c r="WHD96" s="80"/>
      <c r="WHE96" s="80"/>
      <c r="WHF96" s="80"/>
      <c r="WHG96" s="80"/>
      <c r="WHH96" s="80"/>
      <c r="WHI96" s="80"/>
      <c r="WHJ96" s="80"/>
      <c r="WHK96" s="80"/>
      <c r="WHL96" s="80"/>
      <c r="WHM96" s="80"/>
      <c r="WHN96" s="80"/>
      <c r="WHO96" s="80"/>
      <c r="WHP96" s="80"/>
      <c r="WHQ96" s="80"/>
      <c r="WHR96" s="80"/>
      <c r="WHS96" s="80"/>
      <c r="WHT96" s="80"/>
      <c r="WHU96" s="80"/>
      <c r="WHV96" s="80"/>
      <c r="WHW96" s="80"/>
      <c r="WHX96" s="80"/>
      <c r="WHY96" s="80"/>
      <c r="WHZ96" s="80"/>
      <c r="WIA96" s="80"/>
      <c r="WIB96" s="80"/>
      <c r="WIC96" s="80"/>
      <c r="WID96" s="80"/>
      <c r="WIE96" s="80"/>
      <c r="WIF96" s="80"/>
      <c r="WIG96" s="80"/>
      <c r="WIH96" s="80"/>
      <c r="WII96" s="80"/>
      <c r="WIJ96" s="80"/>
      <c r="WIK96" s="80"/>
      <c r="WIL96" s="80"/>
      <c r="WIM96" s="80"/>
      <c r="WIN96" s="80"/>
      <c r="WIO96" s="80"/>
      <c r="WIP96" s="80"/>
      <c r="WIQ96" s="80"/>
      <c r="WIR96" s="80"/>
      <c r="WIS96" s="80"/>
      <c r="WIT96" s="80"/>
      <c r="WIU96" s="80"/>
      <c r="WIV96" s="80"/>
      <c r="WIW96" s="80"/>
      <c r="WIX96" s="80"/>
      <c r="WIY96" s="80"/>
      <c r="WIZ96" s="80"/>
      <c r="WJA96" s="80"/>
      <c r="WJB96" s="80"/>
      <c r="WJC96" s="80"/>
      <c r="WJD96" s="80"/>
      <c r="WJE96" s="80"/>
      <c r="WJF96" s="80"/>
      <c r="WJG96" s="80"/>
      <c r="WJH96" s="80"/>
      <c r="WJI96" s="80"/>
      <c r="WJJ96" s="80"/>
      <c r="WJK96" s="80"/>
      <c r="WJL96" s="80"/>
      <c r="WJM96" s="80"/>
      <c r="WJN96" s="80"/>
      <c r="WJO96" s="80"/>
      <c r="WJP96" s="80"/>
      <c r="WJQ96" s="80"/>
      <c r="WJR96" s="80"/>
      <c r="WJS96" s="80"/>
      <c r="WJT96" s="80"/>
      <c r="WJU96" s="80"/>
      <c r="WJV96" s="80"/>
      <c r="WJW96" s="80"/>
      <c r="WJX96" s="80"/>
      <c r="WJY96" s="80"/>
      <c r="WJZ96" s="80"/>
      <c r="WKA96" s="80"/>
      <c r="WKB96" s="80"/>
      <c r="WKC96" s="80"/>
      <c r="WKD96" s="80"/>
      <c r="WKE96" s="80"/>
      <c r="WKF96" s="80"/>
      <c r="WKG96" s="80"/>
      <c r="WKH96" s="80"/>
      <c r="WKI96" s="80"/>
      <c r="WKJ96" s="80"/>
      <c r="WKK96" s="80"/>
      <c r="WKL96" s="80"/>
      <c r="WKM96" s="80"/>
      <c r="WKN96" s="80"/>
      <c r="WKO96" s="80"/>
      <c r="WKP96" s="80"/>
      <c r="WKQ96" s="80"/>
      <c r="WKR96" s="80"/>
      <c r="WKS96" s="80"/>
      <c r="WKT96" s="80"/>
      <c r="WKU96" s="80"/>
      <c r="WKV96" s="80"/>
      <c r="WKW96" s="80"/>
      <c r="WKX96" s="80"/>
      <c r="WKY96" s="80"/>
      <c r="WKZ96" s="80"/>
      <c r="WLA96" s="80"/>
      <c r="WLB96" s="80"/>
      <c r="WLC96" s="80"/>
      <c r="WLD96" s="80"/>
      <c r="WLE96" s="80"/>
      <c r="WLF96" s="80"/>
      <c r="WLG96" s="80"/>
      <c r="WLH96" s="80"/>
      <c r="WLI96" s="80"/>
      <c r="WLJ96" s="80"/>
      <c r="WLK96" s="80"/>
      <c r="WLL96" s="80"/>
      <c r="WLM96" s="80"/>
      <c r="WLN96" s="80"/>
      <c r="WLO96" s="80"/>
      <c r="WLP96" s="80"/>
      <c r="WLQ96" s="80"/>
      <c r="WLR96" s="80"/>
      <c r="WLS96" s="80"/>
      <c r="WLT96" s="80"/>
      <c r="WLU96" s="80"/>
      <c r="WLV96" s="80"/>
      <c r="WLW96" s="80"/>
      <c r="WLX96" s="80"/>
      <c r="WLY96" s="80"/>
      <c r="WLZ96" s="80"/>
      <c r="WMA96" s="80"/>
      <c r="WMB96" s="80"/>
      <c r="WMC96" s="80"/>
      <c r="WMD96" s="80"/>
      <c r="WME96" s="80"/>
      <c r="WMF96" s="80"/>
      <c r="WMG96" s="80"/>
      <c r="WMH96" s="80"/>
      <c r="WMI96" s="80"/>
      <c r="WMJ96" s="80"/>
      <c r="WMK96" s="80"/>
      <c r="WML96" s="80"/>
      <c r="WMM96" s="80"/>
      <c r="WMN96" s="80"/>
      <c r="WMO96" s="80"/>
      <c r="WMP96" s="80"/>
      <c r="WMQ96" s="80"/>
      <c r="WMR96" s="80"/>
      <c r="WMS96" s="80"/>
      <c r="WMT96" s="80"/>
      <c r="WMU96" s="80"/>
      <c r="WMV96" s="80"/>
      <c r="WMW96" s="80"/>
      <c r="WMX96" s="80"/>
      <c r="WMY96" s="80"/>
      <c r="WMZ96" s="80"/>
      <c r="WNA96" s="80"/>
      <c r="WNB96" s="80"/>
      <c r="WNC96" s="80"/>
      <c r="WND96" s="80"/>
      <c r="WNE96" s="80"/>
      <c r="WNF96" s="80"/>
      <c r="WNG96" s="80"/>
      <c r="WNH96" s="80"/>
      <c r="WNI96" s="80"/>
      <c r="WNJ96" s="80"/>
      <c r="WNK96" s="80"/>
      <c r="WNL96" s="80"/>
      <c r="WNM96" s="80"/>
      <c r="WNN96" s="80"/>
      <c r="WNO96" s="80"/>
      <c r="WNP96" s="80"/>
      <c r="WNQ96" s="80"/>
      <c r="WNR96" s="80"/>
      <c r="WNS96" s="80"/>
      <c r="WNT96" s="80"/>
      <c r="WNU96" s="80"/>
      <c r="WNV96" s="80"/>
      <c r="WNW96" s="80"/>
      <c r="WNX96" s="80"/>
      <c r="WNY96" s="80"/>
      <c r="WNZ96" s="80"/>
      <c r="WOA96" s="80"/>
      <c r="WOB96" s="80"/>
      <c r="WOC96" s="80"/>
      <c r="WOD96" s="80"/>
      <c r="WOE96" s="80"/>
      <c r="WOF96" s="80"/>
      <c r="WOG96" s="80"/>
      <c r="WOH96" s="80"/>
      <c r="WOI96" s="80"/>
      <c r="WOJ96" s="80"/>
      <c r="WOK96" s="80"/>
      <c r="WOL96" s="80"/>
      <c r="WOM96" s="80"/>
      <c r="WON96" s="80"/>
      <c r="WOO96" s="80"/>
      <c r="WOP96" s="80"/>
      <c r="WOQ96" s="80"/>
      <c r="WOR96" s="80"/>
      <c r="WOS96" s="80"/>
      <c r="WOT96" s="80"/>
      <c r="WOU96" s="80"/>
      <c r="WOV96" s="80"/>
      <c r="WOW96" s="80"/>
      <c r="WOX96" s="80"/>
      <c r="WOY96" s="80"/>
      <c r="WOZ96" s="80"/>
      <c r="WPA96" s="80"/>
      <c r="WPB96" s="80"/>
      <c r="WPC96" s="80"/>
      <c r="WPD96" s="80"/>
      <c r="WPE96" s="80"/>
      <c r="WPF96" s="80"/>
      <c r="WPG96" s="80"/>
      <c r="WPH96" s="80"/>
      <c r="WPI96" s="80"/>
      <c r="WPJ96" s="80"/>
      <c r="WPK96" s="80"/>
      <c r="WPL96" s="80"/>
      <c r="WPM96" s="80"/>
      <c r="WPN96" s="80"/>
      <c r="WPO96" s="80"/>
      <c r="WPP96" s="80"/>
      <c r="WPQ96" s="80"/>
      <c r="WPR96" s="80"/>
      <c r="WPS96" s="80"/>
      <c r="WPT96" s="80"/>
      <c r="WPU96" s="80"/>
      <c r="WPV96" s="80"/>
      <c r="WPW96" s="80"/>
      <c r="WPX96" s="80"/>
      <c r="WPY96" s="80"/>
      <c r="WPZ96" s="80"/>
      <c r="WQA96" s="80"/>
      <c r="WQB96" s="80"/>
      <c r="WQC96" s="80"/>
      <c r="WQD96" s="80"/>
      <c r="WQE96" s="80"/>
      <c r="WQF96" s="80"/>
      <c r="WQG96" s="80"/>
      <c r="WQH96" s="80"/>
      <c r="WQI96" s="80"/>
      <c r="WQJ96" s="80"/>
      <c r="WQK96" s="80"/>
      <c r="WQL96" s="80"/>
      <c r="WQM96" s="80"/>
      <c r="WQN96" s="80"/>
      <c r="WQO96" s="80"/>
      <c r="WQP96" s="80"/>
      <c r="WQQ96" s="80"/>
      <c r="WQR96" s="80"/>
      <c r="WQS96" s="80"/>
      <c r="WQT96" s="80"/>
      <c r="WQU96" s="80"/>
      <c r="WQV96" s="80"/>
      <c r="WQW96" s="80"/>
      <c r="WQX96" s="80"/>
      <c r="WQY96" s="80"/>
      <c r="WQZ96" s="80"/>
      <c r="WRA96" s="80"/>
      <c r="WRB96" s="80"/>
      <c r="WRC96" s="80"/>
      <c r="WRD96" s="80"/>
      <c r="WRE96" s="80"/>
      <c r="WRF96" s="80"/>
      <c r="WRG96" s="80"/>
      <c r="WRH96" s="80"/>
      <c r="WRI96" s="80"/>
      <c r="WRJ96" s="80"/>
      <c r="WRK96" s="80"/>
      <c r="WRL96" s="80"/>
      <c r="WRM96" s="80"/>
      <c r="WRN96" s="80"/>
      <c r="WRO96" s="80"/>
      <c r="WRP96" s="80"/>
      <c r="WRQ96" s="80"/>
      <c r="WRR96" s="80"/>
      <c r="WRS96" s="80"/>
      <c r="WRT96" s="80"/>
      <c r="WRU96" s="80"/>
      <c r="WRV96" s="80"/>
      <c r="WRW96" s="80"/>
      <c r="WRX96" s="80"/>
      <c r="WRY96" s="80"/>
      <c r="WRZ96" s="80"/>
      <c r="WSA96" s="80"/>
      <c r="WSB96" s="80"/>
      <c r="WSC96" s="80"/>
      <c r="WSD96" s="80"/>
      <c r="WSE96" s="80"/>
      <c r="WSF96" s="80"/>
      <c r="WSG96" s="80"/>
      <c r="WSH96" s="80"/>
      <c r="WSI96" s="80"/>
      <c r="WSJ96" s="80"/>
      <c r="WSK96" s="80"/>
      <c r="WSL96" s="80"/>
      <c r="WSM96" s="80"/>
      <c r="WSN96" s="80"/>
      <c r="WSO96" s="80"/>
      <c r="WSP96" s="80"/>
      <c r="WSQ96" s="80"/>
      <c r="WSR96" s="80"/>
      <c r="WSS96" s="80"/>
      <c r="WST96" s="80"/>
      <c r="WSU96" s="80"/>
      <c r="WSV96" s="80"/>
      <c r="WSW96" s="80"/>
      <c r="WSX96" s="80"/>
      <c r="WSY96" s="80"/>
      <c r="WSZ96" s="80"/>
      <c r="WTA96" s="80"/>
      <c r="WTB96" s="80"/>
      <c r="WTC96" s="80"/>
      <c r="WTD96" s="80"/>
      <c r="WTE96" s="80"/>
      <c r="WTF96" s="80"/>
      <c r="WTG96" s="80"/>
      <c r="WTH96" s="80"/>
      <c r="WTI96" s="80"/>
      <c r="WTJ96" s="80"/>
      <c r="WTK96" s="80"/>
      <c r="WTL96" s="80"/>
      <c r="WTM96" s="80"/>
      <c r="WTN96" s="80"/>
      <c r="WTO96" s="80"/>
      <c r="WTP96" s="80"/>
      <c r="WTQ96" s="80"/>
      <c r="WTR96" s="80"/>
      <c r="WTS96" s="80"/>
      <c r="WTT96" s="80"/>
      <c r="WTU96" s="80"/>
      <c r="WTV96" s="80"/>
      <c r="WTW96" s="80"/>
      <c r="WTX96" s="80"/>
      <c r="WTY96" s="80"/>
      <c r="WTZ96" s="80"/>
      <c r="WUA96" s="80"/>
      <c r="WUB96" s="80"/>
      <c r="WUC96" s="80"/>
      <c r="WUD96" s="80"/>
      <c r="WUE96" s="80"/>
      <c r="WUF96" s="80"/>
      <c r="WUG96" s="80"/>
      <c r="WUH96" s="80"/>
      <c r="WUI96" s="80"/>
      <c r="WUJ96" s="80"/>
      <c r="WUK96" s="80"/>
      <c r="WUL96" s="80"/>
      <c r="WUM96" s="80"/>
      <c r="WUN96" s="80"/>
      <c r="WUO96" s="80"/>
      <c r="WUP96" s="80"/>
      <c r="WUQ96" s="80"/>
      <c r="WUR96" s="80"/>
      <c r="WUS96" s="80"/>
      <c r="WUT96" s="80"/>
      <c r="WUU96" s="80"/>
      <c r="WUV96" s="80"/>
      <c r="WUW96" s="80"/>
      <c r="WUX96" s="80"/>
      <c r="WUY96" s="80"/>
      <c r="WUZ96" s="80"/>
      <c r="WVA96" s="80"/>
      <c r="WVB96" s="80"/>
      <c r="WVC96" s="80"/>
      <c r="WVD96" s="80"/>
      <c r="WVE96" s="80"/>
      <c r="WVF96" s="80"/>
      <c r="WVG96" s="80"/>
      <c r="WVH96" s="80"/>
      <c r="WVI96" s="80"/>
      <c r="WVJ96" s="80"/>
      <c r="WVK96" s="80"/>
      <c r="WVL96" s="80"/>
      <c r="WVM96" s="80"/>
      <c r="WVN96" s="80"/>
      <c r="WVO96" s="80"/>
      <c r="WVP96" s="80"/>
      <c r="WVQ96" s="80"/>
      <c r="WVR96" s="80"/>
      <c r="WVS96" s="80"/>
      <c r="WVT96" s="80"/>
      <c r="WVU96" s="80"/>
      <c r="WVV96" s="80"/>
      <c r="WVW96" s="80"/>
      <c r="WVX96" s="80"/>
      <c r="WVY96" s="80"/>
      <c r="WVZ96" s="80"/>
      <c r="WWA96" s="80"/>
      <c r="WWB96" s="80"/>
      <c r="WWC96" s="80"/>
      <c r="WWD96" s="80"/>
      <c r="WWE96" s="80"/>
      <c r="WWF96" s="80"/>
      <c r="WWG96" s="80"/>
      <c r="WWH96" s="80"/>
      <c r="WWI96" s="80"/>
      <c r="WWJ96" s="80"/>
      <c r="WWK96" s="80"/>
      <c r="WWL96" s="80"/>
      <c r="WWM96" s="80"/>
      <c r="WWN96" s="80"/>
      <c r="WWO96" s="80"/>
      <c r="WWP96" s="80"/>
      <c r="WWQ96" s="80"/>
      <c r="WWR96" s="80"/>
      <c r="WWS96" s="80"/>
      <c r="WWT96" s="80"/>
      <c r="WWU96" s="80"/>
      <c r="WWV96" s="80"/>
      <c r="WWW96" s="80"/>
      <c r="WWX96" s="80"/>
      <c r="WWY96" s="80"/>
      <c r="WWZ96" s="80"/>
      <c r="WXA96" s="80"/>
      <c r="WXB96" s="80"/>
      <c r="WXC96" s="80"/>
      <c r="WXD96" s="80"/>
      <c r="WXE96" s="80"/>
      <c r="WXF96" s="80"/>
      <c r="WXG96" s="80"/>
      <c r="WXH96" s="80"/>
      <c r="WXI96" s="80"/>
      <c r="WXJ96" s="80"/>
      <c r="WXK96" s="80"/>
      <c r="WXL96" s="80"/>
      <c r="WXM96" s="80"/>
      <c r="WXN96" s="80"/>
      <c r="WXO96" s="80"/>
      <c r="WXP96" s="80"/>
      <c r="WXQ96" s="80"/>
      <c r="WXR96" s="80"/>
      <c r="WXS96" s="80"/>
      <c r="WXT96" s="80"/>
      <c r="WXU96" s="80"/>
      <c r="WXV96" s="80"/>
      <c r="WXW96" s="80"/>
      <c r="WXX96" s="80"/>
      <c r="WXY96" s="80"/>
      <c r="WXZ96" s="80"/>
      <c r="WYA96" s="80"/>
      <c r="WYB96" s="80"/>
      <c r="WYC96" s="80"/>
      <c r="WYD96" s="80"/>
      <c r="WYE96" s="80"/>
      <c r="WYF96" s="80"/>
      <c r="WYG96" s="80"/>
      <c r="WYH96" s="80"/>
      <c r="WYI96" s="80"/>
      <c r="WYJ96" s="80"/>
      <c r="WYK96" s="80"/>
      <c r="WYL96" s="80"/>
      <c r="WYM96" s="80"/>
      <c r="WYN96" s="80"/>
      <c r="WYO96" s="80"/>
      <c r="WYP96" s="80"/>
      <c r="WYQ96" s="80"/>
      <c r="WYR96" s="80"/>
      <c r="WYS96" s="80"/>
      <c r="WYT96" s="80"/>
      <c r="WYU96" s="80"/>
      <c r="WYV96" s="80"/>
      <c r="WYW96" s="80"/>
      <c r="WYX96" s="80"/>
      <c r="WYY96" s="80"/>
      <c r="WYZ96" s="80"/>
      <c r="WZA96" s="80"/>
      <c r="WZB96" s="80"/>
      <c r="WZC96" s="80"/>
      <c r="WZD96" s="80"/>
      <c r="WZE96" s="80"/>
      <c r="WZF96" s="80"/>
      <c r="WZG96" s="80"/>
      <c r="WZH96" s="80"/>
      <c r="WZI96" s="80"/>
      <c r="WZJ96" s="80"/>
      <c r="WZK96" s="80"/>
      <c r="WZL96" s="80"/>
      <c r="WZM96" s="80"/>
      <c r="WZN96" s="80"/>
      <c r="WZO96" s="80"/>
      <c r="WZP96" s="80"/>
      <c r="WZQ96" s="80"/>
      <c r="WZR96" s="80"/>
      <c r="WZS96" s="80"/>
      <c r="WZT96" s="80"/>
      <c r="WZU96" s="80"/>
      <c r="WZV96" s="80"/>
      <c r="WZW96" s="80"/>
      <c r="WZX96" s="80"/>
      <c r="WZY96" s="80"/>
      <c r="WZZ96" s="80"/>
      <c r="XAA96" s="80"/>
      <c r="XAB96" s="80"/>
      <c r="XAC96" s="80"/>
      <c r="XAD96" s="80"/>
      <c r="XAE96" s="80"/>
      <c r="XAF96" s="80"/>
      <c r="XAG96" s="80"/>
      <c r="XAH96" s="80"/>
      <c r="XAI96" s="80"/>
      <c r="XAJ96" s="80"/>
      <c r="XAK96" s="80"/>
      <c r="XAL96" s="80"/>
      <c r="XAM96" s="80"/>
      <c r="XAN96" s="80"/>
      <c r="XAO96" s="80"/>
      <c r="XAP96" s="80"/>
      <c r="XAQ96" s="80"/>
      <c r="XAR96" s="80"/>
      <c r="XAS96" s="80"/>
      <c r="XAT96" s="80"/>
      <c r="XAU96" s="80"/>
      <c r="XAV96" s="80"/>
      <c r="XAW96" s="80"/>
      <c r="XAX96" s="80"/>
      <c r="XAY96" s="80"/>
      <c r="XAZ96" s="80"/>
      <c r="XBA96" s="80"/>
      <c r="XBB96" s="80"/>
      <c r="XBC96" s="80"/>
      <c r="XBD96" s="80"/>
      <c r="XBE96" s="80"/>
      <c r="XBF96" s="80"/>
      <c r="XBG96" s="80"/>
      <c r="XBH96" s="80"/>
      <c r="XBI96" s="80"/>
      <c r="XBJ96" s="80"/>
      <c r="XBK96" s="80"/>
      <c r="XBL96" s="80"/>
      <c r="XBM96" s="80"/>
      <c r="XBN96" s="80"/>
      <c r="XBO96" s="80"/>
      <c r="XBP96" s="80"/>
      <c r="XBQ96" s="80"/>
      <c r="XBR96" s="80"/>
      <c r="XBS96" s="80"/>
      <c r="XBT96" s="80"/>
    </row>
    <row r="97" customHeight="1" spans="1:1024 1025:16349">
      <c r="B97" s="54"/>
      <c r="C97" s="55"/>
      <c r="D97" s="55"/>
      <c r="E97" s="54"/>
      <c r="F97" s="56"/>
      <c r="G97" s="68">
        <v>0</v>
      </c>
      <c r="H97" s="25">
        <f t="shared" si="1"/>
        <v>0</v>
      </c>
    </row>
    <row r="98" s="4" customFormat="1" customHeight="1" spans="1:1024 1025:16349">
      <c r="A98" s="81"/>
      <c r="B98" s="58" t="s">
        <v>265</v>
      </c>
      <c r="C98" s="59" t="s">
        <v>266</v>
      </c>
      <c r="D98" s="60" t="s">
        <v>267</v>
      </c>
      <c r="E98" s="61"/>
      <c r="F98" s="62"/>
      <c r="G98" s="68">
        <v>0</v>
      </c>
      <c r="H98" s="25">
        <f t="shared" si="1"/>
        <v>0</v>
      </c>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c r="HE98" s="2"/>
      <c r="HF98" s="2"/>
      <c r="HG98" s="2"/>
      <c r="HH98" s="2"/>
      <c r="HI98" s="2"/>
      <c r="HJ98" s="2"/>
      <c r="HK98" s="2"/>
      <c r="HL98" s="2"/>
      <c r="HM98" s="2"/>
      <c r="HN98" s="2"/>
      <c r="HO98" s="2"/>
      <c r="HP98" s="2"/>
      <c r="HQ98" s="2"/>
      <c r="HR98" s="2"/>
      <c r="HS98" s="2"/>
      <c r="HT98" s="2"/>
      <c r="HU98" s="2"/>
      <c r="HV98" s="2"/>
      <c r="HW98" s="2"/>
      <c r="HX98" s="2"/>
      <c r="HY98" s="2"/>
      <c r="HZ98" s="2"/>
      <c r="IA98" s="2"/>
      <c r="IB98" s="2"/>
      <c r="IC98" s="2"/>
      <c r="ID98" s="2"/>
      <c r="IE98" s="2"/>
      <c r="IF98" s="2"/>
      <c r="IG98" s="2"/>
      <c r="IH98" s="2"/>
      <c r="II98" s="2"/>
      <c r="IJ98" s="2"/>
      <c r="IK98" s="2"/>
      <c r="IL98" s="2"/>
      <c r="IM98" s="2"/>
      <c r="IN98" s="2"/>
      <c r="IO98" s="2"/>
      <c r="IP98" s="2"/>
      <c r="IQ98" s="2"/>
      <c r="IR98" s="2"/>
      <c r="IS98" s="2"/>
      <c r="IT98" s="2"/>
      <c r="IU98" s="2"/>
      <c r="IV98" s="2"/>
      <c r="IW98" s="2"/>
      <c r="IX98" s="2"/>
      <c r="IY98" s="2"/>
      <c r="IZ98" s="2"/>
      <c r="JA98" s="2"/>
      <c r="JB98" s="2"/>
      <c r="JC98" s="2"/>
      <c r="JD98" s="2"/>
      <c r="JE98" s="2"/>
      <c r="JF98" s="2"/>
      <c r="JG98" s="2"/>
      <c r="JH98" s="2"/>
      <c r="JI98" s="2"/>
      <c r="JJ98" s="2"/>
      <c r="JK98" s="2"/>
      <c r="JL98" s="2"/>
      <c r="JM98" s="2"/>
      <c r="JN98" s="2"/>
      <c r="JO98" s="2"/>
      <c r="JP98" s="2"/>
      <c r="JQ98" s="2"/>
      <c r="JR98" s="2"/>
      <c r="JS98" s="2"/>
      <c r="JT98" s="2"/>
      <c r="JU98" s="2"/>
      <c r="JV98" s="2"/>
      <c r="JW98" s="2"/>
      <c r="JX98" s="2"/>
      <c r="JY98" s="2"/>
      <c r="JZ98" s="2"/>
      <c r="KA98" s="2"/>
      <c r="KB98" s="2"/>
      <c r="KC98" s="2"/>
      <c r="KD98" s="2"/>
      <c r="KE98" s="2"/>
      <c r="KF98" s="2"/>
      <c r="KG98" s="2"/>
      <c r="KH98" s="2"/>
      <c r="KI98" s="2"/>
      <c r="KJ98" s="2"/>
      <c r="KK98" s="2"/>
      <c r="KL98" s="2"/>
      <c r="KM98" s="2"/>
      <c r="KN98" s="2"/>
      <c r="KO98" s="2"/>
      <c r="KP98" s="2"/>
      <c r="KQ98" s="2"/>
      <c r="KR98" s="2"/>
      <c r="KS98" s="2"/>
      <c r="KT98" s="2"/>
      <c r="KU98" s="2"/>
      <c r="KV98" s="2"/>
      <c r="KW98" s="2"/>
      <c r="KX98" s="2"/>
      <c r="KY98" s="2"/>
      <c r="KZ98" s="2"/>
      <c r="LA98" s="2"/>
      <c r="LB98" s="2"/>
      <c r="LC98" s="2"/>
      <c r="LD98" s="2"/>
      <c r="LE98" s="2"/>
      <c r="LF98" s="2"/>
      <c r="LG98" s="2"/>
      <c r="LH98" s="2"/>
      <c r="LI98" s="2"/>
      <c r="LJ98" s="2"/>
      <c r="LK98" s="2"/>
      <c r="LL98" s="2"/>
      <c r="LM98" s="2"/>
      <c r="LN98" s="2"/>
      <c r="LO98" s="2"/>
      <c r="LP98" s="2"/>
      <c r="LQ98" s="2"/>
      <c r="LR98" s="2"/>
      <c r="LS98" s="2"/>
      <c r="LT98" s="2"/>
      <c r="LU98" s="2"/>
      <c r="LV98" s="2"/>
      <c r="LW98" s="2"/>
      <c r="LX98" s="2"/>
      <c r="LY98" s="2"/>
      <c r="LZ98" s="2"/>
      <c r="MA98" s="2"/>
      <c r="MB98" s="2"/>
      <c r="MC98" s="2"/>
      <c r="MD98" s="2"/>
      <c r="ME98" s="2"/>
      <c r="MF98" s="2"/>
      <c r="MG98" s="2"/>
      <c r="MH98" s="2"/>
      <c r="MI98" s="2"/>
      <c r="MJ98" s="2"/>
      <c r="MK98" s="2"/>
      <c r="ML98" s="2"/>
      <c r="MM98" s="2"/>
      <c r="MN98" s="2"/>
      <c r="MO98" s="2"/>
      <c r="MP98" s="2"/>
      <c r="MQ98" s="2"/>
      <c r="MR98" s="2"/>
      <c r="MS98" s="2"/>
      <c r="MT98" s="2"/>
      <c r="MU98" s="2"/>
      <c r="MV98" s="2"/>
      <c r="MW98" s="2"/>
      <c r="MX98" s="2"/>
      <c r="MY98" s="2"/>
      <c r="MZ98" s="2"/>
      <c r="NA98" s="2"/>
      <c r="NB98" s="2"/>
      <c r="NC98" s="2"/>
      <c r="ND98" s="2"/>
      <c r="NE98" s="2"/>
      <c r="NF98" s="2"/>
      <c r="NG98" s="2"/>
      <c r="NH98" s="2"/>
      <c r="NI98" s="2"/>
      <c r="NJ98" s="2"/>
      <c r="NK98" s="2"/>
      <c r="NL98" s="2"/>
      <c r="NM98" s="2"/>
      <c r="NN98" s="2"/>
      <c r="NO98" s="2"/>
      <c r="NP98" s="2"/>
      <c r="NQ98" s="2"/>
      <c r="NR98" s="2"/>
      <c r="NS98" s="2"/>
      <c r="NT98" s="2"/>
      <c r="NU98" s="2"/>
      <c r="NV98" s="2"/>
      <c r="NW98" s="2"/>
      <c r="NX98" s="2"/>
      <c r="NY98" s="2"/>
      <c r="NZ98" s="2"/>
      <c r="OA98" s="2"/>
      <c r="OB98" s="2"/>
      <c r="OC98" s="2"/>
      <c r="OD98" s="2"/>
      <c r="OE98" s="2"/>
      <c r="OF98" s="2"/>
      <c r="OG98" s="2"/>
      <c r="OH98" s="2"/>
      <c r="OI98" s="2"/>
      <c r="OJ98" s="2"/>
      <c r="OK98" s="2"/>
      <c r="OL98" s="2"/>
      <c r="OM98" s="2"/>
      <c r="ON98" s="2"/>
      <c r="OO98" s="2"/>
      <c r="OP98" s="2"/>
      <c r="OQ98" s="2"/>
      <c r="OR98" s="2"/>
      <c r="OS98" s="2"/>
      <c r="OT98" s="2"/>
      <c r="OU98" s="2"/>
      <c r="OV98" s="2"/>
      <c r="OW98" s="2"/>
      <c r="OX98" s="2"/>
      <c r="OY98" s="2"/>
      <c r="OZ98" s="2"/>
      <c r="PA98" s="2"/>
      <c r="PB98" s="2"/>
      <c r="PC98" s="2"/>
      <c r="PD98" s="2"/>
      <c r="PE98" s="2"/>
      <c r="PF98" s="2"/>
      <c r="PG98" s="2"/>
      <c r="PH98" s="2"/>
      <c r="PI98" s="2"/>
      <c r="PJ98" s="2"/>
      <c r="PK98" s="2"/>
      <c r="PL98" s="2"/>
      <c r="PM98" s="2"/>
      <c r="PN98" s="2"/>
      <c r="PO98" s="2"/>
      <c r="PP98" s="2"/>
      <c r="PQ98" s="2"/>
      <c r="PR98" s="2"/>
      <c r="PS98" s="2"/>
      <c r="PT98" s="2"/>
      <c r="PU98" s="2"/>
      <c r="PV98" s="2"/>
      <c r="PW98" s="2"/>
      <c r="PX98" s="2"/>
      <c r="PY98" s="2"/>
      <c r="PZ98" s="2"/>
      <c r="QA98" s="2"/>
      <c r="QB98" s="2"/>
      <c r="QC98" s="2"/>
      <c r="QD98" s="2"/>
      <c r="QE98" s="2"/>
      <c r="QF98" s="2"/>
      <c r="QG98" s="2"/>
      <c r="QH98" s="2"/>
      <c r="QI98" s="2"/>
      <c r="QJ98" s="2"/>
      <c r="QK98" s="2"/>
      <c r="QL98" s="2"/>
      <c r="QM98" s="2"/>
      <c r="QN98" s="2"/>
      <c r="QO98" s="2"/>
      <c r="QP98" s="2"/>
      <c r="QQ98" s="2"/>
      <c r="QR98" s="2"/>
      <c r="QS98" s="2"/>
      <c r="QT98" s="2"/>
      <c r="QU98" s="2"/>
      <c r="QV98" s="2"/>
      <c r="QW98" s="2"/>
      <c r="QX98" s="2"/>
      <c r="QY98" s="2"/>
      <c r="QZ98" s="2"/>
      <c r="RA98" s="2"/>
      <c r="RB98" s="2"/>
      <c r="RC98" s="2"/>
      <c r="RD98" s="2"/>
      <c r="RE98" s="2"/>
      <c r="RF98" s="2"/>
      <c r="RG98" s="2"/>
      <c r="RH98" s="2"/>
      <c r="RI98" s="2"/>
      <c r="RJ98" s="2"/>
      <c r="RK98" s="2"/>
      <c r="RL98" s="2"/>
      <c r="RM98" s="2"/>
      <c r="RN98" s="2"/>
      <c r="RO98" s="2"/>
      <c r="RP98" s="2"/>
      <c r="RQ98" s="2"/>
      <c r="RR98" s="2"/>
      <c r="RS98" s="2"/>
      <c r="RT98" s="2"/>
      <c r="RU98" s="2"/>
      <c r="RV98" s="2"/>
      <c r="RW98" s="2"/>
      <c r="RX98" s="2"/>
      <c r="RY98" s="2"/>
      <c r="RZ98" s="2"/>
      <c r="SA98" s="2"/>
      <c r="SB98" s="2"/>
      <c r="SC98" s="2"/>
      <c r="SD98" s="2"/>
      <c r="SE98" s="2"/>
      <c r="SF98" s="2"/>
      <c r="SG98" s="2"/>
      <c r="SH98" s="2"/>
      <c r="SI98" s="2"/>
      <c r="SJ98" s="2"/>
      <c r="SK98" s="2"/>
      <c r="SL98" s="2"/>
      <c r="SM98" s="2"/>
      <c r="SN98" s="2"/>
      <c r="SO98" s="2"/>
      <c r="SP98" s="2"/>
      <c r="SQ98" s="2"/>
      <c r="SR98" s="2"/>
      <c r="SS98" s="2"/>
      <c r="ST98" s="2"/>
      <c r="SU98" s="2"/>
      <c r="SV98" s="2"/>
      <c r="SW98" s="2"/>
      <c r="SX98" s="2"/>
      <c r="SY98" s="2"/>
      <c r="SZ98" s="2"/>
      <c r="TA98" s="2"/>
      <c r="TB98" s="2"/>
      <c r="TC98" s="2"/>
      <c r="TD98" s="2"/>
      <c r="TE98" s="2"/>
      <c r="TF98" s="2"/>
      <c r="TG98" s="2"/>
      <c r="TH98" s="2"/>
      <c r="TI98" s="2"/>
      <c r="TJ98" s="2"/>
      <c r="TK98" s="2"/>
      <c r="TL98" s="2"/>
      <c r="TM98" s="2"/>
      <c r="TN98" s="2"/>
      <c r="TO98" s="2"/>
      <c r="TP98" s="2"/>
      <c r="TQ98" s="2"/>
      <c r="TR98" s="2"/>
      <c r="TS98" s="2"/>
      <c r="TT98" s="2"/>
      <c r="TU98" s="2"/>
      <c r="TV98" s="2"/>
      <c r="TW98" s="2"/>
      <c r="TX98" s="2"/>
      <c r="TY98" s="2"/>
      <c r="TZ98" s="2"/>
      <c r="UA98" s="2"/>
      <c r="UB98" s="2"/>
      <c r="UC98" s="2"/>
      <c r="UD98" s="2"/>
      <c r="UE98" s="2"/>
      <c r="UF98" s="2"/>
      <c r="UG98" s="2"/>
      <c r="UH98" s="2"/>
      <c r="UI98" s="2"/>
      <c r="UJ98" s="2"/>
      <c r="UK98" s="2"/>
      <c r="UL98" s="2"/>
      <c r="UM98" s="2"/>
      <c r="UN98" s="2"/>
      <c r="UO98" s="2"/>
      <c r="UP98" s="2"/>
      <c r="UQ98" s="2"/>
      <c r="UR98" s="2"/>
      <c r="US98" s="2"/>
      <c r="UT98" s="2"/>
      <c r="UU98" s="2"/>
      <c r="UV98" s="2"/>
      <c r="UW98" s="2"/>
      <c r="UX98" s="2"/>
      <c r="UY98" s="2"/>
      <c r="UZ98" s="2"/>
      <c r="VA98" s="2"/>
      <c r="VB98" s="2"/>
      <c r="VC98" s="2"/>
      <c r="VD98" s="2"/>
      <c r="VE98" s="2"/>
      <c r="VF98" s="2"/>
      <c r="VG98" s="2"/>
      <c r="VH98" s="2"/>
      <c r="VI98" s="2"/>
      <c r="VJ98" s="2"/>
      <c r="VK98" s="2"/>
      <c r="VL98" s="2"/>
      <c r="VM98" s="2"/>
      <c r="VN98" s="2"/>
      <c r="VO98" s="2"/>
      <c r="VP98" s="2"/>
      <c r="VQ98" s="2"/>
      <c r="VR98" s="2"/>
      <c r="VS98" s="2"/>
      <c r="VT98" s="2"/>
      <c r="VU98" s="2"/>
      <c r="VV98" s="2"/>
      <c r="VW98" s="2"/>
      <c r="VX98" s="2"/>
      <c r="VY98" s="2"/>
      <c r="VZ98" s="2"/>
      <c r="WA98" s="2"/>
      <c r="WB98" s="2"/>
      <c r="WC98" s="2"/>
      <c r="WD98" s="2"/>
      <c r="WE98" s="2"/>
      <c r="WF98" s="2"/>
      <c r="WG98" s="2"/>
      <c r="WH98" s="2"/>
      <c r="WI98" s="2"/>
      <c r="WJ98" s="2"/>
      <c r="WK98" s="2"/>
      <c r="WL98" s="2"/>
      <c r="WM98" s="2"/>
      <c r="WN98" s="2"/>
      <c r="WO98" s="2"/>
      <c r="WP98" s="2"/>
      <c r="WQ98" s="2"/>
      <c r="WR98" s="2"/>
      <c r="WS98" s="2"/>
      <c r="WT98" s="2"/>
      <c r="WU98" s="2"/>
      <c r="WV98" s="2"/>
      <c r="WW98" s="2"/>
      <c r="WX98" s="2"/>
      <c r="WY98" s="2"/>
      <c r="WZ98" s="2"/>
      <c r="XA98" s="2"/>
      <c r="XB98" s="2"/>
      <c r="XC98" s="2"/>
      <c r="XD98" s="2"/>
      <c r="XE98" s="2"/>
      <c r="XF98" s="2"/>
      <c r="XG98" s="2"/>
      <c r="XH98" s="2"/>
      <c r="XI98" s="2"/>
      <c r="XJ98" s="2"/>
      <c r="XK98" s="2"/>
      <c r="XL98" s="2"/>
      <c r="XM98" s="2"/>
      <c r="XN98" s="2"/>
      <c r="XO98" s="2"/>
      <c r="XP98" s="2"/>
      <c r="XQ98" s="2"/>
      <c r="XR98" s="2"/>
      <c r="XS98" s="2"/>
      <c r="XT98" s="2"/>
      <c r="XU98" s="2"/>
      <c r="XV98" s="2"/>
      <c r="XW98" s="2"/>
      <c r="XX98" s="2"/>
      <c r="XY98" s="2"/>
      <c r="XZ98" s="2"/>
      <c r="YA98" s="2"/>
      <c r="YB98" s="2"/>
      <c r="YC98" s="2"/>
      <c r="YD98" s="2"/>
      <c r="YE98" s="2"/>
      <c r="YF98" s="2"/>
      <c r="YG98" s="2"/>
      <c r="YH98" s="2"/>
      <c r="YI98" s="2"/>
      <c r="YJ98" s="2"/>
      <c r="YK98" s="2"/>
      <c r="YL98" s="2"/>
      <c r="YM98" s="2"/>
      <c r="YN98" s="2"/>
      <c r="YO98" s="2"/>
      <c r="YP98" s="2"/>
      <c r="YQ98" s="2"/>
      <c r="YR98" s="2"/>
      <c r="YS98" s="2"/>
      <c r="YT98" s="2"/>
      <c r="YU98" s="2"/>
      <c r="YV98" s="2"/>
      <c r="YW98" s="2"/>
      <c r="YX98" s="2"/>
      <c r="YY98" s="2"/>
      <c r="YZ98" s="2"/>
      <c r="ZA98" s="2"/>
      <c r="ZB98" s="2"/>
      <c r="ZC98" s="2"/>
      <c r="ZD98" s="2"/>
      <c r="ZE98" s="2"/>
      <c r="ZF98" s="2"/>
      <c r="ZG98" s="2"/>
      <c r="ZH98" s="2"/>
      <c r="ZI98" s="2"/>
      <c r="ZJ98" s="2"/>
      <c r="ZK98" s="2"/>
      <c r="ZL98" s="2"/>
      <c r="ZM98" s="2"/>
      <c r="ZN98" s="2"/>
      <c r="ZO98" s="2"/>
      <c r="ZP98" s="2"/>
      <c r="ZQ98" s="2"/>
      <c r="ZR98" s="2"/>
      <c r="ZS98" s="2"/>
      <c r="ZT98" s="2"/>
      <c r="ZU98" s="2"/>
      <c r="ZV98" s="2"/>
      <c r="ZW98" s="2"/>
      <c r="ZX98" s="2"/>
      <c r="ZY98" s="2"/>
      <c r="ZZ98" s="2"/>
      <c r="AAA98" s="2"/>
      <c r="AAB98" s="2"/>
      <c r="AAC98" s="2"/>
      <c r="AAD98" s="2"/>
      <c r="AAE98" s="2"/>
      <c r="AAF98" s="2"/>
      <c r="AAG98" s="2"/>
      <c r="AAH98" s="2"/>
      <c r="AAI98" s="2"/>
      <c r="AAJ98" s="2"/>
      <c r="AAK98" s="2"/>
      <c r="AAL98" s="2"/>
      <c r="AAM98" s="2"/>
      <c r="AAN98" s="2"/>
      <c r="AAO98" s="2"/>
      <c r="AAP98" s="2"/>
      <c r="AAQ98" s="2"/>
      <c r="AAR98" s="2"/>
      <c r="AAS98" s="2"/>
      <c r="AAT98" s="2"/>
      <c r="AAU98" s="2"/>
      <c r="AAV98" s="2"/>
      <c r="AAW98" s="2"/>
      <c r="AAX98" s="2"/>
      <c r="AAY98" s="2"/>
      <c r="AAZ98" s="2"/>
      <c r="ABA98" s="2"/>
      <c r="ABB98" s="2"/>
      <c r="ABC98" s="2"/>
      <c r="ABD98" s="2"/>
      <c r="ABE98" s="2"/>
      <c r="ABF98" s="2"/>
      <c r="ABG98" s="2"/>
      <c r="ABH98" s="2"/>
      <c r="ABI98" s="2"/>
      <c r="ABJ98" s="2"/>
      <c r="ABK98" s="2"/>
      <c r="ABL98" s="2"/>
      <c r="ABM98" s="2"/>
      <c r="ABN98" s="2"/>
      <c r="ABO98" s="2"/>
      <c r="ABP98" s="2"/>
      <c r="ABQ98" s="2"/>
      <c r="ABR98" s="2"/>
      <c r="ABS98" s="2"/>
      <c r="ABT98" s="2"/>
      <c r="ABU98" s="2"/>
      <c r="ABV98" s="2"/>
      <c r="ABW98" s="2"/>
      <c r="ABX98" s="2"/>
      <c r="ABY98" s="2"/>
      <c r="ABZ98" s="2"/>
      <c r="ACA98" s="2"/>
      <c r="ACB98" s="2"/>
      <c r="ACC98" s="2"/>
      <c r="ACD98" s="2"/>
      <c r="ACE98" s="2"/>
      <c r="ACF98" s="2"/>
      <c r="ACG98" s="2"/>
      <c r="ACH98" s="2"/>
      <c r="ACI98" s="2"/>
      <c r="ACJ98" s="2"/>
      <c r="ACK98" s="2"/>
      <c r="ACL98" s="2"/>
      <c r="ACM98" s="2"/>
      <c r="ACN98" s="2"/>
      <c r="ACO98" s="2"/>
      <c r="ACP98" s="2"/>
      <c r="ACQ98" s="2"/>
      <c r="ACR98" s="2"/>
      <c r="ACS98" s="2"/>
      <c r="ACT98" s="2"/>
      <c r="ACU98" s="2"/>
      <c r="ACV98" s="2"/>
      <c r="ACW98" s="2"/>
      <c r="ACX98" s="2"/>
      <c r="ACY98" s="2"/>
      <c r="ACZ98" s="2"/>
      <c r="ADA98" s="2"/>
      <c r="ADB98" s="2"/>
      <c r="ADC98" s="2"/>
      <c r="ADD98" s="2"/>
      <c r="ADE98" s="2"/>
      <c r="ADF98" s="2"/>
      <c r="ADG98" s="2"/>
      <c r="ADH98" s="2"/>
      <c r="ADI98" s="2"/>
      <c r="ADJ98" s="2"/>
      <c r="ADK98" s="2"/>
      <c r="ADL98" s="2"/>
      <c r="ADM98" s="2"/>
      <c r="ADN98" s="2"/>
      <c r="ADO98" s="2"/>
      <c r="ADP98" s="2"/>
      <c r="ADQ98" s="2"/>
      <c r="ADR98" s="2"/>
      <c r="ADS98" s="2"/>
      <c r="ADT98" s="2"/>
      <c r="ADU98" s="2"/>
      <c r="ADV98" s="2"/>
      <c r="ADW98" s="2"/>
      <c r="ADX98" s="2"/>
      <c r="ADY98" s="2"/>
      <c r="ADZ98" s="2"/>
      <c r="AEA98" s="2"/>
      <c r="AEB98" s="2"/>
      <c r="AEC98" s="2"/>
      <c r="AED98" s="2"/>
      <c r="AEE98" s="2"/>
      <c r="AEF98" s="2"/>
      <c r="AEG98" s="2"/>
      <c r="AEH98" s="2"/>
      <c r="AEI98" s="2"/>
      <c r="AEJ98" s="2"/>
      <c r="AEK98" s="2"/>
      <c r="AEL98" s="2"/>
      <c r="AEM98" s="2"/>
      <c r="AEN98" s="2"/>
      <c r="AEO98" s="2"/>
      <c r="AEP98" s="2"/>
      <c r="AEQ98" s="2"/>
      <c r="AER98" s="2"/>
      <c r="AES98" s="2"/>
      <c r="AET98" s="2"/>
      <c r="AEU98" s="2"/>
      <c r="AEV98" s="2"/>
      <c r="AEW98" s="2"/>
      <c r="AEX98" s="2"/>
      <c r="AEY98" s="2"/>
      <c r="AEZ98" s="2"/>
      <c r="AFA98" s="2"/>
      <c r="AFB98" s="2"/>
      <c r="AFC98" s="2"/>
      <c r="AFD98" s="2"/>
      <c r="AFE98" s="2"/>
      <c r="AFF98" s="2"/>
      <c r="AFG98" s="2"/>
      <c r="AFH98" s="2"/>
      <c r="AFI98" s="2"/>
      <c r="AFJ98" s="2"/>
      <c r="AFK98" s="2"/>
      <c r="AFL98" s="2"/>
      <c r="AFM98" s="2"/>
      <c r="AFN98" s="2"/>
      <c r="AFO98" s="2"/>
      <c r="AFP98" s="2"/>
      <c r="AFQ98" s="2"/>
      <c r="AFR98" s="2"/>
      <c r="AFS98" s="2"/>
      <c r="AFT98" s="2"/>
      <c r="AFU98" s="2"/>
      <c r="AFV98" s="2"/>
      <c r="AFW98" s="2"/>
      <c r="AFX98" s="2"/>
      <c r="AFY98" s="2"/>
      <c r="AFZ98" s="2"/>
      <c r="AGA98" s="2"/>
      <c r="AGB98" s="2"/>
      <c r="AGC98" s="2"/>
      <c r="AGD98" s="2"/>
      <c r="AGE98" s="2"/>
      <c r="AGF98" s="2"/>
      <c r="AGG98" s="2"/>
      <c r="AGH98" s="2"/>
      <c r="AGI98" s="2"/>
      <c r="AGJ98" s="2"/>
      <c r="AGK98" s="2"/>
      <c r="AGL98" s="2"/>
      <c r="AGM98" s="2"/>
      <c r="AGN98" s="2"/>
      <c r="AGO98" s="2"/>
      <c r="AGP98" s="2"/>
      <c r="AGQ98" s="2"/>
      <c r="AGR98" s="2"/>
      <c r="AGS98" s="2"/>
      <c r="AGT98" s="2"/>
      <c r="AGU98" s="2"/>
      <c r="AGV98" s="2"/>
      <c r="AGW98" s="2"/>
      <c r="AGX98" s="2"/>
      <c r="AGY98" s="2"/>
      <c r="AGZ98" s="2"/>
      <c r="AHA98" s="2"/>
      <c r="AHB98" s="2"/>
      <c r="AHC98" s="2"/>
      <c r="AHD98" s="2"/>
      <c r="AHE98" s="2"/>
      <c r="AHF98" s="2"/>
      <c r="AHG98" s="2"/>
      <c r="AHH98" s="2"/>
      <c r="AHI98" s="2"/>
      <c r="AHJ98" s="2"/>
      <c r="AHK98" s="2"/>
      <c r="AHL98" s="2"/>
      <c r="AHM98" s="2"/>
      <c r="AHN98" s="2"/>
      <c r="AHO98" s="2"/>
      <c r="AHP98" s="2"/>
      <c r="AHQ98" s="2"/>
      <c r="AHR98" s="2"/>
      <c r="AHS98" s="2"/>
      <c r="AHT98" s="2"/>
      <c r="AHU98" s="2"/>
      <c r="AHV98" s="2"/>
      <c r="AHW98" s="2"/>
      <c r="AHX98" s="2"/>
      <c r="AHY98" s="2"/>
      <c r="AHZ98" s="2"/>
      <c r="AIA98" s="2"/>
      <c r="AIB98" s="2"/>
      <c r="AIC98" s="2"/>
      <c r="AID98" s="2"/>
      <c r="AIE98" s="2"/>
      <c r="AIF98" s="2"/>
      <c r="AIG98" s="2"/>
      <c r="AIH98" s="2"/>
      <c r="AII98" s="2"/>
      <c r="AIJ98" s="2"/>
      <c r="AIK98" s="2"/>
      <c r="AIL98" s="2"/>
      <c r="AIM98" s="2"/>
      <c r="AIN98" s="2"/>
      <c r="AIO98" s="2"/>
      <c r="AIP98" s="2"/>
      <c r="AIQ98" s="2"/>
      <c r="AIR98" s="2"/>
      <c r="AIS98" s="2"/>
      <c r="AIT98" s="2"/>
      <c r="AIU98" s="2"/>
      <c r="AIV98" s="2"/>
      <c r="AIW98" s="2"/>
      <c r="AIX98" s="2"/>
      <c r="AIY98" s="2"/>
      <c r="AIZ98" s="2"/>
      <c r="AJA98" s="2"/>
      <c r="AJB98" s="2"/>
      <c r="AJC98" s="2"/>
      <c r="AJD98" s="2"/>
      <c r="AJE98" s="2"/>
      <c r="AJF98" s="2"/>
      <c r="AJG98" s="2"/>
      <c r="AJH98" s="2"/>
      <c r="AJI98" s="2"/>
      <c r="AJJ98" s="2"/>
      <c r="AJK98" s="2"/>
      <c r="AJL98" s="2"/>
      <c r="AJM98" s="2"/>
      <c r="AJN98" s="2"/>
      <c r="AJO98" s="2"/>
      <c r="AJP98" s="2"/>
      <c r="AJQ98" s="2"/>
      <c r="AJR98" s="2"/>
      <c r="AJS98" s="2"/>
      <c r="AJT98" s="2"/>
      <c r="AJU98" s="2"/>
      <c r="AJV98" s="2"/>
      <c r="AJW98" s="2"/>
      <c r="AJX98" s="2"/>
      <c r="AJY98" s="2"/>
      <c r="AJZ98" s="2"/>
      <c r="AKA98" s="2"/>
      <c r="AKB98" s="2"/>
      <c r="AKC98" s="2"/>
      <c r="AKD98" s="2"/>
      <c r="AKE98" s="2"/>
      <c r="AKF98" s="2"/>
      <c r="AKG98" s="2"/>
      <c r="AKH98" s="2"/>
      <c r="AKI98" s="2"/>
      <c r="AKJ98" s="2"/>
      <c r="AKK98" s="2"/>
      <c r="AKL98" s="2"/>
      <c r="AKM98" s="2"/>
      <c r="AKN98" s="2"/>
      <c r="AKO98" s="2"/>
      <c r="AKP98" s="2"/>
      <c r="AKQ98" s="2"/>
      <c r="AKR98" s="2"/>
      <c r="AKS98" s="2"/>
      <c r="AKT98" s="2"/>
      <c r="AKU98" s="2"/>
      <c r="AKV98" s="2"/>
      <c r="AKW98" s="2"/>
      <c r="AKX98" s="2"/>
      <c r="AKY98" s="2"/>
      <c r="AKZ98" s="2"/>
      <c r="ALA98" s="2"/>
      <c r="ALB98" s="2"/>
      <c r="ALC98" s="2"/>
      <c r="ALD98" s="2"/>
      <c r="ALE98" s="2"/>
      <c r="ALF98" s="2"/>
      <c r="ALG98" s="2"/>
      <c r="ALH98" s="2"/>
      <c r="ALI98" s="2"/>
      <c r="ALJ98" s="2"/>
      <c r="ALK98" s="2"/>
      <c r="ALL98" s="2"/>
      <c r="ALM98" s="2"/>
      <c r="ALN98" s="2"/>
      <c r="ALO98" s="2"/>
      <c r="ALP98" s="2"/>
      <c r="ALQ98" s="2"/>
      <c r="ALR98" s="2"/>
      <c r="ALS98" s="2"/>
      <c r="ALT98" s="2"/>
      <c r="ALU98" s="2"/>
      <c r="ALV98" s="2"/>
      <c r="ALW98" s="2"/>
      <c r="ALX98" s="2"/>
      <c r="ALY98" s="2"/>
      <c r="ALZ98" s="2"/>
      <c r="AMA98" s="2"/>
      <c r="AMB98" s="2"/>
      <c r="AMC98" s="2"/>
      <c r="AMD98" s="2"/>
      <c r="AME98" s="2"/>
      <c r="AMF98" s="2"/>
      <c r="AMG98" s="2"/>
      <c r="AMH98" s="2"/>
      <c r="AMI98" s="2"/>
      <c r="AMJ98" s="2"/>
      <c r="AMK98" s="2"/>
      <c r="AML98" s="2"/>
      <c r="AMM98" s="2"/>
      <c r="AMN98" s="2"/>
      <c r="AMO98" s="2"/>
      <c r="AMP98" s="2"/>
      <c r="AMQ98" s="2"/>
      <c r="AMR98" s="2"/>
      <c r="AMS98" s="2"/>
      <c r="AMT98" s="2"/>
      <c r="AMU98" s="2"/>
      <c r="AMV98" s="2"/>
      <c r="AMW98" s="2"/>
      <c r="AMX98" s="2"/>
      <c r="AMY98" s="2"/>
      <c r="AMZ98" s="2"/>
      <c r="ANA98" s="2"/>
      <c r="ANB98" s="2"/>
      <c r="ANC98" s="2"/>
      <c r="AND98" s="2"/>
      <c r="ANE98" s="2"/>
      <c r="ANF98" s="2"/>
      <c r="ANG98" s="2"/>
      <c r="ANH98" s="2"/>
      <c r="ANI98" s="2"/>
      <c r="ANJ98" s="2"/>
      <c r="ANK98" s="2"/>
      <c r="ANL98" s="2"/>
      <c r="ANM98" s="2"/>
      <c r="ANN98" s="2"/>
      <c r="ANO98" s="2"/>
      <c r="ANP98" s="2"/>
      <c r="ANQ98" s="2"/>
      <c r="ANR98" s="2"/>
      <c r="ANS98" s="2"/>
      <c r="ANT98" s="2"/>
      <c r="ANU98" s="2"/>
      <c r="ANV98" s="2"/>
      <c r="ANW98" s="2"/>
      <c r="ANX98" s="2"/>
      <c r="ANY98" s="2"/>
      <c r="ANZ98" s="2"/>
      <c r="AOA98" s="2"/>
      <c r="AOB98" s="2"/>
      <c r="AOC98" s="2"/>
      <c r="AOD98" s="2"/>
      <c r="AOE98" s="2"/>
      <c r="AOF98" s="2"/>
      <c r="AOG98" s="2"/>
      <c r="AOH98" s="2"/>
      <c r="AOI98" s="2"/>
      <c r="AOJ98" s="2"/>
      <c r="AOK98" s="2"/>
      <c r="AOL98" s="2"/>
      <c r="AOM98" s="2"/>
      <c r="AON98" s="2"/>
      <c r="AOO98" s="2"/>
      <c r="AOP98" s="2"/>
      <c r="AOQ98" s="2"/>
      <c r="AOR98" s="2"/>
      <c r="AOS98" s="2"/>
      <c r="AOT98" s="2"/>
      <c r="AOU98" s="2"/>
      <c r="AOV98" s="2"/>
      <c r="AOW98" s="2"/>
      <c r="AOX98" s="2"/>
      <c r="AOY98" s="2"/>
      <c r="AOZ98" s="2"/>
      <c r="APA98" s="2"/>
      <c r="APB98" s="2"/>
      <c r="APC98" s="2"/>
      <c r="APD98" s="2"/>
      <c r="APE98" s="2"/>
      <c r="APF98" s="2"/>
      <c r="APG98" s="2"/>
      <c r="APH98" s="2"/>
      <c r="API98" s="2"/>
      <c r="APJ98" s="2"/>
      <c r="APK98" s="2"/>
      <c r="APL98" s="2"/>
      <c r="APM98" s="2"/>
      <c r="APN98" s="2"/>
      <c r="APO98" s="2"/>
      <c r="APP98" s="2"/>
      <c r="APQ98" s="2"/>
      <c r="APR98" s="2"/>
      <c r="APS98" s="2"/>
      <c r="APT98" s="2"/>
      <c r="APU98" s="2"/>
      <c r="APV98" s="2"/>
      <c r="APW98" s="2"/>
      <c r="APX98" s="2"/>
      <c r="APY98" s="2"/>
      <c r="APZ98" s="2"/>
      <c r="AQA98" s="2"/>
      <c r="AQB98" s="2"/>
      <c r="AQC98" s="2"/>
      <c r="AQD98" s="2"/>
      <c r="AQE98" s="2"/>
      <c r="AQF98" s="2"/>
      <c r="AQG98" s="2"/>
      <c r="AQH98" s="2"/>
      <c r="AQI98" s="2"/>
      <c r="AQJ98" s="2"/>
      <c r="AQK98" s="2"/>
      <c r="AQL98" s="2"/>
      <c r="AQM98" s="2"/>
      <c r="AQN98" s="2"/>
      <c r="AQO98" s="2"/>
      <c r="AQP98" s="2"/>
      <c r="AQQ98" s="2"/>
      <c r="AQR98" s="2"/>
      <c r="AQS98" s="2"/>
      <c r="AQT98" s="2"/>
      <c r="AQU98" s="2"/>
      <c r="AQV98" s="2"/>
      <c r="AQW98" s="2"/>
      <c r="AQX98" s="2"/>
      <c r="AQY98" s="2"/>
      <c r="AQZ98" s="2"/>
      <c r="ARA98" s="2"/>
      <c r="ARB98" s="2"/>
      <c r="ARC98" s="2"/>
      <c r="ARD98" s="2"/>
      <c r="ARE98" s="2"/>
      <c r="ARF98" s="2"/>
      <c r="ARG98" s="2"/>
      <c r="ARH98" s="2"/>
      <c r="ARI98" s="2"/>
      <c r="ARJ98" s="2"/>
      <c r="ARK98" s="2"/>
      <c r="ARL98" s="2"/>
      <c r="ARM98" s="2"/>
      <c r="ARN98" s="2"/>
      <c r="ARO98" s="2"/>
      <c r="ARP98" s="2"/>
      <c r="ARQ98" s="2"/>
      <c r="ARR98" s="2"/>
      <c r="ARS98" s="2"/>
      <c r="ART98" s="2"/>
      <c r="ARU98" s="2"/>
      <c r="ARV98" s="2"/>
      <c r="ARW98" s="2"/>
      <c r="ARX98" s="2"/>
      <c r="ARY98" s="2"/>
      <c r="ARZ98" s="2"/>
      <c r="ASA98" s="2"/>
      <c r="ASB98" s="2"/>
      <c r="ASC98" s="2"/>
      <c r="ASD98" s="2"/>
      <c r="ASE98" s="2"/>
      <c r="ASF98" s="2"/>
      <c r="ASG98" s="2"/>
      <c r="ASH98" s="2"/>
      <c r="ASI98" s="2"/>
      <c r="ASJ98" s="2"/>
      <c r="ASK98" s="2"/>
      <c r="ASL98" s="2"/>
      <c r="ASM98" s="2"/>
      <c r="ASN98" s="2"/>
      <c r="ASO98" s="2"/>
      <c r="ASP98" s="2"/>
      <c r="ASQ98" s="2"/>
      <c r="ASR98" s="2"/>
      <c r="ASS98" s="2"/>
      <c r="AST98" s="2"/>
      <c r="ASU98" s="2"/>
      <c r="ASV98" s="2"/>
      <c r="ASW98" s="2"/>
      <c r="ASX98" s="2"/>
      <c r="ASY98" s="2"/>
      <c r="ASZ98" s="2"/>
      <c r="ATA98" s="2"/>
      <c r="ATB98" s="2"/>
      <c r="ATC98" s="2"/>
      <c r="ATD98" s="2"/>
      <c r="ATE98" s="2"/>
      <c r="ATF98" s="2"/>
      <c r="ATG98" s="2"/>
      <c r="ATH98" s="2"/>
      <c r="ATI98" s="2"/>
      <c r="ATJ98" s="2"/>
      <c r="ATK98" s="2"/>
      <c r="ATL98" s="2"/>
      <c r="ATM98" s="2"/>
      <c r="ATN98" s="2"/>
      <c r="ATO98" s="2"/>
      <c r="ATP98" s="2"/>
      <c r="ATQ98" s="2"/>
      <c r="ATR98" s="2"/>
      <c r="ATS98" s="2"/>
      <c r="ATT98" s="2"/>
      <c r="ATU98" s="2"/>
      <c r="ATV98" s="2"/>
      <c r="ATW98" s="2"/>
      <c r="ATX98" s="2"/>
      <c r="ATY98" s="2"/>
      <c r="ATZ98" s="2"/>
      <c r="AUA98" s="2"/>
      <c r="AUB98" s="2"/>
      <c r="AUC98" s="2"/>
      <c r="AUD98" s="2"/>
      <c r="AUE98" s="2"/>
      <c r="AUF98" s="2"/>
      <c r="AUG98" s="2"/>
      <c r="AUH98" s="2"/>
      <c r="AUI98" s="2"/>
      <c r="AUJ98" s="2"/>
      <c r="AUK98" s="2"/>
      <c r="AUL98" s="2"/>
      <c r="AUM98" s="2"/>
      <c r="AUN98" s="2"/>
      <c r="AUO98" s="2"/>
      <c r="AUP98" s="2"/>
      <c r="AUQ98" s="2"/>
      <c r="AUR98" s="2"/>
      <c r="AUS98" s="2"/>
      <c r="AUT98" s="2"/>
      <c r="AUU98" s="2"/>
      <c r="AUV98" s="2"/>
      <c r="AUW98" s="2"/>
      <c r="AUX98" s="2"/>
      <c r="AUY98" s="2"/>
      <c r="AUZ98" s="2"/>
      <c r="AVA98" s="2"/>
      <c r="AVB98" s="2"/>
      <c r="AVC98" s="2"/>
      <c r="AVD98" s="2"/>
      <c r="AVE98" s="2"/>
      <c r="AVF98" s="2"/>
      <c r="AVG98" s="2"/>
      <c r="AVH98" s="2"/>
      <c r="AVI98" s="2"/>
      <c r="AVJ98" s="2"/>
      <c r="AVK98" s="2"/>
      <c r="AVL98" s="2"/>
      <c r="AVM98" s="2"/>
      <c r="AVN98" s="2"/>
      <c r="AVO98" s="2"/>
      <c r="AVP98" s="2"/>
      <c r="AVQ98" s="2"/>
      <c r="AVR98" s="2"/>
      <c r="AVS98" s="2"/>
      <c r="AVT98" s="2"/>
      <c r="AVU98" s="2"/>
      <c r="AVV98" s="2"/>
      <c r="AVW98" s="2"/>
      <c r="AVX98" s="2"/>
      <c r="AVY98" s="2"/>
      <c r="AVZ98" s="2"/>
      <c r="AWA98" s="2"/>
      <c r="AWB98" s="2"/>
      <c r="AWC98" s="2"/>
      <c r="AWD98" s="2"/>
      <c r="AWE98" s="2"/>
      <c r="AWF98" s="2"/>
      <c r="AWG98" s="2"/>
      <c r="AWH98" s="2"/>
      <c r="AWI98" s="2"/>
      <c r="AWJ98" s="2"/>
      <c r="AWK98" s="2"/>
      <c r="AWL98" s="2"/>
      <c r="AWM98" s="2"/>
      <c r="AWN98" s="2"/>
      <c r="AWO98" s="2"/>
      <c r="AWP98" s="2"/>
      <c r="AWQ98" s="2"/>
      <c r="AWR98" s="2"/>
      <c r="AWS98" s="2"/>
      <c r="AWT98" s="2"/>
      <c r="AWU98" s="2"/>
      <c r="AWV98" s="2"/>
      <c r="AWW98" s="2"/>
      <c r="AWX98" s="2"/>
      <c r="AWY98" s="2"/>
      <c r="AWZ98" s="2"/>
      <c r="AXA98" s="2"/>
      <c r="AXB98" s="2"/>
      <c r="AXC98" s="2"/>
      <c r="AXD98" s="2"/>
      <c r="AXE98" s="2"/>
      <c r="AXF98" s="2"/>
      <c r="AXG98" s="2"/>
      <c r="AXH98" s="2"/>
      <c r="AXI98" s="2"/>
      <c r="AXJ98" s="2"/>
      <c r="AXK98" s="2"/>
      <c r="AXL98" s="2"/>
      <c r="AXM98" s="2"/>
      <c r="AXN98" s="2"/>
      <c r="AXO98" s="2"/>
      <c r="AXP98" s="2"/>
      <c r="AXQ98" s="2"/>
      <c r="AXR98" s="2"/>
      <c r="AXS98" s="2"/>
      <c r="AXT98" s="2"/>
      <c r="AXU98" s="2"/>
      <c r="AXV98" s="2"/>
      <c r="AXW98" s="2"/>
      <c r="AXX98" s="2"/>
      <c r="AXY98" s="2"/>
      <c r="AXZ98" s="2"/>
      <c r="AYA98" s="2"/>
      <c r="AYB98" s="2"/>
      <c r="AYC98" s="2"/>
      <c r="AYD98" s="2"/>
      <c r="AYE98" s="2"/>
      <c r="AYF98" s="2"/>
      <c r="AYG98" s="2"/>
      <c r="AYH98" s="2"/>
      <c r="AYI98" s="2"/>
      <c r="AYJ98" s="2"/>
      <c r="AYK98" s="2"/>
      <c r="AYL98" s="2"/>
      <c r="AYM98" s="2"/>
      <c r="AYN98" s="2"/>
      <c r="AYO98" s="2"/>
      <c r="AYP98" s="2"/>
      <c r="AYQ98" s="2"/>
      <c r="AYR98" s="2"/>
      <c r="AYS98" s="2"/>
      <c r="AYT98" s="2"/>
      <c r="AYU98" s="2"/>
      <c r="AYV98" s="2"/>
      <c r="AYW98" s="2"/>
      <c r="AYX98" s="2"/>
      <c r="AYY98" s="2"/>
      <c r="AYZ98" s="2"/>
      <c r="AZA98" s="2"/>
      <c r="AZB98" s="2"/>
      <c r="AZC98" s="2"/>
      <c r="AZD98" s="2"/>
      <c r="AZE98" s="2"/>
      <c r="AZF98" s="2"/>
      <c r="AZG98" s="2"/>
      <c r="AZH98" s="2"/>
      <c r="AZI98" s="2"/>
      <c r="AZJ98" s="2"/>
      <c r="AZK98" s="2"/>
      <c r="AZL98" s="2"/>
      <c r="AZM98" s="2"/>
      <c r="AZN98" s="2"/>
      <c r="AZO98" s="2"/>
      <c r="AZP98" s="2"/>
      <c r="AZQ98" s="2"/>
      <c r="AZR98" s="2"/>
      <c r="AZS98" s="2"/>
      <c r="AZT98" s="2"/>
      <c r="AZU98" s="2"/>
      <c r="AZV98" s="2"/>
      <c r="AZW98" s="2"/>
      <c r="AZX98" s="2"/>
      <c r="AZY98" s="2"/>
      <c r="AZZ98" s="2"/>
      <c r="BAA98" s="2"/>
      <c r="BAB98" s="2"/>
      <c r="BAC98" s="2"/>
      <c r="BAD98" s="2"/>
      <c r="BAE98" s="2"/>
      <c r="BAF98" s="2"/>
      <c r="BAG98" s="2"/>
      <c r="BAH98" s="2"/>
      <c r="BAI98" s="2"/>
      <c r="BAJ98" s="2"/>
      <c r="BAK98" s="2"/>
      <c r="BAL98" s="2"/>
      <c r="BAM98" s="2"/>
      <c r="BAN98" s="2"/>
      <c r="BAO98" s="2"/>
      <c r="BAP98" s="2"/>
      <c r="BAQ98" s="2"/>
      <c r="BAR98" s="2"/>
      <c r="BAS98" s="2"/>
      <c r="BAT98" s="2"/>
      <c r="BAU98" s="2"/>
      <c r="BAV98" s="2"/>
      <c r="BAW98" s="2"/>
      <c r="BAX98" s="2"/>
      <c r="BAY98" s="2"/>
      <c r="BAZ98" s="2"/>
      <c r="BBA98" s="2"/>
      <c r="BBB98" s="2"/>
      <c r="BBC98" s="2"/>
      <c r="BBD98" s="2"/>
      <c r="BBE98" s="2"/>
      <c r="BBF98" s="2"/>
      <c r="BBG98" s="2"/>
      <c r="BBH98" s="2"/>
      <c r="BBI98" s="2"/>
      <c r="BBJ98" s="2"/>
      <c r="BBK98" s="2"/>
      <c r="BBL98" s="2"/>
      <c r="BBM98" s="2"/>
      <c r="BBN98" s="2"/>
      <c r="BBO98" s="2"/>
      <c r="BBP98" s="2"/>
      <c r="BBQ98" s="2"/>
      <c r="BBR98" s="2"/>
      <c r="BBS98" s="2"/>
      <c r="BBT98" s="2"/>
      <c r="BBU98" s="2"/>
      <c r="BBV98" s="2"/>
      <c r="BBW98" s="2"/>
      <c r="BBX98" s="2"/>
      <c r="BBY98" s="2"/>
      <c r="BBZ98" s="2"/>
      <c r="BCA98" s="2"/>
      <c r="BCB98" s="2"/>
      <c r="BCC98" s="2"/>
      <c r="BCD98" s="2"/>
      <c r="BCE98" s="2"/>
      <c r="BCF98" s="2"/>
      <c r="BCG98" s="2"/>
      <c r="BCH98" s="2"/>
      <c r="BCI98" s="2"/>
      <c r="BCJ98" s="2"/>
      <c r="BCK98" s="2"/>
      <c r="BCL98" s="2"/>
      <c r="BCM98" s="2"/>
      <c r="BCN98" s="2"/>
      <c r="BCO98" s="2"/>
      <c r="BCP98" s="2"/>
      <c r="BCQ98" s="2"/>
      <c r="BCR98" s="2"/>
      <c r="BCS98" s="2"/>
      <c r="BCT98" s="2"/>
      <c r="BCU98" s="2"/>
      <c r="BCV98" s="2"/>
      <c r="BCW98" s="2"/>
      <c r="BCX98" s="2"/>
      <c r="BCY98" s="2"/>
      <c r="BCZ98" s="2"/>
      <c r="BDA98" s="2"/>
      <c r="BDB98" s="2"/>
      <c r="BDC98" s="2"/>
      <c r="BDD98" s="2"/>
      <c r="BDE98" s="2"/>
      <c r="BDF98" s="2"/>
      <c r="BDG98" s="2"/>
      <c r="BDH98" s="2"/>
      <c r="BDI98" s="2"/>
      <c r="BDJ98" s="2"/>
      <c r="BDK98" s="2"/>
      <c r="BDL98" s="2"/>
      <c r="BDM98" s="2"/>
      <c r="BDN98" s="2"/>
      <c r="BDO98" s="2"/>
      <c r="BDP98" s="2"/>
      <c r="BDQ98" s="2"/>
      <c r="BDR98" s="2"/>
      <c r="BDS98" s="2"/>
      <c r="BDT98" s="2"/>
      <c r="BDU98" s="2"/>
      <c r="BDV98" s="2"/>
      <c r="BDW98" s="2"/>
      <c r="BDX98" s="2"/>
      <c r="BDY98" s="2"/>
      <c r="BDZ98" s="2"/>
      <c r="BEA98" s="2"/>
      <c r="BEB98" s="2"/>
      <c r="BEC98" s="2"/>
      <c r="BED98" s="2"/>
      <c r="BEE98" s="2"/>
      <c r="BEF98" s="2"/>
      <c r="BEG98" s="2"/>
      <c r="BEH98" s="2"/>
      <c r="BEI98" s="2"/>
      <c r="BEJ98" s="2"/>
      <c r="BEK98" s="2"/>
      <c r="BEL98" s="2"/>
      <c r="BEM98" s="2"/>
      <c r="BEN98" s="2"/>
      <c r="BEO98" s="2"/>
      <c r="BEP98" s="2"/>
      <c r="BEQ98" s="2"/>
      <c r="BER98" s="2"/>
      <c r="BES98" s="2"/>
      <c r="BET98" s="2"/>
      <c r="BEU98" s="2"/>
      <c r="BEV98" s="2"/>
      <c r="BEW98" s="2"/>
      <c r="BEX98" s="2"/>
      <c r="BEY98" s="2"/>
      <c r="BEZ98" s="2"/>
      <c r="BFA98" s="2"/>
      <c r="BFB98" s="2"/>
      <c r="BFC98" s="2"/>
      <c r="BFD98" s="2"/>
      <c r="BFE98" s="2"/>
      <c r="BFF98" s="2"/>
      <c r="BFG98" s="2"/>
      <c r="BFH98" s="2"/>
      <c r="BFI98" s="2"/>
      <c r="BFJ98" s="2"/>
      <c r="BFK98" s="2"/>
      <c r="BFL98" s="2"/>
      <c r="BFM98" s="2"/>
      <c r="BFN98" s="2"/>
      <c r="BFO98" s="2"/>
      <c r="BFP98" s="2"/>
      <c r="BFQ98" s="2"/>
      <c r="BFR98" s="2"/>
      <c r="BFS98" s="2"/>
      <c r="BFT98" s="2"/>
      <c r="BFU98" s="2"/>
      <c r="BFV98" s="2"/>
      <c r="BFW98" s="2"/>
      <c r="BFX98" s="2"/>
      <c r="BFY98" s="2"/>
      <c r="BFZ98" s="2"/>
      <c r="BGA98" s="2"/>
      <c r="BGB98" s="2"/>
      <c r="BGC98" s="2"/>
      <c r="BGD98" s="2"/>
      <c r="BGE98" s="2"/>
      <c r="BGF98" s="2"/>
      <c r="BGG98" s="2"/>
      <c r="BGH98" s="2"/>
      <c r="BGI98" s="2"/>
      <c r="BGJ98" s="2"/>
      <c r="BGK98" s="2"/>
      <c r="BGL98" s="2"/>
      <c r="BGM98" s="2"/>
      <c r="BGN98" s="2"/>
      <c r="BGO98" s="2"/>
      <c r="BGP98" s="2"/>
      <c r="BGQ98" s="2"/>
      <c r="BGR98" s="2"/>
      <c r="BGS98" s="2"/>
      <c r="BGT98" s="2"/>
      <c r="BGU98" s="2"/>
      <c r="BGV98" s="2"/>
      <c r="BGW98" s="2"/>
      <c r="BGX98" s="2"/>
      <c r="BGY98" s="2"/>
      <c r="BGZ98" s="2"/>
      <c r="BHA98" s="2"/>
      <c r="BHB98" s="2"/>
      <c r="BHC98" s="2"/>
      <c r="BHD98" s="2"/>
      <c r="BHE98" s="2"/>
      <c r="BHF98" s="2"/>
      <c r="BHG98" s="2"/>
      <c r="BHH98" s="2"/>
      <c r="BHI98" s="2"/>
      <c r="BHJ98" s="2"/>
      <c r="BHK98" s="2"/>
      <c r="BHL98" s="2"/>
      <c r="BHM98" s="2"/>
      <c r="BHN98" s="2"/>
      <c r="BHO98" s="2"/>
      <c r="BHP98" s="2"/>
      <c r="BHQ98" s="2"/>
      <c r="BHR98" s="2"/>
      <c r="BHS98" s="2"/>
      <c r="BHT98" s="2"/>
      <c r="BHU98" s="2"/>
      <c r="BHV98" s="2"/>
      <c r="BHW98" s="2"/>
      <c r="BHX98" s="2"/>
      <c r="BHY98" s="2"/>
      <c r="BHZ98" s="2"/>
      <c r="BIA98" s="2"/>
      <c r="BIB98" s="2"/>
      <c r="BIC98" s="2"/>
      <c r="BID98" s="2"/>
      <c r="BIE98" s="2"/>
      <c r="BIF98" s="2"/>
      <c r="BIG98" s="2"/>
      <c r="BIH98" s="2"/>
      <c r="BII98" s="2"/>
      <c r="BIJ98" s="2"/>
      <c r="BIK98" s="2"/>
      <c r="BIL98" s="2"/>
      <c r="BIM98" s="2"/>
      <c r="BIN98" s="2"/>
      <c r="BIO98" s="2"/>
      <c r="BIP98" s="2"/>
      <c r="BIQ98" s="2"/>
      <c r="BIR98" s="2"/>
      <c r="BIS98" s="2"/>
      <c r="BIT98" s="2"/>
      <c r="BIU98" s="2"/>
      <c r="BIV98" s="2"/>
      <c r="BIW98" s="2"/>
      <c r="BIX98" s="2"/>
      <c r="BIY98" s="2"/>
      <c r="BIZ98" s="2"/>
      <c r="BJA98" s="2"/>
      <c r="BJB98" s="2"/>
      <c r="BJC98" s="2"/>
      <c r="BJD98" s="2"/>
      <c r="BJE98" s="2"/>
      <c r="BJF98" s="2"/>
      <c r="BJG98" s="2"/>
      <c r="BJH98" s="2"/>
      <c r="BJI98" s="2"/>
      <c r="BJJ98" s="2"/>
      <c r="BJK98" s="2"/>
      <c r="BJL98" s="2"/>
      <c r="BJM98" s="2"/>
      <c r="BJN98" s="2"/>
      <c r="BJO98" s="2"/>
      <c r="BJP98" s="2"/>
      <c r="BJQ98" s="2"/>
      <c r="BJR98" s="2"/>
      <c r="BJS98" s="2"/>
      <c r="BJT98" s="2"/>
      <c r="BJU98" s="2"/>
      <c r="BJV98" s="2"/>
      <c r="BJW98" s="2"/>
      <c r="BJX98" s="2"/>
      <c r="BJY98" s="2"/>
      <c r="BJZ98" s="2"/>
      <c r="BKA98" s="2"/>
      <c r="BKB98" s="2"/>
      <c r="BKC98" s="2"/>
      <c r="BKD98" s="2"/>
      <c r="BKE98" s="2"/>
      <c r="BKF98" s="2"/>
      <c r="BKG98" s="2"/>
      <c r="BKH98" s="2"/>
      <c r="BKI98" s="2"/>
      <c r="BKJ98" s="2"/>
      <c r="BKK98" s="2"/>
      <c r="BKL98" s="2"/>
      <c r="BKM98" s="2"/>
      <c r="BKN98" s="2"/>
      <c r="BKO98" s="2"/>
      <c r="BKP98" s="2"/>
      <c r="BKQ98" s="2"/>
      <c r="BKR98" s="2"/>
      <c r="BKS98" s="2"/>
      <c r="BKT98" s="2"/>
      <c r="BKU98" s="2"/>
      <c r="BKV98" s="2"/>
      <c r="BKW98" s="2"/>
      <c r="BKX98" s="2"/>
      <c r="BKY98" s="2"/>
      <c r="BKZ98" s="2"/>
      <c r="BLA98" s="2"/>
      <c r="BLB98" s="2"/>
      <c r="BLC98" s="2"/>
      <c r="BLD98" s="2"/>
      <c r="BLE98" s="2"/>
      <c r="BLF98" s="2"/>
      <c r="BLG98" s="2"/>
      <c r="BLH98" s="2"/>
      <c r="BLI98" s="2"/>
      <c r="BLJ98" s="2"/>
      <c r="BLK98" s="2"/>
      <c r="BLL98" s="2"/>
      <c r="BLM98" s="2"/>
      <c r="BLN98" s="2"/>
      <c r="BLO98" s="2"/>
      <c r="BLP98" s="2"/>
      <c r="BLQ98" s="2"/>
      <c r="BLR98" s="2"/>
      <c r="BLS98" s="2"/>
      <c r="BLT98" s="2"/>
      <c r="BLU98" s="2"/>
      <c r="BLV98" s="2"/>
      <c r="BLW98" s="2"/>
      <c r="BLX98" s="2"/>
      <c r="BLY98" s="2"/>
      <c r="BLZ98" s="2"/>
      <c r="BMA98" s="2"/>
      <c r="BMB98" s="2"/>
      <c r="BMC98" s="2"/>
      <c r="BMD98" s="2"/>
      <c r="BME98" s="2"/>
      <c r="BMF98" s="2"/>
      <c r="BMG98" s="2"/>
      <c r="BMH98" s="2"/>
      <c r="BMI98" s="2"/>
      <c r="BMJ98" s="2"/>
      <c r="BMK98" s="2"/>
      <c r="BML98" s="2"/>
      <c r="BMM98" s="2"/>
      <c r="BMN98" s="2"/>
      <c r="BMO98" s="2"/>
      <c r="BMP98" s="2"/>
      <c r="BMQ98" s="2"/>
      <c r="BMR98" s="2"/>
      <c r="BMS98" s="2"/>
      <c r="BMT98" s="2"/>
      <c r="BMU98" s="2"/>
      <c r="BMV98" s="2"/>
      <c r="BMW98" s="2"/>
      <c r="BMX98" s="2"/>
      <c r="BMY98" s="2"/>
      <c r="BMZ98" s="2"/>
      <c r="BNA98" s="2"/>
      <c r="BNB98" s="2"/>
      <c r="BNC98" s="2"/>
      <c r="BND98" s="2"/>
      <c r="BNE98" s="2"/>
      <c r="BNF98" s="2"/>
      <c r="BNG98" s="2"/>
      <c r="BNH98" s="2"/>
      <c r="BNI98" s="2"/>
      <c r="BNJ98" s="2"/>
      <c r="BNK98" s="2"/>
      <c r="BNL98" s="2"/>
      <c r="BNM98" s="2"/>
      <c r="BNN98" s="2"/>
      <c r="BNO98" s="2"/>
      <c r="BNP98" s="2"/>
      <c r="BNQ98" s="2"/>
      <c r="BNR98" s="2"/>
      <c r="BNS98" s="2"/>
      <c r="BNT98" s="2"/>
      <c r="BNU98" s="2"/>
      <c r="BNV98" s="2"/>
      <c r="BNW98" s="2"/>
      <c r="BNX98" s="2"/>
      <c r="BNY98" s="2"/>
      <c r="BNZ98" s="2"/>
      <c r="BOA98" s="2"/>
      <c r="BOB98" s="2"/>
      <c r="BOC98" s="2"/>
      <c r="BOD98" s="2"/>
      <c r="BOE98" s="2"/>
      <c r="BOF98" s="2"/>
      <c r="BOG98" s="2"/>
      <c r="BOH98" s="2"/>
      <c r="BOI98" s="2"/>
      <c r="BOJ98" s="2"/>
      <c r="BOK98" s="2"/>
      <c r="BOL98" s="2"/>
      <c r="BOM98" s="2"/>
      <c r="BON98" s="2"/>
      <c r="BOO98" s="2"/>
      <c r="BOP98" s="2"/>
      <c r="BOQ98" s="2"/>
      <c r="BOR98" s="2"/>
      <c r="BOS98" s="2"/>
      <c r="BOT98" s="2"/>
      <c r="BOU98" s="2"/>
      <c r="BOV98" s="2"/>
      <c r="BOW98" s="2"/>
      <c r="BOX98" s="2"/>
      <c r="BOY98" s="2"/>
      <c r="BOZ98" s="2"/>
      <c r="BPA98" s="2"/>
      <c r="BPB98" s="2"/>
      <c r="BPC98" s="2"/>
      <c r="BPD98" s="2"/>
      <c r="BPE98" s="2"/>
      <c r="BPF98" s="2"/>
      <c r="BPG98" s="2"/>
      <c r="BPH98" s="2"/>
      <c r="BPI98" s="2"/>
      <c r="BPJ98" s="2"/>
      <c r="BPK98" s="2"/>
      <c r="BPL98" s="2"/>
      <c r="BPM98" s="2"/>
      <c r="BPN98" s="2"/>
      <c r="BPO98" s="2"/>
      <c r="BPP98" s="2"/>
      <c r="BPQ98" s="2"/>
      <c r="BPR98" s="2"/>
      <c r="BPS98" s="2"/>
      <c r="BPT98" s="2"/>
      <c r="BPU98" s="2"/>
      <c r="BPV98" s="2"/>
      <c r="BPW98" s="2"/>
      <c r="BPX98" s="2"/>
      <c r="BPY98" s="2"/>
      <c r="BPZ98" s="2"/>
      <c r="BQA98" s="2"/>
      <c r="BQB98" s="2"/>
      <c r="BQC98" s="2"/>
      <c r="BQD98" s="2"/>
      <c r="BQE98" s="2"/>
      <c r="BQF98" s="2"/>
      <c r="BQG98" s="2"/>
      <c r="BQH98" s="2"/>
      <c r="BQI98" s="2"/>
      <c r="BQJ98" s="2"/>
      <c r="BQK98" s="2"/>
      <c r="BQL98" s="2"/>
      <c r="BQM98" s="2"/>
      <c r="BQN98" s="2"/>
      <c r="BQO98" s="2"/>
      <c r="BQP98" s="2"/>
      <c r="BQQ98" s="2"/>
      <c r="BQR98" s="2"/>
      <c r="BQS98" s="2"/>
      <c r="BQT98" s="2"/>
      <c r="BQU98" s="2"/>
      <c r="BQV98" s="2"/>
      <c r="BQW98" s="2"/>
      <c r="BQX98" s="2"/>
      <c r="BQY98" s="2"/>
      <c r="BQZ98" s="2"/>
      <c r="BRA98" s="2"/>
      <c r="BRB98" s="2"/>
      <c r="BRC98" s="2"/>
      <c r="BRD98" s="2"/>
      <c r="BRE98" s="2"/>
      <c r="BRF98" s="2"/>
      <c r="BRG98" s="2"/>
      <c r="BRH98" s="2"/>
      <c r="BRI98" s="2"/>
      <c r="BRJ98" s="2"/>
      <c r="BRK98" s="2"/>
      <c r="BRL98" s="2"/>
      <c r="BRM98" s="2"/>
      <c r="BRN98" s="2"/>
      <c r="BRO98" s="2"/>
      <c r="BRP98" s="2"/>
      <c r="BRQ98" s="2"/>
      <c r="BRR98" s="2"/>
      <c r="BRS98" s="2"/>
      <c r="BRT98" s="2"/>
      <c r="BRU98" s="2"/>
      <c r="BRV98" s="2"/>
      <c r="BRW98" s="2"/>
      <c r="BRX98" s="2"/>
      <c r="BRY98" s="2"/>
      <c r="BRZ98" s="2"/>
      <c r="BSA98" s="2"/>
      <c r="BSB98" s="2"/>
      <c r="BSC98" s="2"/>
      <c r="BSD98" s="2"/>
      <c r="BSE98" s="2"/>
      <c r="BSF98" s="2"/>
      <c r="BSG98" s="2"/>
      <c r="BSH98" s="2"/>
      <c r="BSI98" s="2"/>
      <c r="BSJ98" s="2"/>
      <c r="BSK98" s="2"/>
      <c r="BSL98" s="2"/>
      <c r="BSM98" s="2"/>
      <c r="BSN98" s="2"/>
      <c r="BSO98" s="2"/>
      <c r="BSP98" s="2"/>
      <c r="BSQ98" s="2"/>
      <c r="BSR98" s="2"/>
      <c r="BSS98" s="2"/>
      <c r="BST98" s="2"/>
      <c r="BSU98" s="2"/>
      <c r="BSV98" s="2"/>
      <c r="BSW98" s="2"/>
      <c r="BSX98" s="2"/>
      <c r="BSY98" s="2"/>
      <c r="BSZ98" s="2"/>
      <c r="BTA98" s="2"/>
      <c r="BTB98" s="2"/>
      <c r="BTC98" s="2"/>
      <c r="BTD98" s="2"/>
      <c r="BTE98" s="2"/>
      <c r="BTF98" s="2"/>
      <c r="BTG98" s="2"/>
      <c r="BTH98" s="2"/>
      <c r="BTI98" s="2"/>
      <c r="BTJ98" s="2"/>
      <c r="BTK98" s="2"/>
      <c r="BTL98" s="2"/>
      <c r="BTM98" s="2"/>
      <c r="BTN98" s="2"/>
      <c r="BTO98" s="2"/>
      <c r="BTP98" s="2"/>
      <c r="BTQ98" s="2"/>
      <c r="BTR98" s="2"/>
      <c r="BTS98" s="2"/>
      <c r="BTT98" s="2"/>
      <c r="BTU98" s="2"/>
      <c r="BTV98" s="2"/>
      <c r="BTW98" s="2"/>
      <c r="BTX98" s="2"/>
      <c r="BTY98" s="2"/>
      <c r="BTZ98" s="2"/>
      <c r="BUA98" s="2"/>
      <c r="BUB98" s="2"/>
      <c r="BUC98" s="2"/>
      <c r="BUD98" s="2"/>
      <c r="BUE98" s="2"/>
      <c r="BUF98" s="2"/>
      <c r="BUG98" s="2"/>
      <c r="BUH98" s="2"/>
      <c r="BUI98" s="2"/>
      <c r="BUJ98" s="2"/>
      <c r="BUK98" s="2"/>
      <c r="BUL98" s="2"/>
      <c r="BUM98" s="2"/>
      <c r="BUN98" s="2"/>
      <c r="BUO98" s="2"/>
      <c r="BUP98" s="2"/>
      <c r="BUQ98" s="2"/>
      <c r="BUR98" s="2"/>
      <c r="BUS98" s="2"/>
      <c r="BUT98" s="2"/>
      <c r="BUU98" s="2"/>
      <c r="BUV98" s="2"/>
      <c r="BUW98" s="2"/>
      <c r="BUX98" s="2"/>
      <c r="BUY98" s="2"/>
      <c r="BUZ98" s="2"/>
      <c r="BVA98" s="2"/>
      <c r="BVB98" s="2"/>
      <c r="BVC98" s="2"/>
      <c r="BVD98" s="2"/>
      <c r="BVE98" s="2"/>
      <c r="BVF98" s="2"/>
      <c r="BVG98" s="2"/>
      <c r="BVH98" s="2"/>
      <c r="BVI98" s="2"/>
      <c r="BVJ98" s="2"/>
      <c r="BVK98" s="2"/>
      <c r="BVL98" s="2"/>
      <c r="BVM98" s="2"/>
      <c r="BVN98" s="2"/>
      <c r="BVO98" s="2"/>
      <c r="BVP98" s="2"/>
      <c r="BVQ98" s="2"/>
      <c r="BVR98" s="2"/>
      <c r="BVS98" s="2"/>
      <c r="BVT98" s="2"/>
      <c r="BVU98" s="2"/>
      <c r="BVV98" s="2"/>
      <c r="BVW98" s="2"/>
      <c r="BVX98" s="2"/>
      <c r="BVY98" s="2"/>
      <c r="BVZ98" s="2"/>
      <c r="BWA98" s="2"/>
      <c r="BWB98" s="2"/>
      <c r="BWC98" s="2"/>
      <c r="BWD98" s="2"/>
      <c r="BWE98" s="2"/>
      <c r="BWF98" s="2"/>
      <c r="BWG98" s="2"/>
      <c r="BWH98" s="2"/>
      <c r="BWI98" s="2"/>
      <c r="BWJ98" s="2"/>
      <c r="BWK98" s="2"/>
      <c r="BWL98" s="2"/>
      <c r="BWM98" s="2"/>
      <c r="BWN98" s="2"/>
      <c r="BWO98" s="2"/>
      <c r="BWP98" s="2"/>
      <c r="BWQ98" s="2"/>
      <c r="BWR98" s="2"/>
      <c r="BWS98" s="2"/>
      <c r="BWT98" s="2"/>
      <c r="BWU98" s="2"/>
      <c r="BWV98" s="2"/>
      <c r="BWW98" s="2"/>
      <c r="BWX98" s="2"/>
      <c r="BWY98" s="2"/>
      <c r="BWZ98" s="2"/>
      <c r="BXA98" s="2"/>
      <c r="BXB98" s="2"/>
      <c r="BXC98" s="2"/>
      <c r="BXD98" s="2"/>
      <c r="BXE98" s="2"/>
      <c r="BXF98" s="2"/>
      <c r="BXG98" s="2"/>
      <c r="BXH98" s="2"/>
      <c r="BXI98" s="2"/>
      <c r="BXJ98" s="2"/>
      <c r="BXK98" s="2"/>
      <c r="BXL98" s="2"/>
      <c r="BXM98" s="2"/>
      <c r="BXN98" s="2"/>
      <c r="BXO98" s="2"/>
      <c r="BXP98" s="2"/>
      <c r="BXQ98" s="2"/>
      <c r="BXR98" s="2"/>
      <c r="BXS98" s="2"/>
      <c r="BXT98" s="2"/>
      <c r="BXU98" s="2"/>
      <c r="BXV98" s="2"/>
      <c r="BXW98" s="2"/>
      <c r="BXX98" s="2"/>
      <c r="BXY98" s="2"/>
      <c r="BXZ98" s="2"/>
      <c r="BYA98" s="2"/>
      <c r="BYB98" s="2"/>
      <c r="BYC98" s="2"/>
      <c r="BYD98" s="2"/>
      <c r="BYE98" s="2"/>
      <c r="BYF98" s="2"/>
      <c r="BYG98" s="2"/>
      <c r="BYH98" s="2"/>
      <c r="BYI98" s="2"/>
      <c r="BYJ98" s="2"/>
      <c r="BYK98" s="2"/>
      <c r="BYL98" s="2"/>
      <c r="BYM98" s="2"/>
      <c r="BYN98" s="2"/>
      <c r="BYO98" s="2"/>
      <c r="BYP98" s="2"/>
      <c r="BYQ98" s="2"/>
      <c r="BYR98" s="2"/>
      <c r="BYS98" s="2"/>
      <c r="BYT98" s="2"/>
      <c r="BYU98" s="2"/>
      <c r="BYV98" s="2"/>
      <c r="BYW98" s="2"/>
      <c r="BYX98" s="2"/>
      <c r="BYY98" s="2"/>
      <c r="BYZ98" s="2"/>
      <c r="BZA98" s="2"/>
      <c r="BZB98" s="2"/>
      <c r="BZC98" s="2"/>
      <c r="BZD98" s="2"/>
      <c r="BZE98" s="2"/>
      <c r="BZF98" s="2"/>
      <c r="BZG98" s="2"/>
      <c r="BZH98" s="2"/>
      <c r="BZI98" s="2"/>
      <c r="BZJ98" s="2"/>
      <c r="BZK98" s="2"/>
      <c r="BZL98" s="2"/>
      <c r="BZM98" s="2"/>
      <c r="BZN98" s="2"/>
      <c r="BZO98" s="2"/>
      <c r="BZP98" s="2"/>
      <c r="BZQ98" s="2"/>
      <c r="BZR98" s="2"/>
      <c r="BZS98" s="2"/>
      <c r="BZT98" s="2"/>
      <c r="BZU98" s="2"/>
      <c r="BZV98" s="2"/>
      <c r="BZW98" s="2"/>
      <c r="BZX98" s="2"/>
      <c r="BZY98" s="2"/>
      <c r="BZZ98" s="2"/>
      <c r="CAA98" s="2"/>
      <c r="CAB98" s="2"/>
      <c r="CAC98" s="2"/>
      <c r="CAD98" s="2"/>
      <c r="CAE98" s="2"/>
      <c r="CAF98" s="2"/>
      <c r="CAG98" s="2"/>
      <c r="CAH98" s="2"/>
      <c r="CAI98" s="2"/>
      <c r="CAJ98" s="2"/>
      <c r="CAK98" s="2"/>
      <c r="CAL98" s="2"/>
      <c r="CAM98" s="2"/>
      <c r="CAN98" s="2"/>
      <c r="CAO98" s="2"/>
      <c r="CAP98" s="2"/>
      <c r="CAQ98" s="2"/>
      <c r="CAR98" s="2"/>
      <c r="CAS98" s="2"/>
      <c r="CAT98" s="2"/>
      <c r="CAU98" s="2"/>
      <c r="CAV98" s="2"/>
      <c r="CAW98" s="2"/>
      <c r="CAX98" s="2"/>
      <c r="CAY98" s="2"/>
      <c r="CAZ98" s="2"/>
      <c r="CBA98" s="2"/>
      <c r="CBB98" s="2"/>
      <c r="CBC98" s="2"/>
      <c r="CBD98" s="2"/>
      <c r="CBE98" s="2"/>
      <c r="CBF98" s="2"/>
      <c r="CBG98" s="2"/>
      <c r="CBH98" s="2"/>
      <c r="CBI98" s="2"/>
      <c r="CBJ98" s="2"/>
      <c r="CBK98" s="2"/>
      <c r="CBL98" s="2"/>
      <c r="CBM98" s="2"/>
      <c r="CBN98" s="2"/>
      <c r="CBO98" s="2"/>
      <c r="CBP98" s="2"/>
      <c r="CBQ98" s="2"/>
      <c r="CBR98" s="2"/>
      <c r="CBS98" s="2"/>
      <c r="CBT98" s="2"/>
      <c r="CBU98" s="2"/>
      <c r="CBV98" s="2"/>
      <c r="CBW98" s="2"/>
      <c r="CBX98" s="2"/>
      <c r="CBY98" s="2"/>
      <c r="CBZ98" s="2"/>
      <c r="CCA98" s="2"/>
      <c r="CCB98" s="2"/>
      <c r="CCC98" s="2"/>
      <c r="CCD98" s="2"/>
      <c r="CCE98" s="2"/>
      <c r="CCF98" s="2"/>
      <c r="CCG98" s="2"/>
      <c r="CCH98" s="2"/>
      <c r="CCI98" s="2"/>
      <c r="CCJ98" s="2"/>
      <c r="CCK98" s="2"/>
      <c r="CCL98" s="2"/>
      <c r="CCM98" s="2"/>
      <c r="CCN98" s="2"/>
      <c r="CCO98" s="2"/>
      <c r="CCP98" s="2"/>
      <c r="CCQ98" s="2"/>
      <c r="CCR98" s="2"/>
      <c r="CCS98" s="2"/>
      <c r="CCT98" s="2"/>
      <c r="CCU98" s="2"/>
      <c r="CCV98" s="2"/>
      <c r="CCW98" s="2"/>
      <c r="CCX98" s="2"/>
      <c r="CCY98" s="2"/>
      <c r="CCZ98" s="2"/>
      <c r="CDA98" s="2"/>
      <c r="CDB98" s="2"/>
      <c r="CDC98" s="2"/>
      <c r="CDD98" s="2"/>
      <c r="CDE98" s="2"/>
      <c r="CDF98" s="2"/>
      <c r="CDG98" s="2"/>
      <c r="CDH98" s="2"/>
      <c r="CDI98" s="2"/>
      <c r="CDJ98" s="2"/>
      <c r="CDK98" s="2"/>
      <c r="CDL98" s="2"/>
      <c r="CDM98" s="2"/>
      <c r="CDN98" s="2"/>
      <c r="CDO98" s="2"/>
      <c r="CDP98" s="2"/>
      <c r="CDQ98" s="2"/>
      <c r="CDR98" s="2"/>
      <c r="CDS98" s="2"/>
      <c r="CDT98" s="2"/>
      <c r="CDU98" s="2"/>
      <c r="CDV98" s="2"/>
      <c r="CDW98" s="2"/>
      <c r="CDX98" s="2"/>
      <c r="CDY98" s="2"/>
      <c r="CDZ98" s="2"/>
      <c r="CEA98" s="2"/>
      <c r="CEB98" s="2"/>
      <c r="CEC98" s="2"/>
      <c r="CED98" s="2"/>
      <c r="CEE98" s="2"/>
      <c r="CEF98" s="2"/>
      <c r="CEG98" s="2"/>
      <c r="CEH98" s="2"/>
      <c r="CEI98" s="2"/>
      <c r="CEJ98" s="2"/>
      <c r="CEK98" s="2"/>
      <c r="CEL98" s="2"/>
      <c r="CEM98" s="2"/>
      <c r="CEN98" s="2"/>
      <c r="CEO98" s="2"/>
      <c r="CEP98" s="2"/>
      <c r="CEQ98" s="2"/>
      <c r="CER98" s="2"/>
      <c r="CES98" s="2"/>
      <c r="CET98" s="2"/>
      <c r="CEU98" s="2"/>
      <c r="CEV98" s="2"/>
      <c r="CEW98" s="2"/>
      <c r="CEX98" s="2"/>
      <c r="CEY98" s="2"/>
      <c r="CEZ98" s="2"/>
      <c r="CFA98" s="2"/>
      <c r="CFB98" s="2"/>
      <c r="CFC98" s="2"/>
      <c r="CFD98" s="2"/>
      <c r="CFE98" s="2"/>
      <c r="CFF98" s="2"/>
      <c r="CFG98" s="2"/>
      <c r="CFH98" s="2"/>
      <c r="CFI98" s="2"/>
      <c r="CFJ98" s="2"/>
      <c r="CFK98" s="2"/>
      <c r="CFL98" s="2"/>
      <c r="CFM98" s="2"/>
      <c r="CFN98" s="2"/>
      <c r="CFO98" s="2"/>
      <c r="CFP98" s="2"/>
      <c r="CFQ98" s="2"/>
      <c r="CFR98" s="2"/>
      <c r="CFS98" s="2"/>
      <c r="CFT98" s="2"/>
      <c r="CFU98" s="2"/>
      <c r="CFV98" s="2"/>
      <c r="CFW98" s="2"/>
      <c r="CFX98" s="2"/>
      <c r="CFY98" s="2"/>
      <c r="CFZ98" s="2"/>
      <c r="CGA98" s="2"/>
      <c r="CGB98" s="2"/>
      <c r="CGC98" s="2"/>
      <c r="CGD98" s="2"/>
      <c r="CGE98" s="2"/>
      <c r="CGF98" s="2"/>
      <c r="CGG98" s="2"/>
      <c r="CGH98" s="2"/>
      <c r="CGI98" s="2"/>
      <c r="CGJ98" s="2"/>
      <c r="CGK98" s="2"/>
      <c r="CGL98" s="2"/>
      <c r="CGM98" s="2"/>
      <c r="CGN98" s="2"/>
      <c r="CGO98" s="2"/>
      <c r="CGP98" s="2"/>
      <c r="CGQ98" s="2"/>
      <c r="CGR98" s="2"/>
      <c r="CGS98" s="2"/>
      <c r="CGT98" s="2"/>
      <c r="CGU98" s="2"/>
      <c r="CGV98" s="2"/>
      <c r="CGW98" s="2"/>
      <c r="CGX98" s="2"/>
      <c r="CGY98" s="2"/>
      <c r="CGZ98" s="2"/>
      <c r="CHA98" s="2"/>
      <c r="CHB98" s="2"/>
      <c r="CHC98" s="2"/>
      <c r="CHD98" s="2"/>
      <c r="CHE98" s="2"/>
      <c r="CHF98" s="2"/>
      <c r="CHG98" s="2"/>
      <c r="CHH98" s="2"/>
      <c r="CHI98" s="2"/>
      <c r="CHJ98" s="2"/>
      <c r="CHK98" s="2"/>
      <c r="CHL98" s="2"/>
      <c r="CHM98" s="2"/>
      <c r="CHN98" s="2"/>
      <c r="CHO98" s="2"/>
      <c r="CHP98" s="2"/>
      <c r="CHQ98" s="2"/>
      <c r="CHR98" s="2"/>
      <c r="CHS98" s="2"/>
      <c r="CHT98" s="2"/>
      <c r="CHU98" s="2"/>
      <c r="CHV98" s="2"/>
      <c r="CHW98" s="2"/>
      <c r="CHX98" s="2"/>
      <c r="CHY98" s="2"/>
      <c r="CHZ98" s="2"/>
      <c r="CIA98" s="2"/>
      <c r="CIB98" s="2"/>
      <c r="CIC98" s="2"/>
      <c r="CID98" s="2"/>
      <c r="CIE98" s="2"/>
      <c r="CIF98" s="2"/>
      <c r="CIG98" s="2"/>
      <c r="CIH98" s="2"/>
      <c r="CII98" s="2"/>
      <c r="CIJ98" s="2"/>
      <c r="CIK98" s="2"/>
      <c r="CIL98" s="2"/>
      <c r="CIM98" s="2"/>
      <c r="CIN98" s="2"/>
      <c r="CIO98" s="2"/>
      <c r="CIP98" s="2"/>
      <c r="CIQ98" s="2"/>
      <c r="CIR98" s="2"/>
      <c r="CIS98" s="2"/>
      <c r="CIT98" s="2"/>
      <c r="CIU98" s="2"/>
      <c r="CIV98" s="2"/>
      <c r="CIW98" s="2"/>
      <c r="CIX98" s="2"/>
      <c r="CIY98" s="2"/>
      <c r="CIZ98" s="2"/>
      <c r="CJA98" s="2"/>
      <c r="CJB98" s="2"/>
      <c r="CJC98" s="2"/>
      <c r="CJD98" s="2"/>
      <c r="CJE98" s="2"/>
      <c r="CJF98" s="2"/>
      <c r="CJG98" s="2"/>
      <c r="CJH98" s="2"/>
      <c r="CJI98" s="2"/>
      <c r="CJJ98" s="2"/>
      <c r="CJK98" s="2"/>
      <c r="CJL98" s="2"/>
      <c r="CJM98" s="2"/>
      <c r="CJN98" s="2"/>
      <c r="CJO98" s="2"/>
      <c r="CJP98" s="2"/>
      <c r="CJQ98" s="2"/>
      <c r="CJR98" s="2"/>
      <c r="CJS98" s="2"/>
      <c r="CJT98" s="2"/>
      <c r="CJU98" s="2"/>
      <c r="CJV98" s="2"/>
      <c r="CJW98" s="2"/>
      <c r="CJX98" s="2"/>
      <c r="CJY98" s="2"/>
      <c r="CJZ98" s="2"/>
      <c r="CKA98" s="2"/>
      <c r="CKB98" s="2"/>
      <c r="CKC98" s="2"/>
      <c r="CKD98" s="2"/>
      <c r="CKE98" s="2"/>
      <c r="CKF98" s="2"/>
      <c r="CKG98" s="2"/>
      <c r="CKH98" s="2"/>
      <c r="CKI98" s="2"/>
      <c r="CKJ98" s="2"/>
      <c r="CKK98" s="2"/>
      <c r="CKL98" s="2"/>
      <c r="CKM98" s="2"/>
      <c r="CKN98" s="2"/>
      <c r="CKO98" s="2"/>
      <c r="CKP98" s="2"/>
      <c r="CKQ98" s="2"/>
      <c r="CKR98" s="2"/>
      <c r="CKS98" s="2"/>
      <c r="CKT98" s="2"/>
      <c r="CKU98" s="2"/>
      <c r="CKV98" s="2"/>
      <c r="CKW98" s="2"/>
      <c r="CKX98" s="2"/>
      <c r="CKY98" s="2"/>
      <c r="CKZ98" s="2"/>
      <c r="CLA98" s="2"/>
      <c r="CLB98" s="2"/>
      <c r="CLC98" s="2"/>
      <c r="CLD98" s="2"/>
      <c r="CLE98" s="2"/>
      <c r="CLF98" s="2"/>
      <c r="CLG98" s="2"/>
      <c r="CLH98" s="2"/>
      <c r="CLI98" s="2"/>
      <c r="CLJ98" s="2"/>
      <c r="CLK98" s="2"/>
      <c r="CLL98" s="2"/>
      <c r="CLM98" s="2"/>
      <c r="CLN98" s="2"/>
      <c r="CLO98" s="2"/>
      <c r="CLP98" s="2"/>
      <c r="CLQ98" s="2"/>
      <c r="CLR98" s="2"/>
      <c r="CLS98" s="2"/>
      <c r="CLT98" s="2"/>
      <c r="CLU98" s="2"/>
      <c r="CLV98" s="2"/>
      <c r="CLW98" s="2"/>
      <c r="CLX98" s="2"/>
      <c r="CLY98" s="2"/>
      <c r="CLZ98" s="2"/>
      <c r="CMA98" s="2"/>
      <c r="CMB98" s="2"/>
      <c r="CMC98" s="2"/>
      <c r="CMD98" s="2"/>
      <c r="CME98" s="2"/>
      <c r="CMF98" s="2"/>
      <c r="CMG98" s="2"/>
      <c r="CMH98" s="2"/>
      <c r="CMI98" s="2"/>
      <c r="CMJ98" s="2"/>
      <c r="CMK98" s="2"/>
      <c r="CML98" s="2"/>
      <c r="CMM98" s="2"/>
      <c r="CMN98" s="2"/>
      <c r="CMO98" s="2"/>
      <c r="CMP98" s="2"/>
      <c r="CMQ98" s="2"/>
      <c r="CMR98" s="2"/>
      <c r="CMS98" s="2"/>
      <c r="CMT98" s="2"/>
      <c r="CMU98" s="2"/>
      <c r="CMV98" s="2"/>
      <c r="CMW98" s="2"/>
      <c r="CMX98" s="2"/>
      <c r="CMY98" s="2"/>
      <c r="CMZ98" s="2"/>
      <c r="CNA98" s="2"/>
      <c r="CNB98" s="2"/>
      <c r="CNC98" s="2"/>
      <c r="CND98" s="2"/>
      <c r="CNE98" s="2"/>
      <c r="CNF98" s="2"/>
      <c r="CNG98" s="2"/>
      <c r="CNH98" s="2"/>
      <c r="CNI98" s="2"/>
      <c r="CNJ98" s="2"/>
      <c r="CNK98" s="2"/>
      <c r="CNL98" s="2"/>
      <c r="CNM98" s="2"/>
      <c r="CNN98" s="2"/>
      <c r="CNO98" s="2"/>
      <c r="CNP98" s="2"/>
      <c r="CNQ98" s="2"/>
      <c r="CNR98" s="2"/>
      <c r="CNS98" s="2"/>
      <c r="CNT98" s="2"/>
      <c r="CNU98" s="2"/>
      <c r="CNV98" s="2"/>
      <c r="CNW98" s="2"/>
      <c r="CNX98" s="2"/>
      <c r="CNY98" s="2"/>
      <c r="CNZ98" s="2"/>
      <c r="COA98" s="2"/>
      <c r="COB98" s="2"/>
      <c r="COC98" s="2"/>
      <c r="COD98" s="2"/>
      <c r="COE98" s="2"/>
      <c r="COF98" s="2"/>
      <c r="COG98" s="2"/>
      <c r="COH98" s="2"/>
      <c r="COI98" s="2"/>
      <c r="COJ98" s="2"/>
      <c r="COK98" s="2"/>
      <c r="COL98" s="2"/>
      <c r="COM98" s="2"/>
      <c r="CON98" s="2"/>
      <c r="COO98" s="2"/>
      <c r="COP98" s="2"/>
      <c r="COQ98" s="2"/>
      <c r="COR98" s="2"/>
      <c r="COS98" s="2"/>
      <c r="COT98" s="2"/>
      <c r="COU98" s="2"/>
      <c r="COV98" s="2"/>
      <c r="COW98" s="2"/>
      <c r="COX98" s="2"/>
      <c r="COY98" s="2"/>
      <c r="COZ98" s="2"/>
      <c r="CPA98" s="2"/>
      <c r="CPB98" s="2"/>
      <c r="CPC98" s="2"/>
      <c r="CPD98" s="2"/>
      <c r="CPE98" s="2"/>
      <c r="CPF98" s="2"/>
      <c r="CPG98" s="2"/>
      <c r="CPH98" s="2"/>
      <c r="CPI98" s="2"/>
      <c r="CPJ98" s="2"/>
      <c r="CPK98" s="2"/>
      <c r="CPL98" s="2"/>
      <c r="CPM98" s="2"/>
      <c r="CPN98" s="2"/>
      <c r="CPO98" s="2"/>
      <c r="CPP98" s="2"/>
      <c r="CPQ98" s="2"/>
      <c r="CPR98" s="2"/>
      <c r="CPS98" s="2"/>
      <c r="CPT98" s="2"/>
      <c r="CPU98" s="2"/>
      <c r="CPV98" s="2"/>
      <c r="CPW98" s="2"/>
      <c r="CPX98" s="2"/>
      <c r="CPY98" s="2"/>
      <c r="CPZ98" s="2"/>
      <c r="CQA98" s="2"/>
      <c r="CQB98" s="2"/>
      <c r="CQC98" s="2"/>
      <c r="CQD98" s="2"/>
      <c r="CQE98" s="2"/>
      <c r="CQF98" s="2"/>
      <c r="CQG98" s="2"/>
      <c r="CQH98" s="2"/>
      <c r="CQI98" s="2"/>
      <c r="CQJ98" s="2"/>
      <c r="CQK98" s="2"/>
      <c r="CQL98" s="2"/>
      <c r="CQM98" s="2"/>
      <c r="CQN98" s="2"/>
      <c r="CQO98" s="2"/>
      <c r="CQP98" s="2"/>
      <c r="CQQ98" s="2"/>
      <c r="CQR98" s="2"/>
      <c r="CQS98" s="2"/>
      <c r="CQT98" s="2"/>
      <c r="CQU98" s="2"/>
      <c r="CQV98" s="2"/>
      <c r="CQW98" s="2"/>
      <c r="CQX98" s="2"/>
      <c r="CQY98" s="2"/>
      <c r="CQZ98" s="2"/>
      <c r="CRA98" s="2"/>
      <c r="CRB98" s="2"/>
      <c r="CRC98" s="2"/>
      <c r="CRD98" s="2"/>
      <c r="CRE98" s="2"/>
      <c r="CRF98" s="2"/>
      <c r="CRG98" s="2"/>
      <c r="CRH98" s="2"/>
      <c r="CRI98" s="2"/>
      <c r="CRJ98" s="2"/>
      <c r="CRK98" s="2"/>
      <c r="CRL98" s="2"/>
      <c r="CRM98" s="2"/>
      <c r="CRN98" s="2"/>
      <c r="CRO98" s="2"/>
      <c r="CRP98" s="2"/>
      <c r="CRQ98" s="2"/>
      <c r="CRR98" s="2"/>
      <c r="CRS98" s="2"/>
      <c r="CRT98" s="2"/>
      <c r="CRU98" s="2"/>
      <c r="CRV98" s="2"/>
      <c r="CRW98" s="2"/>
      <c r="CRX98" s="2"/>
      <c r="CRY98" s="2"/>
      <c r="CRZ98" s="2"/>
      <c r="CSA98" s="2"/>
      <c r="CSB98" s="2"/>
      <c r="CSC98" s="2"/>
      <c r="CSD98" s="2"/>
      <c r="CSE98" s="2"/>
      <c r="CSF98" s="2"/>
      <c r="CSG98" s="2"/>
      <c r="CSH98" s="2"/>
      <c r="CSI98" s="2"/>
      <c r="CSJ98" s="2"/>
      <c r="CSK98" s="2"/>
      <c r="CSL98" s="2"/>
      <c r="CSM98" s="2"/>
      <c r="CSN98" s="2"/>
      <c r="CSO98" s="2"/>
      <c r="CSP98" s="2"/>
      <c r="CSQ98" s="2"/>
      <c r="CSR98" s="2"/>
      <c r="CSS98" s="2"/>
      <c r="CST98" s="2"/>
      <c r="CSU98" s="2"/>
      <c r="CSV98" s="2"/>
      <c r="CSW98" s="2"/>
      <c r="CSX98" s="2"/>
      <c r="CSY98" s="2"/>
      <c r="CSZ98" s="2"/>
      <c r="CTA98" s="2"/>
      <c r="CTB98" s="2"/>
      <c r="CTC98" s="2"/>
      <c r="CTD98" s="2"/>
      <c r="CTE98" s="2"/>
      <c r="CTF98" s="2"/>
      <c r="CTG98" s="2"/>
      <c r="CTH98" s="2"/>
      <c r="CTI98" s="2"/>
      <c r="CTJ98" s="2"/>
      <c r="CTK98" s="2"/>
      <c r="CTL98" s="2"/>
      <c r="CTM98" s="2"/>
      <c r="CTN98" s="2"/>
      <c r="CTO98" s="2"/>
      <c r="CTP98" s="2"/>
      <c r="CTQ98" s="2"/>
      <c r="CTR98" s="2"/>
      <c r="CTS98" s="2"/>
      <c r="CTT98" s="2"/>
      <c r="CTU98" s="2"/>
      <c r="CTV98" s="2"/>
      <c r="CTW98" s="2"/>
      <c r="CTX98" s="2"/>
      <c r="CTY98" s="2"/>
      <c r="CTZ98" s="2"/>
      <c r="CUA98" s="2"/>
      <c r="CUB98" s="2"/>
      <c r="CUC98" s="2"/>
      <c r="CUD98" s="2"/>
      <c r="CUE98" s="2"/>
      <c r="CUF98" s="2"/>
      <c r="CUG98" s="2"/>
      <c r="CUH98" s="2"/>
      <c r="CUI98" s="2"/>
      <c r="CUJ98" s="2"/>
      <c r="CUK98" s="2"/>
      <c r="CUL98" s="2"/>
      <c r="CUM98" s="2"/>
      <c r="CUN98" s="2"/>
      <c r="CUO98" s="2"/>
      <c r="CUP98" s="2"/>
      <c r="CUQ98" s="2"/>
      <c r="CUR98" s="2"/>
      <c r="CUS98" s="2"/>
      <c r="CUT98" s="2"/>
      <c r="CUU98" s="2"/>
      <c r="CUV98" s="2"/>
      <c r="CUW98" s="2"/>
      <c r="CUX98" s="2"/>
      <c r="CUY98" s="2"/>
      <c r="CUZ98" s="2"/>
      <c r="CVA98" s="2"/>
      <c r="CVB98" s="2"/>
      <c r="CVC98" s="2"/>
      <c r="CVD98" s="2"/>
      <c r="CVE98" s="2"/>
      <c r="CVF98" s="2"/>
      <c r="CVG98" s="2"/>
      <c r="CVH98" s="2"/>
      <c r="CVI98" s="2"/>
      <c r="CVJ98" s="2"/>
      <c r="CVK98" s="2"/>
      <c r="CVL98" s="2"/>
      <c r="CVM98" s="2"/>
      <c r="CVN98" s="2"/>
      <c r="CVO98" s="2"/>
      <c r="CVP98" s="2"/>
      <c r="CVQ98" s="2"/>
      <c r="CVR98" s="2"/>
      <c r="CVS98" s="2"/>
      <c r="CVT98" s="2"/>
      <c r="CVU98" s="2"/>
      <c r="CVV98" s="2"/>
      <c r="CVW98" s="2"/>
      <c r="CVX98" s="2"/>
      <c r="CVY98" s="2"/>
      <c r="CVZ98" s="2"/>
      <c r="CWA98" s="2"/>
      <c r="CWB98" s="2"/>
      <c r="CWC98" s="2"/>
      <c r="CWD98" s="2"/>
      <c r="CWE98" s="2"/>
      <c r="CWF98" s="2"/>
      <c r="CWG98" s="2"/>
      <c r="CWH98" s="2"/>
      <c r="CWI98" s="2"/>
      <c r="CWJ98" s="2"/>
      <c r="CWK98" s="2"/>
      <c r="CWL98" s="2"/>
      <c r="CWM98" s="2"/>
      <c r="CWN98" s="2"/>
      <c r="CWO98" s="2"/>
      <c r="CWP98" s="2"/>
      <c r="CWQ98" s="2"/>
      <c r="CWR98" s="2"/>
      <c r="CWS98" s="2"/>
      <c r="CWT98" s="2"/>
      <c r="CWU98" s="2"/>
      <c r="CWV98" s="2"/>
      <c r="CWW98" s="2"/>
      <c r="CWX98" s="2"/>
      <c r="CWY98" s="2"/>
      <c r="CWZ98" s="2"/>
      <c r="CXA98" s="2"/>
      <c r="CXB98" s="2"/>
      <c r="CXC98" s="2"/>
      <c r="CXD98" s="2"/>
      <c r="CXE98" s="2"/>
      <c r="CXF98" s="2"/>
      <c r="CXG98" s="2"/>
      <c r="CXH98" s="2"/>
      <c r="CXI98" s="2"/>
      <c r="CXJ98" s="2"/>
      <c r="CXK98" s="2"/>
      <c r="CXL98" s="2"/>
      <c r="CXM98" s="2"/>
      <c r="CXN98" s="2"/>
      <c r="CXO98" s="2"/>
      <c r="CXP98" s="2"/>
      <c r="CXQ98" s="2"/>
      <c r="CXR98" s="2"/>
      <c r="CXS98" s="2"/>
      <c r="CXT98" s="2"/>
      <c r="CXU98" s="2"/>
      <c r="CXV98" s="2"/>
      <c r="CXW98" s="2"/>
      <c r="CXX98" s="2"/>
      <c r="CXY98" s="2"/>
      <c r="CXZ98" s="2"/>
      <c r="CYA98" s="2"/>
      <c r="CYB98" s="2"/>
      <c r="CYC98" s="2"/>
      <c r="CYD98" s="2"/>
      <c r="CYE98" s="2"/>
      <c r="CYF98" s="2"/>
      <c r="CYG98" s="2"/>
      <c r="CYH98" s="2"/>
      <c r="CYI98" s="2"/>
      <c r="CYJ98" s="2"/>
      <c r="CYK98" s="2"/>
      <c r="CYL98" s="2"/>
      <c r="CYM98" s="2"/>
      <c r="CYN98" s="2"/>
      <c r="CYO98" s="2"/>
      <c r="CYP98" s="2"/>
      <c r="CYQ98" s="2"/>
      <c r="CYR98" s="2"/>
      <c r="CYS98" s="2"/>
      <c r="CYT98" s="2"/>
      <c r="CYU98" s="2"/>
      <c r="CYV98" s="2"/>
      <c r="CYW98" s="2"/>
      <c r="CYX98" s="2"/>
      <c r="CYY98" s="2"/>
      <c r="CYZ98" s="2"/>
      <c r="CZA98" s="2"/>
      <c r="CZB98" s="2"/>
      <c r="CZC98" s="2"/>
      <c r="CZD98" s="2"/>
      <c r="CZE98" s="2"/>
      <c r="CZF98" s="2"/>
      <c r="CZG98" s="2"/>
      <c r="CZH98" s="2"/>
      <c r="CZI98" s="2"/>
      <c r="CZJ98" s="2"/>
      <c r="CZK98" s="2"/>
      <c r="CZL98" s="2"/>
      <c r="CZM98" s="2"/>
      <c r="CZN98" s="2"/>
      <c r="CZO98" s="2"/>
      <c r="CZP98" s="2"/>
      <c r="CZQ98" s="2"/>
      <c r="CZR98" s="2"/>
      <c r="CZS98" s="2"/>
      <c r="CZT98" s="2"/>
      <c r="CZU98" s="2"/>
      <c r="CZV98" s="2"/>
      <c r="CZW98" s="2"/>
      <c r="CZX98" s="2"/>
      <c r="CZY98" s="2"/>
      <c r="CZZ98" s="2"/>
      <c r="DAA98" s="2"/>
      <c r="DAB98" s="2"/>
      <c r="DAC98" s="2"/>
      <c r="DAD98" s="2"/>
      <c r="DAE98" s="2"/>
      <c r="DAF98" s="2"/>
      <c r="DAG98" s="2"/>
      <c r="DAH98" s="2"/>
      <c r="DAI98" s="2"/>
      <c r="DAJ98" s="2"/>
      <c r="DAK98" s="2"/>
      <c r="DAL98" s="2"/>
      <c r="DAM98" s="2"/>
      <c r="DAN98" s="2"/>
      <c r="DAO98" s="2"/>
      <c r="DAP98" s="2"/>
      <c r="DAQ98" s="2"/>
      <c r="DAR98" s="2"/>
      <c r="DAS98" s="2"/>
      <c r="DAT98" s="2"/>
      <c r="DAU98" s="2"/>
      <c r="DAV98" s="2"/>
      <c r="DAW98" s="2"/>
      <c r="DAX98" s="2"/>
      <c r="DAY98" s="2"/>
      <c r="DAZ98" s="2"/>
      <c r="DBA98" s="2"/>
      <c r="DBB98" s="2"/>
      <c r="DBC98" s="2"/>
      <c r="DBD98" s="2"/>
      <c r="DBE98" s="2"/>
      <c r="DBF98" s="2"/>
      <c r="DBG98" s="2"/>
      <c r="DBH98" s="2"/>
      <c r="DBI98" s="2"/>
      <c r="DBJ98" s="2"/>
      <c r="DBK98" s="2"/>
      <c r="DBL98" s="2"/>
      <c r="DBM98" s="2"/>
      <c r="DBN98" s="2"/>
      <c r="DBO98" s="2"/>
      <c r="DBP98" s="2"/>
      <c r="DBQ98" s="2"/>
      <c r="DBR98" s="2"/>
      <c r="DBS98" s="2"/>
      <c r="DBT98" s="2"/>
      <c r="DBU98" s="2"/>
      <c r="DBV98" s="2"/>
      <c r="DBW98" s="2"/>
      <c r="DBX98" s="2"/>
      <c r="DBY98" s="2"/>
      <c r="DBZ98" s="2"/>
      <c r="DCA98" s="2"/>
      <c r="DCB98" s="2"/>
      <c r="DCC98" s="2"/>
      <c r="DCD98" s="2"/>
      <c r="DCE98" s="2"/>
      <c r="DCF98" s="2"/>
      <c r="DCG98" s="2"/>
      <c r="DCH98" s="2"/>
      <c r="DCI98" s="2"/>
      <c r="DCJ98" s="2"/>
      <c r="DCK98" s="2"/>
      <c r="DCL98" s="2"/>
      <c r="DCM98" s="2"/>
      <c r="DCN98" s="2"/>
      <c r="DCO98" s="2"/>
      <c r="DCP98" s="2"/>
      <c r="DCQ98" s="2"/>
      <c r="DCR98" s="2"/>
      <c r="DCS98" s="2"/>
      <c r="DCT98" s="2"/>
      <c r="DCU98" s="2"/>
      <c r="DCV98" s="2"/>
      <c r="DCW98" s="2"/>
      <c r="DCX98" s="2"/>
      <c r="DCY98" s="2"/>
      <c r="DCZ98" s="2"/>
      <c r="DDA98" s="2"/>
      <c r="DDB98" s="2"/>
      <c r="DDC98" s="2"/>
      <c r="DDD98" s="2"/>
      <c r="DDE98" s="2"/>
      <c r="DDF98" s="2"/>
      <c r="DDG98" s="2"/>
      <c r="DDH98" s="2"/>
      <c r="DDI98" s="2"/>
      <c r="DDJ98" s="2"/>
      <c r="DDK98" s="2"/>
      <c r="DDL98" s="2"/>
      <c r="DDM98" s="2"/>
      <c r="DDN98" s="2"/>
      <c r="DDO98" s="2"/>
      <c r="DDP98" s="2"/>
      <c r="DDQ98" s="2"/>
      <c r="DDR98" s="2"/>
      <c r="DDS98" s="2"/>
      <c r="DDT98" s="2"/>
      <c r="DDU98" s="2"/>
      <c r="DDV98" s="2"/>
      <c r="DDW98" s="2"/>
      <c r="DDX98" s="2"/>
      <c r="DDY98" s="2"/>
      <c r="DDZ98" s="2"/>
      <c r="DEA98" s="2"/>
      <c r="DEB98" s="2"/>
      <c r="DEC98" s="2"/>
      <c r="DED98" s="2"/>
      <c r="DEE98" s="2"/>
      <c r="DEF98" s="2"/>
      <c r="DEG98" s="2"/>
      <c r="DEH98" s="2"/>
      <c r="DEI98" s="2"/>
      <c r="DEJ98" s="2"/>
      <c r="DEK98" s="2"/>
      <c r="DEL98" s="2"/>
      <c r="DEM98" s="2"/>
      <c r="DEN98" s="2"/>
      <c r="DEO98" s="2"/>
      <c r="DEP98" s="2"/>
      <c r="DEQ98" s="2"/>
      <c r="DER98" s="2"/>
      <c r="DES98" s="2"/>
      <c r="DET98" s="2"/>
      <c r="DEU98" s="2"/>
      <c r="DEV98" s="2"/>
      <c r="DEW98" s="2"/>
      <c r="DEX98" s="2"/>
      <c r="DEY98" s="2"/>
      <c r="DEZ98" s="2"/>
      <c r="DFA98" s="2"/>
      <c r="DFB98" s="2"/>
      <c r="DFC98" s="2"/>
      <c r="DFD98" s="2"/>
      <c r="DFE98" s="2"/>
      <c r="DFF98" s="2"/>
      <c r="DFG98" s="2"/>
      <c r="DFH98" s="2"/>
      <c r="DFI98" s="2"/>
      <c r="DFJ98" s="2"/>
      <c r="DFK98" s="2"/>
      <c r="DFL98" s="2"/>
      <c r="DFM98" s="2"/>
      <c r="DFN98" s="2"/>
      <c r="DFO98" s="2"/>
      <c r="DFP98" s="2"/>
      <c r="DFQ98" s="2"/>
      <c r="DFR98" s="2"/>
      <c r="DFS98" s="2"/>
      <c r="DFT98" s="2"/>
      <c r="DFU98" s="2"/>
      <c r="DFV98" s="2"/>
      <c r="DFW98" s="2"/>
      <c r="DFX98" s="2"/>
      <c r="DFY98" s="2"/>
      <c r="DFZ98" s="2"/>
      <c r="DGA98" s="2"/>
      <c r="DGB98" s="2"/>
      <c r="DGC98" s="2"/>
      <c r="DGD98" s="2"/>
      <c r="DGE98" s="2"/>
      <c r="DGF98" s="2"/>
      <c r="DGG98" s="2"/>
      <c r="DGH98" s="2"/>
      <c r="DGI98" s="2"/>
      <c r="DGJ98" s="2"/>
      <c r="DGK98" s="2"/>
      <c r="DGL98" s="2"/>
      <c r="DGM98" s="2"/>
      <c r="DGN98" s="2"/>
      <c r="DGO98" s="2"/>
      <c r="DGP98" s="2"/>
      <c r="DGQ98" s="2"/>
      <c r="DGR98" s="2"/>
      <c r="DGS98" s="2"/>
      <c r="DGT98" s="2"/>
      <c r="DGU98" s="2"/>
      <c r="DGV98" s="2"/>
      <c r="DGW98" s="2"/>
      <c r="DGX98" s="2"/>
      <c r="DGY98" s="2"/>
      <c r="DGZ98" s="2"/>
      <c r="DHA98" s="2"/>
      <c r="DHB98" s="2"/>
      <c r="DHC98" s="2"/>
      <c r="DHD98" s="2"/>
      <c r="DHE98" s="2"/>
      <c r="DHF98" s="2"/>
      <c r="DHG98" s="2"/>
      <c r="DHH98" s="2"/>
      <c r="DHI98" s="2"/>
      <c r="DHJ98" s="2"/>
      <c r="DHK98" s="2"/>
      <c r="DHL98" s="2"/>
      <c r="DHM98" s="2"/>
      <c r="DHN98" s="2"/>
      <c r="DHO98" s="2"/>
      <c r="DHP98" s="2"/>
      <c r="DHQ98" s="2"/>
      <c r="DHR98" s="2"/>
      <c r="DHS98" s="2"/>
      <c r="DHT98" s="2"/>
      <c r="DHU98" s="2"/>
      <c r="DHV98" s="2"/>
      <c r="DHW98" s="2"/>
      <c r="DHX98" s="2"/>
      <c r="DHY98" s="2"/>
      <c r="DHZ98" s="2"/>
      <c r="DIA98" s="2"/>
      <c r="DIB98" s="2"/>
      <c r="DIC98" s="2"/>
      <c r="DID98" s="2"/>
      <c r="DIE98" s="2"/>
      <c r="DIF98" s="2"/>
      <c r="DIG98" s="2"/>
      <c r="DIH98" s="2"/>
      <c r="DII98" s="2"/>
      <c r="DIJ98" s="2"/>
      <c r="DIK98" s="2"/>
      <c r="DIL98" s="2"/>
      <c r="DIM98" s="2"/>
      <c r="DIN98" s="2"/>
      <c r="DIO98" s="2"/>
      <c r="DIP98" s="2"/>
      <c r="DIQ98" s="2"/>
      <c r="DIR98" s="2"/>
      <c r="DIS98" s="2"/>
      <c r="DIT98" s="2"/>
      <c r="DIU98" s="2"/>
      <c r="DIV98" s="2"/>
      <c r="DIW98" s="2"/>
      <c r="DIX98" s="2"/>
      <c r="DIY98" s="2"/>
      <c r="DIZ98" s="2"/>
      <c r="DJA98" s="2"/>
      <c r="DJB98" s="2"/>
      <c r="DJC98" s="2"/>
      <c r="DJD98" s="2"/>
      <c r="DJE98" s="2"/>
      <c r="DJF98" s="2"/>
      <c r="DJG98" s="2"/>
      <c r="DJH98" s="2"/>
      <c r="DJI98" s="2"/>
      <c r="DJJ98" s="2"/>
      <c r="DJK98" s="2"/>
      <c r="DJL98" s="2"/>
      <c r="DJM98" s="2"/>
      <c r="DJN98" s="2"/>
      <c r="DJO98" s="2"/>
      <c r="DJP98" s="2"/>
      <c r="DJQ98" s="2"/>
      <c r="DJR98" s="2"/>
      <c r="DJS98" s="2"/>
      <c r="DJT98" s="2"/>
      <c r="DJU98" s="2"/>
      <c r="DJV98" s="2"/>
      <c r="DJW98" s="2"/>
      <c r="DJX98" s="2"/>
      <c r="DJY98" s="2"/>
      <c r="DJZ98" s="2"/>
      <c r="DKA98" s="2"/>
      <c r="DKB98" s="2"/>
      <c r="DKC98" s="2"/>
      <c r="DKD98" s="2"/>
      <c r="DKE98" s="2"/>
      <c r="DKF98" s="2"/>
      <c r="DKG98" s="2"/>
      <c r="DKH98" s="2"/>
      <c r="DKI98" s="2"/>
      <c r="DKJ98" s="2"/>
      <c r="DKK98" s="2"/>
      <c r="DKL98" s="2"/>
      <c r="DKM98" s="2"/>
      <c r="DKN98" s="2"/>
      <c r="DKO98" s="2"/>
      <c r="DKP98" s="2"/>
      <c r="DKQ98" s="2"/>
      <c r="DKR98" s="2"/>
      <c r="DKS98" s="2"/>
      <c r="DKT98" s="2"/>
      <c r="DKU98" s="2"/>
      <c r="DKV98" s="2"/>
      <c r="DKW98" s="2"/>
      <c r="DKX98" s="2"/>
      <c r="DKY98" s="2"/>
      <c r="DKZ98" s="2"/>
      <c r="DLA98" s="2"/>
      <c r="DLB98" s="2"/>
      <c r="DLC98" s="2"/>
      <c r="DLD98" s="2"/>
      <c r="DLE98" s="2"/>
      <c r="DLF98" s="2"/>
      <c r="DLG98" s="2"/>
      <c r="DLH98" s="2"/>
      <c r="DLI98" s="2"/>
      <c r="DLJ98" s="2"/>
      <c r="DLK98" s="2"/>
      <c r="DLL98" s="2"/>
      <c r="DLM98" s="2"/>
      <c r="DLN98" s="2"/>
      <c r="DLO98" s="2"/>
      <c r="DLP98" s="2"/>
      <c r="DLQ98" s="2"/>
      <c r="DLR98" s="2"/>
      <c r="DLS98" s="2"/>
      <c r="DLT98" s="2"/>
      <c r="DLU98" s="2"/>
      <c r="DLV98" s="2"/>
      <c r="DLW98" s="2"/>
      <c r="DLX98" s="2"/>
      <c r="DLY98" s="2"/>
      <c r="DLZ98" s="2"/>
      <c r="DMA98" s="2"/>
      <c r="DMB98" s="2"/>
      <c r="DMC98" s="2"/>
      <c r="DMD98" s="2"/>
      <c r="DME98" s="2"/>
      <c r="DMF98" s="2"/>
      <c r="DMG98" s="2"/>
      <c r="DMH98" s="2"/>
      <c r="DMI98" s="2"/>
      <c r="DMJ98" s="2"/>
      <c r="DMK98" s="2"/>
      <c r="DML98" s="2"/>
      <c r="DMM98" s="2"/>
      <c r="DMN98" s="2"/>
      <c r="DMO98" s="2"/>
      <c r="DMP98" s="2"/>
      <c r="DMQ98" s="2"/>
      <c r="DMR98" s="2"/>
      <c r="DMS98" s="2"/>
      <c r="DMT98" s="2"/>
      <c r="DMU98" s="2"/>
      <c r="DMV98" s="2"/>
      <c r="DMW98" s="2"/>
      <c r="DMX98" s="2"/>
      <c r="DMY98" s="2"/>
      <c r="DMZ98" s="2"/>
      <c r="DNA98" s="2"/>
      <c r="DNB98" s="2"/>
      <c r="DNC98" s="2"/>
      <c r="DND98" s="2"/>
      <c r="DNE98" s="2"/>
      <c r="DNF98" s="2"/>
      <c r="DNG98" s="2"/>
      <c r="DNH98" s="2"/>
      <c r="DNI98" s="2"/>
      <c r="DNJ98" s="2"/>
      <c r="DNK98" s="2"/>
      <c r="DNL98" s="2"/>
      <c r="DNM98" s="2"/>
      <c r="DNN98" s="2"/>
      <c r="DNO98" s="2"/>
      <c r="DNP98" s="2"/>
      <c r="DNQ98" s="2"/>
      <c r="DNR98" s="2"/>
      <c r="DNS98" s="2"/>
      <c r="DNT98" s="2"/>
      <c r="DNU98" s="2"/>
      <c r="DNV98" s="2"/>
      <c r="DNW98" s="2"/>
      <c r="DNX98" s="2"/>
      <c r="DNY98" s="2"/>
      <c r="DNZ98" s="2"/>
      <c r="DOA98" s="2"/>
      <c r="DOB98" s="2"/>
      <c r="DOC98" s="2"/>
      <c r="DOD98" s="2"/>
      <c r="DOE98" s="2"/>
      <c r="DOF98" s="2"/>
      <c r="DOG98" s="2"/>
      <c r="DOH98" s="2"/>
      <c r="DOI98" s="2"/>
      <c r="DOJ98" s="2"/>
      <c r="DOK98" s="2"/>
      <c r="DOL98" s="2"/>
      <c r="DOM98" s="2"/>
      <c r="DON98" s="2"/>
      <c r="DOO98" s="2"/>
      <c r="DOP98" s="2"/>
      <c r="DOQ98" s="2"/>
      <c r="DOR98" s="2"/>
      <c r="DOS98" s="2"/>
      <c r="DOT98" s="2"/>
      <c r="DOU98" s="2"/>
      <c r="DOV98" s="2"/>
      <c r="DOW98" s="2"/>
      <c r="DOX98" s="2"/>
      <c r="DOY98" s="2"/>
      <c r="DOZ98" s="2"/>
      <c r="DPA98" s="2"/>
      <c r="DPB98" s="2"/>
      <c r="DPC98" s="2"/>
      <c r="DPD98" s="2"/>
      <c r="DPE98" s="2"/>
      <c r="DPF98" s="2"/>
      <c r="DPG98" s="2"/>
      <c r="DPH98" s="2"/>
      <c r="DPI98" s="2"/>
      <c r="DPJ98" s="2"/>
      <c r="DPK98" s="2"/>
      <c r="DPL98" s="2"/>
      <c r="DPM98" s="2"/>
      <c r="DPN98" s="2"/>
      <c r="DPO98" s="2"/>
      <c r="DPP98" s="2"/>
      <c r="DPQ98" s="2"/>
      <c r="DPR98" s="2"/>
      <c r="DPS98" s="2"/>
      <c r="DPT98" s="2"/>
      <c r="DPU98" s="2"/>
      <c r="DPV98" s="2"/>
      <c r="DPW98" s="2"/>
      <c r="DPX98" s="2"/>
      <c r="DPY98" s="2"/>
      <c r="DPZ98" s="2"/>
      <c r="DQA98" s="2"/>
      <c r="DQB98" s="2"/>
      <c r="DQC98" s="2"/>
      <c r="DQD98" s="2"/>
      <c r="DQE98" s="2"/>
      <c r="DQF98" s="2"/>
      <c r="DQG98" s="2"/>
      <c r="DQH98" s="2"/>
      <c r="DQI98" s="2"/>
      <c r="DQJ98" s="2"/>
      <c r="DQK98" s="2"/>
      <c r="DQL98" s="2"/>
      <c r="DQM98" s="2"/>
      <c r="DQN98" s="2"/>
      <c r="DQO98" s="2"/>
      <c r="DQP98" s="2"/>
      <c r="DQQ98" s="2"/>
      <c r="DQR98" s="2"/>
      <c r="DQS98" s="2"/>
      <c r="DQT98" s="2"/>
      <c r="DQU98" s="2"/>
      <c r="DQV98" s="2"/>
      <c r="DQW98" s="2"/>
      <c r="DQX98" s="2"/>
      <c r="DQY98" s="2"/>
      <c r="DQZ98" s="2"/>
      <c r="DRA98" s="2"/>
      <c r="DRB98" s="2"/>
      <c r="DRC98" s="2"/>
      <c r="DRD98" s="2"/>
      <c r="DRE98" s="2"/>
      <c r="DRF98" s="2"/>
      <c r="DRG98" s="2"/>
      <c r="DRH98" s="2"/>
      <c r="DRI98" s="2"/>
      <c r="DRJ98" s="2"/>
      <c r="DRK98" s="2"/>
      <c r="DRL98" s="2"/>
      <c r="DRM98" s="2"/>
      <c r="DRN98" s="2"/>
      <c r="DRO98" s="2"/>
      <c r="DRP98" s="2"/>
      <c r="DRQ98" s="2"/>
      <c r="DRR98" s="2"/>
      <c r="DRS98" s="2"/>
      <c r="DRT98" s="2"/>
      <c r="DRU98" s="2"/>
      <c r="DRV98" s="2"/>
      <c r="DRW98" s="2"/>
      <c r="DRX98" s="2"/>
      <c r="DRY98" s="2"/>
      <c r="DRZ98" s="2"/>
      <c r="DSA98" s="2"/>
      <c r="DSB98" s="2"/>
      <c r="DSC98" s="2"/>
      <c r="DSD98" s="2"/>
      <c r="DSE98" s="2"/>
      <c r="DSF98" s="2"/>
      <c r="DSG98" s="2"/>
      <c r="DSH98" s="2"/>
      <c r="DSI98" s="2"/>
      <c r="DSJ98" s="2"/>
      <c r="DSK98" s="2"/>
      <c r="DSL98" s="2"/>
      <c r="DSM98" s="2"/>
      <c r="DSN98" s="2"/>
      <c r="DSO98" s="2"/>
      <c r="DSP98" s="2"/>
      <c r="DSQ98" s="2"/>
      <c r="DSR98" s="2"/>
      <c r="DSS98" s="2"/>
      <c r="DST98" s="2"/>
      <c r="DSU98" s="2"/>
      <c r="DSV98" s="2"/>
      <c r="DSW98" s="2"/>
      <c r="DSX98" s="2"/>
      <c r="DSY98" s="2"/>
      <c r="DSZ98" s="2"/>
      <c r="DTA98" s="2"/>
      <c r="DTB98" s="2"/>
      <c r="DTC98" s="2"/>
      <c r="DTD98" s="2"/>
      <c r="DTE98" s="2"/>
      <c r="DTF98" s="2"/>
      <c r="DTG98" s="2"/>
      <c r="DTH98" s="2"/>
      <c r="DTI98" s="2"/>
      <c r="DTJ98" s="2"/>
      <c r="DTK98" s="2"/>
      <c r="DTL98" s="2"/>
      <c r="DTM98" s="2"/>
      <c r="DTN98" s="2"/>
      <c r="DTO98" s="2"/>
      <c r="DTP98" s="2"/>
      <c r="DTQ98" s="2"/>
      <c r="DTR98" s="2"/>
      <c r="DTS98" s="2"/>
      <c r="DTT98" s="2"/>
      <c r="DTU98" s="2"/>
      <c r="DTV98" s="2"/>
      <c r="DTW98" s="2"/>
      <c r="DTX98" s="2"/>
      <c r="DTY98" s="2"/>
      <c r="DTZ98" s="2"/>
      <c r="DUA98" s="2"/>
      <c r="DUB98" s="2"/>
      <c r="DUC98" s="2"/>
      <c r="DUD98" s="2"/>
      <c r="DUE98" s="2"/>
      <c r="DUF98" s="2"/>
      <c r="DUG98" s="2"/>
      <c r="DUH98" s="2"/>
      <c r="DUI98" s="2"/>
      <c r="DUJ98" s="2"/>
      <c r="DUK98" s="2"/>
      <c r="DUL98" s="2"/>
      <c r="DUM98" s="2"/>
      <c r="DUN98" s="2"/>
      <c r="DUO98" s="2"/>
      <c r="DUP98" s="2"/>
      <c r="DUQ98" s="2"/>
      <c r="DUR98" s="2"/>
      <c r="DUS98" s="2"/>
      <c r="DUT98" s="2"/>
      <c r="DUU98" s="2"/>
      <c r="DUV98" s="2"/>
      <c r="DUW98" s="2"/>
      <c r="DUX98" s="2"/>
      <c r="DUY98" s="2"/>
      <c r="DUZ98" s="2"/>
      <c r="DVA98" s="2"/>
      <c r="DVB98" s="2"/>
      <c r="DVC98" s="2"/>
      <c r="DVD98" s="2"/>
      <c r="DVE98" s="2"/>
      <c r="DVF98" s="2"/>
      <c r="DVG98" s="2"/>
      <c r="DVH98" s="2"/>
      <c r="DVI98" s="2"/>
      <c r="DVJ98" s="2"/>
      <c r="DVK98" s="2"/>
      <c r="DVL98" s="2"/>
      <c r="DVM98" s="2"/>
      <c r="DVN98" s="2"/>
      <c r="DVO98" s="2"/>
      <c r="DVP98" s="2"/>
      <c r="DVQ98" s="2"/>
      <c r="DVR98" s="2"/>
      <c r="DVS98" s="2"/>
      <c r="DVT98" s="2"/>
      <c r="DVU98" s="2"/>
      <c r="DVV98" s="2"/>
      <c r="DVW98" s="2"/>
      <c r="DVX98" s="2"/>
      <c r="DVY98" s="2"/>
      <c r="DVZ98" s="2"/>
      <c r="DWA98" s="2"/>
      <c r="DWB98" s="2"/>
      <c r="DWC98" s="2"/>
      <c r="DWD98" s="2"/>
      <c r="DWE98" s="2"/>
      <c r="DWF98" s="2"/>
      <c r="DWG98" s="2"/>
      <c r="DWH98" s="2"/>
      <c r="DWI98" s="2"/>
      <c r="DWJ98" s="2"/>
      <c r="DWK98" s="2"/>
      <c r="DWL98" s="2"/>
      <c r="DWM98" s="2"/>
      <c r="DWN98" s="2"/>
      <c r="DWO98" s="2"/>
      <c r="DWP98" s="2"/>
      <c r="DWQ98" s="2"/>
      <c r="DWR98" s="2"/>
      <c r="DWS98" s="2"/>
      <c r="DWT98" s="2"/>
      <c r="DWU98" s="2"/>
      <c r="DWV98" s="2"/>
      <c r="DWW98" s="2"/>
      <c r="DWX98" s="2"/>
      <c r="DWY98" s="2"/>
      <c r="DWZ98" s="2"/>
      <c r="DXA98" s="2"/>
      <c r="DXB98" s="2"/>
      <c r="DXC98" s="2"/>
      <c r="DXD98" s="2"/>
      <c r="DXE98" s="2"/>
      <c r="DXF98" s="2"/>
      <c r="DXG98" s="2"/>
      <c r="DXH98" s="2"/>
      <c r="DXI98" s="2"/>
      <c r="DXJ98" s="2"/>
      <c r="DXK98" s="2"/>
      <c r="DXL98" s="2"/>
      <c r="DXM98" s="2"/>
      <c r="DXN98" s="2"/>
      <c r="DXO98" s="2"/>
      <c r="DXP98" s="2"/>
      <c r="DXQ98" s="2"/>
      <c r="DXR98" s="2"/>
      <c r="DXS98" s="2"/>
      <c r="DXT98" s="2"/>
      <c r="DXU98" s="2"/>
      <c r="DXV98" s="2"/>
      <c r="DXW98" s="2"/>
      <c r="DXX98" s="2"/>
      <c r="DXY98" s="2"/>
      <c r="DXZ98" s="2"/>
      <c r="DYA98" s="2"/>
      <c r="DYB98" s="2"/>
      <c r="DYC98" s="2"/>
      <c r="DYD98" s="2"/>
      <c r="DYE98" s="2"/>
      <c r="DYF98" s="2"/>
      <c r="DYG98" s="2"/>
      <c r="DYH98" s="2"/>
      <c r="DYI98" s="2"/>
      <c r="DYJ98" s="2"/>
      <c r="DYK98" s="2"/>
      <c r="DYL98" s="2"/>
      <c r="DYM98" s="2"/>
      <c r="DYN98" s="2"/>
      <c r="DYO98" s="2"/>
      <c r="DYP98" s="2"/>
      <c r="DYQ98" s="2"/>
      <c r="DYR98" s="2"/>
      <c r="DYS98" s="2"/>
      <c r="DYT98" s="2"/>
      <c r="DYU98" s="2"/>
      <c r="DYV98" s="2"/>
      <c r="DYW98" s="2"/>
      <c r="DYX98" s="2"/>
      <c r="DYY98" s="2"/>
      <c r="DYZ98" s="2"/>
      <c r="DZA98" s="2"/>
      <c r="DZB98" s="2"/>
      <c r="DZC98" s="2"/>
      <c r="DZD98" s="2"/>
      <c r="DZE98" s="2"/>
      <c r="DZF98" s="2"/>
      <c r="DZG98" s="2"/>
      <c r="DZH98" s="2"/>
      <c r="DZI98" s="2"/>
      <c r="DZJ98" s="2"/>
      <c r="DZK98" s="2"/>
      <c r="DZL98" s="2"/>
      <c r="DZM98" s="2"/>
      <c r="DZN98" s="2"/>
      <c r="DZO98" s="2"/>
      <c r="DZP98" s="2"/>
      <c r="DZQ98" s="2"/>
      <c r="DZR98" s="2"/>
      <c r="DZS98" s="2"/>
      <c r="DZT98" s="2"/>
      <c r="DZU98" s="2"/>
      <c r="DZV98" s="2"/>
      <c r="DZW98" s="2"/>
      <c r="DZX98" s="2"/>
      <c r="DZY98" s="2"/>
      <c r="DZZ98" s="2"/>
      <c r="EAA98" s="2"/>
      <c r="EAB98" s="2"/>
      <c r="EAC98" s="2"/>
      <c r="EAD98" s="2"/>
      <c r="EAE98" s="2"/>
      <c r="EAF98" s="2"/>
      <c r="EAG98" s="2"/>
      <c r="EAH98" s="2"/>
      <c r="EAI98" s="2"/>
      <c r="EAJ98" s="2"/>
      <c r="EAK98" s="2"/>
      <c r="EAL98" s="2"/>
      <c r="EAM98" s="2"/>
      <c r="EAN98" s="2"/>
      <c r="EAO98" s="2"/>
      <c r="EAP98" s="2"/>
      <c r="EAQ98" s="2"/>
      <c r="EAR98" s="2"/>
      <c r="EAS98" s="2"/>
      <c r="EAT98" s="2"/>
      <c r="EAU98" s="2"/>
      <c r="EAV98" s="2"/>
      <c r="EAW98" s="2"/>
      <c r="EAX98" s="2"/>
      <c r="EAY98" s="2"/>
      <c r="EAZ98" s="2"/>
      <c r="EBA98" s="2"/>
      <c r="EBB98" s="2"/>
      <c r="EBC98" s="2"/>
      <c r="EBD98" s="2"/>
      <c r="EBE98" s="2"/>
      <c r="EBF98" s="2"/>
      <c r="EBG98" s="2"/>
      <c r="EBH98" s="2"/>
      <c r="EBI98" s="2"/>
      <c r="EBJ98" s="2"/>
      <c r="EBK98" s="2"/>
      <c r="EBL98" s="2"/>
      <c r="EBM98" s="2"/>
      <c r="EBN98" s="2"/>
      <c r="EBO98" s="2"/>
      <c r="EBP98" s="2"/>
      <c r="EBQ98" s="2"/>
      <c r="EBR98" s="2"/>
      <c r="EBS98" s="2"/>
      <c r="EBT98" s="2"/>
      <c r="EBU98" s="2"/>
      <c r="EBV98" s="2"/>
      <c r="EBW98" s="2"/>
      <c r="EBX98" s="2"/>
      <c r="EBY98" s="2"/>
      <c r="EBZ98" s="2"/>
      <c r="ECA98" s="2"/>
      <c r="ECB98" s="2"/>
      <c r="ECC98" s="2"/>
      <c r="ECD98" s="2"/>
      <c r="ECE98" s="2"/>
      <c r="ECF98" s="2"/>
      <c r="ECG98" s="2"/>
      <c r="ECH98" s="2"/>
      <c r="ECI98" s="2"/>
      <c r="ECJ98" s="2"/>
      <c r="ECK98" s="2"/>
      <c r="ECL98" s="2"/>
      <c r="ECM98" s="2"/>
      <c r="ECN98" s="2"/>
      <c r="ECO98" s="2"/>
      <c r="ECP98" s="2"/>
      <c r="ECQ98" s="2"/>
      <c r="ECR98" s="2"/>
      <c r="ECS98" s="2"/>
      <c r="ECT98" s="2"/>
      <c r="ECU98" s="2"/>
      <c r="ECV98" s="2"/>
      <c r="ECW98" s="2"/>
      <c r="ECX98" s="2"/>
      <c r="ECY98" s="2"/>
      <c r="ECZ98" s="2"/>
      <c r="EDA98" s="2"/>
      <c r="EDB98" s="2"/>
      <c r="EDC98" s="2"/>
      <c r="EDD98" s="2"/>
      <c r="EDE98" s="2"/>
      <c r="EDF98" s="2"/>
      <c r="EDG98" s="2"/>
      <c r="EDH98" s="2"/>
      <c r="EDI98" s="2"/>
      <c r="EDJ98" s="2"/>
      <c r="EDK98" s="2"/>
      <c r="EDL98" s="2"/>
      <c r="EDM98" s="2"/>
      <c r="EDN98" s="2"/>
      <c r="EDO98" s="2"/>
      <c r="EDP98" s="2"/>
      <c r="EDQ98" s="2"/>
      <c r="EDR98" s="2"/>
      <c r="EDS98" s="2"/>
      <c r="EDT98" s="2"/>
      <c r="EDU98" s="2"/>
      <c r="EDV98" s="2"/>
      <c r="EDW98" s="2"/>
      <c r="EDX98" s="2"/>
      <c r="EDY98" s="2"/>
      <c r="EDZ98" s="2"/>
      <c r="EEA98" s="2"/>
      <c r="EEB98" s="2"/>
      <c r="EEC98" s="2"/>
      <c r="EED98" s="2"/>
      <c r="EEE98" s="2"/>
      <c r="EEF98" s="2"/>
      <c r="EEG98" s="2"/>
      <c r="EEH98" s="2"/>
      <c r="EEI98" s="2"/>
      <c r="EEJ98" s="2"/>
      <c r="EEK98" s="2"/>
      <c r="EEL98" s="2"/>
      <c r="EEM98" s="2"/>
      <c r="EEN98" s="2"/>
      <c r="EEO98" s="2"/>
      <c r="EEP98" s="2"/>
      <c r="EEQ98" s="2"/>
      <c r="EER98" s="2"/>
      <c r="EES98" s="2"/>
      <c r="EET98" s="2"/>
      <c r="EEU98" s="2"/>
      <c r="EEV98" s="2"/>
      <c r="EEW98" s="2"/>
      <c r="EEX98" s="2"/>
      <c r="EEY98" s="2"/>
      <c r="EEZ98" s="2"/>
      <c r="EFA98" s="2"/>
      <c r="EFB98" s="2"/>
      <c r="EFC98" s="2"/>
      <c r="EFD98" s="2"/>
      <c r="EFE98" s="2"/>
      <c r="EFF98" s="2"/>
      <c r="EFG98" s="2"/>
      <c r="EFH98" s="2"/>
      <c r="EFI98" s="2"/>
      <c r="EFJ98" s="2"/>
      <c r="EFK98" s="2"/>
      <c r="EFL98" s="2"/>
      <c r="EFM98" s="2"/>
      <c r="EFN98" s="2"/>
      <c r="EFO98" s="2"/>
      <c r="EFP98" s="2"/>
      <c r="EFQ98" s="2"/>
      <c r="EFR98" s="2"/>
      <c r="EFS98" s="2"/>
      <c r="EFT98" s="2"/>
      <c r="EFU98" s="2"/>
      <c r="EFV98" s="2"/>
      <c r="EFW98" s="2"/>
      <c r="EFX98" s="2"/>
      <c r="EFY98" s="2"/>
      <c r="EFZ98" s="2"/>
      <c r="EGA98" s="2"/>
      <c r="EGB98" s="2"/>
      <c r="EGC98" s="2"/>
      <c r="EGD98" s="2"/>
      <c r="EGE98" s="2"/>
      <c r="EGF98" s="2"/>
      <c r="EGG98" s="2"/>
      <c r="EGH98" s="2"/>
      <c r="EGI98" s="2"/>
      <c r="EGJ98" s="2"/>
      <c r="EGK98" s="2"/>
      <c r="EGL98" s="2"/>
      <c r="EGM98" s="2"/>
      <c r="EGN98" s="2"/>
      <c r="EGO98" s="2"/>
      <c r="EGP98" s="2"/>
      <c r="EGQ98" s="2"/>
      <c r="EGR98" s="2"/>
      <c r="EGS98" s="2"/>
      <c r="EGT98" s="2"/>
      <c r="EGU98" s="2"/>
      <c r="EGV98" s="2"/>
      <c r="EGW98" s="2"/>
      <c r="EGX98" s="2"/>
      <c r="EGY98" s="2"/>
      <c r="EGZ98" s="2"/>
      <c r="EHA98" s="2"/>
      <c r="EHB98" s="2"/>
      <c r="EHC98" s="2"/>
      <c r="EHD98" s="2"/>
      <c r="EHE98" s="2"/>
      <c r="EHF98" s="2"/>
      <c r="EHG98" s="2"/>
      <c r="EHH98" s="2"/>
      <c r="EHI98" s="2"/>
      <c r="EHJ98" s="2"/>
      <c r="EHK98" s="2"/>
      <c r="EHL98" s="2"/>
      <c r="EHM98" s="2"/>
      <c r="EHN98" s="2"/>
      <c r="EHO98" s="2"/>
      <c r="EHP98" s="2"/>
      <c r="EHQ98" s="2"/>
      <c r="EHR98" s="2"/>
      <c r="EHS98" s="2"/>
      <c r="EHT98" s="2"/>
      <c r="EHU98" s="2"/>
      <c r="EHV98" s="2"/>
      <c r="EHW98" s="2"/>
      <c r="EHX98" s="2"/>
      <c r="EHY98" s="2"/>
      <c r="EHZ98" s="2"/>
      <c r="EIA98" s="2"/>
      <c r="EIB98" s="2"/>
      <c r="EIC98" s="2"/>
      <c r="EID98" s="2"/>
      <c r="EIE98" s="2"/>
      <c r="EIF98" s="2"/>
      <c r="EIG98" s="2"/>
      <c r="EIH98" s="2"/>
      <c r="EII98" s="2"/>
      <c r="EIJ98" s="2"/>
      <c r="EIK98" s="2"/>
      <c r="EIL98" s="2"/>
      <c r="EIM98" s="2"/>
      <c r="EIN98" s="2"/>
      <c r="EIO98" s="2"/>
      <c r="EIP98" s="2"/>
      <c r="EIQ98" s="2"/>
      <c r="EIR98" s="2"/>
      <c r="EIS98" s="2"/>
      <c r="EIT98" s="2"/>
      <c r="EIU98" s="2"/>
      <c r="EIV98" s="2"/>
      <c r="EIW98" s="2"/>
      <c r="EIX98" s="2"/>
      <c r="EIY98" s="2"/>
      <c r="EIZ98" s="2"/>
      <c r="EJA98" s="2"/>
      <c r="EJB98" s="2"/>
      <c r="EJC98" s="2"/>
      <c r="EJD98" s="2"/>
      <c r="EJE98" s="2"/>
      <c r="EJF98" s="2"/>
      <c r="EJG98" s="2"/>
      <c r="EJH98" s="2"/>
      <c r="EJI98" s="2"/>
      <c r="EJJ98" s="2"/>
      <c r="EJK98" s="2"/>
      <c r="EJL98" s="2"/>
      <c r="EJM98" s="2"/>
      <c r="EJN98" s="2"/>
      <c r="EJO98" s="2"/>
      <c r="EJP98" s="2"/>
      <c r="EJQ98" s="2"/>
      <c r="EJR98" s="2"/>
      <c r="EJS98" s="2"/>
      <c r="EJT98" s="2"/>
      <c r="EJU98" s="2"/>
      <c r="EJV98" s="2"/>
      <c r="EJW98" s="2"/>
      <c r="EJX98" s="2"/>
      <c r="EJY98" s="2"/>
      <c r="EJZ98" s="2"/>
      <c r="EKA98" s="2"/>
      <c r="EKB98" s="2"/>
      <c r="EKC98" s="2"/>
      <c r="EKD98" s="2"/>
      <c r="EKE98" s="2"/>
      <c r="EKF98" s="2"/>
      <c r="EKG98" s="2"/>
      <c r="EKH98" s="2"/>
      <c r="EKI98" s="2"/>
      <c r="EKJ98" s="2"/>
      <c r="EKK98" s="2"/>
      <c r="EKL98" s="2"/>
      <c r="EKM98" s="2"/>
      <c r="EKN98" s="2"/>
      <c r="EKO98" s="2"/>
      <c r="EKP98" s="2"/>
      <c r="EKQ98" s="2"/>
      <c r="EKR98" s="2"/>
      <c r="EKS98" s="2"/>
      <c r="EKT98" s="2"/>
      <c r="EKU98" s="2"/>
      <c r="EKV98" s="2"/>
      <c r="EKW98" s="2"/>
      <c r="EKX98" s="2"/>
      <c r="EKY98" s="2"/>
      <c r="EKZ98" s="2"/>
      <c r="ELA98" s="2"/>
      <c r="ELB98" s="2"/>
      <c r="ELC98" s="2"/>
      <c r="ELD98" s="2"/>
      <c r="ELE98" s="2"/>
      <c r="ELF98" s="2"/>
      <c r="ELG98" s="2"/>
      <c r="ELH98" s="2"/>
      <c r="ELI98" s="2"/>
      <c r="ELJ98" s="2"/>
      <c r="ELK98" s="2"/>
      <c r="ELL98" s="2"/>
      <c r="ELM98" s="2"/>
      <c r="ELN98" s="2"/>
      <c r="ELO98" s="2"/>
      <c r="ELP98" s="2"/>
      <c r="ELQ98" s="2"/>
      <c r="ELR98" s="2"/>
      <c r="ELS98" s="2"/>
      <c r="ELT98" s="2"/>
      <c r="ELU98" s="2"/>
      <c r="ELV98" s="2"/>
      <c r="ELW98" s="2"/>
      <c r="ELX98" s="2"/>
      <c r="ELY98" s="2"/>
      <c r="ELZ98" s="2"/>
      <c r="EMA98" s="2"/>
      <c r="EMB98" s="2"/>
      <c r="EMC98" s="2"/>
      <c r="EMD98" s="2"/>
      <c r="EME98" s="2"/>
      <c r="EMF98" s="2"/>
      <c r="EMG98" s="2"/>
      <c r="EMH98" s="2"/>
      <c r="EMI98" s="2"/>
      <c r="EMJ98" s="2"/>
      <c r="EMK98" s="2"/>
      <c r="EML98" s="2"/>
      <c r="EMM98" s="2"/>
      <c r="EMN98" s="2"/>
      <c r="EMO98" s="2"/>
      <c r="EMP98" s="2"/>
      <c r="EMQ98" s="2"/>
      <c r="EMR98" s="2"/>
      <c r="EMS98" s="2"/>
      <c r="EMT98" s="2"/>
      <c r="EMU98" s="2"/>
      <c r="EMV98" s="2"/>
      <c r="EMW98" s="2"/>
      <c r="EMX98" s="2"/>
      <c r="EMY98" s="2"/>
      <c r="EMZ98" s="2"/>
      <c r="ENA98" s="2"/>
      <c r="ENB98" s="2"/>
      <c r="ENC98" s="2"/>
      <c r="END98" s="2"/>
      <c r="ENE98" s="2"/>
      <c r="ENF98" s="2"/>
      <c r="ENG98" s="2"/>
      <c r="ENH98" s="2"/>
      <c r="ENI98" s="2"/>
      <c r="ENJ98" s="2"/>
      <c r="ENK98" s="2"/>
      <c r="ENL98" s="2"/>
      <c r="ENM98" s="2"/>
      <c r="ENN98" s="2"/>
      <c r="ENO98" s="2"/>
      <c r="ENP98" s="2"/>
      <c r="ENQ98" s="2"/>
      <c r="ENR98" s="2"/>
      <c r="ENS98" s="2"/>
      <c r="ENT98" s="2"/>
      <c r="ENU98" s="2"/>
      <c r="ENV98" s="2"/>
      <c r="ENW98" s="2"/>
      <c r="ENX98" s="2"/>
      <c r="ENY98" s="2"/>
      <c r="ENZ98" s="2"/>
      <c r="EOA98" s="2"/>
      <c r="EOB98" s="2"/>
      <c r="EOC98" s="2"/>
      <c r="EOD98" s="2"/>
      <c r="EOE98" s="2"/>
      <c r="EOF98" s="2"/>
      <c r="EOG98" s="2"/>
      <c r="EOH98" s="2"/>
      <c r="EOI98" s="2"/>
      <c r="EOJ98" s="2"/>
      <c r="EOK98" s="2"/>
      <c r="EOL98" s="2"/>
      <c r="EOM98" s="2"/>
      <c r="EON98" s="2"/>
      <c r="EOO98" s="2"/>
      <c r="EOP98" s="2"/>
      <c r="EOQ98" s="2"/>
      <c r="EOR98" s="2"/>
      <c r="EOS98" s="2"/>
      <c r="EOT98" s="2"/>
      <c r="EOU98" s="2"/>
      <c r="EOV98" s="2"/>
      <c r="EOW98" s="2"/>
      <c r="EOX98" s="2"/>
      <c r="EOY98" s="2"/>
      <c r="EOZ98" s="2"/>
      <c r="EPA98" s="2"/>
      <c r="EPB98" s="2"/>
      <c r="EPC98" s="2"/>
      <c r="EPD98" s="2"/>
      <c r="EPE98" s="2"/>
      <c r="EPF98" s="2"/>
      <c r="EPG98" s="2"/>
      <c r="EPH98" s="2"/>
      <c r="EPI98" s="2"/>
      <c r="EPJ98" s="2"/>
      <c r="EPK98" s="2"/>
      <c r="EPL98" s="2"/>
      <c r="EPM98" s="2"/>
      <c r="EPN98" s="2"/>
      <c r="EPO98" s="2"/>
      <c r="EPP98" s="2"/>
      <c r="EPQ98" s="2"/>
      <c r="EPR98" s="2"/>
      <c r="EPS98" s="2"/>
      <c r="EPT98" s="2"/>
      <c r="EPU98" s="2"/>
      <c r="EPV98" s="2"/>
      <c r="EPW98" s="2"/>
      <c r="EPX98" s="2"/>
      <c r="EPY98" s="2"/>
      <c r="EPZ98" s="2"/>
      <c r="EQA98" s="2"/>
      <c r="EQB98" s="2"/>
      <c r="EQC98" s="2"/>
      <c r="EQD98" s="2"/>
      <c r="EQE98" s="2"/>
      <c r="EQF98" s="2"/>
      <c r="EQG98" s="2"/>
      <c r="EQH98" s="2"/>
      <c r="EQI98" s="2"/>
      <c r="EQJ98" s="2"/>
      <c r="EQK98" s="2"/>
      <c r="EQL98" s="2"/>
      <c r="EQM98" s="2"/>
      <c r="EQN98" s="2"/>
      <c r="EQO98" s="2"/>
      <c r="EQP98" s="2"/>
      <c r="EQQ98" s="2"/>
      <c r="EQR98" s="2"/>
      <c r="EQS98" s="2"/>
      <c r="EQT98" s="2"/>
      <c r="EQU98" s="2"/>
      <c r="EQV98" s="2"/>
      <c r="EQW98" s="2"/>
      <c r="EQX98" s="2"/>
      <c r="EQY98" s="2"/>
      <c r="EQZ98" s="2"/>
      <c r="ERA98" s="2"/>
      <c r="ERB98" s="2"/>
      <c r="ERC98" s="2"/>
      <c r="ERD98" s="2"/>
      <c r="ERE98" s="2"/>
      <c r="ERF98" s="2"/>
      <c r="ERG98" s="2"/>
      <c r="ERH98" s="2"/>
      <c r="ERI98" s="2"/>
      <c r="ERJ98" s="2"/>
      <c r="ERK98" s="2"/>
      <c r="ERL98" s="2"/>
      <c r="ERM98" s="2"/>
      <c r="ERN98" s="2"/>
      <c r="ERO98" s="2"/>
      <c r="ERP98" s="2"/>
      <c r="ERQ98" s="2"/>
      <c r="ERR98" s="2"/>
      <c r="ERS98" s="2"/>
      <c r="ERT98" s="2"/>
      <c r="ERU98" s="2"/>
      <c r="ERV98" s="2"/>
      <c r="ERW98" s="2"/>
      <c r="ERX98" s="2"/>
      <c r="ERY98" s="2"/>
      <c r="ERZ98" s="2"/>
      <c r="ESA98" s="2"/>
      <c r="ESB98" s="2"/>
      <c r="ESC98" s="2"/>
      <c r="ESD98" s="2"/>
      <c r="ESE98" s="2"/>
      <c r="ESF98" s="2"/>
      <c r="ESG98" s="2"/>
      <c r="ESH98" s="2"/>
      <c r="ESI98" s="2"/>
      <c r="ESJ98" s="2"/>
      <c r="ESK98" s="2"/>
      <c r="ESL98" s="2"/>
      <c r="ESM98" s="2"/>
      <c r="ESN98" s="2"/>
      <c r="ESO98" s="2"/>
      <c r="ESP98" s="2"/>
      <c r="ESQ98" s="2"/>
      <c r="ESR98" s="2"/>
      <c r="ESS98" s="2"/>
      <c r="EST98" s="2"/>
      <c r="ESU98" s="2"/>
      <c r="ESV98" s="2"/>
      <c r="ESW98" s="2"/>
      <c r="ESX98" s="2"/>
      <c r="ESY98" s="2"/>
      <c r="ESZ98" s="2"/>
      <c r="ETA98" s="2"/>
      <c r="ETB98" s="2"/>
      <c r="ETC98" s="2"/>
      <c r="ETD98" s="2"/>
      <c r="ETE98" s="2"/>
      <c r="ETF98" s="2"/>
      <c r="ETG98" s="2"/>
      <c r="ETH98" s="2"/>
      <c r="ETI98" s="2"/>
      <c r="ETJ98" s="2"/>
      <c r="ETK98" s="2"/>
      <c r="ETL98" s="2"/>
      <c r="ETM98" s="2"/>
      <c r="ETN98" s="2"/>
      <c r="ETO98" s="2"/>
      <c r="ETP98" s="2"/>
      <c r="ETQ98" s="2"/>
      <c r="ETR98" s="2"/>
      <c r="ETS98" s="2"/>
      <c r="ETT98" s="2"/>
      <c r="ETU98" s="2"/>
      <c r="ETV98" s="2"/>
      <c r="ETW98" s="2"/>
      <c r="ETX98" s="2"/>
      <c r="ETY98" s="2"/>
      <c r="ETZ98" s="2"/>
      <c r="EUA98" s="2"/>
      <c r="EUB98" s="2"/>
      <c r="EUC98" s="2"/>
      <c r="EUD98" s="2"/>
      <c r="EUE98" s="2"/>
      <c r="EUF98" s="2"/>
      <c r="EUG98" s="2"/>
      <c r="EUH98" s="2"/>
      <c r="EUI98" s="2"/>
      <c r="EUJ98" s="2"/>
      <c r="EUK98" s="2"/>
      <c r="EUL98" s="2"/>
      <c r="EUM98" s="2"/>
      <c r="EUN98" s="2"/>
      <c r="EUO98" s="2"/>
      <c r="EUP98" s="2"/>
      <c r="EUQ98" s="2"/>
      <c r="EUR98" s="2"/>
      <c r="EUS98" s="2"/>
      <c r="EUT98" s="2"/>
      <c r="EUU98" s="2"/>
      <c r="EUV98" s="2"/>
      <c r="EUW98" s="2"/>
      <c r="EUX98" s="2"/>
      <c r="EUY98" s="2"/>
      <c r="EUZ98" s="2"/>
      <c r="EVA98" s="2"/>
      <c r="EVB98" s="2"/>
      <c r="EVC98" s="2"/>
      <c r="EVD98" s="2"/>
      <c r="EVE98" s="2"/>
      <c r="EVF98" s="2"/>
      <c r="EVG98" s="2"/>
      <c r="EVH98" s="2"/>
      <c r="EVI98" s="2"/>
      <c r="EVJ98" s="2"/>
      <c r="EVK98" s="2"/>
      <c r="EVL98" s="2"/>
      <c r="EVM98" s="2"/>
      <c r="EVN98" s="2"/>
      <c r="EVO98" s="2"/>
      <c r="EVP98" s="2"/>
      <c r="EVQ98" s="2"/>
      <c r="EVR98" s="2"/>
      <c r="EVS98" s="2"/>
      <c r="EVT98" s="2"/>
      <c r="EVU98" s="2"/>
      <c r="EVV98" s="2"/>
      <c r="EVW98" s="2"/>
      <c r="EVX98" s="2"/>
      <c r="EVY98" s="2"/>
      <c r="EVZ98" s="2"/>
      <c r="EWA98" s="2"/>
      <c r="EWB98" s="2"/>
      <c r="EWC98" s="2"/>
      <c r="EWD98" s="2"/>
      <c r="EWE98" s="2"/>
      <c r="EWF98" s="2"/>
      <c r="EWG98" s="2"/>
      <c r="EWH98" s="2"/>
      <c r="EWI98" s="2"/>
      <c r="EWJ98" s="2"/>
      <c r="EWK98" s="2"/>
      <c r="EWL98" s="2"/>
      <c r="EWM98" s="2"/>
      <c r="EWN98" s="2"/>
      <c r="EWO98" s="2"/>
      <c r="EWP98" s="2"/>
      <c r="EWQ98" s="2"/>
      <c r="EWR98" s="2"/>
      <c r="EWS98" s="2"/>
      <c r="EWT98" s="2"/>
      <c r="EWU98" s="2"/>
      <c r="EWV98" s="2"/>
      <c r="EWW98" s="2"/>
      <c r="EWX98" s="2"/>
      <c r="EWY98" s="2"/>
      <c r="EWZ98" s="2"/>
      <c r="EXA98" s="2"/>
      <c r="EXB98" s="2"/>
      <c r="EXC98" s="2"/>
      <c r="EXD98" s="2"/>
      <c r="EXE98" s="2"/>
      <c r="EXF98" s="2"/>
      <c r="EXG98" s="2"/>
      <c r="EXH98" s="2"/>
      <c r="EXI98" s="2"/>
      <c r="EXJ98" s="2"/>
      <c r="EXK98" s="2"/>
      <c r="EXL98" s="2"/>
      <c r="EXM98" s="2"/>
      <c r="EXN98" s="2"/>
      <c r="EXO98" s="2"/>
      <c r="EXP98" s="2"/>
      <c r="EXQ98" s="2"/>
      <c r="EXR98" s="2"/>
      <c r="EXS98" s="2"/>
      <c r="EXT98" s="2"/>
      <c r="EXU98" s="2"/>
      <c r="EXV98" s="2"/>
      <c r="EXW98" s="2"/>
      <c r="EXX98" s="2"/>
      <c r="EXY98" s="2"/>
      <c r="EXZ98" s="2"/>
      <c r="EYA98" s="2"/>
      <c r="EYB98" s="2"/>
      <c r="EYC98" s="2"/>
      <c r="EYD98" s="2"/>
      <c r="EYE98" s="2"/>
      <c r="EYF98" s="2"/>
      <c r="EYG98" s="2"/>
      <c r="EYH98" s="2"/>
      <c r="EYI98" s="2"/>
      <c r="EYJ98" s="2"/>
      <c r="EYK98" s="2"/>
      <c r="EYL98" s="2"/>
      <c r="EYM98" s="2"/>
      <c r="EYN98" s="2"/>
      <c r="EYO98" s="2"/>
      <c r="EYP98" s="2"/>
      <c r="EYQ98" s="2"/>
      <c r="EYR98" s="2"/>
      <c r="EYS98" s="2"/>
      <c r="EYT98" s="2"/>
      <c r="EYU98" s="2"/>
      <c r="EYV98" s="2"/>
      <c r="EYW98" s="2"/>
      <c r="EYX98" s="2"/>
      <c r="EYY98" s="2"/>
      <c r="EYZ98" s="2"/>
      <c r="EZA98" s="2"/>
      <c r="EZB98" s="2"/>
      <c r="EZC98" s="2"/>
      <c r="EZD98" s="2"/>
      <c r="EZE98" s="2"/>
      <c r="EZF98" s="2"/>
      <c r="EZG98" s="2"/>
      <c r="EZH98" s="2"/>
      <c r="EZI98" s="2"/>
      <c r="EZJ98" s="2"/>
      <c r="EZK98" s="2"/>
      <c r="EZL98" s="2"/>
      <c r="EZM98" s="2"/>
      <c r="EZN98" s="2"/>
      <c r="EZO98" s="2"/>
      <c r="EZP98" s="2"/>
      <c r="EZQ98" s="2"/>
      <c r="EZR98" s="2"/>
      <c r="EZS98" s="2"/>
      <c r="EZT98" s="2"/>
      <c r="EZU98" s="2"/>
      <c r="EZV98" s="2"/>
      <c r="EZW98" s="2"/>
      <c r="EZX98" s="2"/>
      <c r="EZY98" s="2"/>
      <c r="EZZ98" s="2"/>
      <c r="FAA98" s="2"/>
      <c r="FAB98" s="2"/>
      <c r="FAC98" s="2"/>
      <c r="FAD98" s="2"/>
      <c r="FAE98" s="2"/>
      <c r="FAF98" s="2"/>
      <c r="FAG98" s="2"/>
      <c r="FAH98" s="2"/>
      <c r="FAI98" s="2"/>
      <c r="FAJ98" s="2"/>
      <c r="FAK98" s="2"/>
      <c r="FAL98" s="2"/>
      <c r="FAM98" s="2"/>
      <c r="FAN98" s="2"/>
      <c r="FAO98" s="2"/>
      <c r="FAP98" s="2"/>
      <c r="FAQ98" s="2"/>
      <c r="FAR98" s="2"/>
      <c r="FAS98" s="2"/>
      <c r="FAT98" s="2"/>
      <c r="FAU98" s="2"/>
      <c r="FAV98" s="2"/>
      <c r="FAW98" s="2"/>
      <c r="FAX98" s="2"/>
      <c r="FAY98" s="2"/>
      <c r="FAZ98" s="2"/>
      <c r="FBA98" s="2"/>
      <c r="FBB98" s="2"/>
      <c r="FBC98" s="2"/>
      <c r="FBD98" s="2"/>
      <c r="FBE98" s="2"/>
      <c r="FBF98" s="2"/>
      <c r="FBG98" s="2"/>
      <c r="FBH98" s="2"/>
      <c r="FBI98" s="2"/>
      <c r="FBJ98" s="2"/>
      <c r="FBK98" s="2"/>
      <c r="FBL98" s="2"/>
      <c r="FBM98" s="2"/>
      <c r="FBN98" s="2"/>
      <c r="FBO98" s="2"/>
      <c r="FBP98" s="2"/>
      <c r="FBQ98" s="2"/>
      <c r="FBR98" s="2"/>
      <c r="FBS98" s="2"/>
      <c r="FBT98" s="2"/>
      <c r="FBU98" s="2"/>
      <c r="FBV98" s="2"/>
      <c r="FBW98" s="2"/>
      <c r="FBX98" s="2"/>
      <c r="FBY98" s="2"/>
      <c r="FBZ98" s="2"/>
      <c r="FCA98" s="2"/>
      <c r="FCB98" s="2"/>
      <c r="FCC98" s="2"/>
      <c r="FCD98" s="2"/>
      <c r="FCE98" s="2"/>
      <c r="FCF98" s="2"/>
      <c r="FCG98" s="2"/>
      <c r="FCH98" s="2"/>
      <c r="FCI98" s="2"/>
      <c r="FCJ98" s="2"/>
      <c r="FCK98" s="2"/>
      <c r="FCL98" s="2"/>
      <c r="FCM98" s="2"/>
      <c r="FCN98" s="2"/>
      <c r="FCO98" s="2"/>
      <c r="FCP98" s="2"/>
      <c r="FCQ98" s="2"/>
      <c r="FCR98" s="2"/>
      <c r="FCS98" s="2"/>
      <c r="FCT98" s="2"/>
      <c r="FCU98" s="2"/>
      <c r="FCV98" s="2"/>
      <c r="FCW98" s="2"/>
      <c r="FCX98" s="2"/>
      <c r="FCY98" s="2"/>
      <c r="FCZ98" s="2"/>
      <c r="FDA98" s="2"/>
      <c r="FDB98" s="2"/>
      <c r="FDC98" s="2"/>
      <c r="FDD98" s="2"/>
      <c r="FDE98" s="2"/>
      <c r="FDF98" s="2"/>
      <c r="FDG98" s="2"/>
      <c r="FDH98" s="2"/>
      <c r="FDI98" s="2"/>
      <c r="FDJ98" s="2"/>
      <c r="FDK98" s="2"/>
      <c r="FDL98" s="2"/>
      <c r="FDM98" s="2"/>
      <c r="FDN98" s="2"/>
      <c r="FDO98" s="2"/>
      <c r="FDP98" s="2"/>
      <c r="FDQ98" s="2"/>
      <c r="FDR98" s="2"/>
      <c r="FDS98" s="2"/>
      <c r="FDT98" s="2"/>
      <c r="FDU98" s="2"/>
      <c r="FDV98" s="2"/>
      <c r="FDW98" s="2"/>
      <c r="FDX98" s="2"/>
      <c r="FDY98" s="2"/>
      <c r="FDZ98" s="2"/>
      <c r="FEA98" s="2"/>
      <c r="FEB98" s="2"/>
      <c r="FEC98" s="2"/>
      <c r="FED98" s="2"/>
      <c r="FEE98" s="2"/>
      <c r="FEF98" s="2"/>
      <c r="FEG98" s="2"/>
      <c r="FEH98" s="2"/>
      <c r="FEI98" s="2"/>
      <c r="FEJ98" s="2"/>
      <c r="FEK98" s="2"/>
      <c r="FEL98" s="2"/>
      <c r="FEM98" s="2"/>
      <c r="FEN98" s="2"/>
      <c r="FEO98" s="2"/>
      <c r="FEP98" s="2"/>
      <c r="FEQ98" s="2"/>
      <c r="FER98" s="2"/>
      <c r="FES98" s="2"/>
      <c r="FET98" s="2"/>
      <c r="FEU98" s="2"/>
      <c r="FEV98" s="2"/>
      <c r="FEW98" s="2"/>
      <c r="FEX98" s="2"/>
      <c r="FEY98" s="2"/>
      <c r="FEZ98" s="2"/>
      <c r="FFA98" s="2"/>
      <c r="FFB98" s="2"/>
      <c r="FFC98" s="2"/>
      <c r="FFD98" s="2"/>
      <c r="FFE98" s="2"/>
      <c r="FFF98" s="2"/>
      <c r="FFG98" s="2"/>
      <c r="FFH98" s="2"/>
      <c r="FFI98" s="2"/>
      <c r="FFJ98" s="2"/>
      <c r="FFK98" s="2"/>
      <c r="FFL98" s="2"/>
      <c r="FFM98" s="2"/>
      <c r="FFN98" s="2"/>
      <c r="FFO98" s="2"/>
      <c r="FFP98" s="2"/>
      <c r="FFQ98" s="2"/>
      <c r="FFR98" s="2"/>
      <c r="FFS98" s="2"/>
      <c r="FFT98" s="2"/>
      <c r="FFU98" s="2"/>
      <c r="FFV98" s="2"/>
      <c r="FFW98" s="2"/>
      <c r="FFX98" s="2"/>
      <c r="FFY98" s="2"/>
      <c r="FFZ98" s="2"/>
      <c r="FGA98" s="2"/>
      <c r="FGB98" s="2"/>
      <c r="FGC98" s="2"/>
      <c r="FGD98" s="2"/>
      <c r="FGE98" s="2"/>
      <c r="FGF98" s="2"/>
      <c r="FGG98" s="2"/>
      <c r="FGH98" s="2"/>
      <c r="FGI98" s="2"/>
      <c r="FGJ98" s="2"/>
      <c r="FGK98" s="2"/>
      <c r="FGL98" s="2"/>
      <c r="FGM98" s="2"/>
      <c r="FGN98" s="2"/>
      <c r="FGO98" s="2"/>
      <c r="FGP98" s="2"/>
      <c r="FGQ98" s="2"/>
      <c r="FGR98" s="2"/>
      <c r="FGS98" s="2"/>
      <c r="FGT98" s="2"/>
      <c r="FGU98" s="2"/>
      <c r="FGV98" s="2"/>
      <c r="FGW98" s="2"/>
      <c r="FGX98" s="2"/>
      <c r="FGY98" s="2"/>
      <c r="FGZ98" s="2"/>
      <c r="FHA98" s="2"/>
      <c r="FHB98" s="2"/>
      <c r="FHC98" s="2"/>
      <c r="FHD98" s="2"/>
      <c r="FHE98" s="2"/>
      <c r="FHF98" s="2"/>
      <c r="FHG98" s="2"/>
      <c r="FHH98" s="2"/>
      <c r="FHI98" s="2"/>
      <c r="FHJ98" s="2"/>
      <c r="FHK98" s="2"/>
      <c r="FHL98" s="2"/>
      <c r="FHM98" s="2"/>
      <c r="FHN98" s="2"/>
      <c r="FHO98" s="2"/>
      <c r="FHP98" s="2"/>
      <c r="FHQ98" s="2"/>
      <c r="FHR98" s="2"/>
      <c r="FHS98" s="2"/>
      <c r="FHT98" s="2"/>
      <c r="FHU98" s="2"/>
      <c r="FHV98" s="2"/>
      <c r="FHW98" s="2"/>
      <c r="FHX98" s="2"/>
      <c r="FHY98" s="2"/>
      <c r="FHZ98" s="2"/>
      <c r="FIA98" s="2"/>
      <c r="FIB98" s="2"/>
      <c r="FIC98" s="2"/>
      <c r="FID98" s="2"/>
      <c r="FIE98" s="2"/>
      <c r="FIF98" s="2"/>
      <c r="FIG98" s="2"/>
      <c r="FIH98" s="2"/>
      <c r="FII98" s="2"/>
      <c r="FIJ98" s="2"/>
      <c r="FIK98" s="2"/>
      <c r="FIL98" s="2"/>
      <c r="FIM98" s="2"/>
      <c r="FIN98" s="2"/>
      <c r="FIO98" s="2"/>
      <c r="FIP98" s="2"/>
      <c r="FIQ98" s="2"/>
      <c r="FIR98" s="2"/>
      <c r="FIS98" s="2"/>
      <c r="FIT98" s="2"/>
      <c r="FIU98" s="2"/>
      <c r="FIV98" s="2"/>
      <c r="FIW98" s="2"/>
      <c r="FIX98" s="2"/>
      <c r="FIY98" s="2"/>
      <c r="FIZ98" s="2"/>
      <c r="FJA98" s="2"/>
      <c r="FJB98" s="2"/>
      <c r="FJC98" s="2"/>
      <c r="FJD98" s="2"/>
      <c r="FJE98" s="2"/>
      <c r="FJF98" s="2"/>
      <c r="FJG98" s="2"/>
      <c r="FJH98" s="2"/>
      <c r="FJI98" s="2"/>
      <c r="FJJ98" s="2"/>
      <c r="FJK98" s="2"/>
      <c r="FJL98" s="2"/>
      <c r="FJM98" s="2"/>
      <c r="FJN98" s="2"/>
      <c r="FJO98" s="2"/>
      <c r="FJP98" s="2"/>
      <c r="FJQ98" s="2"/>
      <c r="FJR98" s="2"/>
      <c r="FJS98" s="2"/>
      <c r="FJT98" s="2"/>
      <c r="FJU98" s="2"/>
      <c r="FJV98" s="2"/>
      <c r="FJW98" s="2"/>
      <c r="FJX98" s="2"/>
      <c r="FJY98" s="2"/>
      <c r="FJZ98" s="2"/>
      <c r="FKA98" s="2"/>
      <c r="FKB98" s="2"/>
      <c r="FKC98" s="2"/>
      <c r="FKD98" s="2"/>
      <c r="FKE98" s="2"/>
      <c r="FKF98" s="2"/>
      <c r="FKG98" s="2"/>
      <c r="FKH98" s="2"/>
      <c r="FKI98" s="2"/>
      <c r="FKJ98" s="2"/>
      <c r="FKK98" s="2"/>
      <c r="FKL98" s="2"/>
      <c r="FKM98" s="2"/>
      <c r="FKN98" s="2"/>
      <c r="FKO98" s="2"/>
      <c r="FKP98" s="2"/>
      <c r="FKQ98" s="2"/>
      <c r="FKR98" s="2"/>
      <c r="FKS98" s="2"/>
      <c r="FKT98" s="2"/>
      <c r="FKU98" s="2"/>
      <c r="FKV98" s="2"/>
      <c r="FKW98" s="2"/>
      <c r="FKX98" s="2"/>
      <c r="FKY98" s="2"/>
      <c r="FKZ98" s="2"/>
      <c r="FLA98" s="2"/>
      <c r="FLB98" s="2"/>
      <c r="FLC98" s="2"/>
      <c r="FLD98" s="2"/>
      <c r="FLE98" s="2"/>
      <c r="FLF98" s="2"/>
      <c r="FLG98" s="2"/>
      <c r="FLH98" s="2"/>
      <c r="FLI98" s="2"/>
      <c r="FLJ98" s="2"/>
      <c r="FLK98" s="2"/>
      <c r="FLL98" s="2"/>
      <c r="FLM98" s="2"/>
      <c r="FLN98" s="2"/>
      <c r="FLO98" s="2"/>
      <c r="FLP98" s="2"/>
      <c r="FLQ98" s="2"/>
      <c r="FLR98" s="2"/>
      <c r="FLS98" s="2"/>
      <c r="FLT98" s="2"/>
      <c r="FLU98" s="2"/>
      <c r="FLV98" s="2"/>
      <c r="FLW98" s="2"/>
      <c r="FLX98" s="2"/>
      <c r="FLY98" s="2"/>
      <c r="FLZ98" s="2"/>
      <c r="FMA98" s="2"/>
      <c r="FMB98" s="2"/>
      <c r="FMC98" s="2"/>
      <c r="FMD98" s="2"/>
      <c r="FME98" s="2"/>
      <c r="FMF98" s="2"/>
      <c r="FMG98" s="2"/>
      <c r="FMH98" s="2"/>
      <c r="FMI98" s="2"/>
      <c r="FMJ98" s="2"/>
      <c r="FMK98" s="2"/>
      <c r="FML98" s="2"/>
      <c r="FMM98" s="2"/>
      <c r="FMN98" s="2"/>
      <c r="FMO98" s="2"/>
      <c r="FMP98" s="2"/>
      <c r="FMQ98" s="2"/>
      <c r="FMR98" s="2"/>
      <c r="FMS98" s="2"/>
      <c r="FMT98" s="2"/>
      <c r="FMU98" s="2"/>
      <c r="FMV98" s="2"/>
      <c r="FMW98" s="2"/>
      <c r="FMX98" s="2"/>
      <c r="FMY98" s="2"/>
      <c r="FMZ98" s="2"/>
      <c r="FNA98" s="2"/>
      <c r="FNB98" s="2"/>
      <c r="FNC98" s="2"/>
      <c r="FND98" s="2"/>
      <c r="FNE98" s="2"/>
      <c r="FNF98" s="2"/>
      <c r="FNG98" s="2"/>
      <c r="FNH98" s="2"/>
      <c r="FNI98" s="2"/>
      <c r="FNJ98" s="2"/>
      <c r="FNK98" s="2"/>
      <c r="FNL98" s="2"/>
      <c r="FNM98" s="2"/>
      <c r="FNN98" s="2"/>
      <c r="FNO98" s="2"/>
      <c r="FNP98" s="2"/>
      <c r="FNQ98" s="2"/>
      <c r="FNR98" s="2"/>
      <c r="FNS98" s="2"/>
      <c r="FNT98" s="2"/>
      <c r="FNU98" s="2"/>
      <c r="FNV98" s="2"/>
      <c r="FNW98" s="2"/>
      <c r="FNX98" s="2"/>
      <c r="FNY98" s="2"/>
      <c r="FNZ98" s="2"/>
      <c r="FOA98" s="2"/>
      <c r="FOB98" s="2"/>
      <c r="FOC98" s="2"/>
      <c r="FOD98" s="2"/>
      <c r="FOE98" s="2"/>
      <c r="FOF98" s="2"/>
      <c r="FOG98" s="2"/>
      <c r="FOH98" s="2"/>
      <c r="FOI98" s="2"/>
      <c r="FOJ98" s="2"/>
      <c r="FOK98" s="2"/>
      <c r="FOL98" s="2"/>
      <c r="FOM98" s="2"/>
      <c r="FON98" s="2"/>
      <c r="FOO98" s="2"/>
      <c r="FOP98" s="2"/>
      <c r="FOQ98" s="2"/>
      <c r="FOR98" s="2"/>
      <c r="FOS98" s="2"/>
      <c r="FOT98" s="2"/>
      <c r="FOU98" s="2"/>
      <c r="FOV98" s="2"/>
      <c r="FOW98" s="2"/>
      <c r="FOX98" s="2"/>
      <c r="FOY98" s="2"/>
      <c r="FOZ98" s="2"/>
      <c r="FPA98" s="2"/>
      <c r="FPB98" s="2"/>
      <c r="FPC98" s="2"/>
      <c r="FPD98" s="2"/>
      <c r="FPE98" s="2"/>
      <c r="FPF98" s="2"/>
      <c r="FPG98" s="2"/>
      <c r="FPH98" s="2"/>
      <c r="FPI98" s="2"/>
      <c r="FPJ98" s="2"/>
      <c r="FPK98" s="2"/>
      <c r="FPL98" s="2"/>
      <c r="FPM98" s="2"/>
      <c r="FPN98" s="2"/>
      <c r="FPO98" s="2"/>
      <c r="FPP98" s="2"/>
      <c r="FPQ98" s="2"/>
      <c r="FPR98" s="2"/>
      <c r="FPS98" s="2"/>
      <c r="FPT98" s="2"/>
      <c r="FPU98" s="2"/>
      <c r="FPV98" s="2"/>
      <c r="FPW98" s="2"/>
      <c r="FPX98" s="2"/>
      <c r="FPY98" s="2"/>
      <c r="FPZ98" s="2"/>
      <c r="FQA98" s="2"/>
      <c r="FQB98" s="2"/>
      <c r="FQC98" s="2"/>
      <c r="FQD98" s="2"/>
      <c r="FQE98" s="2"/>
      <c r="FQF98" s="2"/>
      <c r="FQG98" s="2"/>
      <c r="FQH98" s="2"/>
      <c r="FQI98" s="2"/>
      <c r="FQJ98" s="2"/>
      <c r="FQK98" s="2"/>
      <c r="FQL98" s="2"/>
      <c r="FQM98" s="2"/>
      <c r="FQN98" s="2"/>
      <c r="FQO98" s="2"/>
      <c r="FQP98" s="2"/>
      <c r="FQQ98" s="2"/>
      <c r="FQR98" s="2"/>
      <c r="FQS98" s="2"/>
      <c r="FQT98" s="2"/>
      <c r="FQU98" s="2"/>
      <c r="FQV98" s="2"/>
      <c r="FQW98" s="2"/>
      <c r="FQX98" s="2"/>
      <c r="FQY98" s="2"/>
      <c r="FQZ98" s="2"/>
      <c r="FRA98" s="2"/>
      <c r="FRB98" s="2"/>
      <c r="FRC98" s="2"/>
      <c r="FRD98" s="2"/>
      <c r="FRE98" s="2"/>
      <c r="FRF98" s="2"/>
      <c r="FRG98" s="2"/>
      <c r="FRH98" s="2"/>
      <c r="FRI98" s="2"/>
      <c r="FRJ98" s="2"/>
      <c r="FRK98" s="2"/>
      <c r="FRL98" s="2"/>
      <c r="FRM98" s="2"/>
      <c r="FRN98" s="2"/>
      <c r="FRO98" s="2"/>
      <c r="FRP98" s="2"/>
      <c r="FRQ98" s="2"/>
      <c r="FRR98" s="2"/>
      <c r="FRS98" s="2"/>
      <c r="FRT98" s="2"/>
      <c r="FRU98" s="2"/>
      <c r="FRV98" s="2"/>
      <c r="FRW98" s="2"/>
      <c r="FRX98" s="2"/>
      <c r="FRY98" s="2"/>
      <c r="FRZ98" s="2"/>
      <c r="FSA98" s="2"/>
      <c r="FSB98" s="2"/>
      <c r="FSC98" s="2"/>
      <c r="FSD98" s="2"/>
      <c r="FSE98" s="2"/>
      <c r="FSF98" s="2"/>
      <c r="FSG98" s="2"/>
      <c r="FSH98" s="2"/>
      <c r="FSI98" s="2"/>
      <c r="FSJ98" s="2"/>
      <c r="FSK98" s="2"/>
      <c r="FSL98" s="2"/>
      <c r="FSM98" s="2"/>
      <c r="FSN98" s="2"/>
      <c r="FSO98" s="2"/>
      <c r="FSP98" s="2"/>
      <c r="FSQ98" s="2"/>
      <c r="FSR98" s="2"/>
      <c r="FSS98" s="2"/>
      <c r="FST98" s="2"/>
      <c r="FSU98" s="2"/>
      <c r="FSV98" s="2"/>
      <c r="FSW98" s="2"/>
      <c r="FSX98" s="2"/>
      <c r="FSY98" s="2"/>
      <c r="FSZ98" s="2"/>
      <c r="FTA98" s="2"/>
      <c r="FTB98" s="2"/>
      <c r="FTC98" s="2"/>
      <c r="FTD98" s="2"/>
      <c r="FTE98" s="2"/>
      <c r="FTF98" s="2"/>
      <c r="FTG98" s="2"/>
      <c r="FTH98" s="2"/>
      <c r="FTI98" s="2"/>
      <c r="FTJ98" s="2"/>
      <c r="FTK98" s="2"/>
      <c r="FTL98" s="2"/>
      <c r="FTM98" s="2"/>
      <c r="FTN98" s="2"/>
      <c r="FTO98" s="2"/>
      <c r="FTP98" s="2"/>
      <c r="FTQ98" s="2"/>
      <c r="FTR98" s="2"/>
      <c r="FTS98" s="2"/>
      <c r="FTT98" s="2"/>
      <c r="FTU98" s="2"/>
      <c r="FTV98" s="2"/>
      <c r="FTW98" s="2"/>
      <c r="FTX98" s="2"/>
      <c r="FTY98" s="2"/>
      <c r="FTZ98" s="2"/>
      <c r="FUA98" s="2"/>
      <c r="FUB98" s="2"/>
      <c r="FUC98" s="2"/>
      <c r="FUD98" s="2"/>
      <c r="FUE98" s="2"/>
      <c r="FUF98" s="2"/>
      <c r="FUG98" s="2"/>
      <c r="FUH98" s="2"/>
      <c r="FUI98" s="2"/>
      <c r="FUJ98" s="2"/>
      <c r="FUK98" s="2"/>
      <c r="FUL98" s="2"/>
      <c r="FUM98" s="2"/>
      <c r="FUN98" s="2"/>
      <c r="FUO98" s="2"/>
      <c r="FUP98" s="2"/>
      <c r="FUQ98" s="2"/>
      <c r="FUR98" s="2"/>
      <c r="FUS98" s="2"/>
      <c r="FUT98" s="2"/>
      <c r="FUU98" s="2"/>
      <c r="FUV98" s="2"/>
      <c r="FUW98" s="2"/>
      <c r="FUX98" s="2"/>
      <c r="FUY98" s="2"/>
      <c r="FUZ98" s="2"/>
      <c r="FVA98" s="2"/>
      <c r="FVB98" s="2"/>
      <c r="FVC98" s="2"/>
      <c r="FVD98" s="2"/>
      <c r="FVE98" s="2"/>
      <c r="FVF98" s="2"/>
      <c r="FVG98" s="2"/>
      <c r="FVH98" s="2"/>
      <c r="FVI98" s="2"/>
      <c r="FVJ98" s="2"/>
      <c r="FVK98" s="2"/>
      <c r="FVL98" s="2"/>
      <c r="FVM98" s="2"/>
      <c r="FVN98" s="2"/>
      <c r="FVO98" s="2"/>
      <c r="FVP98" s="2"/>
      <c r="FVQ98" s="2"/>
      <c r="FVR98" s="2"/>
      <c r="FVS98" s="2"/>
      <c r="FVT98" s="2"/>
      <c r="FVU98" s="2"/>
      <c r="FVV98" s="2"/>
      <c r="FVW98" s="2"/>
      <c r="FVX98" s="2"/>
      <c r="FVY98" s="2"/>
      <c r="FVZ98" s="2"/>
      <c r="FWA98" s="2"/>
      <c r="FWB98" s="2"/>
      <c r="FWC98" s="2"/>
      <c r="FWD98" s="2"/>
      <c r="FWE98" s="2"/>
      <c r="FWF98" s="2"/>
      <c r="FWG98" s="2"/>
      <c r="FWH98" s="2"/>
      <c r="FWI98" s="2"/>
      <c r="FWJ98" s="2"/>
      <c r="FWK98" s="2"/>
      <c r="FWL98" s="2"/>
      <c r="FWM98" s="2"/>
      <c r="FWN98" s="2"/>
      <c r="FWO98" s="2"/>
      <c r="FWP98" s="2"/>
      <c r="FWQ98" s="2"/>
      <c r="FWR98" s="2"/>
      <c r="FWS98" s="2"/>
      <c r="FWT98" s="2"/>
      <c r="FWU98" s="2"/>
      <c r="FWV98" s="2"/>
      <c r="FWW98" s="2"/>
      <c r="FWX98" s="2"/>
      <c r="FWY98" s="2"/>
      <c r="FWZ98" s="2"/>
      <c r="FXA98" s="2"/>
      <c r="FXB98" s="2"/>
      <c r="FXC98" s="2"/>
      <c r="FXD98" s="2"/>
      <c r="FXE98" s="2"/>
      <c r="FXF98" s="2"/>
      <c r="FXG98" s="2"/>
      <c r="FXH98" s="2"/>
      <c r="FXI98" s="2"/>
      <c r="FXJ98" s="2"/>
      <c r="FXK98" s="2"/>
      <c r="FXL98" s="2"/>
      <c r="FXM98" s="2"/>
      <c r="FXN98" s="2"/>
      <c r="FXO98" s="2"/>
      <c r="FXP98" s="2"/>
      <c r="FXQ98" s="2"/>
      <c r="FXR98" s="2"/>
      <c r="FXS98" s="2"/>
      <c r="FXT98" s="2"/>
      <c r="FXU98" s="2"/>
      <c r="FXV98" s="2"/>
      <c r="FXW98" s="2"/>
      <c r="FXX98" s="2"/>
      <c r="FXY98" s="2"/>
      <c r="FXZ98" s="2"/>
      <c r="FYA98" s="2"/>
      <c r="FYB98" s="2"/>
      <c r="FYC98" s="2"/>
      <c r="FYD98" s="2"/>
      <c r="FYE98" s="2"/>
      <c r="FYF98" s="2"/>
      <c r="FYG98" s="2"/>
      <c r="FYH98" s="2"/>
      <c r="FYI98" s="2"/>
      <c r="FYJ98" s="2"/>
      <c r="FYK98" s="2"/>
      <c r="FYL98" s="2"/>
      <c r="FYM98" s="2"/>
      <c r="FYN98" s="2"/>
      <c r="FYO98" s="2"/>
      <c r="FYP98" s="2"/>
      <c r="FYQ98" s="2"/>
      <c r="FYR98" s="2"/>
      <c r="FYS98" s="2"/>
      <c r="FYT98" s="2"/>
      <c r="FYU98" s="2"/>
      <c r="FYV98" s="2"/>
      <c r="FYW98" s="2"/>
      <c r="FYX98" s="2"/>
      <c r="FYY98" s="2"/>
      <c r="FYZ98" s="2"/>
      <c r="FZA98" s="2"/>
      <c r="FZB98" s="2"/>
      <c r="FZC98" s="2"/>
      <c r="FZD98" s="2"/>
      <c r="FZE98" s="2"/>
      <c r="FZF98" s="2"/>
      <c r="FZG98" s="2"/>
      <c r="FZH98" s="2"/>
      <c r="FZI98" s="2"/>
      <c r="FZJ98" s="2"/>
      <c r="FZK98" s="2"/>
      <c r="FZL98" s="2"/>
      <c r="FZM98" s="2"/>
      <c r="FZN98" s="2"/>
      <c r="FZO98" s="2"/>
      <c r="FZP98" s="2"/>
      <c r="FZQ98" s="2"/>
      <c r="FZR98" s="2"/>
      <c r="FZS98" s="2"/>
      <c r="FZT98" s="2"/>
      <c r="FZU98" s="2"/>
      <c r="FZV98" s="2"/>
      <c r="FZW98" s="2"/>
      <c r="FZX98" s="2"/>
      <c r="FZY98" s="2"/>
      <c r="FZZ98" s="2"/>
      <c r="GAA98" s="2"/>
      <c r="GAB98" s="2"/>
      <c r="GAC98" s="2"/>
      <c r="GAD98" s="2"/>
      <c r="GAE98" s="2"/>
      <c r="GAF98" s="2"/>
      <c r="GAG98" s="2"/>
      <c r="GAH98" s="2"/>
      <c r="GAI98" s="2"/>
      <c r="GAJ98" s="2"/>
      <c r="GAK98" s="2"/>
      <c r="GAL98" s="2"/>
      <c r="GAM98" s="2"/>
      <c r="GAN98" s="2"/>
      <c r="GAO98" s="2"/>
      <c r="GAP98" s="2"/>
      <c r="GAQ98" s="2"/>
      <c r="GAR98" s="2"/>
      <c r="GAS98" s="2"/>
      <c r="GAT98" s="2"/>
      <c r="GAU98" s="2"/>
      <c r="GAV98" s="2"/>
      <c r="GAW98" s="2"/>
      <c r="GAX98" s="2"/>
      <c r="GAY98" s="2"/>
      <c r="GAZ98" s="2"/>
      <c r="GBA98" s="2"/>
      <c r="GBB98" s="2"/>
      <c r="GBC98" s="2"/>
      <c r="GBD98" s="2"/>
      <c r="GBE98" s="2"/>
      <c r="GBF98" s="2"/>
      <c r="GBG98" s="2"/>
      <c r="GBH98" s="2"/>
      <c r="GBI98" s="2"/>
      <c r="GBJ98" s="2"/>
      <c r="GBK98" s="2"/>
      <c r="GBL98" s="2"/>
      <c r="GBM98" s="2"/>
      <c r="GBN98" s="2"/>
      <c r="GBO98" s="2"/>
      <c r="GBP98" s="2"/>
      <c r="GBQ98" s="2"/>
      <c r="GBR98" s="2"/>
      <c r="GBS98" s="2"/>
      <c r="GBT98" s="2"/>
      <c r="GBU98" s="2"/>
      <c r="GBV98" s="2"/>
      <c r="GBW98" s="2"/>
      <c r="GBX98" s="2"/>
      <c r="GBY98" s="2"/>
      <c r="GBZ98" s="2"/>
      <c r="GCA98" s="2"/>
      <c r="GCB98" s="2"/>
      <c r="GCC98" s="2"/>
      <c r="GCD98" s="2"/>
      <c r="GCE98" s="2"/>
      <c r="GCF98" s="2"/>
      <c r="GCG98" s="2"/>
      <c r="GCH98" s="2"/>
      <c r="GCI98" s="2"/>
      <c r="GCJ98" s="2"/>
      <c r="GCK98" s="2"/>
      <c r="GCL98" s="2"/>
      <c r="GCM98" s="2"/>
      <c r="GCN98" s="2"/>
      <c r="GCO98" s="2"/>
      <c r="GCP98" s="2"/>
      <c r="GCQ98" s="2"/>
      <c r="GCR98" s="2"/>
      <c r="GCS98" s="2"/>
      <c r="GCT98" s="2"/>
      <c r="GCU98" s="2"/>
      <c r="GCV98" s="2"/>
      <c r="GCW98" s="2"/>
      <c r="GCX98" s="2"/>
      <c r="GCY98" s="2"/>
      <c r="GCZ98" s="2"/>
      <c r="GDA98" s="2"/>
      <c r="GDB98" s="2"/>
      <c r="GDC98" s="2"/>
      <c r="GDD98" s="2"/>
      <c r="GDE98" s="2"/>
      <c r="GDF98" s="2"/>
      <c r="GDG98" s="2"/>
      <c r="GDH98" s="2"/>
      <c r="GDI98" s="2"/>
      <c r="GDJ98" s="2"/>
      <c r="GDK98" s="2"/>
      <c r="GDL98" s="2"/>
      <c r="GDM98" s="2"/>
      <c r="GDN98" s="2"/>
      <c r="GDO98" s="2"/>
      <c r="GDP98" s="2"/>
      <c r="GDQ98" s="2"/>
      <c r="GDR98" s="2"/>
      <c r="GDS98" s="2"/>
      <c r="GDT98" s="2"/>
      <c r="GDU98" s="2"/>
      <c r="GDV98" s="2"/>
      <c r="GDW98" s="2"/>
      <c r="GDX98" s="2"/>
      <c r="GDY98" s="2"/>
      <c r="GDZ98" s="2"/>
      <c r="GEA98" s="2"/>
      <c r="GEB98" s="2"/>
      <c r="GEC98" s="2"/>
      <c r="GED98" s="2"/>
      <c r="GEE98" s="2"/>
      <c r="GEF98" s="2"/>
      <c r="GEG98" s="2"/>
      <c r="GEH98" s="2"/>
      <c r="GEI98" s="2"/>
      <c r="GEJ98" s="2"/>
      <c r="GEK98" s="2"/>
      <c r="GEL98" s="2"/>
      <c r="GEM98" s="2"/>
      <c r="GEN98" s="2"/>
      <c r="GEO98" s="2"/>
      <c r="GEP98" s="2"/>
      <c r="GEQ98" s="2"/>
      <c r="GER98" s="2"/>
      <c r="GES98" s="2"/>
      <c r="GET98" s="2"/>
      <c r="GEU98" s="2"/>
      <c r="GEV98" s="2"/>
      <c r="GEW98" s="2"/>
      <c r="GEX98" s="2"/>
      <c r="GEY98" s="2"/>
      <c r="GEZ98" s="2"/>
      <c r="GFA98" s="2"/>
      <c r="GFB98" s="2"/>
      <c r="GFC98" s="2"/>
      <c r="GFD98" s="2"/>
      <c r="GFE98" s="2"/>
      <c r="GFF98" s="2"/>
      <c r="GFG98" s="2"/>
      <c r="GFH98" s="2"/>
      <c r="GFI98" s="2"/>
      <c r="GFJ98" s="2"/>
      <c r="GFK98" s="2"/>
      <c r="GFL98" s="2"/>
      <c r="GFM98" s="2"/>
      <c r="GFN98" s="2"/>
      <c r="GFO98" s="2"/>
      <c r="GFP98" s="2"/>
      <c r="GFQ98" s="2"/>
      <c r="GFR98" s="2"/>
      <c r="GFS98" s="2"/>
      <c r="GFT98" s="2"/>
      <c r="GFU98" s="2"/>
      <c r="GFV98" s="2"/>
      <c r="GFW98" s="2"/>
      <c r="GFX98" s="2"/>
      <c r="GFY98" s="2"/>
      <c r="GFZ98" s="2"/>
      <c r="GGA98" s="2"/>
      <c r="GGB98" s="2"/>
      <c r="GGC98" s="2"/>
      <c r="GGD98" s="2"/>
      <c r="GGE98" s="2"/>
      <c r="GGF98" s="2"/>
      <c r="GGG98" s="2"/>
      <c r="GGH98" s="2"/>
      <c r="GGI98" s="2"/>
      <c r="GGJ98" s="2"/>
      <c r="GGK98" s="2"/>
      <c r="GGL98" s="2"/>
      <c r="GGM98" s="2"/>
      <c r="GGN98" s="2"/>
      <c r="GGO98" s="2"/>
      <c r="GGP98" s="2"/>
      <c r="GGQ98" s="2"/>
      <c r="GGR98" s="2"/>
      <c r="GGS98" s="2"/>
      <c r="GGT98" s="2"/>
      <c r="GGU98" s="2"/>
      <c r="GGV98" s="2"/>
      <c r="GGW98" s="2"/>
      <c r="GGX98" s="2"/>
      <c r="GGY98" s="2"/>
      <c r="GGZ98" s="2"/>
      <c r="GHA98" s="2"/>
      <c r="GHB98" s="2"/>
      <c r="GHC98" s="2"/>
      <c r="GHD98" s="2"/>
      <c r="GHE98" s="2"/>
      <c r="GHF98" s="2"/>
      <c r="GHG98" s="2"/>
      <c r="GHH98" s="2"/>
      <c r="GHI98" s="2"/>
      <c r="GHJ98" s="2"/>
      <c r="GHK98" s="2"/>
      <c r="GHL98" s="2"/>
      <c r="GHM98" s="2"/>
      <c r="GHN98" s="2"/>
      <c r="GHO98" s="2"/>
      <c r="GHP98" s="2"/>
      <c r="GHQ98" s="2"/>
      <c r="GHR98" s="2"/>
      <c r="GHS98" s="2"/>
      <c r="GHT98" s="2"/>
      <c r="GHU98" s="2"/>
      <c r="GHV98" s="2"/>
      <c r="GHW98" s="2"/>
      <c r="GHX98" s="2"/>
      <c r="GHY98" s="2"/>
      <c r="GHZ98" s="2"/>
      <c r="GIA98" s="2"/>
      <c r="GIB98" s="2"/>
      <c r="GIC98" s="2"/>
      <c r="GID98" s="2"/>
      <c r="GIE98" s="2"/>
      <c r="GIF98" s="2"/>
      <c r="GIG98" s="2"/>
      <c r="GIH98" s="2"/>
      <c r="GII98" s="2"/>
      <c r="GIJ98" s="2"/>
      <c r="GIK98" s="2"/>
      <c r="GIL98" s="2"/>
      <c r="GIM98" s="2"/>
      <c r="GIN98" s="2"/>
      <c r="GIO98" s="2"/>
      <c r="GIP98" s="2"/>
      <c r="GIQ98" s="2"/>
      <c r="GIR98" s="2"/>
      <c r="GIS98" s="2"/>
      <c r="GIT98" s="2"/>
      <c r="GIU98" s="2"/>
      <c r="GIV98" s="2"/>
      <c r="GIW98" s="2"/>
      <c r="GIX98" s="2"/>
      <c r="GIY98" s="2"/>
      <c r="GIZ98" s="2"/>
      <c r="GJA98" s="2"/>
      <c r="GJB98" s="2"/>
      <c r="GJC98" s="2"/>
      <c r="GJD98" s="2"/>
      <c r="GJE98" s="2"/>
      <c r="GJF98" s="2"/>
      <c r="GJG98" s="2"/>
      <c r="GJH98" s="2"/>
      <c r="GJI98" s="2"/>
      <c r="GJJ98" s="2"/>
      <c r="GJK98" s="2"/>
      <c r="GJL98" s="2"/>
      <c r="GJM98" s="2"/>
      <c r="GJN98" s="2"/>
      <c r="GJO98" s="2"/>
      <c r="GJP98" s="2"/>
      <c r="GJQ98" s="2"/>
      <c r="GJR98" s="2"/>
      <c r="GJS98" s="2"/>
      <c r="GJT98" s="2"/>
      <c r="GJU98" s="2"/>
      <c r="GJV98" s="2"/>
      <c r="GJW98" s="2"/>
      <c r="GJX98" s="2"/>
      <c r="GJY98" s="2"/>
      <c r="GJZ98" s="2"/>
      <c r="GKA98" s="2"/>
      <c r="GKB98" s="2"/>
      <c r="GKC98" s="2"/>
      <c r="GKD98" s="2"/>
      <c r="GKE98" s="2"/>
      <c r="GKF98" s="2"/>
      <c r="GKG98" s="2"/>
      <c r="GKH98" s="2"/>
      <c r="GKI98" s="2"/>
      <c r="GKJ98" s="2"/>
      <c r="GKK98" s="2"/>
      <c r="GKL98" s="2"/>
      <c r="GKM98" s="2"/>
      <c r="GKN98" s="2"/>
      <c r="GKO98" s="2"/>
      <c r="GKP98" s="2"/>
      <c r="GKQ98" s="2"/>
      <c r="GKR98" s="2"/>
      <c r="GKS98" s="2"/>
      <c r="GKT98" s="2"/>
      <c r="GKU98" s="2"/>
      <c r="GKV98" s="2"/>
      <c r="GKW98" s="2"/>
      <c r="GKX98" s="2"/>
      <c r="GKY98" s="2"/>
      <c r="GKZ98" s="2"/>
      <c r="GLA98" s="2"/>
      <c r="GLB98" s="2"/>
      <c r="GLC98" s="2"/>
      <c r="GLD98" s="2"/>
      <c r="GLE98" s="2"/>
      <c r="GLF98" s="2"/>
      <c r="GLG98" s="2"/>
      <c r="GLH98" s="2"/>
      <c r="GLI98" s="2"/>
      <c r="GLJ98" s="2"/>
      <c r="GLK98" s="2"/>
      <c r="GLL98" s="2"/>
      <c r="GLM98" s="2"/>
      <c r="GLN98" s="2"/>
      <c r="GLO98" s="2"/>
      <c r="GLP98" s="2"/>
      <c r="GLQ98" s="2"/>
      <c r="GLR98" s="2"/>
      <c r="GLS98" s="2"/>
      <c r="GLT98" s="2"/>
      <c r="GLU98" s="2"/>
      <c r="GLV98" s="2"/>
      <c r="GLW98" s="2"/>
      <c r="GLX98" s="2"/>
      <c r="GLY98" s="2"/>
      <c r="GLZ98" s="2"/>
      <c r="GMA98" s="2"/>
      <c r="GMB98" s="2"/>
      <c r="GMC98" s="2"/>
      <c r="GMD98" s="2"/>
      <c r="GME98" s="2"/>
      <c r="GMF98" s="2"/>
      <c r="GMG98" s="2"/>
      <c r="GMH98" s="2"/>
      <c r="GMI98" s="2"/>
      <c r="GMJ98" s="2"/>
      <c r="GMK98" s="2"/>
      <c r="GML98" s="2"/>
      <c r="GMM98" s="2"/>
      <c r="GMN98" s="2"/>
      <c r="GMO98" s="2"/>
      <c r="GMP98" s="2"/>
      <c r="GMQ98" s="2"/>
      <c r="GMR98" s="2"/>
      <c r="GMS98" s="2"/>
      <c r="GMT98" s="2"/>
      <c r="GMU98" s="2"/>
      <c r="GMV98" s="2"/>
      <c r="GMW98" s="2"/>
      <c r="GMX98" s="2"/>
      <c r="GMY98" s="2"/>
      <c r="GMZ98" s="2"/>
      <c r="GNA98" s="2"/>
      <c r="GNB98" s="2"/>
      <c r="GNC98" s="2"/>
      <c r="GND98" s="2"/>
      <c r="GNE98" s="2"/>
      <c r="GNF98" s="2"/>
      <c r="GNG98" s="2"/>
      <c r="GNH98" s="2"/>
      <c r="GNI98" s="2"/>
      <c r="GNJ98" s="2"/>
      <c r="GNK98" s="2"/>
      <c r="GNL98" s="2"/>
      <c r="GNM98" s="2"/>
      <c r="GNN98" s="2"/>
      <c r="GNO98" s="2"/>
      <c r="GNP98" s="2"/>
      <c r="GNQ98" s="2"/>
      <c r="GNR98" s="2"/>
      <c r="GNS98" s="2"/>
      <c r="GNT98" s="2"/>
      <c r="GNU98" s="2"/>
      <c r="GNV98" s="2"/>
      <c r="GNW98" s="2"/>
      <c r="GNX98" s="2"/>
      <c r="GNY98" s="2"/>
      <c r="GNZ98" s="2"/>
      <c r="GOA98" s="2"/>
      <c r="GOB98" s="2"/>
      <c r="GOC98" s="2"/>
      <c r="GOD98" s="2"/>
      <c r="GOE98" s="2"/>
      <c r="GOF98" s="2"/>
      <c r="GOG98" s="2"/>
      <c r="GOH98" s="2"/>
      <c r="GOI98" s="2"/>
      <c r="GOJ98" s="2"/>
      <c r="GOK98" s="2"/>
      <c r="GOL98" s="2"/>
      <c r="GOM98" s="2"/>
      <c r="GON98" s="2"/>
      <c r="GOO98" s="2"/>
      <c r="GOP98" s="2"/>
      <c r="GOQ98" s="2"/>
      <c r="GOR98" s="2"/>
      <c r="GOS98" s="2"/>
      <c r="GOT98" s="2"/>
      <c r="GOU98" s="2"/>
      <c r="GOV98" s="2"/>
      <c r="GOW98" s="2"/>
      <c r="GOX98" s="2"/>
      <c r="GOY98" s="2"/>
      <c r="GOZ98" s="2"/>
      <c r="GPA98" s="2"/>
      <c r="GPB98" s="2"/>
      <c r="GPC98" s="2"/>
      <c r="GPD98" s="2"/>
      <c r="GPE98" s="2"/>
      <c r="GPF98" s="2"/>
      <c r="GPG98" s="2"/>
      <c r="GPH98" s="2"/>
      <c r="GPI98" s="2"/>
      <c r="GPJ98" s="2"/>
      <c r="GPK98" s="2"/>
      <c r="GPL98" s="2"/>
      <c r="GPM98" s="2"/>
      <c r="GPN98" s="2"/>
      <c r="GPO98" s="2"/>
      <c r="GPP98" s="2"/>
      <c r="GPQ98" s="2"/>
      <c r="GPR98" s="2"/>
      <c r="GPS98" s="2"/>
      <c r="GPT98" s="2"/>
      <c r="GPU98" s="2"/>
      <c r="GPV98" s="2"/>
      <c r="GPW98" s="2"/>
      <c r="GPX98" s="2"/>
      <c r="GPY98" s="2"/>
      <c r="GPZ98" s="2"/>
      <c r="GQA98" s="2"/>
      <c r="GQB98" s="2"/>
      <c r="GQC98" s="2"/>
      <c r="GQD98" s="2"/>
      <c r="GQE98" s="2"/>
      <c r="GQF98" s="2"/>
      <c r="GQG98" s="2"/>
      <c r="GQH98" s="2"/>
      <c r="GQI98" s="2"/>
      <c r="GQJ98" s="2"/>
      <c r="GQK98" s="2"/>
      <c r="GQL98" s="2"/>
      <c r="GQM98" s="2"/>
      <c r="GQN98" s="2"/>
      <c r="GQO98" s="2"/>
      <c r="GQP98" s="2"/>
      <c r="GQQ98" s="2"/>
      <c r="GQR98" s="2"/>
      <c r="GQS98" s="2"/>
      <c r="GQT98" s="2"/>
      <c r="GQU98" s="2"/>
      <c r="GQV98" s="2"/>
      <c r="GQW98" s="2"/>
      <c r="GQX98" s="2"/>
      <c r="GQY98" s="2"/>
      <c r="GQZ98" s="2"/>
      <c r="GRA98" s="2"/>
      <c r="GRB98" s="2"/>
      <c r="GRC98" s="2"/>
      <c r="GRD98" s="2"/>
      <c r="GRE98" s="2"/>
      <c r="GRF98" s="2"/>
      <c r="GRG98" s="2"/>
      <c r="GRH98" s="2"/>
      <c r="GRI98" s="2"/>
      <c r="GRJ98" s="2"/>
      <c r="GRK98" s="2"/>
      <c r="GRL98" s="2"/>
      <c r="GRM98" s="2"/>
      <c r="GRN98" s="2"/>
      <c r="GRO98" s="2"/>
      <c r="GRP98" s="2"/>
      <c r="GRQ98" s="2"/>
      <c r="GRR98" s="2"/>
      <c r="GRS98" s="2"/>
      <c r="GRT98" s="2"/>
      <c r="GRU98" s="2"/>
      <c r="GRV98" s="2"/>
      <c r="GRW98" s="2"/>
      <c r="GRX98" s="2"/>
      <c r="GRY98" s="2"/>
      <c r="GRZ98" s="2"/>
      <c r="GSA98" s="2"/>
      <c r="GSB98" s="2"/>
      <c r="GSC98" s="2"/>
      <c r="GSD98" s="2"/>
      <c r="GSE98" s="2"/>
      <c r="GSF98" s="2"/>
      <c r="GSG98" s="2"/>
      <c r="GSH98" s="2"/>
      <c r="GSI98" s="2"/>
      <c r="GSJ98" s="2"/>
      <c r="GSK98" s="2"/>
      <c r="GSL98" s="2"/>
      <c r="GSM98" s="2"/>
      <c r="GSN98" s="2"/>
      <c r="GSO98" s="2"/>
      <c r="GSP98" s="2"/>
      <c r="GSQ98" s="2"/>
      <c r="GSR98" s="2"/>
      <c r="GSS98" s="2"/>
      <c r="GST98" s="2"/>
      <c r="GSU98" s="2"/>
      <c r="GSV98" s="2"/>
      <c r="GSW98" s="2"/>
      <c r="GSX98" s="2"/>
      <c r="GSY98" s="2"/>
      <c r="GSZ98" s="2"/>
      <c r="GTA98" s="2"/>
      <c r="GTB98" s="2"/>
      <c r="GTC98" s="2"/>
      <c r="GTD98" s="2"/>
      <c r="GTE98" s="2"/>
      <c r="GTF98" s="2"/>
      <c r="GTG98" s="2"/>
      <c r="GTH98" s="2"/>
      <c r="GTI98" s="2"/>
      <c r="GTJ98" s="2"/>
      <c r="GTK98" s="2"/>
      <c r="GTL98" s="2"/>
      <c r="GTM98" s="2"/>
      <c r="GTN98" s="2"/>
      <c r="GTO98" s="2"/>
      <c r="GTP98" s="2"/>
      <c r="GTQ98" s="2"/>
      <c r="GTR98" s="2"/>
      <c r="GTS98" s="2"/>
      <c r="GTT98" s="2"/>
      <c r="GTU98" s="2"/>
      <c r="GTV98" s="2"/>
      <c r="GTW98" s="2"/>
      <c r="GTX98" s="2"/>
      <c r="GTY98" s="2"/>
      <c r="GTZ98" s="2"/>
      <c r="GUA98" s="2"/>
      <c r="GUB98" s="2"/>
      <c r="GUC98" s="2"/>
      <c r="GUD98" s="2"/>
      <c r="GUE98" s="2"/>
      <c r="GUF98" s="2"/>
      <c r="GUG98" s="2"/>
      <c r="GUH98" s="2"/>
      <c r="GUI98" s="2"/>
      <c r="GUJ98" s="2"/>
      <c r="GUK98" s="2"/>
      <c r="GUL98" s="2"/>
      <c r="GUM98" s="2"/>
      <c r="GUN98" s="2"/>
      <c r="GUO98" s="2"/>
      <c r="GUP98" s="2"/>
      <c r="GUQ98" s="2"/>
      <c r="GUR98" s="2"/>
      <c r="GUS98" s="2"/>
      <c r="GUT98" s="2"/>
      <c r="GUU98" s="2"/>
      <c r="GUV98" s="2"/>
      <c r="GUW98" s="2"/>
      <c r="GUX98" s="2"/>
      <c r="GUY98" s="2"/>
      <c r="GUZ98" s="2"/>
      <c r="GVA98" s="2"/>
      <c r="GVB98" s="2"/>
      <c r="GVC98" s="2"/>
      <c r="GVD98" s="2"/>
      <c r="GVE98" s="2"/>
      <c r="GVF98" s="2"/>
      <c r="GVG98" s="2"/>
      <c r="GVH98" s="2"/>
      <c r="GVI98" s="2"/>
      <c r="GVJ98" s="2"/>
      <c r="GVK98" s="2"/>
      <c r="GVL98" s="2"/>
      <c r="GVM98" s="2"/>
      <c r="GVN98" s="2"/>
      <c r="GVO98" s="2"/>
      <c r="GVP98" s="2"/>
      <c r="GVQ98" s="2"/>
      <c r="GVR98" s="2"/>
      <c r="GVS98" s="2"/>
      <c r="GVT98" s="2"/>
      <c r="GVU98" s="2"/>
      <c r="GVV98" s="2"/>
      <c r="GVW98" s="2"/>
      <c r="GVX98" s="2"/>
      <c r="GVY98" s="2"/>
      <c r="GVZ98" s="2"/>
      <c r="GWA98" s="2"/>
      <c r="GWB98" s="2"/>
      <c r="GWC98" s="2"/>
      <c r="GWD98" s="2"/>
      <c r="GWE98" s="2"/>
      <c r="GWF98" s="2"/>
      <c r="GWG98" s="2"/>
      <c r="GWH98" s="2"/>
      <c r="GWI98" s="2"/>
      <c r="GWJ98" s="2"/>
      <c r="GWK98" s="2"/>
      <c r="GWL98" s="2"/>
      <c r="GWM98" s="2"/>
      <c r="GWN98" s="2"/>
      <c r="GWO98" s="2"/>
      <c r="GWP98" s="2"/>
      <c r="GWQ98" s="2"/>
      <c r="GWR98" s="2"/>
      <c r="GWS98" s="2"/>
      <c r="GWT98" s="2"/>
      <c r="GWU98" s="2"/>
      <c r="GWV98" s="2"/>
      <c r="GWW98" s="2"/>
      <c r="GWX98" s="2"/>
      <c r="GWY98" s="2"/>
      <c r="GWZ98" s="2"/>
      <c r="GXA98" s="2"/>
      <c r="GXB98" s="2"/>
      <c r="GXC98" s="2"/>
      <c r="GXD98" s="2"/>
      <c r="GXE98" s="2"/>
      <c r="GXF98" s="2"/>
      <c r="GXG98" s="2"/>
      <c r="GXH98" s="2"/>
      <c r="GXI98" s="2"/>
      <c r="GXJ98" s="2"/>
      <c r="GXK98" s="2"/>
      <c r="GXL98" s="2"/>
      <c r="GXM98" s="2"/>
      <c r="GXN98" s="2"/>
      <c r="GXO98" s="2"/>
      <c r="GXP98" s="2"/>
      <c r="GXQ98" s="2"/>
      <c r="GXR98" s="2"/>
      <c r="GXS98" s="2"/>
      <c r="GXT98" s="2"/>
      <c r="GXU98" s="2"/>
      <c r="GXV98" s="2"/>
      <c r="GXW98" s="2"/>
      <c r="GXX98" s="2"/>
      <c r="GXY98" s="2"/>
      <c r="GXZ98" s="2"/>
      <c r="GYA98" s="2"/>
      <c r="GYB98" s="2"/>
      <c r="GYC98" s="2"/>
      <c r="GYD98" s="2"/>
      <c r="GYE98" s="2"/>
      <c r="GYF98" s="2"/>
      <c r="GYG98" s="2"/>
      <c r="GYH98" s="2"/>
      <c r="GYI98" s="2"/>
      <c r="GYJ98" s="2"/>
      <c r="GYK98" s="2"/>
      <c r="GYL98" s="2"/>
      <c r="GYM98" s="2"/>
      <c r="GYN98" s="2"/>
      <c r="GYO98" s="2"/>
      <c r="GYP98" s="2"/>
      <c r="GYQ98" s="2"/>
      <c r="GYR98" s="2"/>
      <c r="GYS98" s="2"/>
      <c r="GYT98" s="2"/>
      <c r="GYU98" s="2"/>
      <c r="GYV98" s="2"/>
      <c r="GYW98" s="2"/>
      <c r="GYX98" s="2"/>
      <c r="GYY98" s="2"/>
      <c r="GYZ98" s="2"/>
      <c r="GZA98" s="2"/>
      <c r="GZB98" s="2"/>
      <c r="GZC98" s="2"/>
      <c r="GZD98" s="2"/>
      <c r="GZE98" s="2"/>
      <c r="GZF98" s="2"/>
      <c r="GZG98" s="2"/>
      <c r="GZH98" s="2"/>
      <c r="GZI98" s="2"/>
      <c r="GZJ98" s="2"/>
      <c r="GZK98" s="2"/>
      <c r="GZL98" s="2"/>
      <c r="GZM98" s="2"/>
      <c r="GZN98" s="2"/>
      <c r="GZO98" s="2"/>
      <c r="GZP98" s="2"/>
      <c r="GZQ98" s="2"/>
      <c r="GZR98" s="2"/>
      <c r="GZS98" s="2"/>
      <c r="GZT98" s="2"/>
      <c r="GZU98" s="2"/>
      <c r="GZV98" s="2"/>
      <c r="GZW98" s="2"/>
      <c r="GZX98" s="2"/>
      <c r="GZY98" s="2"/>
      <c r="GZZ98" s="2"/>
      <c r="HAA98" s="2"/>
      <c r="HAB98" s="2"/>
      <c r="HAC98" s="2"/>
      <c r="HAD98" s="2"/>
      <c r="HAE98" s="2"/>
      <c r="HAF98" s="2"/>
      <c r="HAG98" s="2"/>
      <c r="HAH98" s="2"/>
      <c r="HAI98" s="2"/>
      <c r="HAJ98" s="2"/>
      <c r="HAK98" s="2"/>
      <c r="HAL98" s="2"/>
      <c r="HAM98" s="2"/>
      <c r="HAN98" s="2"/>
      <c r="HAO98" s="2"/>
      <c r="HAP98" s="2"/>
      <c r="HAQ98" s="2"/>
      <c r="HAR98" s="2"/>
      <c r="HAS98" s="2"/>
      <c r="HAT98" s="2"/>
      <c r="HAU98" s="2"/>
      <c r="HAV98" s="2"/>
      <c r="HAW98" s="2"/>
      <c r="HAX98" s="2"/>
      <c r="HAY98" s="2"/>
      <c r="HAZ98" s="2"/>
      <c r="HBA98" s="2"/>
      <c r="HBB98" s="2"/>
      <c r="HBC98" s="2"/>
      <c r="HBD98" s="2"/>
      <c r="HBE98" s="2"/>
      <c r="HBF98" s="2"/>
      <c r="HBG98" s="2"/>
      <c r="HBH98" s="2"/>
      <c r="HBI98" s="2"/>
      <c r="HBJ98" s="2"/>
      <c r="HBK98" s="2"/>
      <c r="HBL98" s="2"/>
      <c r="HBM98" s="2"/>
      <c r="HBN98" s="2"/>
      <c r="HBO98" s="2"/>
      <c r="HBP98" s="2"/>
      <c r="HBQ98" s="2"/>
      <c r="HBR98" s="2"/>
      <c r="HBS98" s="2"/>
      <c r="HBT98" s="2"/>
      <c r="HBU98" s="2"/>
      <c r="HBV98" s="2"/>
      <c r="HBW98" s="2"/>
      <c r="HBX98" s="2"/>
      <c r="HBY98" s="2"/>
      <c r="HBZ98" s="2"/>
      <c r="HCA98" s="2"/>
      <c r="HCB98" s="2"/>
      <c r="HCC98" s="2"/>
      <c r="HCD98" s="2"/>
      <c r="HCE98" s="2"/>
      <c r="HCF98" s="2"/>
      <c r="HCG98" s="2"/>
      <c r="HCH98" s="2"/>
      <c r="HCI98" s="2"/>
      <c r="HCJ98" s="2"/>
      <c r="HCK98" s="2"/>
      <c r="HCL98" s="2"/>
      <c r="HCM98" s="2"/>
      <c r="HCN98" s="2"/>
      <c r="HCO98" s="2"/>
      <c r="HCP98" s="2"/>
      <c r="HCQ98" s="2"/>
      <c r="HCR98" s="2"/>
      <c r="HCS98" s="2"/>
      <c r="HCT98" s="2"/>
      <c r="HCU98" s="2"/>
      <c r="HCV98" s="2"/>
      <c r="HCW98" s="2"/>
      <c r="HCX98" s="2"/>
      <c r="HCY98" s="2"/>
      <c r="HCZ98" s="2"/>
      <c r="HDA98" s="2"/>
      <c r="HDB98" s="2"/>
      <c r="HDC98" s="2"/>
      <c r="HDD98" s="2"/>
      <c r="HDE98" s="2"/>
      <c r="HDF98" s="2"/>
      <c r="HDG98" s="2"/>
      <c r="HDH98" s="2"/>
      <c r="HDI98" s="2"/>
      <c r="HDJ98" s="2"/>
      <c r="HDK98" s="2"/>
      <c r="HDL98" s="2"/>
      <c r="HDM98" s="2"/>
      <c r="HDN98" s="2"/>
      <c r="HDO98" s="2"/>
      <c r="HDP98" s="2"/>
      <c r="HDQ98" s="2"/>
      <c r="HDR98" s="2"/>
      <c r="HDS98" s="2"/>
      <c r="HDT98" s="2"/>
      <c r="HDU98" s="2"/>
      <c r="HDV98" s="2"/>
      <c r="HDW98" s="2"/>
      <c r="HDX98" s="2"/>
      <c r="HDY98" s="2"/>
      <c r="HDZ98" s="2"/>
      <c r="HEA98" s="2"/>
      <c r="HEB98" s="2"/>
      <c r="HEC98" s="2"/>
      <c r="HED98" s="2"/>
      <c r="HEE98" s="2"/>
      <c r="HEF98" s="2"/>
      <c r="HEG98" s="2"/>
      <c r="HEH98" s="2"/>
      <c r="HEI98" s="2"/>
      <c r="HEJ98" s="2"/>
      <c r="HEK98" s="2"/>
      <c r="HEL98" s="2"/>
      <c r="HEM98" s="2"/>
      <c r="HEN98" s="2"/>
      <c r="HEO98" s="2"/>
      <c r="HEP98" s="2"/>
      <c r="HEQ98" s="2"/>
      <c r="HER98" s="2"/>
      <c r="HES98" s="2"/>
      <c r="HET98" s="2"/>
      <c r="HEU98" s="2"/>
      <c r="HEV98" s="2"/>
      <c r="HEW98" s="2"/>
      <c r="HEX98" s="2"/>
      <c r="HEY98" s="2"/>
      <c r="HEZ98" s="2"/>
      <c r="HFA98" s="2"/>
      <c r="HFB98" s="2"/>
      <c r="HFC98" s="2"/>
      <c r="HFD98" s="2"/>
      <c r="HFE98" s="2"/>
      <c r="HFF98" s="2"/>
      <c r="HFG98" s="2"/>
      <c r="HFH98" s="2"/>
      <c r="HFI98" s="2"/>
      <c r="HFJ98" s="2"/>
      <c r="HFK98" s="2"/>
      <c r="HFL98" s="2"/>
      <c r="HFM98" s="2"/>
      <c r="HFN98" s="2"/>
      <c r="HFO98" s="2"/>
      <c r="HFP98" s="2"/>
      <c r="HFQ98" s="2"/>
      <c r="HFR98" s="2"/>
      <c r="HFS98" s="2"/>
      <c r="HFT98" s="2"/>
      <c r="HFU98" s="2"/>
      <c r="HFV98" s="2"/>
      <c r="HFW98" s="2"/>
      <c r="HFX98" s="2"/>
      <c r="HFY98" s="2"/>
      <c r="HFZ98" s="2"/>
      <c r="HGA98" s="2"/>
      <c r="HGB98" s="2"/>
      <c r="HGC98" s="2"/>
      <c r="HGD98" s="2"/>
      <c r="HGE98" s="2"/>
      <c r="HGF98" s="2"/>
      <c r="HGG98" s="2"/>
      <c r="HGH98" s="2"/>
      <c r="HGI98" s="2"/>
      <c r="HGJ98" s="2"/>
      <c r="HGK98" s="2"/>
      <c r="HGL98" s="2"/>
      <c r="HGM98" s="2"/>
      <c r="HGN98" s="2"/>
      <c r="HGO98" s="2"/>
      <c r="HGP98" s="2"/>
      <c r="HGQ98" s="2"/>
      <c r="HGR98" s="2"/>
      <c r="HGS98" s="2"/>
      <c r="HGT98" s="2"/>
      <c r="HGU98" s="2"/>
      <c r="HGV98" s="2"/>
      <c r="HGW98" s="2"/>
      <c r="HGX98" s="2"/>
      <c r="HGY98" s="2"/>
      <c r="HGZ98" s="2"/>
      <c r="HHA98" s="2"/>
      <c r="HHB98" s="2"/>
      <c r="HHC98" s="2"/>
      <c r="HHD98" s="2"/>
      <c r="HHE98" s="2"/>
      <c r="HHF98" s="2"/>
      <c r="HHG98" s="2"/>
      <c r="HHH98" s="2"/>
      <c r="HHI98" s="2"/>
      <c r="HHJ98" s="2"/>
      <c r="HHK98" s="2"/>
      <c r="HHL98" s="2"/>
      <c r="HHM98" s="2"/>
      <c r="HHN98" s="2"/>
      <c r="HHO98" s="2"/>
      <c r="HHP98" s="2"/>
      <c r="HHQ98" s="2"/>
      <c r="HHR98" s="2"/>
      <c r="HHS98" s="2"/>
      <c r="HHT98" s="2"/>
      <c r="HHU98" s="2"/>
      <c r="HHV98" s="2"/>
      <c r="HHW98" s="2"/>
      <c r="HHX98" s="2"/>
      <c r="HHY98" s="2"/>
      <c r="HHZ98" s="2"/>
      <c r="HIA98" s="2"/>
      <c r="HIB98" s="2"/>
      <c r="HIC98" s="2"/>
      <c r="HID98" s="2"/>
      <c r="HIE98" s="2"/>
      <c r="HIF98" s="2"/>
      <c r="HIG98" s="2"/>
      <c r="HIH98" s="2"/>
      <c r="HII98" s="2"/>
      <c r="HIJ98" s="2"/>
      <c r="HIK98" s="2"/>
      <c r="HIL98" s="2"/>
      <c r="HIM98" s="2"/>
      <c r="HIN98" s="2"/>
      <c r="HIO98" s="2"/>
      <c r="HIP98" s="2"/>
      <c r="HIQ98" s="2"/>
      <c r="HIR98" s="2"/>
      <c r="HIS98" s="2"/>
      <c r="HIT98" s="2"/>
      <c r="HIU98" s="2"/>
      <c r="HIV98" s="2"/>
      <c r="HIW98" s="2"/>
      <c r="HIX98" s="2"/>
      <c r="HIY98" s="2"/>
      <c r="HIZ98" s="2"/>
      <c r="HJA98" s="2"/>
      <c r="HJB98" s="2"/>
      <c r="HJC98" s="2"/>
      <c r="HJD98" s="2"/>
      <c r="HJE98" s="2"/>
      <c r="HJF98" s="2"/>
      <c r="HJG98" s="2"/>
      <c r="HJH98" s="2"/>
      <c r="HJI98" s="2"/>
      <c r="HJJ98" s="2"/>
      <c r="HJK98" s="2"/>
      <c r="HJL98" s="2"/>
      <c r="HJM98" s="2"/>
      <c r="HJN98" s="2"/>
      <c r="HJO98" s="2"/>
      <c r="HJP98" s="2"/>
      <c r="HJQ98" s="2"/>
      <c r="HJR98" s="2"/>
      <c r="HJS98" s="2"/>
      <c r="HJT98" s="2"/>
      <c r="HJU98" s="2"/>
      <c r="HJV98" s="2"/>
      <c r="HJW98" s="2"/>
      <c r="HJX98" s="2"/>
      <c r="HJY98" s="2"/>
      <c r="HJZ98" s="2"/>
      <c r="HKA98" s="2"/>
      <c r="HKB98" s="2"/>
      <c r="HKC98" s="2"/>
      <c r="HKD98" s="2"/>
      <c r="HKE98" s="2"/>
      <c r="HKF98" s="2"/>
      <c r="HKG98" s="2"/>
      <c r="HKH98" s="2"/>
      <c r="HKI98" s="2"/>
      <c r="HKJ98" s="2"/>
      <c r="HKK98" s="2"/>
      <c r="HKL98" s="2"/>
      <c r="HKM98" s="2"/>
      <c r="HKN98" s="2"/>
      <c r="HKO98" s="2"/>
      <c r="HKP98" s="2"/>
      <c r="HKQ98" s="2"/>
      <c r="HKR98" s="2"/>
      <c r="HKS98" s="2"/>
      <c r="HKT98" s="2"/>
      <c r="HKU98" s="2"/>
      <c r="HKV98" s="2"/>
      <c r="HKW98" s="2"/>
      <c r="HKX98" s="2"/>
      <c r="HKY98" s="2"/>
      <c r="HKZ98" s="2"/>
      <c r="HLA98" s="2"/>
      <c r="HLB98" s="2"/>
      <c r="HLC98" s="2"/>
      <c r="HLD98" s="2"/>
      <c r="HLE98" s="2"/>
      <c r="HLF98" s="2"/>
      <c r="HLG98" s="2"/>
      <c r="HLH98" s="2"/>
      <c r="HLI98" s="2"/>
      <c r="HLJ98" s="2"/>
      <c r="HLK98" s="2"/>
      <c r="HLL98" s="2"/>
      <c r="HLM98" s="2"/>
      <c r="HLN98" s="2"/>
      <c r="HLO98" s="2"/>
      <c r="HLP98" s="2"/>
      <c r="HLQ98" s="2"/>
      <c r="HLR98" s="2"/>
      <c r="HLS98" s="2"/>
      <c r="HLT98" s="2"/>
      <c r="HLU98" s="2"/>
      <c r="HLV98" s="2"/>
      <c r="HLW98" s="2"/>
      <c r="HLX98" s="2"/>
      <c r="HLY98" s="2"/>
      <c r="HLZ98" s="2"/>
      <c r="HMA98" s="2"/>
      <c r="HMB98" s="2"/>
      <c r="HMC98" s="2"/>
      <c r="HMD98" s="2"/>
      <c r="HME98" s="2"/>
      <c r="HMF98" s="2"/>
      <c r="HMG98" s="2"/>
      <c r="HMH98" s="2"/>
      <c r="HMI98" s="2"/>
      <c r="HMJ98" s="2"/>
      <c r="HMK98" s="2"/>
      <c r="HML98" s="2"/>
      <c r="HMM98" s="2"/>
      <c r="HMN98" s="2"/>
      <c r="HMO98" s="2"/>
      <c r="HMP98" s="2"/>
      <c r="HMQ98" s="2"/>
      <c r="HMR98" s="2"/>
      <c r="HMS98" s="2"/>
      <c r="HMT98" s="2"/>
      <c r="HMU98" s="2"/>
      <c r="HMV98" s="2"/>
      <c r="HMW98" s="2"/>
      <c r="HMX98" s="2"/>
      <c r="HMY98" s="2"/>
      <c r="HMZ98" s="2"/>
      <c r="HNA98" s="2"/>
      <c r="HNB98" s="2"/>
      <c r="HNC98" s="2"/>
      <c r="HND98" s="2"/>
      <c r="HNE98" s="2"/>
      <c r="HNF98" s="2"/>
      <c r="HNG98" s="2"/>
      <c r="HNH98" s="2"/>
      <c r="HNI98" s="2"/>
      <c r="HNJ98" s="2"/>
      <c r="HNK98" s="2"/>
      <c r="HNL98" s="2"/>
      <c r="HNM98" s="2"/>
      <c r="HNN98" s="2"/>
      <c r="HNO98" s="2"/>
      <c r="HNP98" s="2"/>
      <c r="HNQ98" s="2"/>
      <c r="HNR98" s="2"/>
      <c r="HNS98" s="2"/>
      <c r="HNT98" s="2"/>
      <c r="HNU98" s="2"/>
      <c r="HNV98" s="2"/>
      <c r="HNW98" s="2"/>
      <c r="HNX98" s="2"/>
      <c r="HNY98" s="2"/>
      <c r="HNZ98" s="2"/>
      <c r="HOA98" s="2"/>
      <c r="HOB98" s="2"/>
      <c r="HOC98" s="2"/>
      <c r="HOD98" s="2"/>
      <c r="HOE98" s="2"/>
      <c r="HOF98" s="2"/>
      <c r="HOG98" s="2"/>
      <c r="HOH98" s="2"/>
      <c r="HOI98" s="2"/>
      <c r="HOJ98" s="2"/>
      <c r="HOK98" s="2"/>
      <c r="HOL98" s="2"/>
      <c r="HOM98" s="2"/>
      <c r="HON98" s="2"/>
      <c r="HOO98" s="2"/>
      <c r="HOP98" s="2"/>
      <c r="HOQ98" s="2"/>
      <c r="HOR98" s="2"/>
      <c r="HOS98" s="2"/>
      <c r="HOT98" s="2"/>
      <c r="HOU98" s="2"/>
      <c r="HOV98" s="2"/>
      <c r="HOW98" s="2"/>
      <c r="HOX98" s="2"/>
      <c r="HOY98" s="2"/>
      <c r="HOZ98" s="2"/>
      <c r="HPA98" s="2"/>
      <c r="HPB98" s="2"/>
      <c r="HPC98" s="2"/>
      <c r="HPD98" s="2"/>
      <c r="HPE98" s="2"/>
      <c r="HPF98" s="2"/>
      <c r="HPG98" s="2"/>
      <c r="HPH98" s="2"/>
      <c r="HPI98" s="2"/>
      <c r="HPJ98" s="2"/>
      <c r="HPK98" s="2"/>
      <c r="HPL98" s="2"/>
      <c r="HPM98" s="2"/>
      <c r="HPN98" s="2"/>
      <c r="HPO98" s="2"/>
      <c r="HPP98" s="2"/>
      <c r="HPQ98" s="2"/>
      <c r="HPR98" s="2"/>
      <c r="HPS98" s="2"/>
      <c r="HPT98" s="2"/>
      <c r="HPU98" s="2"/>
      <c r="HPV98" s="2"/>
      <c r="HPW98" s="2"/>
      <c r="HPX98" s="2"/>
      <c r="HPY98" s="2"/>
      <c r="HPZ98" s="2"/>
      <c r="HQA98" s="2"/>
      <c r="HQB98" s="2"/>
      <c r="HQC98" s="2"/>
      <c r="HQD98" s="2"/>
      <c r="HQE98" s="2"/>
      <c r="HQF98" s="2"/>
      <c r="HQG98" s="2"/>
      <c r="HQH98" s="2"/>
      <c r="HQI98" s="2"/>
      <c r="HQJ98" s="2"/>
      <c r="HQK98" s="2"/>
      <c r="HQL98" s="2"/>
      <c r="HQM98" s="2"/>
      <c r="HQN98" s="2"/>
      <c r="HQO98" s="2"/>
      <c r="HQP98" s="2"/>
      <c r="HQQ98" s="2"/>
      <c r="HQR98" s="2"/>
      <c r="HQS98" s="2"/>
      <c r="HQT98" s="2"/>
      <c r="HQU98" s="2"/>
      <c r="HQV98" s="2"/>
      <c r="HQW98" s="2"/>
      <c r="HQX98" s="2"/>
      <c r="HQY98" s="2"/>
      <c r="HQZ98" s="2"/>
      <c r="HRA98" s="2"/>
      <c r="HRB98" s="2"/>
      <c r="HRC98" s="2"/>
      <c r="HRD98" s="2"/>
      <c r="HRE98" s="2"/>
      <c r="HRF98" s="2"/>
      <c r="HRG98" s="2"/>
      <c r="HRH98" s="2"/>
      <c r="HRI98" s="2"/>
      <c r="HRJ98" s="2"/>
      <c r="HRK98" s="2"/>
      <c r="HRL98" s="2"/>
      <c r="HRM98" s="2"/>
      <c r="HRN98" s="2"/>
      <c r="HRO98" s="2"/>
      <c r="HRP98" s="2"/>
      <c r="HRQ98" s="2"/>
      <c r="HRR98" s="2"/>
      <c r="HRS98" s="2"/>
      <c r="HRT98" s="2"/>
      <c r="HRU98" s="2"/>
      <c r="HRV98" s="2"/>
      <c r="HRW98" s="2"/>
      <c r="HRX98" s="2"/>
      <c r="HRY98" s="2"/>
      <c r="HRZ98" s="2"/>
      <c r="HSA98" s="2"/>
      <c r="HSB98" s="2"/>
      <c r="HSC98" s="2"/>
      <c r="HSD98" s="2"/>
      <c r="HSE98" s="2"/>
      <c r="HSF98" s="2"/>
      <c r="HSG98" s="2"/>
      <c r="HSH98" s="2"/>
      <c r="HSI98" s="2"/>
      <c r="HSJ98" s="2"/>
      <c r="HSK98" s="2"/>
      <c r="HSL98" s="2"/>
      <c r="HSM98" s="2"/>
      <c r="HSN98" s="2"/>
      <c r="HSO98" s="2"/>
      <c r="HSP98" s="2"/>
      <c r="HSQ98" s="2"/>
      <c r="HSR98" s="2"/>
      <c r="HSS98" s="2"/>
      <c r="HST98" s="2"/>
      <c r="HSU98" s="2"/>
      <c r="HSV98" s="2"/>
      <c r="HSW98" s="2"/>
      <c r="HSX98" s="2"/>
      <c r="HSY98" s="2"/>
      <c r="HSZ98" s="2"/>
      <c r="HTA98" s="2"/>
      <c r="HTB98" s="2"/>
      <c r="HTC98" s="2"/>
      <c r="HTD98" s="2"/>
      <c r="HTE98" s="2"/>
      <c r="HTF98" s="2"/>
      <c r="HTG98" s="2"/>
      <c r="HTH98" s="2"/>
      <c r="HTI98" s="2"/>
      <c r="HTJ98" s="2"/>
      <c r="HTK98" s="2"/>
      <c r="HTL98" s="2"/>
      <c r="HTM98" s="2"/>
      <c r="HTN98" s="2"/>
      <c r="HTO98" s="2"/>
      <c r="HTP98" s="2"/>
      <c r="HTQ98" s="2"/>
      <c r="HTR98" s="2"/>
      <c r="HTS98" s="2"/>
      <c r="HTT98" s="2"/>
      <c r="HTU98" s="2"/>
      <c r="HTV98" s="2"/>
      <c r="HTW98" s="2"/>
      <c r="HTX98" s="2"/>
      <c r="HTY98" s="2"/>
      <c r="HTZ98" s="2"/>
      <c r="HUA98" s="2"/>
      <c r="HUB98" s="2"/>
      <c r="HUC98" s="2"/>
      <c r="HUD98" s="2"/>
      <c r="HUE98" s="2"/>
      <c r="HUF98" s="2"/>
      <c r="HUG98" s="2"/>
      <c r="HUH98" s="2"/>
      <c r="HUI98" s="2"/>
      <c r="HUJ98" s="2"/>
      <c r="HUK98" s="2"/>
      <c r="HUL98" s="2"/>
      <c r="HUM98" s="2"/>
      <c r="HUN98" s="2"/>
      <c r="HUO98" s="2"/>
      <c r="HUP98" s="2"/>
      <c r="HUQ98" s="2"/>
      <c r="HUR98" s="2"/>
      <c r="HUS98" s="2"/>
      <c r="HUT98" s="2"/>
      <c r="HUU98" s="2"/>
      <c r="HUV98" s="2"/>
      <c r="HUW98" s="2"/>
      <c r="HUX98" s="2"/>
      <c r="HUY98" s="2"/>
      <c r="HUZ98" s="2"/>
      <c r="HVA98" s="2"/>
      <c r="HVB98" s="2"/>
      <c r="HVC98" s="2"/>
      <c r="HVD98" s="2"/>
      <c r="HVE98" s="2"/>
      <c r="HVF98" s="2"/>
      <c r="HVG98" s="2"/>
      <c r="HVH98" s="2"/>
      <c r="HVI98" s="2"/>
      <c r="HVJ98" s="2"/>
      <c r="HVK98" s="2"/>
      <c r="HVL98" s="2"/>
      <c r="HVM98" s="2"/>
      <c r="HVN98" s="2"/>
      <c r="HVO98" s="2"/>
      <c r="HVP98" s="2"/>
      <c r="HVQ98" s="2"/>
      <c r="HVR98" s="2"/>
      <c r="HVS98" s="2"/>
      <c r="HVT98" s="2"/>
      <c r="HVU98" s="2"/>
      <c r="HVV98" s="2"/>
      <c r="HVW98" s="2"/>
      <c r="HVX98" s="2"/>
      <c r="HVY98" s="2"/>
      <c r="HVZ98" s="2"/>
      <c r="HWA98" s="2"/>
      <c r="HWB98" s="2"/>
      <c r="HWC98" s="2"/>
      <c r="HWD98" s="2"/>
      <c r="HWE98" s="2"/>
      <c r="HWF98" s="2"/>
      <c r="HWG98" s="2"/>
      <c r="HWH98" s="2"/>
      <c r="HWI98" s="2"/>
      <c r="HWJ98" s="2"/>
      <c r="HWK98" s="2"/>
      <c r="HWL98" s="2"/>
      <c r="HWM98" s="2"/>
      <c r="HWN98" s="2"/>
      <c r="HWO98" s="2"/>
      <c r="HWP98" s="2"/>
      <c r="HWQ98" s="2"/>
      <c r="HWR98" s="2"/>
      <c r="HWS98" s="2"/>
      <c r="HWT98" s="2"/>
      <c r="HWU98" s="2"/>
      <c r="HWV98" s="2"/>
      <c r="HWW98" s="2"/>
      <c r="HWX98" s="2"/>
      <c r="HWY98" s="2"/>
      <c r="HWZ98" s="2"/>
      <c r="HXA98" s="2"/>
      <c r="HXB98" s="2"/>
      <c r="HXC98" s="2"/>
      <c r="HXD98" s="2"/>
      <c r="HXE98" s="2"/>
      <c r="HXF98" s="2"/>
      <c r="HXG98" s="2"/>
      <c r="HXH98" s="2"/>
      <c r="HXI98" s="2"/>
      <c r="HXJ98" s="2"/>
      <c r="HXK98" s="2"/>
      <c r="HXL98" s="2"/>
      <c r="HXM98" s="2"/>
      <c r="HXN98" s="2"/>
      <c r="HXO98" s="2"/>
      <c r="HXP98" s="2"/>
      <c r="HXQ98" s="2"/>
      <c r="HXR98" s="2"/>
      <c r="HXS98" s="2"/>
      <c r="HXT98" s="2"/>
      <c r="HXU98" s="2"/>
      <c r="HXV98" s="2"/>
      <c r="HXW98" s="2"/>
      <c r="HXX98" s="2"/>
      <c r="HXY98" s="2"/>
      <c r="HXZ98" s="2"/>
      <c r="HYA98" s="2"/>
      <c r="HYB98" s="2"/>
      <c r="HYC98" s="2"/>
      <c r="HYD98" s="2"/>
      <c r="HYE98" s="2"/>
      <c r="HYF98" s="2"/>
      <c r="HYG98" s="2"/>
      <c r="HYH98" s="2"/>
      <c r="HYI98" s="2"/>
      <c r="HYJ98" s="2"/>
      <c r="HYK98" s="2"/>
      <c r="HYL98" s="2"/>
      <c r="HYM98" s="2"/>
      <c r="HYN98" s="2"/>
      <c r="HYO98" s="2"/>
      <c r="HYP98" s="2"/>
      <c r="HYQ98" s="2"/>
      <c r="HYR98" s="2"/>
      <c r="HYS98" s="2"/>
      <c r="HYT98" s="2"/>
      <c r="HYU98" s="2"/>
      <c r="HYV98" s="2"/>
      <c r="HYW98" s="2"/>
      <c r="HYX98" s="2"/>
      <c r="HYY98" s="2"/>
      <c r="HYZ98" s="2"/>
      <c r="HZA98" s="2"/>
      <c r="HZB98" s="2"/>
      <c r="HZC98" s="2"/>
      <c r="HZD98" s="2"/>
      <c r="HZE98" s="2"/>
      <c r="HZF98" s="2"/>
      <c r="HZG98" s="2"/>
      <c r="HZH98" s="2"/>
      <c r="HZI98" s="2"/>
      <c r="HZJ98" s="2"/>
      <c r="HZK98" s="2"/>
      <c r="HZL98" s="2"/>
      <c r="HZM98" s="2"/>
      <c r="HZN98" s="2"/>
      <c r="HZO98" s="2"/>
      <c r="HZP98" s="2"/>
      <c r="HZQ98" s="2"/>
      <c r="HZR98" s="2"/>
      <c r="HZS98" s="2"/>
      <c r="HZT98" s="2"/>
      <c r="HZU98" s="2"/>
      <c r="HZV98" s="2"/>
      <c r="HZW98" s="2"/>
      <c r="HZX98" s="2"/>
      <c r="HZY98" s="2"/>
      <c r="HZZ98" s="2"/>
      <c r="IAA98" s="2"/>
      <c r="IAB98" s="2"/>
      <c r="IAC98" s="2"/>
      <c r="IAD98" s="2"/>
      <c r="IAE98" s="2"/>
      <c r="IAF98" s="2"/>
      <c r="IAG98" s="2"/>
      <c r="IAH98" s="2"/>
      <c r="IAI98" s="2"/>
      <c r="IAJ98" s="2"/>
      <c r="IAK98" s="2"/>
      <c r="IAL98" s="2"/>
      <c r="IAM98" s="2"/>
      <c r="IAN98" s="2"/>
      <c r="IAO98" s="2"/>
      <c r="IAP98" s="2"/>
      <c r="IAQ98" s="2"/>
      <c r="IAR98" s="2"/>
      <c r="IAS98" s="2"/>
      <c r="IAT98" s="2"/>
      <c r="IAU98" s="2"/>
      <c r="IAV98" s="2"/>
      <c r="IAW98" s="2"/>
      <c r="IAX98" s="2"/>
      <c r="IAY98" s="2"/>
      <c r="IAZ98" s="2"/>
      <c r="IBA98" s="2"/>
      <c r="IBB98" s="2"/>
      <c r="IBC98" s="2"/>
      <c r="IBD98" s="2"/>
      <c r="IBE98" s="2"/>
      <c r="IBF98" s="2"/>
      <c r="IBG98" s="2"/>
      <c r="IBH98" s="2"/>
      <c r="IBI98" s="2"/>
      <c r="IBJ98" s="2"/>
      <c r="IBK98" s="2"/>
      <c r="IBL98" s="2"/>
      <c r="IBM98" s="2"/>
      <c r="IBN98" s="2"/>
      <c r="IBO98" s="2"/>
      <c r="IBP98" s="2"/>
      <c r="IBQ98" s="2"/>
      <c r="IBR98" s="2"/>
      <c r="IBS98" s="2"/>
      <c r="IBT98" s="2"/>
      <c r="IBU98" s="2"/>
      <c r="IBV98" s="2"/>
      <c r="IBW98" s="2"/>
      <c r="IBX98" s="2"/>
      <c r="IBY98" s="2"/>
      <c r="IBZ98" s="2"/>
      <c r="ICA98" s="2"/>
      <c r="ICB98" s="2"/>
      <c r="ICC98" s="2"/>
      <c r="ICD98" s="2"/>
      <c r="ICE98" s="2"/>
      <c r="ICF98" s="2"/>
      <c r="ICG98" s="2"/>
      <c r="ICH98" s="2"/>
      <c r="ICI98" s="2"/>
      <c r="ICJ98" s="2"/>
      <c r="ICK98" s="2"/>
      <c r="ICL98" s="2"/>
      <c r="ICM98" s="2"/>
      <c r="ICN98" s="2"/>
      <c r="ICO98" s="2"/>
      <c r="ICP98" s="2"/>
      <c r="ICQ98" s="2"/>
      <c r="ICR98" s="2"/>
      <c r="ICS98" s="2"/>
      <c r="ICT98" s="2"/>
      <c r="ICU98" s="2"/>
      <c r="ICV98" s="2"/>
      <c r="ICW98" s="2"/>
      <c r="ICX98" s="2"/>
      <c r="ICY98" s="2"/>
      <c r="ICZ98" s="2"/>
      <c r="IDA98" s="2"/>
      <c r="IDB98" s="2"/>
      <c r="IDC98" s="2"/>
      <c r="IDD98" s="2"/>
      <c r="IDE98" s="2"/>
      <c r="IDF98" s="2"/>
      <c r="IDG98" s="2"/>
      <c r="IDH98" s="2"/>
      <c r="IDI98" s="2"/>
      <c r="IDJ98" s="2"/>
      <c r="IDK98" s="2"/>
      <c r="IDL98" s="2"/>
      <c r="IDM98" s="2"/>
      <c r="IDN98" s="2"/>
      <c r="IDO98" s="2"/>
      <c r="IDP98" s="2"/>
      <c r="IDQ98" s="2"/>
      <c r="IDR98" s="2"/>
      <c r="IDS98" s="2"/>
      <c r="IDT98" s="2"/>
      <c r="IDU98" s="2"/>
      <c r="IDV98" s="2"/>
      <c r="IDW98" s="2"/>
      <c r="IDX98" s="2"/>
      <c r="IDY98" s="2"/>
      <c r="IDZ98" s="2"/>
      <c r="IEA98" s="2"/>
      <c r="IEB98" s="2"/>
      <c r="IEC98" s="2"/>
      <c r="IED98" s="2"/>
      <c r="IEE98" s="2"/>
      <c r="IEF98" s="2"/>
      <c r="IEG98" s="2"/>
      <c r="IEH98" s="2"/>
      <c r="IEI98" s="2"/>
      <c r="IEJ98" s="2"/>
      <c r="IEK98" s="2"/>
      <c r="IEL98" s="2"/>
      <c r="IEM98" s="2"/>
      <c r="IEN98" s="2"/>
      <c r="IEO98" s="2"/>
      <c r="IEP98" s="2"/>
      <c r="IEQ98" s="2"/>
      <c r="IER98" s="2"/>
      <c r="IES98" s="2"/>
      <c r="IET98" s="2"/>
      <c r="IEU98" s="2"/>
      <c r="IEV98" s="2"/>
      <c r="IEW98" s="2"/>
      <c r="IEX98" s="2"/>
      <c r="IEY98" s="2"/>
      <c r="IEZ98" s="2"/>
      <c r="IFA98" s="2"/>
      <c r="IFB98" s="2"/>
      <c r="IFC98" s="2"/>
      <c r="IFD98" s="2"/>
      <c r="IFE98" s="2"/>
      <c r="IFF98" s="2"/>
      <c r="IFG98" s="2"/>
      <c r="IFH98" s="2"/>
      <c r="IFI98" s="2"/>
      <c r="IFJ98" s="2"/>
      <c r="IFK98" s="2"/>
      <c r="IFL98" s="2"/>
      <c r="IFM98" s="2"/>
      <c r="IFN98" s="2"/>
      <c r="IFO98" s="2"/>
      <c r="IFP98" s="2"/>
      <c r="IFQ98" s="2"/>
      <c r="IFR98" s="2"/>
      <c r="IFS98" s="2"/>
      <c r="IFT98" s="2"/>
      <c r="IFU98" s="2"/>
      <c r="IFV98" s="2"/>
      <c r="IFW98" s="2"/>
      <c r="IFX98" s="2"/>
      <c r="IFY98" s="2"/>
      <c r="IFZ98" s="2"/>
      <c r="IGA98" s="2"/>
      <c r="IGB98" s="2"/>
      <c r="IGC98" s="2"/>
      <c r="IGD98" s="2"/>
      <c r="IGE98" s="2"/>
      <c r="IGF98" s="2"/>
      <c r="IGG98" s="2"/>
      <c r="IGH98" s="2"/>
      <c r="IGI98" s="2"/>
      <c r="IGJ98" s="2"/>
      <c r="IGK98" s="2"/>
      <c r="IGL98" s="2"/>
      <c r="IGM98" s="2"/>
      <c r="IGN98" s="2"/>
      <c r="IGO98" s="2"/>
      <c r="IGP98" s="2"/>
      <c r="IGQ98" s="2"/>
      <c r="IGR98" s="2"/>
      <c r="IGS98" s="2"/>
      <c r="IGT98" s="2"/>
      <c r="IGU98" s="2"/>
      <c r="IGV98" s="2"/>
      <c r="IGW98" s="2"/>
      <c r="IGX98" s="2"/>
      <c r="IGY98" s="2"/>
      <c r="IGZ98" s="2"/>
      <c r="IHA98" s="2"/>
      <c r="IHB98" s="2"/>
      <c r="IHC98" s="2"/>
      <c r="IHD98" s="2"/>
      <c r="IHE98" s="2"/>
      <c r="IHF98" s="2"/>
      <c r="IHG98" s="2"/>
      <c r="IHH98" s="2"/>
      <c r="IHI98" s="2"/>
      <c r="IHJ98" s="2"/>
      <c r="IHK98" s="2"/>
      <c r="IHL98" s="2"/>
      <c r="IHM98" s="2"/>
      <c r="IHN98" s="2"/>
      <c r="IHO98" s="2"/>
      <c r="IHP98" s="2"/>
      <c r="IHQ98" s="2"/>
      <c r="IHR98" s="2"/>
      <c r="IHS98" s="2"/>
      <c r="IHT98" s="2"/>
      <c r="IHU98" s="2"/>
      <c r="IHV98" s="2"/>
      <c r="IHW98" s="2"/>
      <c r="IHX98" s="2"/>
      <c r="IHY98" s="2"/>
      <c r="IHZ98" s="2"/>
      <c r="IIA98" s="2"/>
      <c r="IIB98" s="2"/>
      <c r="IIC98" s="2"/>
      <c r="IID98" s="2"/>
      <c r="IIE98" s="2"/>
      <c r="IIF98" s="2"/>
      <c r="IIG98" s="2"/>
      <c r="IIH98" s="2"/>
      <c r="III98" s="2"/>
      <c r="IIJ98" s="2"/>
      <c r="IIK98" s="2"/>
      <c r="IIL98" s="2"/>
      <c r="IIM98" s="2"/>
      <c r="IIN98" s="2"/>
      <c r="IIO98" s="2"/>
      <c r="IIP98" s="2"/>
      <c r="IIQ98" s="2"/>
      <c r="IIR98" s="2"/>
      <c r="IIS98" s="2"/>
      <c r="IIT98" s="2"/>
      <c r="IIU98" s="2"/>
      <c r="IIV98" s="2"/>
      <c r="IIW98" s="2"/>
      <c r="IIX98" s="2"/>
      <c r="IIY98" s="2"/>
      <c r="IIZ98" s="2"/>
      <c r="IJA98" s="2"/>
      <c r="IJB98" s="2"/>
      <c r="IJC98" s="2"/>
      <c r="IJD98" s="2"/>
      <c r="IJE98" s="2"/>
      <c r="IJF98" s="2"/>
      <c r="IJG98" s="2"/>
      <c r="IJH98" s="2"/>
      <c r="IJI98" s="2"/>
      <c r="IJJ98" s="2"/>
      <c r="IJK98" s="2"/>
      <c r="IJL98" s="2"/>
      <c r="IJM98" s="2"/>
      <c r="IJN98" s="2"/>
      <c r="IJO98" s="2"/>
      <c r="IJP98" s="2"/>
      <c r="IJQ98" s="2"/>
      <c r="IJR98" s="2"/>
      <c r="IJS98" s="2"/>
      <c r="IJT98" s="2"/>
      <c r="IJU98" s="2"/>
      <c r="IJV98" s="2"/>
      <c r="IJW98" s="2"/>
      <c r="IJX98" s="2"/>
      <c r="IJY98" s="2"/>
      <c r="IJZ98" s="2"/>
      <c r="IKA98" s="2"/>
      <c r="IKB98" s="2"/>
      <c r="IKC98" s="2"/>
      <c r="IKD98" s="2"/>
      <c r="IKE98" s="2"/>
      <c r="IKF98" s="2"/>
      <c r="IKG98" s="2"/>
      <c r="IKH98" s="2"/>
      <c r="IKI98" s="2"/>
      <c r="IKJ98" s="2"/>
      <c r="IKK98" s="2"/>
      <c r="IKL98" s="2"/>
      <c r="IKM98" s="2"/>
      <c r="IKN98" s="2"/>
      <c r="IKO98" s="2"/>
      <c r="IKP98" s="2"/>
      <c r="IKQ98" s="2"/>
      <c r="IKR98" s="2"/>
      <c r="IKS98" s="2"/>
      <c r="IKT98" s="2"/>
      <c r="IKU98" s="2"/>
      <c r="IKV98" s="2"/>
      <c r="IKW98" s="2"/>
      <c r="IKX98" s="2"/>
      <c r="IKY98" s="2"/>
      <c r="IKZ98" s="2"/>
      <c r="ILA98" s="2"/>
      <c r="ILB98" s="2"/>
      <c r="ILC98" s="2"/>
      <c r="ILD98" s="2"/>
      <c r="ILE98" s="2"/>
      <c r="ILF98" s="2"/>
      <c r="ILG98" s="2"/>
      <c r="ILH98" s="2"/>
      <c r="ILI98" s="2"/>
      <c r="ILJ98" s="2"/>
      <c r="ILK98" s="2"/>
      <c r="ILL98" s="2"/>
      <c r="ILM98" s="2"/>
      <c r="ILN98" s="2"/>
      <c r="ILO98" s="2"/>
      <c r="ILP98" s="2"/>
      <c r="ILQ98" s="2"/>
      <c r="ILR98" s="2"/>
      <c r="ILS98" s="2"/>
      <c r="ILT98" s="2"/>
      <c r="ILU98" s="2"/>
      <c r="ILV98" s="2"/>
      <c r="ILW98" s="2"/>
      <c r="ILX98" s="2"/>
      <c r="ILY98" s="2"/>
      <c r="ILZ98" s="2"/>
      <c r="IMA98" s="2"/>
      <c r="IMB98" s="2"/>
      <c r="IMC98" s="2"/>
      <c r="IMD98" s="2"/>
      <c r="IME98" s="2"/>
      <c r="IMF98" s="2"/>
      <c r="IMG98" s="2"/>
      <c r="IMH98" s="2"/>
      <c r="IMI98" s="2"/>
      <c r="IMJ98" s="2"/>
      <c r="IMK98" s="2"/>
      <c r="IML98" s="2"/>
      <c r="IMM98" s="2"/>
      <c r="IMN98" s="2"/>
      <c r="IMO98" s="2"/>
      <c r="IMP98" s="2"/>
      <c r="IMQ98" s="2"/>
      <c r="IMR98" s="2"/>
      <c r="IMS98" s="2"/>
      <c r="IMT98" s="2"/>
      <c r="IMU98" s="2"/>
      <c r="IMV98" s="2"/>
      <c r="IMW98" s="2"/>
      <c r="IMX98" s="2"/>
      <c r="IMY98" s="2"/>
      <c r="IMZ98" s="2"/>
      <c r="INA98" s="2"/>
      <c r="INB98" s="2"/>
      <c r="INC98" s="2"/>
      <c r="IND98" s="2"/>
      <c r="INE98" s="2"/>
      <c r="INF98" s="2"/>
      <c r="ING98" s="2"/>
      <c r="INH98" s="2"/>
      <c r="INI98" s="2"/>
      <c r="INJ98" s="2"/>
      <c r="INK98" s="2"/>
      <c r="INL98" s="2"/>
      <c r="INM98" s="2"/>
      <c r="INN98" s="2"/>
      <c r="INO98" s="2"/>
      <c r="INP98" s="2"/>
      <c r="INQ98" s="2"/>
      <c r="INR98" s="2"/>
      <c r="INS98" s="2"/>
      <c r="INT98" s="2"/>
      <c r="INU98" s="2"/>
      <c r="INV98" s="2"/>
      <c r="INW98" s="2"/>
      <c r="INX98" s="2"/>
      <c r="INY98" s="2"/>
      <c r="INZ98" s="2"/>
      <c r="IOA98" s="2"/>
      <c r="IOB98" s="2"/>
      <c r="IOC98" s="2"/>
      <c r="IOD98" s="2"/>
      <c r="IOE98" s="2"/>
      <c r="IOF98" s="2"/>
      <c r="IOG98" s="2"/>
      <c r="IOH98" s="2"/>
      <c r="IOI98" s="2"/>
      <c r="IOJ98" s="2"/>
      <c r="IOK98" s="2"/>
      <c r="IOL98" s="2"/>
      <c r="IOM98" s="2"/>
      <c r="ION98" s="2"/>
      <c r="IOO98" s="2"/>
      <c r="IOP98" s="2"/>
      <c r="IOQ98" s="2"/>
      <c r="IOR98" s="2"/>
      <c r="IOS98" s="2"/>
      <c r="IOT98" s="2"/>
      <c r="IOU98" s="2"/>
      <c r="IOV98" s="2"/>
      <c r="IOW98" s="2"/>
      <c r="IOX98" s="2"/>
      <c r="IOY98" s="2"/>
      <c r="IOZ98" s="2"/>
      <c r="IPA98" s="2"/>
      <c r="IPB98" s="2"/>
      <c r="IPC98" s="2"/>
      <c r="IPD98" s="2"/>
      <c r="IPE98" s="2"/>
      <c r="IPF98" s="2"/>
      <c r="IPG98" s="2"/>
      <c r="IPH98" s="2"/>
      <c r="IPI98" s="2"/>
      <c r="IPJ98" s="2"/>
      <c r="IPK98" s="2"/>
      <c r="IPL98" s="2"/>
      <c r="IPM98" s="2"/>
      <c r="IPN98" s="2"/>
      <c r="IPO98" s="2"/>
      <c r="IPP98" s="2"/>
      <c r="IPQ98" s="2"/>
      <c r="IPR98" s="2"/>
      <c r="IPS98" s="2"/>
      <c r="IPT98" s="2"/>
      <c r="IPU98" s="2"/>
      <c r="IPV98" s="2"/>
      <c r="IPW98" s="2"/>
      <c r="IPX98" s="2"/>
      <c r="IPY98" s="2"/>
      <c r="IPZ98" s="2"/>
      <c r="IQA98" s="2"/>
      <c r="IQB98" s="2"/>
      <c r="IQC98" s="2"/>
      <c r="IQD98" s="2"/>
      <c r="IQE98" s="2"/>
      <c r="IQF98" s="2"/>
      <c r="IQG98" s="2"/>
      <c r="IQH98" s="2"/>
      <c r="IQI98" s="2"/>
      <c r="IQJ98" s="2"/>
      <c r="IQK98" s="2"/>
      <c r="IQL98" s="2"/>
      <c r="IQM98" s="2"/>
      <c r="IQN98" s="2"/>
      <c r="IQO98" s="2"/>
      <c r="IQP98" s="2"/>
      <c r="IQQ98" s="2"/>
      <c r="IQR98" s="2"/>
      <c r="IQS98" s="2"/>
      <c r="IQT98" s="2"/>
      <c r="IQU98" s="2"/>
      <c r="IQV98" s="2"/>
      <c r="IQW98" s="2"/>
      <c r="IQX98" s="2"/>
      <c r="IQY98" s="2"/>
      <c r="IQZ98" s="2"/>
      <c r="IRA98" s="2"/>
      <c r="IRB98" s="2"/>
      <c r="IRC98" s="2"/>
      <c r="IRD98" s="2"/>
      <c r="IRE98" s="2"/>
      <c r="IRF98" s="2"/>
      <c r="IRG98" s="2"/>
      <c r="IRH98" s="2"/>
      <c r="IRI98" s="2"/>
      <c r="IRJ98" s="2"/>
      <c r="IRK98" s="2"/>
      <c r="IRL98" s="2"/>
      <c r="IRM98" s="2"/>
      <c r="IRN98" s="2"/>
      <c r="IRO98" s="2"/>
      <c r="IRP98" s="2"/>
      <c r="IRQ98" s="2"/>
      <c r="IRR98" s="2"/>
      <c r="IRS98" s="2"/>
      <c r="IRT98" s="2"/>
      <c r="IRU98" s="2"/>
      <c r="IRV98" s="2"/>
      <c r="IRW98" s="2"/>
      <c r="IRX98" s="2"/>
      <c r="IRY98" s="2"/>
      <c r="IRZ98" s="2"/>
      <c r="ISA98" s="2"/>
      <c r="ISB98" s="2"/>
      <c r="ISC98" s="2"/>
      <c r="ISD98" s="2"/>
      <c r="ISE98" s="2"/>
      <c r="ISF98" s="2"/>
      <c r="ISG98" s="2"/>
      <c r="ISH98" s="2"/>
      <c r="ISI98" s="2"/>
      <c r="ISJ98" s="2"/>
      <c r="ISK98" s="2"/>
      <c r="ISL98" s="2"/>
      <c r="ISM98" s="2"/>
      <c r="ISN98" s="2"/>
      <c r="ISO98" s="2"/>
      <c r="ISP98" s="2"/>
      <c r="ISQ98" s="2"/>
      <c r="ISR98" s="2"/>
      <c r="ISS98" s="2"/>
      <c r="IST98" s="2"/>
      <c r="ISU98" s="2"/>
      <c r="ISV98" s="2"/>
      <c r="ISW98" s="2"/>
      <c r="ISX98" s="2"/>
      <c r="ISY98" s="2"/>
      <c r="ISZ98" s="2"/>
      <c r="ITA98" s="2"/>
      <c r="ITB98" s="2"/>
      <c r="ITC98" s="2"/>
      <c r="ITD98" s="2"/>
      <c r="ITE98" s="2"/>
      <c r="ITF98" s="2"/>
      <c r="ITG98" s="2"/>
      <c r="ITH98" s="2"/>
      <c r="ITI98" s="2"/>
      <c r="ITJ98" s="2"/>
      <c r="ITK98" s="2"/>
      <c r="ITL98" s="2"/>
      <c r="ITM98" s="2"/>
      <c r="ITN98" s="2"/>
      <c r="ITO98" s="2"/>
      <c r="ITP98" s="2"/>
      <c r="ITQ98" s="2"/>
      <c r="ITR98" s="2"/>
      <c r="ITS98" s="2"/>
      <c r="ITT98" s="2"/>
      <c r="ITU98" s="2"/>
      <c r="ITV98" s="2"/>
      <c r="ITW98" s="2"/>
      <c r="ITX98" s="2"/>
      <c r="ITY98" s="2"/>
      <c r="ITZ98" s="2"/>
      <c r="IUA98" s="2"/>
      <c r="IUB98" s="2"/>
      <c r="IUC98" s="2"/>
      <c r="IUD98" s="2"/>
      <c r="IUE98" s="2"/>
      <c r="IUF98" s="2"/>
      <c r="IUG98" s="2"/>
      <c r="IUH98" s="2"/>
      <c r="IUI98" s="2"/>
      <c r="IUJ98" s="2"/>
      <c r="IUK98" s="2"/>
      <c r="IUL98" s="2"/>
      <c r="IUM98" s="2"/>
      <c r="IUN98" s="2"/>
      <c r="IUO98" s="2"/>
      <c r="IUP98" s="2"/>
      <c r="IUQ98" s="2"/>
      <c r="IUR98" s="2"/>
      <c r="IUS98" s="2"/>
      <c r="IUT98" s="2"/>
      <c r="IUU98" s="2"/>
      <c r="IUV98" s="2"/>
      <c r="IUW98" s="2"/>
      <c r="IUX98" s="2"/>
      <c r="IUY98" s="2"/>
      <c r="IUZ98" s="2"/>
      <c r="IVA98" s="2"/>
      <c r="IVB98" s="2"/>
      <c r="IVC98" s="2"/>
      <c r="IVD98" s="2"/>
      <c r="IVE98" s="2"/>
      <c r="IVF98" s="2"/>
      <c r="IVG98" s="2"/>
      <c r="IVH98" s="2"/>
      <c r="IVI98" s="2"/>
      <c r="IVJ98" s="2"/>
      <c r="IVK98" s="2"/>
      <c r="IVL98" s="2"/>
      <c r="IVM98" s="2"/>
      <c r="IVN98" s="2"/>
      <c r="IVO98" s="2"/>
      <c r="IVP98" s="2"/>
      <c r="IVQ98" s="2"/>
      <c r="IVR98" s="2"/>
      <c r="IVS98" s="2"/>
      <c r="IVT98" s="2"/>
      <c r="IVU98" s="2"/>
      <c r="IVV98" s="2"/>
      <c r="IVW98" s="2"/>
      <c r="IVX98" s="2"/>
      <c r="IVY98" s="2"/>
      <c r="IVZ98" s="2"/>
      <c r="IWA98" s="2"/>
      <c r="IWB98" s="2"/>
      <c r="IWC98" s="2"/>
      <c r="IWD98" s="2"/>
      <c r="IWE98" s="2"/>
      <c r="IWF98" s="2"/>
      <c r="IWG98" s="2"/>
      <c r="IWH98" s="2"/>
      <c r="IWI98" s="2"/>
      <c r="IWJ98" s="2"/>
      <c r="IWK98" s="2"/>
      <c r="IWL98" s="2"/>
      <c r="IWM98" s="2"/>
      <c r="IWN98" s="2"/>
      <c r="IWO98" s="2"/>
      <c r="IWP98" s="2"/>
      <c r="IWQ98" s="2"/>
      <c r="IWR98" s="2"/>
      <c r="IWS98" s="2"/>
      <c r="IWT98" s="2"/>
      <c r="IWU98" s="2"/>
      <c r="IWV98" s="2"/>
      <c r="IWW98" s="2"/>
      <c r="IWX98" s="2"/>
      <c r="IWY98" s="2"/>
      <c r="IWZ98" s="2"/>
      <c r="IXA98" s="2"/>
      <c r="IXB98" s="2"/>
      <c r="IXC98" s="2"/>
      <c r="IXD98" s="2"/>
      <c r="IXE98" s="2"/>
      <c r="IXF98" s="2"/>
      <c r="IXG98" s="2"/>
      <c r="IXH98" s="2"/>
      <c r="IXI98" s="2"/>
      <c r="IXJ98" s="2"/>
      <c r="IXK98" s="2"/>
      <c r="IXL98" s="2"/>
      <c r="IXM98" s="2"/>
      <c r="IXN98" s="2"/>
      <c r="IXO98" s="2"/>
      <c r="IXP98" s="2"/>
      <c r="IXQ98" s="2"/>
      <c r="IXR98" s="2"/>
      <c r="IXS98" s="2"/>
      <c r="IXT98" s="2"/>
      <c r="IXU98" s="2"/>
      <c r="IXV98" s="2"/>
      <c r="IXW98" s="2"/>
      <c r="IXX98" s="2"/>
      <c r="IXY98" s="2"/>
      <c r="IXZ98" s="2"/>
      <c r="IYA98" s="2"/>
      <c r="IYB98" s="2"/>
      <c r="IYC98" s="2"/>
      <c r="IYD98" s="2"/>
      <c r="IYE98" s="2"/>
      <c r="IYF98" s="2"/>
      <c r="IYG98" s="2"/>
      <c r="IYH98" s="2"/>
      <c r="IYI98" s="2"/>
      <c r="IYJ98" s="2"/>
      <c r="IYK98" s="2"/>
      <c r="IYL98" s="2"/>
      <c r="IYM98" s="2"/>
      <c r="IYN98" s="2"/>
      <c r="IYO98" s="2"/>
      <c r="IYP98" s="2"/>
      <c r="IYQ98" s="2"/>
      <c r="IYR98" s="2"/>
      <c r="IYS98" s="2"/>
      <c r="IYT98" s="2"/>
      <c r="IYU98" s="2"/>
      <c r="IYV98" s="2"/>
      <c r="IYW98" s="2"/>
      <c r="IYX98" s="2"/>
      <c r="IYY98" s="2"/>
      <c r="IYZ98" s="2"/>
      <c r="IZA98" s="2"/>
      <c r="IZB98" s="2"/>
      <c r="IZC98" s="2"/>
      <c r="IZD98" s="2"/>
      <c r="IZE98" s="2"/>
      <c r="IZF98" s="2"/>
      <c r="IZG98" s="2"/>
      <c r="IZH98" s="2"/>
      <c r="IZI98" s="2"/>
      <c r="IZJ98" s="2"/>
      <c r="IZK98" s="2"/>
      <c r="IZL98" s="2"/>
      <c r="IZM98" s="2"/>
      <c r="IZN98" s="2"/>
      <c r="IZO98" s="2"/>
      <c r="IZP98" s="2"/>
      <c r="IZQ98" s="2"/>
      <c r="IZR98" s="2"/>
      <c r="IZS98" s="2"/>
      <c r="IZT98" s="2"/>
      <c r="IZU98" s="2"/>
      <c r="IZV98" s="2"/>
      <c r="IZW98" s="2"/>
      <c r="IZX98" s="2"/>
      <c r="IZY98" s="2"/>
      <c r="IZZ98" s="2"/>
      <c r="JAA98" s="2"/>
      <c r="JAB98" s="2"/>
      <c r="JAC98" s="2"/>
      <c r="JAD98" s="2"/>
      <c r="JAE98" s="2"/>
      <c r="JAF98" s="2"/>
      <c r="JAG98" s="2"/>
      <c r="JAH98" s="2"/>
      <c r="JAI98" s="2"/>
      <c r="JAJ98" s="2"/>
      <c r="JAK98" s="2"/>
      <c r="JAL98" s="2"/>
      <c r="JAM98" s="2"/>
      <c r="JAN98" s="2"/>
      <c r="JAO98" s="2"/>
      <c r="JAP98" s="2"/>
      <c r="JAQ98" s="2"/>
      <c r="JAR98" s="2"/>
      <c r="JAS98" s="2"/>
      <c r="JAT98" s="2"/>
      <c r="JAU98" s="2"/>
      <c r="JAV98" s="2"/>
      <c r="JAW98" s="2"/>
      <c r="JAX98" s="2"/>
      <c r="JAY98" s="2"/>
      <c r="JAZ98" s="2"/>
      <c r="JBA98" s="2"/>
      <c r="JBB98" s="2"/>
      <c r="JBC98" s="2"/>
      <c r="JBD98" s="2"/>
      <c r="JBE98" s="2"/>
      <c r="JBF98" s="2"/>
      <c r="JBG98" s="2"/>
      <c r="JBH98" s="2"/>
      <c r="JBI98" s="2"/>
      <c r="JBJ98" s="2"/>
      <c r="JBK98" s="2"/>
      <c r="JBL98" s="2"/>
      <c r="JBM98" s="2"/>
      <c r="JBN98" s="2"/>
      <c r="JBO98" s="2"/>
      <c r="JBP98" s="2"/>
      <c r="JBQ98" s="2"/>
      <c r="JBR98" s="2"/>
      <c r="JBS98" s="2"/>
      <c r="JBT98" s="2"/>
      <c r="JBU98" s="2"/>
      <c r="JBV98" s="2"/>
      <c r="JBW98" s="2"/>
      <c r="JBX98" s="2"/>
      <c r="JBY98" s="2"/>
      <c r="JBZ98" s="2"/>
      <c r="JCA98" s="2"/>
      <c r="JCB98" s="2"/>
      <c r="JCC98" s="2"/>
      <c r="JCD98" s="2"/>
      <c r="JCE98" s="2"/>
      <c r="JCF98" s="2"/>
      <c r="JCG98" s="2"/>
      <c r="JCH98" s="2"/>
      <c r="JCI98" s="2"/>
      <c r="JCJ98" s="2"/>
      <c r="JCK98" s="2"/>
      <c r="JCL98" s="2"/>
      <c r="JCM98" s="2"/>
      <c r="JCN98" s="2"/>
      <c r="JCO98" s="2"/>
      <c r="JCP98" s="2"/>
      <c r="JCQ98" s="2"/>
      <c r="JCR98" s="2"/>
      <c r="JCS98" s="2"/>
      <c r="JCT98" s="2"/>
      <c r="JCU98" s="2"/>
      <c r="JCV98" s="2"/>
      <c r="JCW98" s="2"/>
      <c r="JCX98" s="2"/>
      <c r="JCY98" s="2"/>
      <c r="JCZ98" s="2"/>
      <c r="JDA98" s="2"/>
      <c r="JDB98" s="2"/>
      <c r="JDC98" s="2"/>
      <c r="JDD98" s="2"/>
      <c r="JDE98" s="2"/>
      <c r="JDF98" s="2"/>
      <c r="JDG98" s="2"/>
      <c r="JDH98" s="2"/>
      <c r="JDI98" s="2"/>
      <c r="JDJ98" s="2"/>
      <c r="JDK98" s="2"/>
      <c r="JDL98" s="2"/>
      <c r="JDM98" s="2"/>
      <c r="JDN98" s="2"/>
      <c r="JDO98" s="2"/>
      <c r="JDP98" s="2"/>
      <c r="JDQ98" s="2"/>
      <c r="JDR98" s="2"/>
      <c r="JDS98" s="2"/>
      <c r="JDT98" s="2"/>
      <c r="JDU98" s="2"/>
      <c r="JDV98" s="2"/>
      <c r="JDW98" s="2"/>
      <c r="JDX98" s="2"/>
      <c r="JDY98" s="2"/>
      <c r="JDZ98" s="2"/>
      <c r="JEA98" s="2"/>
      <c r="JEB98" s="2"/>
      <c r="JEC98" s="2"/>
      <c r="JED98" s="2"/>
      <c r="JEE98" s="2"/>
      <c r="JEF98" s="2"/>
      <c r="JEG98" s="2"/>
      <c r="JEH98" s="2"/>
      <c r="JEI98" s="2"/>
      <c r="JEJ98" s="2"/>
      <c r="JEK98" s="2"/>
      <c r="JEL98" s="2"/>
      <c r="JEM98" s="2"/>
      <c r="JEN98" s="2"/>
      <c r="JEO98" s="2"/>
      <c r="JEP98" s="2"/>
      <c r="JEQ98" s="2"/>
      <c r="JER98" s="2"/>
      <c r="JES98" s="2"/>
      <c r="JET98" s="2"/>
      <c r="JEU98" s="2"/>
      <c r="JEV98" s="2"/>
      <c r="JEW98" s="2"/>
      <c r="JEX98" s="2"/>
      <c r="JEY98" s="2"/>
      <c r="JEZ98" s="2"/>
      <c r="JFA98" s="2"/>
      <c r="JFB98" s="2"/>
      <c r="JFC98" s="2"/>
      <c r="JFD98" s="2"/>
      <c r="JFE98" s="2"/>
      <c r="JFF98" s="2"/>
      <c r="JFG98" s="2"/>
      <c r="JFH98" s="2"/>
      <c r="JFI98" s="2"/>
      <c r="JFJ98" s="2"/>
      <c r="JFK98" s="2"/>
      <c r="JFL98" s="2"/>
      <c r="JFM98" s="2"/>
      <c r="JFN98" s="2"/>
      <c r="JFO98" s="2"/>
      <c r="JFP98" s="2"/>
      <c r="JFQ98" s="2"/>
      <c r="JFR98" s="2"/>
      <c r="JFS98" s="2"/>
      <c r="JFT98" s="2"/>
      <c r="JFU98" s="2"/>
      <c r="JFV98" s="2"/>
      <c r="JFW98" s="2"/>
      <c r="JFX98" s="2"/>
      <c r="JFY98" s="2"/>
      <c r="JFZ98" s="2"/>
      <c r="JGA98" s="2"/>
      <c r="JGB98" s="2"/>
      <c r="JGC98" s="2"/>
      <c r="JGD98" s="2"/>
      <c r="JGE98" s="2"/>
      <c r="JGF98" s="2"/>
      <c r="JGG98" s="2"/>
      <c r="JGH98" s="2"/>
      <c r="JGI98" s="2"/>
      <c r="JGJ98" s="2"/>
      <c r="JGK98" s="2"/>
      <c r="JGL98" s="2"/>
      <c r="JGM98" s="2"/>
      <c r="JGN98" s="2"/>
      <c r="JGO98" s="2"/>
      <c r="JGP98" s="2"/>
      <c r="JGQ98" s="2"/>
      <c r="JGR98" s="2"/>
      <c r="JGS98" s="2"/>
      <c r="JGT98" s="2"/>
      <c r="JGU98" s="2"/>
      <c r="JGV98" s="2"/>
      <c r="JGW98" s="2"/>
      <c r="JGX98" s="2"/>
      <c r="JGY98" s="2"/>
      <c r="JGZ98" s="2"/>
      <c r="JHA98" s="2"/>
      <c r="JHB98" s="2"/>
      <c r="JHC98" s="2"/>
      <c r="JHD98" s="2"/>
      <c r="JHE98" s="2"/>
      <c r="JHF98" s="2"/>
      <c r="JHG98" s="2"/>
      <c r="JHH98" s="2"/>
      <c r="JHI98" s="2"/>
      <c r="JHJ98" s="2"/>
      <c r="JHK98" s="2"/>
      <c r="JHL98" s="2"/>
      <c r="JHM98" s="2"/>
      <c r="JHN98" s="2"/>
      <c r="JHO98" s="2"/>
      <c r="JHP98" s="2"/>
      <c r="JHQ98" s="2"/>
      <c r="JHR98" s="2"/>
      <c r="JHS98" s="2"/>
      <c r="JHT98" s="2"/>
      <c r="JHU98" s="2"/>
      <c r="JHV98" s="2"/>
      <c r="JHW98" s="2"/>
      <c r="JHX98" s="2"/>
      <c r="JHY98" s="2"/>
      <c r="JHZ98" s="2"/>
      <c r="JIA98" s="2"/>
      <c r="JIB98" s="2"/>
      <c r="JIC98" s="2"/>
      <c r="JID98" s="2"/>
      <c r="JIE98" s="2"/>
      <c r="JIF98" s="2"/>
      <c r="JIG98" s="2"/>
      <c r="JIH98" s="2"/>
      <c r="JII98" s="2"/>
      <c r="JIJ98" s="2"/>
      <c r="JIK98" s="2"/>
      <c r="JIL98" s="2"/>
      <c r="JIM98" s="2"/>
      <c r="JIN98" s="2"/>
      <c r="JIO98" s="2"/>
      <c r="JIP98" s="2"/>
      <c r="JIQ98" s="2"/>
      <c r="JIR98" s="2"/>
      <c r="JIS98" s="2"/>
      <c r="JIT98" s="2"/>
      <c r="JIU98" s="2"/>
      <c r="JIV98" s="2"/>
      <c r="JIW98" s="2"/>
      <c r="JIX98" s="2"/>
      <c r="JIY98" s="2"/>
      <c r="JIZ98" s="2"/>
      <c r="JJA98" s="2"/>
      <c r="JJB98" s="2"/>
      <c r="JJC98" s="2"/>
      <c r="JJD98" s="2"/>
      <c r="JJE98" s="2"/>
      <c r="JJF98" s="2"/>
      <c r="JJG98" s="2"/>
      <c r="JJH98" s="2"/>
      <c r="JJI98" s="2"/>
      <c r="JJJ98" s="2"/>
      <c r="JJK98" s="2"/>
      <c r="JJL98" s="2"/>
      <c r="JJM98" s="2"/>
      <c r="JJN98" s="2"/>
      <c r="JJO98" s="2"/>
      <c r="JJP98" s="2"/>
      <c r="JJQ98" s="2"/>
      <c r="JJR98" s="2"/>
      <c r="JJS98" s="2"/>
      <c r="JJT98" s="2"/>
      <c r="JJU98" s="2"/>
      <c r="JJV98" s="2"/>
      <c r="JJW98" s="2"/>
      <c r="JJX98" s="2"/>
      <c r="JJY98" s="2"/>
      <c r="JJZ98" s="2"/>
      <c r="JKA98" s="2"/>
      <c r="JKB98" s="2"/>
      <c r="JKC98" s="2"/>
      <c r="JKD98" s="2"/>
      <c r="JKE98" s="2"/>
      <c r="JKF98" s="2"/>
      <c r="JKG98" s="2"/>
      <c r="JKH98" s="2"/>
      <c r="JKI98" s="2"/>
      <c r="JKJ98" s="2"/>
      <c r="JKK98" s="2"/>
      <c r="JKL98" s="2"/>
      <c r="JKM98" s="2"/>
      <c r="JKN98" s="2"/>
      <c r="JKO98" s="2"/>
      <c r="JKP98" s="2"/>
      <c r="JKQ98" s="2"/>
      <c r="JKR98" s="2"/>
      <c r="JKS98" s="2"/>
      <c r="JKT98" s="2"/>
      <c r="JKU98" s="2"/>
      <c r="JKV98" s="2"/>
      <c r="JKW98" s="2"/>
      <c r="JKX98" s="2"/>
      <c r="JKY98" s="2"/>
      <c r="JKZ98" s="2"/>
      <c r="JLA98" s="2"/>
      <c r="JLB98" s="2"/>
      <c r="JLC98" s="2"/>
      <c r="JLD98" s="2"/>
      <c r="JLE98" s="2"/>
      <c r="JLF98" s="2"/>
      <c r="JLG98" s="2"/>
      <c r="JLH98" s="2"/>
      <c r="JLI98" s="2"/>
      <c r="JLJ98" s="2"/>
      <c r="JLK98" s="2"/>
      <c r="JLL98" s="2"/>
      <c r="JLM98" s="2"/>
      <c r="JLN98" s="2"/>
      <c r="JLO98" s="2"/>
      <c r="JLP98" s="2"/>
      <c r="JLQ98" s="2"/>
      <c r="JLR98" s="2"/>
      <c r="JLS98" s="2"/>
      <c r="JLT98" s="2"/>
      <c r="JLU98" s="2"/>
      <c r="JLV98" s="2"/>
      <c r="JLW98" s="2"/>
      <c r="JLX98" s="2"/>
      <c r="JLY98" s="2"/>
      <c r="JLZ98" s="2"/>
      <c r="JMA98" s="2"/>
      <c r="JMB98" s="2"/>
      <c r="JMC98" s="2"/>
      <c r="JMD98" s="2"/>
      <c r="JME98" s="2"/>
      <c r="JMF98" s="2"/>
      <c r="JMG98" s="2"/>
      <c r="JMH98" s="2"/>
      <c r="JMI98" s="2"/>
      <c r="JMJ98" s="2"/>
      <c r="JMK98" s="2"/>
      <c r="JML98" s="2"/>
      <c r="JMM98" s="2"/>
      <c r="JMN98" s="2"/>
      <c r="JMO98" s="2"/>
      <c r="JMP98" s="2"/>
      <c r="JMQ98" s="2"/>
      <c r="JMR98" s="2"/>
      <c r="JMS98" s="2"/>
      <c r="JMT98" s="2"/>
      <c r="JMU98" s="2"/>
      <c r="JMV98" s="2"/>
      <c r="JMW98" s="2"/>
      <c r="JMX98" s="2"/>
      <c r="JMY98" s="2"/>
      <c r="JMZ98" s="2"/>
      <c r="JNA98" s="2"/>
      <c r="JNB98" s="2"/>
      <c r="JNC98" s="2"/>
      <c r="JND98" s="2"/>
      <c r="JNE98" s="2"/>
      <c r="JNF98" s="2"/>
      <c r="JNG98" s="2"/>
      <c r="JNH98" s="2"/>
      <c r="JNI98" s="2"/>
      <c r="JNJ98" s="2"/>
      <c r="JNK98" s="2"/>
      <c r="JNL98" s="2"/>
      <c r="JNM98" s="2"/>
      <c r="JNN98" s="2"/>
      <c r="JNO98" s="2"/>
      <c r="JNP98" s="2"/>
      <c r="JNQ98" s="2"/>
      <c r="JNR98" s="2"/>
      <c r="JNS98" s="2"/>
      <c r="JNT98" s="2"/>
      <c r="JNU98" s="2"/>
      <c r="JNV98" s="2"/>
      <c r="JNW98" s="2"/>
      <c r="JNX98" s="2"/>
      <c r="JNY98" s="2"/>
      <c r="JNZ98" s="2"/>
      <c r="JOA98" s="2"/>
      <c r="JOB98" s="2"/>
      <c r="JOC98" s="2"/>
      <c r="JOD98" s="2"/>
      <c r="JOE98" s="2"/>
      <c r="JOF98" s="2"/>
      <c r="JOG98" s="2"/>
      <c r="JOH98" s="2"/>
      <c r="JOI98" s="2"/>
      <c r="JOJ98" s="2"/>
      <c r="JOK98" s="2"/>
      <c r="JOL98" s="2"/>
      <c r="JOM98" s="2"/>
      <c r="JON98" s="2"/>
      <c r="JOO98" s="2"/>
      <c r="JOP98" s="2"/>
      <c r="JOQ98" s="2"/>
      <c r="JOR98" s="2"/>
      <c r="JOS98" s="2"/>
      <c r="JOT98" s="2"/>
      <c r="JOU98" s="2"/>
      <c r="JOV98" s="2"/>
      <c r="JOW98" s="2"/>
      <c r="JOX98" s="2"/>
      <c r="JOY98" s="2"/>
      <c r="JOZ98" s="2"/>
      <c r="JPA98" s="2"/>
      <c r="JPB98" s="2"/>
      <c r="JPC98" s="2"/>
      <c r="JPD98" s="2"/>
      <c r="JPE98" s="2"/>
      <c r="JPF98" s="2"/>
      <c r="JPG98" s="2"/>
      <c r="JPH98" s="2"/>
      <c r="JPI98" s="2"/>
      <c r="JPJ98" s="2"/>
      <c r="JPK98" s="2"/>
      <c r="JPL98" s="2"/>
      <c r="JPM98" s="2"/>
      <c r="JPN98" s="2"/>
      <c r="JPO98" s="2"/>
      <c r="JPP98" s="2"/>
      <c r="JPQ98" s="2"/>
      <c r="JPR98" s="2"/>
      <c r="JPS98" s="2"/>
      <c r="JPT98" s="2"/>
      <c r="JPU98" s="2"/>
      <c r="JPV98" s="2"/>
      <c r="JPW98" s="2"/>
      <c r="JPX98" s="2"/>
      <c r="JPY98" s="2"/>
      <c r="JPZ98" s="2"/>
      <c r="JQA98" s="2"/>
      <c r="JQB98" s="2"/>
      <c r="JQC98" s="2"/>
      <c r="JQD98" s="2"/>
      <c r="JQE98" s="2"/>
      <c r="JQF98" s="2"/>
      <c r="JQG98" s="2"/>
      <c r="JQH98" s="2"/>
      <c r="JQI98" s="2"/>
      <c r="JQJ98" s="2"/>
      <c r="JQK98" s="2"/>
      <c r="JQL98" s="2"/>
      <c r="JQM98" s="2"/>
      <c r="JQN98" s="2"/>
      <c r="JQO98" s="2"/>
      <c r="JQP98" s="2"/>
      <c r="JQQ98" s="2"/>
      <c r="JQR98" s="2"/>
      <c r="JQS98" s="2"/>
      <c r="JQT98" s="2"/>
      <c r="JQU98" s="2"/>
      <c r="JQV98" s="2"/>
      <c r="JQW98" s="2"/>
      <c r="JQX98" s="2"/>
      <c r="JQY98" s="2"/>
      <c r="JQZ98" s="2"/>
      <c r="JRA98" s="2"/>
      <c r="JRB98" s="2"/>
      <c r="JRC98" s="2"/>
      <c r="JRD98" s="2"/>
      <c r="JRE98" s="2"/>
      <c r="JRF98" s="2"/>
      <c r="JRG98" s="2"/>
      <c r="JRH98" s="2"/>
      <c r="JRI98" s="2"/>
      <c r="JRJ98" s="2"/>
      <c r="JRK98" s="2"/>
      <c r="JRL98" s="2"/>
      <c r="JRM98" s="2"/>
      <c r="JRN98" s="2"/>
      <c r="JRO98" s="2"/>
      <c r="JRP98" s="2"/>
      <c r="JRQ98" s="2"/>
      <c r="JRR98" s="2"/>
      <c r="JRS98" s="2"/>
      <c r="JRT98" s="2"/>
      <c r="JRU98" s="2"/>
      <c r="JRV98" s="2"/>
      <c r="JRW98" s="2"/>
      <c r="JRX98" s="2"/>
      <c r="JRY98" s="2"/>
      <c r="JRZ98" s="2"/>
      <c r="JSA98" s="2"/>
      <c r="JSB98" s="2"/>
      <c r="JSC98" s="2"/>
      <c r="JSD98" s="2"/>
      <c r="JSE98" s="2"/>
      <c r="JSF98" s="2"/>
      <c r="JSG98" s="2"/>
      <c r="JSH98" s="2"/>
      <c r="JSI98" s="2"/>
      <c r="JSJ98" s="2"/>
      <c r="JSK98" s="2"/>
      <c r="JSL98" s="2"/>
      <c r="JSM98" s="2"/>
      <c r="JSN98" s="2"/>
      <c r="JSO98" s="2"/>
      <c r="JSP98" s="2"/>
      <c r="JSQ98" s="2"/>
      <c r="JSR98" s="2"/>
      <c r="JSS98" s="2"/>
      <c r="JST98" s="2"/>
      <c r="JSU98" s="2"/>
      <c r="JSV98" s="2"/>
      <c r="JSW98" s="2"/>
      <c r="JSX98" s="2"/>
      <c r="JSY98" s="2"/>
      <c r="JSZ98" s="2"/>
      <c r="JTA98" s="2"/>
      <c r="JTB98" s="2"/>
      <c r="JTC98" s="2"/>
      <c r="JTD98" s="2"/>
      <c r="JTE98" s="2"/>
      <c r="JTF98" s="2"/>
      <c r="JTG98" s="2"/>
      <c r="JTH98" s="2"/>
      <c r="JTI98" s="2"/>
      <c r="JTJ98" s="2"/>
      <c r="JTK98" s="2"/>
      <c r="JTL98" s="2"/>
      <c r="JTM98" s="2"/>
      <c r="JTN98" s="2"/>
      <c r="JTO98" s="2"/>
      <c r="JTP98" s="2"/>
      <c r="JTQ98" s="2"/>
      <c r="JTR98" s="2"/>
      <c r="JTS98" s="2"/>
      <c r="JTT98" s="2"/>
      <c r="JTU98" s="2"/>
      <c r="JTV98" s="2"/>
      <c r="JTW98" s="2"/>
      <c r="JTX98" s="2"/>
      <c r="JTY98" s="2"/>
      <c r="JTZ98" s="2"/>
      <c r="JUA98" s="2"/>
      <c r="JUB98" s="2"/>
      <c r="JUC98" s="2"/>
      <c r="JUD98" s="2"/>
      <c r="JUE98" s="2"/>
      <c r="JUF98" s="2"/>
      <c r="JUG98" s="2"/>
      <c r="JUH98" s="2"/>
      <c r="JUI98" s="2"/>
      <c r="JUJ98" s="2"/>
      <c r="JUK98" s="2"/>
      <c r="JUL98" s="2"/>
      <c r="JUM98" s="2"/>
      <c r="JUN98" s="2"/>
      <c r="JUO98" s="2"/>
      <c r="JUP98" s="2"/>
      <c r="JUQ98" s="2"/>
      <c r="JUR98" s="2"/>
      <c r="JUS98" s="2"/>
      <c r="JUT98" s="2"/>
      <c r="JUU98" s="2"/>
      <c r="JUV98" s="2"/>
      <c r="JUW98" s="2"/>
      <c r="JUX98" s="2"/>
      <c r="JUY98" s="2"/>
      <c r="JUZ98" s="2"/>
      <c r="JVA98" s="2"/>
      <c r="JVB98" s="2"/>
      <c r="JVC98" s="2"/>
      <c r="JVD98" s="2"/>
      <c r="JVE98" s="2"/>
      <c r="JVF98" s="2"/>
      <c r="JVG98" s="2"/>
      <c r="JVH98" s="2"/>
      <c r="JVI98" s="2"/>
      <c r="JVJ98" s="2"/>
      <c r="JVK98" s="2"/>
      <c r="JVL98" s="2"/>
      <c r="JVM98" s="2"/>
      <c r="JVN98" s="2"/>
      <c r="JVO98" s="2"/>
      <c r="JVP98" s="2"/>
      <c r="JVQ98" s="2"/>
      <c r="JVR98" s="2"/>
      <c r="JVS98" s="2"/>
      <c r="JVT98" s="2"/>
      <c r="JVU98" s="2"/>
      <c r="JVV98" s="2"/>
      <c r="JVW98" s="2"/>
      <c r="JVX98" s="2"/>
      <c r="JVY98" s="2"/>
      <c r="JVZ98" s="2"/>
      <c r="JWA98" s="2"/>
      <c r="JWB98" s="2"/>
      <c r="JWC98" s="2"/>
      <c r="JWD98" s="2"/>
      <c r="JWE98" s="2"/>
      <c r="JWF98" s="2"/>
      <c r="JWG98" s="2"/>
      <c r="JWH98" s="2"/>
      <c r="JWI98" s="2"/>
      <c r="JWJ98" s="2"/>
      <c r="JWK98" s="2"/>
      <c r="JWL98" s="2"/>
      <c r="JWM98" s="2"/>
      <c r="JWN98" s="2"/>
      <c r="JWO98" s="2"/>
      <c r="JWP98" s="2"/>
      <c r="JWQ98" s="2"/>
      <c r="JWR98" s="2"/>
      <c r="JWS98" s="2"/>
      <c r="JWT98" s="2"/>
      <c r="JWU98" s="2"/>
      <c r="JWV98" s="2"/>
      <c r="JWW98" s="2"/>
      <c r="JWX98" s="2"/>
      <c r="JWY98" s="2"/>
      <c r="JWZ98" s="2"/>
      <c r="JXA98" s="2"/>
      <c r="JXB98" s="2"/>
      <c r="JXC98" s="2"/>
      <c r="JXD98" s="2"/>
      <c r="JXE98" s="2"/>
      <c r="JXF98" s="2"/>
      <c r="JXG98" s="2"/>
      <c r="JXH98" s="2"/>
      <c r="JXI98" s="2"/>
      <c r="JXJ98" s="2"/>
      <c r="JXK98" s="2"/>
      <c r="JXL98" s="2"/>
      <c r="JXM98" s="2"/>
      <c r="JXN98" s="2"/>
      <c r="JXO98" s="2"/>
      <c r="JXP98" s="2"/>
      <c r="JXQ98" s="2"/>
      <c r="JXR98" s="2"/>
      <c r="JXS98" s="2"/>
      <c r="JXT98" s="2"/>
      <c r="JXU98" s="2"/>
      <c r="JXV98" s="2"/>
      <c r="JXW98" s="2"/>
      <c r="JXX98" s="2"/>
      <c r="JXY98" s="2"/>
      <c r="JXZ98" s="2"/>
      <c r="JYA98" s="2"/>
      <c r="JYB98" s="2"/>
      <c r="JYC98" s="2"/>
      <c r="JYD98" s="2"/>
      <c r="JYE98" s="2"/>
      <c r="JYF98" s="2"/>
      <c r="JYG98" s="2"/>
      <c r="JYH98" s="2"/>
      <c r="JYI98" s="2"/>
      <c r="JYJ98" s="2"/>
      <c r="JYK98" s="2"/>
      <c r="JYL98" s="2"/>
      <c r="JYM98" s="2"/>
      <c r="JYN98" s="2"/>
      <c r="JYO98" s="2"/>
      <c r="JYP98" s="2"/>
      <c r="JYQ98" s="2"/>
      <c r="JYR98" s="2"/>
      <c r="JYS98" s="2"/>
      <c r="JYT98" s="2"/>
      <c r="JYU98" s="2"/>
      <c r="JYV98" s="2"/>
      <c r="JYW98" s="2"/>
      <c r="JYX98" s="2"/>
      <c r="JYY98" s="2"/>
      <c r="JYZ98" s="2"/>
      <c r="JZA98" s="2"/>
      <c r="JZB98" s="2"/>
      <c r="JZC98" s="2"/>
      <c r="JZD98" s="2"/>
      <c r="JZE98" s="2"/>
      <c r="JZF98" s="2"/>
      <c r="JZG98" s="2"/>
      <c r="JZH98" s="2"/>
      <c r="JZI98" s="2"/>
      <c r="JZJ98" s="2"/>
      <c r="JZK98" s="2"/>
      <c r="JZL98" s="2"/>
      <c r="JZM98" s="2"/>
      <c r="JZN98" s="2"/>
      <c r="JZO98" s="2"/>
      <c r="JZP98" s="2"/>
      <c r="JZQ98" s="2"/>
      <c r="JZR98" s="2"/>
      <c r="JZS98" s="2"/>
      <c r="JZT98" s="2"/>
      <c r="JZU98" s="2"/>
      <c r="JZV98" s="2"/>
      <c r="JZW98" s="2"/>
      <c r="JZX98" s="2"/>
      <c r="JZY98" s="2"/>
      <c r="JZZ98" s="2"/>
      <c r="KAA98" s="2"/>
      <c r="KAB98" s="2"/>
      <c r="KAC98" s="2"/>
      <c r="KAD98" s="2"/>
      <c r="KAE98" s="2"/>
      <c r="KAF98" s="2"/>
      <c r="KAG98" s="2"/>
      <c r="KAH98" s="2"/>
      <c r="KAI98" s="2"/>
      <c r="KAJ98" s="2"/>
      <c r="KAK98" s="2"/>
      <c r="KAL98" s="2"/>
      <c r="KAM98" s="2"/>
      <c r="KAN98" s="2"/>
      <c r="KAO98" s="2"/>
      <c r="KAP98" s="2"/>
      <c r="KAQ98" s="2"/>
      <c r="KAR98" s="2"/>
      <c r="KAS98" s="2"/>
      <c r="KAT98" s="2"/>
      <c r="KAU98" s="2"/>
      <c r="KAV98" s="2"/>
      <c r="KAW98" s="2"/>
      <c r="KAX98" s="2"/>
      <c r="KAY98" s="2"/>
      <c r="KAZ98" s="2"/>
      <c r="KBA98" s="2"/>
      <c r="KBB98" s="2"/>
      <c r="KBC98" s="2"/>
      <c r="KBD98" s="2"/>
      <c r="KBE98" s="2"/>
      <c r="KBF98" s="2"/>
      <c r="KBG98" s="2"/>
      <c r="KBH98" s="2"/>
      <c r="KBI98" s="2"/>
      <c r="KBJ98" s="2"/>
      <c r="KBK98" s="2"/>
      <c r="KBL98" s="2"/>
      <c r="KBM98" s="2"/>
      <c r="KBN98" s="2"/>
      <c r="KBO98" s="2"/>
      <c r="KBP98" s="2"/>
      <c r="KBQ98" s="2"/>
      <c r="KBR98" s="2"/>
      <c r="KBS98" s="2"/>
      <c r="KBT98" s="2"/>
      <c r="KBU98" s="2"/>
      <c r="KBV98" s="2"/>
      <c r="KBW98" s="2"/>
      <c r="KBX98" s="2"/>
      <c r="KBY98" s="2"/>
      <c r="KBZ98" s="2"/>
      <c r="KCA98" s="2"/>
      <c r="KCB98" s="2"/>
      <c r="KCC98" s="2"/>
      <c r="KCD98" s="2"/>
      <c r="KCE98" s="2"/>
      <c r="KCF98" s="2"/>
      <c r="KCG98" s="2"/>
      <c r="KCH98" s="2"/>
      <c r="KCI98" s="2"/>
      <c r="KCJ98" s="2"/>
      <c r="KCK98" s="2"/>
      <c r="KCL98" s="2"/>
      <c r="KCM98" s="2"/>
      <c r="KCN98" s="2"/>
      <c r="KCO98" s="2"/>
      <c r="KCP98" s="2"/>
      <c r="KCQ98" s="2"/>
      <c r="KCR98" s="2"/>
      <c r="KCS98" s="2"/>
      <c r="KCT98" s="2"/>
      <c r="KCU98" s="2"/>
      <c r="KCV98" s="2"/>
      <c r="KCW98" s="2"/>
      <c r="KCX98" s="2"/>
      <c r="KCY98" s="2"/>
      <c r="KCZ98" s="2"/>
      <c r="KDA98" s="2"/>
      <c r="KDB98" s="2"/>
      <c r="KDC98" s="2"/>
      <c r="KDD98" s="2"/>
      <c r="KDE98" s="2"/>
      <c r="KDF98" s="2"/>
      <c r="KDG98" s="2"/>
      <c r="KDH98" s="2"/>
      <c r="KDI98" s="2"/>
      <c r="KDJ98" s="2"/>
      <c r="KDK98" s="2"/>
      <c r="KDL98" s="2"/>
      <c r="KDM98" s="2"/>
      <c r="KDN98" s="2"/>
      <c r="KDO98" s="2"/>
      <c r="KDP98" s="2"/>
      <c r="KDQ98" s="2"/>
      <c r="KDR98" s="2"/>
      <c r="KDS98" s="2"/>
      <c r="KDT98" s="2"/>
      <c r="KDU98" s="2"/>
      <c r="KDV98" s="2"/>
      <c r="KDW98" s="2"/>
      <c r="KDX98" s="2"/>
      <c r="KDY98" s="2"/>
      <c r="KDZ98" s="2"/>
      <c r="KEA98" s="2"/>
      <c r="KEB98" s="2"/>
      <c r="KEC98" s="2"/>
      <c r="KED98" s="2"/>
      <c r="KEE98" s="2"/>
      <c r="KEF98" s="2"/>
      <c r="KEG98" s="2"/>
      <c r="KEH98" s="2"/>
      <c r="KEI98" s="2"/>
      <c r="KEJ98" s="2"/>
      <c r="KEK98" s="2"/>
      <c r="KEL98" s="2"/>
      <c r="KEM98" s="2"/>
      <c r="KEN98" s="2"/>
      <c r="KEO98" s="2"/>
      <c r="KEP98" s="2"/>
      <c r="KEQ98" s="2"/>
      <c r="KER98" s="2"/>
      <c r="KES98" s="2"/>
      <c r="KET98" s="2"/>
      <c r="KEU98" s="2"/>
      <c r="KEV98" s="2"/>
      <c r="KEW98" s="2"/>
      <c r="KEX98" s="2"/>
      <c r="KEY98" s="2"/>
      <c r="KEZ98" s="2"/>
      <c r="KFA98" s="2"/>
      <c r="KFB98" s="2"/>
      <c r="KFC98" s="2"/>
      <c r="KFD98" s="2"/>
      <c r="KFE98" s="2"/>
      <c r="KFF98" s="2"/>
      <c r="KFG98" s="2"/>
      <c r="KFH98" s="2"/>
      <c r="KFI98" s="2"/>
      <c r="KFJ98" s="2"/>
      <c r="KFK98" s="2"/>
      <c r="KFL98" s="2"/>
      <c r="KFM98" s="2"/>
      <c r="KFN98" s="2"/>
      <c r="KFO98" s="2"/>
      <c r="KFP98" s="2"/>
      <c r="KFQ98" s="2"/>
      <c r="KFR98" s="2"/>
      <c r="KFS98" s="2"/>
      <c r="KFT98" s="2"/>
      <c r="KFU98" s="2"/>
      <c r="KFV98" s="2"/>
      <c r="KFW98" s="2"/>
      <c r="KFX98" s="2"/>
      <c r="KFY98" s="2"/>
      <c r="KFZ98" s="2"/>
      <c r="KGA98" s="2"/>
      <c r="KGB98" s="2"/>
      <c r="KGC98" s="2"/>
      <c r="KGD98" s="2"/>
      <c r="KGE98" s="2"/>
      <c r="KGF98" s="2"/>
      <c r="KGG98" s="2"/>
      <c r="KGH98" s="2"/>
      <c r="KGI98" s="2"/>
      <c r="KGJ98" s="2"/>
      <c r="KGK98" s="2"/>
      <c r="KGL98" s="2"/>
      <c r="KGM98" s="2"/>
      <c r="KGN98" s="2"/>
      <c r="KGO98" s="2"/>
      <c r="KGP98" s="2"/>
      <c r="KGQ98" s="2"/>
      <c r="KGR98" s="2"/>
      <c r="KGS98" s="2"/>
      <c r="KGT98" s="2"/>
      <c r="KGU98" s="2"/>
      <c r="KGV98" s="2"/>
      <c r="KGW98" s="2"/>
      <c r="KGX98" s="2"/>
      <c r="KGY98" s="2"/>
      <c r="KGZ98" s="2"/>
      <c r="KHA98" s="2"/>
      <c r="KHB98" s="2"/>
      <c r="KHC98" s="2"/>
      <c r="KHD98" s="2"/>
      <c r="KHE98" s="2"/>
      <c r="KHF98" s="2"/>
      <c r="KHG98" s="2"/>
      <c r="KHH98" s="2"/>
      <c r="KHI98" s="2"/>
      <c r="KHJ98" s="2"/>
      <c r="KHK98" s="2"/>
      <c r="KHL98" s="2"/>
      <c r="KHM98" s="2"/>
      <c r="KHN98" s="2"/>
      <c r="KHO98" s="2"/>
      <c r="KHP98" s="2"/>
      <c r="KHQ98" s="2"/>
      <c r="KHR98" s="2"/>
      <c r="KHS98" s="2"/>
      <c r="KHT98" s="2"/>
      <c r="KHU98" s="2"/>
      <c r="KHV98" s="2"/>
      <c r="KHW98" s="2"/>
      <c r="KHX98" s="2"/>
      <c r="KHY98" s="2"/>
      <c r="KHZ98" s="2"/>
      <c r="KIA98" s="2"/>
      <c r="KIB98" s="2"/>
      <c r="KIC98" s="2"/>
      <c r="KID98" s="2"/>
      <c r="KIE98" s="2"/>
      <c r="KIF98" s="2"/>
      <c r="KIG98" s="2"/>
      <c r="KIH98" s="2"/>
      <c r="KII98" s="2"/>
      <c r="KIJ98" s="2"/>
      <c r="KIK98" s="2"/>
      <c r="KIL98" s="2"/>
      <c r="KIM98" s="2"/>
      <c r="KIN98" s="2"/>
      <c r="KIO98" s="2"/>
      <c r="KIP98" s="2"/>
      <c r="KIQ98" s="2"/>
      <c r="KIR98" s="2"/>
      <c r="KIS98" s="2"/>
      <c r="KIT98" s="2"/>
      <c r="KIU98" s="2"/>
      <c r="KIV98" s="2"/>
      <c r="KIW98" s="2"/>
      <c r="KIX98" s="2"/>
      <c r="KIY98" s="2"/>
      <c r="KIZ98" s="2"/>
      <c r="KJA98" s="2"/>
      <c r="KJB98" s="2"/>
      <c r="KJC98" s="2"/>
      <c r="KJD98" s="2"/>
      <c r="KJE98" s="2"/>
      <c r="KJF98" s="2"/>
      <c r="KJG98" s="2"/>
      <c r="KJH98" s="2"/>
      <c r="KJI98" s="2"/>
      <c r="KJJ98" s="2"/>
      <c r="KJK98" s="2"/>
      <c r="KJL98" s="2"/>
      <c r="KJM98" s="2"/>
      <c r="KJN98" s="2"/>
      <c r="KJO98" s="2"/>
      <c r="KJP98" s="2"/>
      <c r="KJQ98" s="2"/>
      <c r="KJR98" s="2"/>
      <c r="KJS98" s="2"/>
      <c r="KJT98" s="2"/>
      <c r="KJU98" s="2"/>
      <c r="KJV98" s="2"/>
      <c r="KJW98" s="2"/>
      <c r="KJX98" s="2"/>
      <c r="KJY98" s="2"/>
      <c r="KJZ98" s="2"/>
      <c r="KKA98" s="2"/>
      <c r="KKB98" s="2"/>
      <c r="KKC98" s="2"/>
      <c r="KKD98" s="2"/>
      <c r="KKE98" s="2"/>
      <c r="KKF98" s="2"/>
      <c r="KKG98" s="2"/>
      <c r="KKH98" s="2"/>
      <c r="KKI98" s="2"/>
      <c r="KKJ98" s="2"/>
      <c r="KKK98" s="2"/>
      <c r="KKL98" s="2"/>
      <c r="KKM98" s="2"/>
      <c r="KKN98" s="2"/>
      <c r="KKO98" s="2"/>
      <c r="KKP98" s="2"/>
      <c r="KKQ98" s="2"/>
      <c r="KKR98" s="2"/>
      <c r="KKS98" s="2"/>
      <c r="KKT98" s="2"/>
      <c r="KKU98" s="2"/>
      <c r="KKV98" s="2"/>
      <c r="KKW98" s="2"/>
      <c r="KKX98" s="2"/>
      <c r="KKY98" s="2"/>
      <c r="KKZ98" s="2"/>
      <c r="KLA98" s="2"/>
      <c r="KLB98" s="2"/>
      <c r="KLC98" s="2"/>
      <c r="KLD98" s="2"/>
      <c r="KLE98" s="2"/>
      <c r="KLF98" s="2"/>
      <c r="KLG98" s="2"/>
      <c r="KLH98" s="2"/>
      <c r="KLI98" s="2"/>
      <c r="KLJ98" s="2"/>
      <c r="KLK98" s="2"/>
      <c r="KLL98" s="2"/>
      <c r="KLM98" s="2"/>
      <c r="KLN98" s="2"/>
      <c r="KLO98" s="2"/>
      <c r="KLP98" s="2"/>
      <c r="KLQ98" s="2"/>
      <c r="KLR98" s="2"/>
      <c r="KLS98" s="2"/>
      <c r="KLT98" s="2"/>
      <c r="KLU98" s="2"/>
      <c r="KLV98" s="2"/>
      <c r="KLW98" s="2"/>
      <c r="KLX98" s="2"/>
      <c r="KLY98" s="2"/>
      <c r="KLZ98" s="2"/>
      <c r="KMA98" s="2"/>
      <c r="KMB98" s="2"/>
      <c r="KMC98" s="2"/>
      <c r="KMD98" s="2"/>
      <c r="KME98" s="2"/>
      <c r="KMF98" s="2"/>
      <c r="KMG98" s="2"/>
      <c r="KMH98" s="2"/>
      <c r="KMI98" s="2"/>
      <c r="KMJ98" s="2"/>
      <c r="KMK98" s="2"/>
      <c r="KML98" s="2"/>
      <c r="KMM98" s="2"/>
      <c r="KMN98" s="2"/>
      <c r="KMO98" s="2"/>
      <c r="KMP98" s="2"/>
      <c r="KMQ98" s="2"/>
      <c r="KMR98" s="2"/>
      <c r="KMS98" s="2"/>
      <c r="KMT98" s="2"/>
      <c r="KMU98" s="2"/>
      <c r="KMV98" s="2"/>
      <c r="KMW98" s="2"/>
      <c r="KMX98" s="2"/>
      <c r="KMY98" s="2"/>
      <c r="KMZ98" s="2"/>
      <c r="KNA98" s="2"/>
      <c r="KNB98" s="2"/>
      <c r="KNC98" s="2"/>
      <c r="KND98" s="2"/>
      <c r="KNE98" s="2"/>
      <c r="KNF98" s="2"/>
      <c r="KNG98" s="2"/>
      <c r="KNH98" s="2"/>
      <c r="KNI98" s="2"/>
      <c r="KNJ98" s="2"/>
      <c r="KNK98" s="2"/>
      <c r="KNL98" s="2"/>
      <c r="KNM98" s="2"/>
      <c r="KNN98" s="2"/>
      <c r="KNO98" s="2"/>
      <c r="KNP98" s="2"/>
      <c r="KNQ98" s="2"/>
      <c r="KNR98" s="2"/>
      <c r="KNS98" s="2"/>
      <c r="KNT98" s="2"/>
      <c r="KNU98" s="2"/>
      <c r="KNV98" s="2"/>
      <c r="KNW98" s="2"/>
      <c r="KNX98" s="2"/>
      <c r="KNY98" s="2"/>
      <c r="KNZ98" s="2"/>
      <c r="KOA98" s="2"/>
      <c r="KOB98" s="2"/>
      <c r="KOC98" s="2"/>
      <c r="KOD98" s="2"/>
      <c r="KOE98" s="2"/>
      <c r="KOF98" s="2"/>
      <c r="KOG98" s="2"/>
      <c r="KOH98" s="2"/>
      <c r="KOI98" s="2"/>
      <c r="KOJ98" s="2"/>
      <c r="KOK98" s="2"/>
      <c r="KOL98" s="2"/>
      <c r="KOM98" s="2"/>
      <c r="KON98" s="2"/>
      <c r="KOO98" s="2"/>
      <c r="KOP98" s="2"/>
      <c r="KOQ98" s="2"/>
      <c r="KOR98" s="2"/>
      <c r="KOS98" s="2"/>
      <c r="KOT98" s="2"/>
      <c r="KOU98" s="2"/>
      <c r="KOV98" s="2"/>
      <c r="KOW98" s="2"/>
      <c r="KOX98" s="2"/>
      <c r="KOY98" s="2"/>
      <c r="KOZ98" s="2"/>
      <c r="KPA98" s="2"/>
      <c r="KPB98" s="2"/>
      <c r="KPC98" s="2"/>
      <c r="KPD98" s="2"/>
      <c r="KPE98" s="2"/>
      <c r="KPF98" s="2"/>
      <c r="KPG98" s="2"/>
      <c r="KPH98" s="2"/>
      <c r="KPI98" s="2"/>
      <c r="KPJ98" s="2"/>
      <c r="KPK98" s="2"/>
      <c r="KPL98" s="2"/>
      <c r="KPM98" s="2"/>
      <c r="KPN98" s="2"/>
      <c r="KPO98" s="2"/>
      <c r="KPP98" s="2"/>
      <c r="KPQ98" s="2"/>
      <c r="KPR98" s="2"/>
      <c r="KPS98" s="2"/>
      <c r="KPT98" s="2"/>
      <c r="KPU98" s="2"/>
      <c r="KPV98" s="2"/>
      <c r="KPW98" s="2"/>
      <c r="KPX98" s="2"/>
      <c r="KPY98" s="2"/>
      <c r="KPZ98" s="2"/>
      <c r="KQA98" s="2"/>
      <c r="KQB98" s="2"/>
      <c r="KQC98" s="2"/>
      <c r="KQD98" s="2"/>
      <c r="KQE98" s="2"/>
      <c r="KQF98" s="2"/>
      <c r="KQG98" s="2"/>
      <c r="KQH98" s="2"/>
      <c r="KQI98" s="2"/>
      <c r="KQJ98" s="2"/>
      <c r="KQK98" s="2"/>
      <c r="KQL98" s="2"/>
      <c r="KQM98" s="2"/>
      <c r="KQN98" s="2"/>
      <c r="KQO98" s="2"/>
      <c r="KQP98" s="2"/>
      <c r="KQQ98" s="2"/>
      <c r="KQR98" s="2"/>
      <c r="KQS98" s="2"/>
      <c r="KQT98" s="2"/>
      <c r="KQU98" s="2"/>
      <c r="KQV98" s="2"/>
      <c r="KQW98" s="2"/>
      <c r="KQX98" s="2"/>
      <c r="KQY98" s="2"/>
      <c r="KQZ98" s="2"/>
      <c r="KRA98" s="2"/>
      <c r="KRB98" s="2"/>
      <c r="KRC98" s="2"/>
      <c r="KRD98" s="2"/>
      <c r="KRE98" s="2"/>
      <c r="KRF98" s="2"/>
      <c r="KRG98" s="2"/>
      <c r="KRH98" s="2"/>
      <c r="KRI98" s="2"/>
      <c r="KRJ98" s="2"/>
      <c r="KRK98" s="2"/>
      <c r="KRL98" s="2"/>
      <c r="KRM98" s="2"/>
      <c r="KRN98" s="2"/>
      <c r="KRO98" s="2"/>
      <c r="KRP98" s="2"/>
      <c r="KRQ98" s="2"/>
      <c r="KRR98" s="2"/>
      <c r="KRS98" s="2"/>
      <c r="KRT98" s="2"/>
      <c r="KRU98" s="2"/>
      <c r="KRV98" s="2"/>
      <c r="KRW98" s="2"/>
      <c r="KRX98" s="2"/>
      <c r="KRY98" s="2"/>
      <c r="KRZ98" s="2"/>
      <c r="KSA98" s="2"/>
      <c r="KSB98" s="2"/>
      <c r="KSC98" s="2"/>
      <c r="KSD98" s="2"/>
      <c r="KSE98" s="2"/>
      <c r="KSF98" s="2"/>
      <c r="KSG98" s="2"/>
      <c r="KSH98" s="2"/>
      <c r="KSI98" s="2"/>
      <c r="KSJ98" s="2"/>
      <c r="KSK98" s="2"/>
      <c r="KSL98" s="2"/>
      <c r="KSM98" s="2"/>
      <c r="KSN98" s="2"/>
      <c r="KSO98" s="2"/>
      <c r="KSP98" s="2"/>
      <c r="KSQ98" s="2"/>
      <c r="KSR98" s="2"/>
      <c r="KSS98" s="2"/>
      <c r="KST98" s="2"/>
      <c r="KSU98" s="2"/>
      <c r="KSV98" s="2"/>
      <c r="KSW98" s="2"/>
      <c r="KSX98" s="2"/>
      <c r="KSY98" s="2"/>
      <c r="KSZ98" s="2"/>
      <c r="KTA98" s="2"/>
      <c r="KTB98" s="2"/>
      <c r="KTC98" s="2"/>
      <c r="KTD98" s="2"/>
      <c r="KTE98" s="2"/>
      <c r="KTF98" s="2"/>
      <c r="KTG98" s="2"/>
      <c r="KTH98" s="2"/>
      <c r="KTI98" s="2"/>
      <c r="KTJ98" s="2"/>
      <c r="KTK98" s="2"/>
      <c r="KTL98" s="2"/>
      <c r="KTM98" s="2"/>
      <c r="KTN98" s="2"/>
      <c r="KTO98" s="2"/>
      <c r="KTP98" s="2"/>
      <c r="KTQ98" s="2"/>
      <c r="KTR98" s="2"/>
      <c r="KTS98" s="2"/>
      <c r="KTT98" s="2"/>
      <c r="KTU98" s="2"/>
      <c r="KTV98" s="2"/>
      <c r="KTW98" s="2"/>
      <c r="KTX98" s="2"/>
      <c r="KTY98" s="2"/>
      <c r="KTZ98" s="2"/>
      <c r="KUA98" s="2"/>
      <c r="KUB98" s="2"/>
      <c r="KUC98" s="2"/>
      <c r="KUD98" s="2"/>
      <c r="KUE98" s="2"/>
      <c r="KUF98" s="2"/>
      <c r="KUG98" s="2"/>
      <c r="KUH98" s="2"/>
      <c r="KUI98" s="2"/>
      <c r="KUJ98" s="2"/>
      <c r="KUK98" s="2"/>
      <c r="KUL98" s="2"/>
      <c r="KUM98" s="2"/>
      <c r="KUN98" s="2"/>
      <c r="KUO98" s="2"/>
      <c r="KUP98" s="2"/>
      <c r="KUQ98" s="2"/>
      <c r="KUR98" s="2"/>
      <c r="KUS98" s="2"/>
      <c r="KUT98" s="2"/>
      <c r="KUU98" s="2"/>
      <c r="KUV98" s="2"/>
      <c r="KUW98" s="2"/>
      <c r="KUX98" s="2"/>
      <c r="KUY98" s="2"/>
      <c r="KUZ98" s="2"/>
      <c r="KVA98" s="2"/>
      <c r="KVB98" s="2"/>
      <c r="KVC98" s="2"/>
      <c r="KVD98" s="2"/>
      <c r="KVE98" s="2"/>
      <c r="KVF98" s="2"/>
      <c r="KVG98" s="2"/>
      <c r="KVH98" s="2"/>
      <c r="KVI98" s="2"/>
      <c r="KVJ98" s="2"/>
      <c r="KVK98" s="2"/>
      <c r="KVL98" s="2"/>
      <c r="KVM98" s="2"/>
      <c r="KVN98" s="2"/>
      <c r="KVO98" s="2"/>
      <c r="KVP98" s="2"/>
      <c r="KVQ98" s="2"/>
      <c r="KVR98" s="2"/>
      <c r="KVS98" s="2"/>
      <c r="KVT98" s="2"/>
      <c r="KVU98" s="2"/>
      <c r="KVV98" s="2"/>
      <c r="KVW98" s="2"/>
      <c r="KVX98" s="2"/>
      <c r="KVY98" s="2"/>
      <c r="KVZ98" s="2"/>
      <c r="KWA98" s="2"/>
      <c r="KWB98" s="2"/>
      <c r="KWC98" s="2"/>
      <c r="KWD98" s="2"/>
      <c r="KWE98" s="2"/>
      <c r="KWF98" s="2"/>
      <c r="KWG98" s="2"/>
      <c r="KWH98" s="2"/>
      <c r="KWI98" s="2"/>
      <c r="KWJ98" s="2"/>
      <c r="KWK98" s="2"/>
      <c r="KWL98" s="2"/>
      <c r="KWM98" s="2"/>
      <c r="KWN98" s="2"/>
      <c r="KWO98" s="2"/>
      <c r="KWP98" s="2"/>
      <c r="KWQ98" s="2"/>
      <c r="KWR98" s="2"/>
      <c r="KWS98" s="2"/>
      <c r="KWT98" s="2"/>
      <c r="KWU98" s="2"/>
      <c r="KWV98" s="2"/>
      <c r="KWW98" s="2"/>
      <c r="KWX98" s="2"/>
      <c r="KWY98" s="2"/>
      <c r="KWZ98" s="2"/>
      <c r="KXA98" s="2"/>
      <c r="KXB98" s="2"/>
      <c r="KXC98" s="2"/>
      <c r="KXD98" s="2"/>
      <c r="KXE98" s="2"/>
      <c r="KXF98" s="2"/>
      <c r="KXG98" s="2"/>
      <c r="KXH98" s="2"/>
      <c r="KXI98" s="2"/>
      <c r="KXJ98" s="2"/>
      <c r="KXK98" s="2"/>
      <c r="KXL98" s="2"/>
      <c r="KXM98" s="2"/>
      <c r="KXN98" s="2"/>
      <c r="KXO98" s="2"/>
      <c r="KXP98" s="2"/>
      <c r="KXQ98" s="2"/>
      <c r="KXR98" s="2"/>
      <c r="KXS98" s="2"/>
      <c r="KXT98" s="2"/>
      <c r="KXU98" s="2"/>
      <c r="KXV98" s="2"/>
      <c r="KXW98" s="2"/>
      <c r="KXX98" s="2"/>
      <c r="KXY98" s="2"/>
      <c r="KXZ98" s="2"/>
      <c r="KYA98" s="2"/>
      <c r="KYB98" s="2"/>
      <c r="KYC98" s="2"/>
      <c r="KYD98" s="2"/>
      <c r="KYE98" s="2"/>
      <c r="KYF98" s="2"/>
      <c r="KYG98" s="2"/>
      <c r="KYH98" s="2"/>
      <c r="KYI98" s="2"/>
      <c r="KYJ98" s="2"/>
      <c r="KYK98" s="2"/>
      <c r="KYL98" s="2"/>
      <c r="KYM98" s="2"/>
      <c r="KYN98" s="2"/>
      <c r="KYO98" s="2"/>
      <c r="KYP98" s="2"/>
      <c r="KYQ98" s="2"/>
      <c r="KYR98" s="2"/>
      <c r="KYS98" s="2"/>
      <c r="KYT98" s="2"/>
      <c r="KYU98" s="2"/>
      <c r="KYV98" s="2"/>
      <c r="KYW98" s="2"/>
      <c r="KYX98" s="2"/>
      <c r="KYY98" s="2"/>
      <c r="KYZ98" s="2"/>
      <c r="KZA98" s="2"/>
      <c r="KZB98" s="2"/>
      <c r="KZC98" s="2"/>
      <c r="KZD98" s="2"/>
      <c r="KZE98" s="2"/>
      <c r="KZF98" s="2"/>
      <c r="KZG98" s="2"/>
      <c r="KZH98" s="2"/>
      <c r="KZI98" s="2"/>
      <c r="KZJ98" s="2"/>
      <c r="KZK98" s="2"/>
      <c r="KZL98" s="2"/>
      <c r="KZM98" s="2"/>
      <c r="KZN98" s="2"/>
      <c r="KZO98" s="2"/>
      <c r="KZP98" s="2"/>
      <c r="KZQ98" s="2"/>
      <c r="KZR98" s="2"/>
      <c r="KZS98" s="2"/>
      <c r="KZT98" s="2"/>
      <c r="KZU98" s="2"/>
      <c r="KZV98" s="2"/>
      <c r="KZW98" s="2"/>
      <c r="KZX98" s="2"/>
      <c r="KZY98" s="2"/>
      <c r="KZZ98" s="2"/>
      <c r="LAA98" s="2"/>
      <c r="LAB98" s="2"/>
      <c r="LAC98" s="2"/>
      <c r="LAD98" s="2"/>
      <c r="LAE98" s="2"/>
      <c r="LAF98" s="2"/>
      <c r="LAG98" s="2"/>
      <c r="LAH98" s="2"/>
      <c r="LAI98" s="2"/>
      <c r="LAJ98" s="2"/>
      <c r="LAK98" s="2"/>
      <c r="LAL98" s="2"/>
      <c r="LAM98" s="2"/>
      <c r="LAN98" s="2"/>
      <c r="LAO98" s="2"/>
      <c r="LAP98" s="2"/>
      <c r="LAQ98" s="2"/>
      <c r="LAR98" s="2"/>
      <c r="LAS98" s="2"/>
      <c r="LAT98" s="2"/>
      <c r="LAU98" s="2"/>
      <c r="LAV98" s="2"/>
      <c r="LAW98" s="2"/>
      <c r="LAX98" s="2"/>
      <c r="LAY98" s="2"/>
      <c r="LAZ98" s="2"/>
      <c r="LBA98" s="2"/>
      <c r="LBB98" s="2"/>
      <c r="LBC98" s="2"/>
      <c r="LBD98" s="2"/>
      <c r="LBE98" s="2"/>
      <c r="LBF98" s="2"/>
      <c r="LBG98" s="2"/>
      <c r="LBH98" s="2"/>
      <c r="LBI98" s="2"/>
      <c r="LBJ98" s="2"/>
      <c r="LBK98" s="2"/>
      <c r="LBL98" s="2"/>
      <c r="LBM98" s="2"/>
      <c r="LBN98" s="2"/>
      <c r="LBO98" s="2"/>
      <c r="LBP98" s="2"/>
      <c r="LBQ98" s="2"/>
      <c r="LBR98" s="2"/>
      <c r="LBS98" s="2"/>
      <c r="LBT98" s="2"/>
      <c r="LBU98" s="2"/>
      <c r="LBV98" s="2"/>
      <c r="LBW98" s="2"/>
      <c r="LBX98" s="2"/>
      <c r="LBY98" s="2"/>
      <c r="LBZ98" s="2"/>
      <c r="LCA98" s="2"/>
      <c r="LCB98" s="2"/>
      <c r="LCC98" s="2"/>
      <c r="LCD98" s="2"/>
      <c r="LCE98" s="2"/>
      <c r="LCF98" s="2"/>
      <c r="LCG98" s="2"/>
      <c r="LCH98" s="2"/>
      <c r="LCI98" s="2"/>
      <c r="LCJ98" s="2"/>
      <c r="LCK98" s="2"/>
      <c r="LCL98" s="2"/>
      <c r="LCM98" s="2"/>
      <c r="LCN98" s="2"/>
      <c r="LCO98" s="2"/>
      <c r="LCP98" s="2"/>
      <c r="LCQ98" s="2"/>
      <c r="LCR98" s="2"/>
      <c r="LCS98" s="2"/>
      <c r="LCT98" s="2"/>
      <c r="LCU98" s="2"/>
      <c r="LCV98" s="2"/>
      <c r="LCW98" s="2"/>
      <c r="LCX98" s="2"/>
      <c r="LCY98" s="2"/>
      <c r="LCZ98" s="2"/>
      <c r="LDA98" s="2"/>
      <c r="LDB98" s="2"/>
      <c r="LDC98" s="2"/>
      <c r="LDD98" s="2"/>
      <c r="LDE98" s="2"/>
      <c r="LDF98" s="2"/>
      <c r="LDG98" s="2"/>
      <c r="LDH98" s="2"/>
      <c r="LDI98" s="2"/>
      <c r="LDJ98" s="2"/>
      <c r="LDK98" s="2"/>
      <c r="LDL98" s="2"/>
      <c r="LDM98" s="2"/>
      <c r="LDN98" s="2"/>
      <c r="LDO98" s="2"/>
      <c r="LDP98" s="2"/>
      <c r="LDQ98" s="2"/>
      <c r="LDR98" s="2"/>
      <c r="LDS98" s="2"/>
      <c r="LDT98" s="2"/>
      <c r="LDU98" s="2"/>
      <c r="LDV98" s="2"/>
      <c r="LDW98" s="2"/>
      <c r="LDX98" s="2"/>
      <c r="LDY98" s="2"/>
      <c r="LDZ98" s="2"/>
      <c r="LEA98" s="2"/>
      <c r="LEB98" s="2"/>
      <c r="LEC98" s="2"/>
      <c r="LED98" s="2"/>
      <c r="LEE98" s="2"/>
      <c r="LEF98" s="2"/>
      <c r="LEG98" s="2"/>
      <c r="LEH98" s="2"/>
      <c r="LEI98" s="2"/>
      <c r="LEJ98" s="2"/>
      <c r="LEK98" s="2"/>
      <c r="LEL98" s="2"/>
      <c r="LEM98" s="2"/>
      <c r="LEN98" s="2"/>
      <c r="LEO98" s="2"/>
      <c r="LEP98" s="2"/>
      <c r="LEQ98" s="2"/>
      <c r="LER98" s="2"/>
      <c r="LES98" s="2"/>
      <c r="LET98" s="2"/>
      <c r="LEU98" s="2"/>
      <c r="LEV98" s="2"/>
      <c r="LEW98" s="2"/>
      <c r="LEX98" s="2"/>
      <c r="LEY98" s="2"/>
      <c r="LEZ98" s="2"/>
      <c r="LFA98" s="2"/>
      <c r="LFB98" s="2"/>
      <c r="LFC98" s="2"/>
      <c r="LFD98" s="2"/>
      <c r="LFE98" s="2"/>
      <c r="LFF98" s="2"/>
      <c r="LFG98" s="2"/>
      <c r="LFH98" s="2"/>
      <c r="LFI98" s="2"/>
      <c r="LFJ98" s="2"/>
      <c r="LFK98" s="2"/>
      <c r="LFL98" s="2"/>
      <c r="LFM98" s="2"/>
      <c r="LFN98" s="2"/>
      <c r="LFO98" s="2"/>
      <c r="LFP98" s="2"/>
      <c r="LFQ98" s="2"/>
      <c r="LFR98" s="2"/>
      <c r="LFS98" s="2"/>
      <c r="LFT98" s="2"/>
      <c r="LFU98" s="2"/>
      <c r="LFV98" s="2"/>
      <c r="LFW98" s="2"/>
      <c r="LFX98" s="2"/>
      <c r="LFY98" s="2"/>
      <c r="LFZ98" s="2"/>
      <c r="LGA98" s="2"/>
      <c r="LGB98" s="2"/>
      <c r="LGC98" s="2"/>
      <c r="LGD98" s="2"/>
      <c r="LGE98" s="2"/>
      <c r="LGF98" s="2"/>
      <c r="LGG98" s="2"/>
      <c r="LGH98" s="2"/>
      <c r="LGI98" s="2"/>
      <c r="LGJ98" s="2"/>
      <c r="LGK98" s="2"/>
      <c r="LGL98" s="2"/>
      <c r="LGM98" s="2"/>
      <c r="LGN98" s="2"/>
      <c r="LGO98" s="2"/>
      <c r="LGP98" s="2"/>
      <c r="LGQ98" s="2"/>
      <c r="LGR98" s="2"/>
      <c r="LGS98" s="2"/>
      <c r="LGT98" s="2"/>
      <c r="LGU98" s="2"/>
      <c r="LGV98" s="2"/>
      <c r="LGW98" s="2"/>
      <c r="LGX98" s="2"/>
      <c r="LGY98" s="2"/>
      <c r="LGZ98" s="2"/>
      <c r="LHA98" s="2"/>
      <c r="LHB98" s="2"/>
      <c r="LHC98" s="2"/>
      <c r="LHD98" s="2"/>
      <c r="LHE98" s="2"/>
      <c r="LHF98" s="2"/>
      <c r="LHG98" s="2"/>
      <c r="LHH98" s="2"/>
      <c r="LHI98" s="2"/>
      <c r="LHJ98" s="2"/>
      <c r="LHK98" s="2"/>
      <c r="LHL98" s="2"/>
      <c r="LHM98" s="2"/>
      <c r="LHN98" s="2"/>
      <c r="LHO98" s="2"/>
      <c r="LHP98" s="2"/>
      <c r="LHQ98" s="2"/>
      <c r="LHR98" s="2"/>
      <c r="LHS98" s="2"/>
      <c r="LHT98" s="2"/>
      <c r="LHU98" s="2"/>
      <c r="LHV98" s="2"/>
      <c r="LHW98" s="2"/>
      <c r="LHX98" s="2"/>
      <c r="LHY98" s="2"/>
      <c r="LHZ98" s="2"/>
      <c r="LIA98" s="2"/>
      <c r="LIB98" s="2"/>
      <c r="LIC98" s="2"/>
      <c r="LID98" s="2"/>
      <c r="LIE98" s="2"/>
      <c r="LIF98" s="2"/>
      <c r="LIG98" s="2"/>
      <c r="LIH98" s="2"/>
      <c r="LII98" s="2"/>
      <c r="LIJ98" s="2"/>
      <c r="LIK98" s="2"/>
      <c r="LIL98" s="2"/>
      <c r="LIM98" s="2"/>
      <c r="LIN98" s="2"/>
      <c r="LIO98" s="2"/>
      <c r="LIP98" s="2"/>
      <c r="LIQ98" s="2"/>
      <c r="LIR98" s="2"/>
      <c r="LIS98" s="2"/>
      <c r="LIT98" s="2"/>
      <c r="LIU98" s="2"/>
      <c r="LIV98" s="2"/>
      <c r="LIW98" s="2"/>
      <c r="LIX98" s="2"/>
      <c r="LIY98" s="2"/>
      <c r="LIZ98" s="2"/>
      <c r="LJA98" s="2"/>
      <c r="LJB98" s="2"/>
      <c r="LJC98" s="2"/>
      <c r="LJD98" s="2"/>
      <c r="LJE98" s="2"/>
      <c r="LJF98" s="2"/>
      <c r="LJG98" s="2"/>
      <c r="LJH98" s="2"/>
      <c r="LJI98" s="2"/>
      <c r="LJJ98" s="2"/>
      <c r="LJK98" s="2"/>
      <c r="LJL98" s="2"/>
      <c r="LJM98" s="2"/>
      <c r="LJN98" s="2"/>
      <c r="LJO98" s="2"/>
      <c r="LJP98" s="2"/>
      <c r="LJQ98" s="2"/>
      <c r="LJR98" s="2"/>
      <c r="LJS98" s="2"/>
      <c r="LJT98" s="2"/>
      <c r="LJU98" s="2"/>
      <c r="LJV98" s="2"/>
      <c r="LJW98" s="2"/>
      <c r="LJX98" s="2"/>
      <c r="LJY98" s="2"/>
      <c r="LJZ98" s="2"/>
      <c r="LKA98" s="2"/>
      <c r="LKB98" s="2"/>
      <c r="LKC98" s="2"/>
      <c r="LKD98" s="2"/>
      <c r="LKE98" s="2"/>
      <c r="LKF98" s="2"/>
      <c r="LKG98" s="2"/>
      <c r="LKH98" s="2"/>
      <c r="LKI98" s="2"/>
      <c r="LKJ98" s="2"/>
      <c r="LKK98" s="2"/>
      <c r="LKL98" s="2"/>
      <c r="LKM98" s="2"/>
      <c r="LKN98" s="2"/>
      <c r="LKO98" s="2"/>
      <c r="LKP98" s="2"/>
      <c r="LKQ98" s="2"/>
      <c r="LKR98" s="2"/>
      <c r="LKS98" s="2"/>
      <c r="LKT98" s="2"/>
      <c r="LKU98" s="2"/>
      <c r="LKV98" s="2"/>
      <c r="LKW98" s="2"/>
      <c r="LKX98" s="2"/>
      <c r="LKY98" s="2"/>
      <c r="LKZ98" s="2"/>
      <c r="LLA98" s="2"/>
      <c r="LLB98" s="2"/>
      <c r="LLC98" s="2"/>
      <c r="LLD98" s="2"/>
      <c r="LLE98" s="2"/>
      <c r="LLF98" s="2"/>
      <c r="LLG98" s="2"/>
      <c r="LLH98" s="2"/>
      <c r="LLI98" s="2"/>
      <c r="LLJ98" s="2"/>
      <c r="LLK98" s="2"/>
      <c r="LLL98" s="2"/>
      <c r="LLM98" s="2"/>
      <c r="LLN98" s="2"/>
      <c r="LLO98" s="2"/>
      <c r="LLP98" s="2"/>
      <c r="LLQ98" s="2"/>
      <c r="LLR98" s="2"/>
      <c r="LLS98" s="2"/>
      <c r="LLT98" s="2"/>
      <c r="LLU98" s="2"/>
      <c r="LLV98" s="2"/>
      <c r="LLW98" s="2"/>
      <c r="LLX98" s="2"/>
      <c r="LLY98" s="2"/>
      <c r="LLZ98" s="2"/>
      <c r="LMA98" s="2"/>
      <c r="LMB98" s="2"/>
      <c r="LMC98" s="2"/>
      <c r="LMD98" s="2"/>
      <c r="LME98" s="2"/>
      <c r="LMF98" s="2"/>
      <c r="LMG98" s="2"/>
      <c r="LMH98" s="2"/>
      <c r="LMI98" s="2"/>
      <c r="LMJ98" s="2"/>
      <c r="LMK98" s="2"/>
      <c r="LML98" s="2"/>
      <c r="LMM98" s="2"/>
      <c r="LMN98" s="2"/>
      <c r="LMO98" s="2"/>
      <c r="LMP98" s="2"/>
      <c r="LMQ98" s="2"/>
      <c r="LMR98" s="2"/>
      <c r="LMS98" s="2"/>
      <c r="LMT98" s="2"/>
      <c r="LMU98" s="2"/>
      <c r="LMV98" s="2"/>
      <c r="LMW98" s="2"/>
      <c r="LMX98" s="2"/>
      <c r="LMY98" s="2"/>
      <c r="LMZ98" s="2"/>
      <c r="LNA98" s="2"/>
      <c r="LNB98" s="2"/>
      <c r="LNC98" s="2"/>
      <c r="LND98" s="2"/>
      <c r="LNE98" s="2"/>
      <c r="LNF98" s="2"/>
      <c r="LNG98" s="2"/>
      <c r="LNH98" s="2"/>
      <c r="LNI98" s="2"/>
      <c r="LNJ98" s="2"/>
      <c r="LNK98" s="2"/>
      <c r="LNL98" s="2"/>
      <c r="LNM98" s="2"/>
      <c r="LNN98" s="2"/>
      <c r="LNO98" s="2"/>
      <c r="LNP98" s="2"/>
      <c r="LNQ98" s="2"/>
      <c r="LNR98" s="2"/>
      <c r="LNS98" s="2"/>
      <c r="LNT98" s="2"/>
      <c r="LNU98" s="2"/>
      <c r="LNV98" s="2"/>
      <c r="LNW98" s="2"/>
      <c r="LNX98" s="2"/>
      <c r="LNY98" s="2"/>
      <c r="LNZ98" s="2"/>
      <c r="LOA98" s="2"/>
      <c r="LOB98" s="2"/>
      <c r="LOC98" s="2"/>
      <c r="LOD98" s="2"/>
      <c r="LOE98" s="2"/>
      <c r="LOF98" s="2"/>
      <c r="LOG98" s="2"/>
      <c r="LOH98" s="2"/>
      <c r="LOI98" s="2"/>
      <c r="LOJ98" s="2"/>
      <c r="LOK98" s="2"/>
      <c r="LOL98" s="2"/>
      <c r="LOM98" s="2"/>
      <c r="LON98" s="2"/>
      <c r="LOO98" s="2"/>
      <c r="LOP98" s="2"/>
      <c r="LOQ98" s="2"/>
      <c r="LOR98" s="2"/>
      <c r="LOS98" s="2"/>
      <c r="LOT98" s="2"/>
      <c r="LOU98" s="2"/>
      <c r="LOV98" s="2"/>
      <c r="LOW98" s="2"/>
      <c r="LOX98" s="2"/>
      <c r="LOY98" s="2"/>
      <c r="LOZ98" s="2"/>
      <c r="LPA98" s="2"/>
      <c r="LPB98" s="2"/>
      <c r="LPC98" s="2"/>
      <c r="LPD98" s="2"/>
      <c r="LPE98" s="2"/>
      <c r="LPF98" s="2"/>
      <c r="LPG98" s="2"/>
      <c r="LPH98" s="2"/>
      <c r="LPI98" s="2"/>
      <c r="LPJ98" s="2"/>
      <c r="LPK98" s="2"/>
      <c r="LPL98" s="2"/>
      <c r="LPM98" s="2"/>
      <c r="LPN98" s="2"/>
      <c r="LPO98" s="2"/>
      <c r="LPP98" s="2"/>
      <c r="LPQ98" s="2"/>
      <c r="LPR98" s="2"/>
      <c r="LPS98" s="2"/>
      <c r="LPT98" s="2"/>
      <c r="LPU98" s="2"/>
      <c r="LPV98" s="2"/>
      <c r="LPW98" s="2"/>
      <c r="LPX98" s="2"/>
      <c r="LPY98" s="2"/>
      <c r="LPZ98" s="2"/>
      <c r="LQA98" s="2"/>
      <c r="LQB98" s="2"/>
      <c r="LQC98" s="2"/>
      <c r="LQD98" s="2"/>
      <c r="LQE98" s="2"/>
      <c r="LQF98" s="2"/>
      <c r="LQG98" s="2"/>
      <c r="LQH98" s="2"/>
      <c r="LQI98" s="2"/>
      <c r="LQJ98" s="2"/>
      <c r="LQK98" s="2"/>
      <c r="LQL98" s="2"/>
      <c r="LQM98" s="2"/>
      <c r="LQN98" s="2"/>
      <c r="LQO98" s="2"/>
      <c r="LQP98" s="2"/>
      <c r="LQQ98" s="2"/>
      <c r="LQR98" s="2"/>
      <c r="LQS98" s="2"/>
      <c r="LQT98" s="2"/>
      <c r="LQU98" s="2"/>
      <c r="LQV98" s="2"/>
      <c r="LQW98" s="2"/>
      <c r="LQX98" s="2"/>
      <c r="LQY98" s="2"/>
      <c r="LQZ98" s="2"/>
      <c r="LRA98" s="2"/>
      <c r="LRB98" s="2"/>
      <c r="LRC98" s="2"/>
      <c r="LRD98" s="2"/>
      <c r="LRE98" s="2"/>
      <c r="LRF98" s="2"/>
      <c r="LRG98" s="2"/>
      <c r="LRH98" s="2"/>
      <c r="LRI98" s="2"/>
      <c r="LRJ98" s="2"/>
      <c r="LRK98" s="2"/>
      <c r="LRL98" s="2"/>
      <c r="LRM98" s="2"/>
      <c r="LRN98" s="2"/>
      <c r="LRO98" s="2"/>
      <c r="LRP98" s="2"/>
      <c r="LRQ98" s="2"/>
      <c r="LRR98" s="2"/>
      <c r="LRS98" s="2"/>
      <c r="LRT98" s="2"/>
      <c r="LRU98" s="2"/>
      <c r="LRV98" s="2"/>
      <c r="LRW98" s="2"/>
      <c r="LRX98" s="2"/>
      <c r="LRY98" s="2"/>
      <c r="LRZ98" s="2"/>
      <c r="LSA98" s="2"/>
      <c r="LSB98" s="2"/>
      <c r="LSC98" s="2"/>
      <c r="LSD98" s="2"/>
      <c r="LSE98" s="2"/>
      <c r="LSF98" s="2"/>
      <c r="LSG98" s="2"/>
      <c r="LSH98" s="2"/>
      <c r="LSI98" s="2"/>
      <c r="LSJ98" s="2"/>
      <c r="LSK98" s="2"/>
      <c r="LSL98" s="2"/>
      <c r="LSM98" s="2"/>
      <c r="LSN98" s="2"/>
      <c r="LSO98" s="2"/>
      <c r="LSP98" s="2"/>
      <c r="LSQ98" s="2"/>
      <c r="LSR98" s="2"/>
      <c r="LSS98" s="2"/>
      <c r="LST98" s="2"/>
      <c r="LSU98" s="2"/>
      <c r="LSV98" s="2"/>
      <c r="LSW98" s="2"/>
      <c r="LSX98" s="2"/>
      <c r="LSY98" s="2"/>
      <c r="LSZ98" s="2"/>
      <c r="LTA98" s="2"/>
      <c r="LTB98" s="2"/>
      <c r="LTC98" s="2"/>
      <c r="LTD98" s="2"/>
      <c r="LTE98" s="2"/>
      <c r="LTF98" s="2"/>
      <c r="LTG98" s="2"/>
      <c r="LTH98" s="2"/>
      <c r="LTI98" s="2"/>
      <c r="LTJ98" s="2"/>
      <c r="LTK98" s="2"/>
      <c r="LTL98" s="2"/>
      <c r="LTM98" s="2"/>
      <c r="LTN98" s="2"/>
      <c r="LTO98" s="2"/>
      <c r="LTP98" s="2"/>
      <c r="LTQ98" s="2"/>
      <c r="LTR98" s="2"/>
      <c r="LTS98" s="2"/>
      <c r="LTT98" s="2"/>
      <c r="LTU98" s="2"/>
      <c r="LTV98" s="2"/>
      <c r="LTW98" s="2"/>
      <c r="LTX98" s="2"/>
      <c r="LTY98" s="2"/>
      <c r="LTZ98" s="2"/>
      <c r="LUA98" s="2"/>
      <c r="LUB98" s="2"/>
      <c r="LUC98" s="2"/>
      <c r="LUD98" s="2"/>
      <c r="LUE98" s="2"/>
      <c r="LUF98" s="2"/>
      <c r="LUG98" s="2"/>
      <c r="LUH98" s="2"/>
      <c r="LUI98" s="2"/>
      <c r="LUJ98" s="2"/>
      <c r="LUK98" s="2"/>
      <c r="LUL98" s="2"/>
      <c r="LUM98" s="2"/>
      <c r="LUN98" s="2"/>
      <c r="LUO98" s="2"/>
      <c r="LUP98" s="2"/>
      <c r="LUQ98" s="2"/>
      <c r="LUR98" s="2"/>
      <c r="LUS98" s="2"/>
      <c r="LUT98" s="2"/>
      <c r="LUU98" s="2"/>
      <c r="LUV98" s="2"/>
      <c r="LUW98" s="2"/>
      <c r="LUX98" s="2"/>
      <c r="LUY98" s="2"/>
      <c r="LUZ98" s="2"/>
      <c r="LVA98" s="2"/>
      <c r="LVB98" s="2"/>
      <c r="LVC98" s="2"/>
      <c r="LVD98" s="2"/>
      <c r="LVE98" s="2"/>
      <c r="LVF98" s="2"/>
      <c r="LVG98" s="2"/>
      <c r="LVH98" s="2"/>
      <c r="LVI98" s="2"/>
      <c r="LVJ98" s="2"/>
      <c r="LVK98" s="2"/>
      <c r="LVL98" s="2"/>
      <c r="LVM98" s="2"/>
      <c r="LVN98" s="2"/>
      <c r="LVO98" s="2"/>
      <c r="LVP98" s="2"/>
      <c r="LVQ98" s="2"/>
      <c r="LVR98" s="2"/>
      <c r="LVS98" s="2"/>
      <c r="LVT98" s="2"/>
      <c r="LVU98" s="2"/>
      <c r="LVV98" s="2"/>
      <c r="LVW98" s="2"/>
      <c r="LVX98" s="2"/>
      <c r="LVY98" s="2"/>
      <c r="LVZ98" s="2"/>
      <c r="LWA98" s="2"/>
      <c r="LWB98" s="2"/>
      <c r="LWC98" s="2"/>
      <c r="LWD98" s="2"/>
      <c r="LWE98" s="2"/>
      <c r="LWF98" s="2"/>
      <c r="LWG98" s="2"/>
      <c r="LWH98" s="2"/>
      <c r="LWI98" s="2"/>
      <c r="LWJ98" s="2"/>
      <c r="LWK98" s="2"/>
      <c r="LWL98" s="2"/>
      <c r="LWM98" s="2"/>
      <c r="LWN98" s="2"/>
      <c r="LWO98" s="2"/>
      <c r="LWP98" s="2"/>
      <c r="LWQ98" s="2"/>
      <c r="LWR98" s="2"/>
      <c r="LWS98" s="2"/>
      <c r="LWT98" s="2"/>
      <c r="LWU98" s="2"/>
      <c r="LWV98" s="2"/>
      <c r="LWW98" s="2"/>
      <c r="LWX98" s="2"/>
      <c r="LWY98" s="2"/>
      <c r="LWZ98" s="2"/>
      <c r="LXA98" s="2"/>
      <c r="LXB98" s="2"/>
      <c r="LXC98" s="2"/>
      <c r="LXD98" s="2"/>
      <c r="LXE98" s="2"/>
      <c r="LXF98" s="2"/>
      <c r="LXG98" s="2"/>
      <c r="LXH98" s="2"/>
      <c r="LXI98" s="2"/>
      <c r="LXJ98" s="2"/>
      <c r="LXK98" s="2"/>
      <c r="LXL98" s="2"/>
      <c r="LXM98" s="2"/>
      <c r="LXN98" s="2"/>
      <c r="LXO98" s="2"/>
      <c r="LXP98" s="2"/>
      <c r="LXQ98" s="2"/>
      <c r="LXR98" s="2"/>
      <c r="LXS98" s="2"/>
      <c r="LXT98" s="2"/>
      <c r="LXU98" s="2"/>
      <c r="LXV98" s="2"/>
      <c r="LXW98" s="2"/>
      <c r="LXX98" s="2"/>
      <c r="LXY98" s="2"/>
      <c r="LXZ98" s="2"/>
      <c r="LYA98" s="2"/>
      <c r="LYB98" s="2"/>
      <c r="LYC98" s="2"/>
      <c r="LYD98" s="2"/>
      <c r="LYE98" s="2"/>
      <c r="LYF98" s="2"/>
      <c r="LYG98" s="2"/>
      <c r="LYH98" s="2"/>
      <c r="LYI98" s="2"/>
      <c r="LYJ98" s="2"/>
      <c r="LYK98" s="2"/>
      <c r="LYL98" s="2"/>
      <c r="LYM98" s="2"/>
      <c r="LYN98" s="2"/>
      <c r="LYO98" s="2"/>
      <c r="LYP98" s="2"/>
      <c r="LYQ98" s="2"/>
      <c r="LYR98" s="2"/>
      <c r="LYS98" s="2"/>
      <c r="LYT98" s="2"/>
      <c r="LYU98" s="2"/>
      <c r="LYV98" s="2"/>
      <c r="LYW98" s="2"/>
      <c r="LYX98" s="2"/>
      <c r="LYY98" s="2"/>
      <c r="LYZ98" s="2"/>
      <c r="LZA98" s="2"/>
      <c r="LZB98" s="2"/>
      <c r="LZC98" s="2"/>
      <c r="LZD98" s="2"/>
      <c r="LZE98" s="2"/>
      <c r="LZF98" s="2"/>
      <c r="LZG98" s="2"/>
      <c r="LZH98" s="2"/>
      <c r="LZI98" s="2"/>
      <c r="LZJ98" s="2"/>
      <c r="LZK98" s="2"/>
      <c r="LZL98" s="2"/>
      <c r="LZM98" s="2"/>
      <c r="LZN98" s="2"/>
      <c r="LZO98" s="2"/>
      <c r="LZP98" s="2"/>
      <c r="LZQ98" s="2"/>
      <c r="LZR98" s="2"/>
      <c r="LZS98" s="2"/>
      <c r="LZT98" s="2"/>
      <c r="LZU98" s="2"/>
      <c r="LZV98" s="2"/>
      <c r="LZW98" s="2"/>
      <c r="LZX98" s="2"/>
      <c r="LZY98" s="2"/>
      <c r="LZZ98" s="2"/>
      <c r="MAA98" s="2"/>
      <c r="MAB98" s="2"/>
      <c r="MAC98" s="2"/>
      <c r="MAD98" s="2"/>
      <c r="MAE98" s="2"/>
      <c r="MAF98" s="2"/>
      <c r="MAG98" s="2"/>
      <c r="MAH98" s="2"/>
      <c r="MAI98" s="2"/>
      <c r="MAJ98" s="2"/>
      <c r="MAK98" s="2"/>
      <c r="MAL98" s="2"/>
      <c r="MAM98" s="2"/>
      <c r="MAN98" s="2"/>
      <c r="MAO98" s="2"/>
      <c r="MAP98" s="2"/>
      <c r="MAQ98" s="2"/>
      <c r="MAR98" s="2"/>
      <c r="MAS98" s="2"/>
      <c r="MAT98" s="2"/>
      <c r="MAU98" s="2"/>
      <c r="MAV98" s="2"/>
      <c r="MAW98" s="2"/>
      <c r="MAX98" s="2"/>
      <c r="MAY98" s="2"/>
      <c r="MAZ98" s="2"/>
      <c r="MBA98" s="2"/>
      <c r="MBB98" s="2"/>
      <c r="MBC98" s="2"/>
      <c r="MBD98" s="2"/>
      <c r="MBE98" s="2"/>
      <c r="MBF98" s="2"/>
      <c r="MBG98" s="2"/>
      <c r="MBH98" s="2"/>
      <c r="MBI98" s="2"/>
      <c r="MBJ98" s="2"/>
      <c r="MBK98" s="2"/>
      <c r="MBL98" s="2"/>
      <c r="MBM98" s="2"/>
      <c r="MBN98" s="2"/>
      <c r="MBO98" s="2"/>
      <c r="MBP98" s="2"/>
      <c r="MBQ98" s="2"/>
      <c r="MBR98" s="2"/>
      <c r="MBS98" s="2"/>
      <c r="MBT98" s="2"/>
      <c r="MBU98" s="2"/>
      <c r="MBV98" s="2"/>
      <c r="MBW98" s="2"/>
      <c r="MBX98" s="2"/>
      <c r="MBY98" s="2"/>
      <c r="MBZ98" s="2"/>
      <c r="MCA98" s="2"/>
      <c r="MCB98" s="2"/>
      <c r="MCC98" s="2"/>
      <c r="MCD98" s="2"/>
      <c r="MCE98" s="2"/>
      <c r="MCF98" s="2"/>
      <c r="MCG98" s="2"/>
      <c r="MCH98" s="2"/>
      <c r="MCI98" s="2"/>
      <c r="MCJ98" s="2"/>
      <c r="MCK98" s="2"/>
      <c r="MCL98" s="2"/>
      <c r="MCM98" s="2"/>
      <c r="MCN98" s="2"/>
      <c r="MCO98" s="2"/>
      <c r="MCP98" s="2"/>
      <c r="MCQ98" s="2"/>
      <c r="MCR98" s="2"/>
      <c r="MCS98" s="2"/>
      <c r="MCT98" s="2"/>
      <c r="MCU98" s="2"/>
      <c r="MCV98" s="2"/>
      <c r="MCW98" s="2"/>
      <c r="MCX98" s="2"/>
      <c r="MCY98" s="2"/>
      <c r="MCZ98" s="2"/>
      <c r="MDA98" s="2"/>
      <c r="MDB98" s="2"/>
      <c r="MDC98" s="2"/>
      <c r="MDD98" s="2"/>
      <c r="MDE98" s="2"/>
      <c r="MDF98" s="2"/>
      <c r="MDG98" s="2"/>
      <c r="MDH98" s="2"/>
      <c r="MDI98" s="2"/>
      <c r="MDJ98" s="2"/>
      <c r="MDK98" s="2"/>
      <c r="MDL98" s="2"/>
      <c r="MDM98" s="2"/>
      <c r="MDN98" s="2"/>
      <c r="MDO98" s="2"/>
      <c r="MDP98" s="2"/>
      <c r="MDQ98" s="2"/>
      <c r="MDR98" s="2"/>
      <c r="MDS98" s="2"/>
      <c r="MDT98" s="2"/>
      <c r="MDU98" s="2"/>
      <c r="MDV98" s="2"/>
      <c r="MDW98" s="2"/>
      <c r="MDX98" s="2"/>
      <c r="MDY98" s="2"/>
      <c r="MDZ98" s="2"/>
      <c r="MEA98" s="2"/>
      <c r="MEB98" s="2"/>
      <c r="MEC98" s="2"/>
      <c r="MED98" s="2"/>
      <c r="MEE98" s="2"/>
      <c r="MEF98" s="2"/>
      <c r="MEG98" s="2"/>
      <c r="MEH98" s="2"/>
      <c r="MEI98" s="2"/>
      <c r="MEJ98" s="2"/>
      <c r="MEK98" s="2"/>
      <c r="MEL98" s="2"/>
      <c r="MEM98" s="2"/>
      <c r="MEN98" s="2"/>
      <c r="MEO98" s="2"/>
      <c r="MEP98" s="2"/>
      <c r="MEQ98" s="2"/>
      <c r="MER98" s="2"/>
      <c r="MES98" s="2"/>
      <c r="MET98" s="2"/>
      <c r="MEU98" s="2"/>
      <c r="MEV98" s="2"/>
      <c r="MEW98" s="2"/>
      <c r="MEX98" s="2"/>
      <c r="MEY98" s="2"/>
      <c r="MEZ98" s="2"/>
      <c r="MFA98" s="2"/>
      <c r="MFB98" s="2"/>
      <c r="MFC98" s="2"/>
      <c r="MFD98" s="2"/>
      <c r="MFE98" s="2"/>
      <c r="MFF98" s="2"/>
      <c r="MFG98" s="2"/>
      <c r="MFH98" s="2"/>
      <c r="MFI98" s="2"/>
      <c r="MFJ98" s="2"/>
      <c r="MFK98" s="2"/>
      <c r="MFL98" s="2"/>
      <c r="MFM98" s="2"/>
      <c r="MFN98" s="2"/>
      <c r="MFO98" s="2"/>
      <c r="MFP98" s="2"/>
      <c r="MFQ98" s="2"/>
      <c r="MFR98" s="2"/>
      <c r="MFS98" s="2"/>
      <c r="MFT98" s="2"/>
      <c r="MFU98" s="2"/>
      <c r="MFV98" s="2"/>
      <c r="MFW98" s="2"/>
      <c r="MFX98" s="2"/>
      <c r="MFY98" s="2"/>
      <c r="MFZ98" s="2"/>
      <c r="MGA98" s="2"/>
      <c r="MGB98" s="2"/>
      <c r="MGC98" s="2"/>
      <c r="MGD98" s="2"/>
      <c r="MGE98" s="2"/>
      <c r="MGF98" s="2"/>
      <c r="MGG98" s="2"/>
      <c r="MGH98" s="2"/>
      <c r="MGI98" s="2"/>
      <c r="MGJ98" s="2"/>
      <c r="MGK98" s="2"/>
      <c r="MGL98" s="2"/>
      <c r="MGM98" s="2"/>
      <c r="MGN98" s="2"/>
      <c r="MGO98" s="2"/>
      <c r="MGP98" s="2"/>
      <c r="MGQ98" s="2"/>
      <c r="MGR98" s="2"/>
      <c r="MGS98" s="2"/>
      <c r="MGT98" s="2"/>
      <c r="MGU98" s="2"/>
      <c r="MGV98" s="2"/>
      <c r="MGW98" s="2"/>
      <c r="MGX98" s="2"/>
      <c r="MGY98" s="2"/>
      <c r="MGZ98" s="2"/>
      <c r="MHA98" s="2"/>
      <c r="MHB98" s="2"/>
      <c r="MHC98" s="2"/>
      <c r="MHD98" s="2"/>
      <c r="MHE98" s="2"/>
      <c r="MHF98" s="2"/>
      <c r="MHG98" s="2"/>
      <c r="MHH98" s="2"/>
      <c r="MHI98" s="2"/>
      <c r="MHJ98" s="2"/>
      <c r="MHK98" s="2"/>
      <c r="MHL98" s="2"/>
      <c r="MHM98" s="2"/>
      <c r="MHN98" s="2"/>
      <c r="MHO98" s="2"/>
      <c r="MHP98" s="2"/>
      <c r="MHQ98" s="2"/>
      <c r="MHR98" s="2"/>
      <c r="MHS98" s="2"/>
      <c r="MHT98" s="2"/>
      <c r="MHU98" s="2"/>
      <c r="MHV98" s="2"/>
      <c r="MHW98" s="2"/>
      <c r="MHX98" s="2"/>
      <c r="MHY98" s="2"/>
      <c r="MHZ98" s="2"/>
      <c r="MIA98" s="2"/>
      <c r="MIB98" s="2"/>
      <c r="MIC98" s="2"/>
      <c r="MID98" s="2"/>
      <c r="MIE98" s="2"/>
      <c r="MIF98" s="2"/>
      <c r="MIG98" s="2"/>
      <c r="MIH98" s="2"/>
      <c r="MII98" s="2"/>
      <c r="MIJ98" s="2"/>
      <c r="MIK98" s="2"/>
      <c r="MIL98" s="2"/>
      <c r="MIM98" s="2"/>
      <c r="MIN98" s="2"/>
      <c r="MIO98" s="2"/>
      <c r="MIP98" s="2"/>
      <c r="MIQ98" s="2"/>
      <c r="MIR98" s="2"/>
      <c r="MIS98" s="2"/>
      <c r="MIT98" s="2"/>
      <c r="MIU98" s="2"/>
      <c r="MIV98" s="2"/>
      <c r="MIW98" s="2"/>
      <c r="MIX98" s="2"/>
      <c r="MIY98" s="2"/>
      <c r="MIZ98" s="2"/>
      <c r="MJA98" s="2"/>
      <c r="MJB98" s="2"/>
      <c r="MJC98" s="2"/>
      <c r="MJD98" s="2"/>
      <c r="MJE98" s="2"/>
      <c r="MJF98" s="2"/>
      <c r="MJG98" s="2"/>
      <c r="MJH98" s="2"/>
      <c r="MJI98" s="2"/>
      <c r="MJJ98" s="2"/>
      <c r="MJK98" s="2"/>
      <c r="MJL98" s="2"/>
      <c r="MJM98" s="2"/>
      <c r="MJN98" s="2"/>
      <c r="MJO98" s="2"/>
      <c r="MJP98" s="2"/>
      <c r="MJQ98" s="2"/>
      <c r="MJR98" s="2"/>
      <c r="MJS98" s="2"/>
      <c r="MJT98" s="2"/>
      <c r="MJU98" s="2"/>
      <c r="MJV98" s="2"/>
      <c r="MJW98" s="2"/>
      <c r="MJX98" s="2"/>
      <c r="MJY98" s="2"/>
      <c r="MJZ98" s="2"/>
      <c r="MKA98" s="2"/>
      <c r="MKB98" s="2"/>
      <c r="MKC98" s="2"/>
      <c r="MKD98" s="2"/>
      <c r="MKE98" s="2"/>
      <c r="MKF98" s="2"/>
      <c r="MKG98" s="2"/>
      <c r="MKH98" s="2"/>
      <c r="MKI98" s="2"/>
      <c r="MKJ98" s="2"/>
      <c r="MKK98" s="2"/>
      <c r="MKL98" s="2"/>
      <c r="MKM98" s="2"/>
      <c r="MKN98" s="2"/>
      <c r="MKO98" s="2"/>
      <c r="MKP98" s="2"/>
      <c r="MKQ98" s="2"/>
      <c r="MKR98" s="2"/>
      <c r="MKS98" s="2"/>
      <c r="MKT98" s="2"/>
      <c r="MKU98" s="2"/>
      <c r="MKV98" s="2"/>
      <c r="MKW98" s="2"/>
      <c r="MKX98" s="2"/>
      <c r="MKY98" s="2"/>
      <c r="MKZ98" s="2"/>
      <c r="MLA98" s="2"/>
      <c r="MLB98" s="2"/>
      <c r="MLC98" s="2"/>
      <c r="MLD98" s="2"/>
      <c r="MLE98" s="2"/>
      <c r="MLF98" s="2"/>
      <c r="MLG98" s="2"/>
      <c r="MLH98" s="2"/>
      <c r="MLI98" s="2"/>
      <c r="MLJ98" s="2"/>
      <c r="MLK98" s="2"/>
      <c r="MLL98" s="2"/>
      <c r="MLM98" s="2"/>
      <c r="MLN98" s="2"/>
      <c r="MLO98" s="2"/>
      <c r="MLP98" s="2"/>
      <c r="MLQ98" s="2"/>
      <c r="MLR98" s="2"/>
      <c r="MLS98" s="2"/>
      <c r="MLT98" s="2"/>
      <c r="MLU98" s="2"/>
      <c r="MLV98" s="2"/>
      <c r="MLW98" s="2"/>
      <c r="MLX98" s="2"/>
      <c r="MLY98" s="2"/>
      <c r="MLZ98" s="2"/>
      <c r="MMA98" s="2"/>
      <c r="MMB98" s="2"/>
      <c r="MMC98" s="2"/>
      <c r="MMD98" s="2"/>
      <c r="MME98" s="2"/>
      <c r="MMF98" s="2"/>
      <c r="MMG98" s="2"/>
      <c r="MMH98" s="2"/>
      <c r="MMI98" s="2"/>
      <c r="MMJ98" s="2"/>
      <c r="MMK98" s="2"/>
      <c r="MML98" s="2"/>
      <c r="MMM98" s="2"/>
      <c r="MMN98" s="2"/>
      <c r="MMO98" s="2"/>
      <c r="MMP98" s="2"/>
      <c r="MMQ98" s="2"/>
      <c r="MMR98" s="2"/>
      <c r="MMS98" s="2"/>
      <c r="MMT98" s="2"/>
      <c r="MMU98" s="2"/>
      <c r="MMV98" s="2"/>
      <c r="MMW98" s="2"/>
      <c r="MMX98" s="2"/>
      <c r="MMY98" s="2"/>
      <c r="MMZ98" s="2"/>
      <c r="MNA98" s="2"/>
      <c r="MNB98" s="2"/>
      <c r="MNC98" s="2"/>
      <c r="MND98" s="2"/>
      <c r="MNE98" s="2"/>
      <c r="MNF98" s="2"/>
      <c r="MNG98" s="2"/>
      <c r="MNH98" s="2"/>
      <c r="MNI98" s="2"/>
      <c r="MNJ98" s="2"/>
      <c r="MNK98" s="2"/>
      <c r="MNL98" s="2"/>
      <c r="MNM98" s="2"/>
      <c r="MNN98" s="2"/>
      <c r="MNO98" s="2"/>
      <c r="MNP98" s="2"/>
      <c r="MNQ98" s="2"/>
      <c r="MNR98" s="2"/>
      <c r="MNS98" s="2"/>
      <c r="MNT98" s="2"/>
      <c r="MNU98" s="2"/>
      <c r="MNV98" s="2"/>
      <c r="MNW98" s="2"/>
      <c r="MNX98" s="2"/>
      <c r="MNY98" s="2"/>
      <c r="MNZ98" s="2"/>
      <c r="MOA98" s="2"/>
      <c r="MOB98" s="2"/>
      <c r="MOC98" s="2"/>
      <c r="MOD98" s="2"/>
      <c r="MOE98" s="2"/>
      <c r="MOF98" s="2"/>
      <c r="MOG98" s="2"/>
      <c r="MOH98" s="2"/>
      <c r="MOI98" s="2"/>
      <c r="MOJ98" s="2"/>
      <c r="MOK98" s="2"/>
      <c r="MOL98" s="2"/>
      <c r="MOM98" s="2"/>
      <c r="MON98" s="2"/>
      <c r="MOO98" s="2"/>
      <c r="MOP98" s="2"/>
      <c r="MOQ98" s="2"/>
      <c r="MOR98" s="2"/>
      <c r="MOS98" s="2"/>
      <c r="MOT98" s="2"/>
      <c r="MOU98" s="2"/>
      <c r="MOV98" s="2"/>
      <c r="MOW98" s="2"/>
      <c r="MOX98" s="2"/>
      <c r="MOY98" s="2"/>
      <c r="MOZ98" s="2"/>
      <c r="MPA98" s="2"/>
      <c r="MPB98" s="2"/>
      <c r="MPC98" s="2"/>
      <c r="MPD98" s="2"/>
      <c r="MPE98" s="2"/>
      <c r="MPF98" s="2"/>
      <c r="MPG98" s="2"/>
      <c r="MPH98" s="2"/>
      <c r="MPI98" s="2"/>
      <c r="MPJ98" s="2"/>
      <c r="MPK98" s="2"/>
      <c r="MPL98" s="2"/>
      <c r="MPM98" s="2"/>
      <c r="MPN98" s="2"/>
      <c r="MPO98" s="2"/>
      <c r="MPP98" s="2"/>
      <c r="MPQ98" s="2"/>
      <c r="MPR98" s="2"/>
      <c r="MPS98" s="2"/>
      <c r="MPT98" s="2"/>
      <c r="MPU98" s="2"/>
      <c r="MPV98" s="2"/>
      <c r="MPW98" s="2"/>
      <c r="MPX98" s="2"/>
      <c r="MPY98" s="2"/>
      <c r="MPZ98" s="2"/>
      <c r="MQA98" s="2"/>
      <c r="MQB98" s="2"/>
      <c r="MQC98" s="2"/>
      <c r="MQD98" s="2"/>
      <c r="MQE98" s="2"/>
      <c r="MQF98" s="2"/>
      <c r="MQG98" s="2"/>
      <c r="MQH98" s="2"/>
      <c r="MQI98" s="2"/>
      <c r="MQJ98" s="2"/>
      <c r="MQK98" s="2"/>
      <c r="MQL98" s="2"/>
      <c r="MQM98" s="2"/>
      <c r="MQN98" s="2"/>
      <c r="MQO98" s="2"/>
      <c r="MQP98" s="2"/>
      <c r="MQQ98" s="2"/>
      <c r="MQR98" s="2"/>
      <c r="MQS98" s="2"/>
      <c r="MQT98" s="2"/>
      <c r="MQU98" s="2"/>
      <c r="MQV98" s="2"/>
      <c r="MQW98" s="2"/>
      <c r="MQX98" s="2"/>
      <c r="MQY98" s="2"/>
      <c r="MQZ98" s="2"/>
      <c r="MRA98" s="2"/>
      <c r="MRB98" s="2"/>
      <c r="MRC98" s="2"/>
      <c r="MRD98" s="2"/>
      <c r="MRE98" s="2"/>
      <c r="MRF98" s="2"/>
      <c r="MRG98" s="2"/>
      <c r="MRH98" s="2"/>
      <c r="MRI98" s="2"/>
      <c r="MRJ98" s="2"/>
      <c r="MRK98" s="2"/>
      <c r="MRL98" s="2"/>
      <c r="MRM98" s="2"/>
      <c r="MRN98" s="2"/>
      <c r="MRO98" s="2"/>
      <c r="MRP98" s="2"/>
      <c r="MRQ98" s="2"/>
      <c r="MRR98" s="2"/>
      <c r="MRS98" s="2"/>
      <c r="MRT98" s="2"/>
      <c r="MRU98" s="2"/>
      <c r="MRV98" s="2"/>
      <c r="MRW98" s="2"/>
      <c r="MRX98" s="2"/>
      <c r="MRY98" s="2"/>
      <c r="MRZ98" s="2"/>
      <c r="MSA98" s="2"/>
      <c r="MSB98" s="2"/>
      <c r="MSC98" s="2"/>
      <c r="MSD98" s="2"/>
      <c r="MSE98" s="2"/>
      <c r="MSF98" s="2"/>
      <c r="MSG98" s="2"/>
      <c r="MSH98" s="2"/>
      <c r="MSI98" s="2"/>
      <c r="MSJ98" s="2"/>
      <c r="MSK98" s="2"/>
      <c r="MSL98" s="2"/>
      <c r="MSM98" s="2"/>
      <c r="MSN98" s="2"/>
      <c r="MSO98" s="2"/>
      <c r="MSP98" s="2"/>
      <c r="MSQ98" s="2"/>
      <c r="MSR98" s="2"/>
      <c r="MSS98" s="2"/>
      <c r="MST98" s="2"/>
      <c r="MSU98" s="2"/>
      <c r="MSV98" s="2"/>
      <c r="MSW98" s="2"/>
      <c r="MSX98" s="2"/>
      <c r="MSY98" s="2"/>
      <c r="MSZ98" s="2"/>
      <c r="MTA98" s="2"/>
      <c r="MTB98" s="2"/>
      <c r="MTC98" s="2"/>
      <c r="MTD98" s="2"/>
      <c r="MTE98" s="2"/>
      <c r="MTF98" s="2"/>
      <c r="MTG98" s="2"/>
      <c r="MTH98" s="2"/>
      <c r="MTI98" s="2"/>
      <c r="MTJ98" s="2"/>
      <c r="MTK98" s="2"/>
      <c r="MTL98" s="2"/>
      <c r="MTM98" s="2"/>
      <c r="MTN98" s="2"/>
      <c r="MTO98" s="2"/>
      <c r="MTP98" s="2"/>
      <c r="MTQ98" s="2"/>
      <c r="MTR98" s="2"/>
      <c r="MTS98" s="2"/>
      <c r="MTT98" s="2"/>
      <c r="MTU98" s="2"/>
      <c r="MTV98" s="2"/>
      <c r="MTW98" s="2"/>
      <c r="MTX98" s="2"/>
      <c r="MTY98" s="2"/>
      <c r="MTZ98" s="2"/>
      <c r="MUA98" s="2"/>
      <c r="MUB98" s="2"/>
      <c r="MUC98" s="2"/>
      <c r="MUD98" s="2"/>
      <c r="MUE98" s="2"/>
      <c r="MUF98" s="2"/>
      <c r="MUG98" s="2"/>
      <c r="MUH98" s="2"/>
      <c r="MUI98" s="2"/>
      <c r="MUJ98" s="2"/>
      <c r="MUK98" s="2"/>
      <c r="MUL98" s="2"/>
      <c r="MUM98" s="2"/>
      <c r="MUN98" s="2"/>
      <c r="MUO98" s="2"/>
      <c r="MUP98" s="2"/>
      <c r="MUQ98" s="2"/>
      <c r="MUR98" s="2"/>
      <c r="MUS98" s="2"/>
      <c r="MUT98" s="2"/>
      <c r="MUU98" s="2"/>
      <c r="MUV98" s="2"/>
      <c r="MUW98" s="2"/>
      <c r="MUX98" s="2"/>
      <c r="MUY98" s="2"/>
      <c r="MUZ98" s="2"/>
      <c r="MVA98" s="2"/>
      <c r="MVB98" s="2"/>
      <c r="MVC98" s="2"/>
      <c r="MVD98" s="2"/>
      <c r="MVE98" s="2"/>
      <c r="MVF98" s="2"/>
      <c r="MVG98" s="2"/>
      <c r="MVH98" s="2"/>
      <c r="MVI98" s="2"/>
      <c r="MVJ98" s="2"/>
      <c r="MVK98" s="2"/>
      <c r="MVL98" s="2"/>
      <c r="MVM98" s="2"/>
      <c r="MVN98" s="2"/>
      <c r="MVO98" s="2"/>
      <c r="MVP98" s="2"/>
      <c r="MVQ98" s="2"/>
      <c r="MVR98" s="2"/>
      <c r="MVS98" s="2"/>
      <c r="MVT98" s="2"/>
      <c r="MVU98" s="2"/>
      <c r="MVV98" s="2"/>
      <c r="MVW98" s="2"/>
      <c r="MVX98" s="2"/>
      <c r="MVY98" s="2"/>
      <c r="MVZ98" s="2"/>
      <c r="MWA98" s="2"/>
      <c r="MWB98" s="2"/>
      <c r="MWC98" s="2"/>
      <c r="MWD98" s="2"/>
      <c r="MWE98" s="2"/>
      <c r="MWF98" s="2"/>
      <c r="MWG98" s="2"/>
      <c r="MWH98" s="2"/>
      <c r="MWI98" s="2"/>
      <c r="MWJ98" s="2"/>
      <c r="MWK98" s="2"/>
      <c r="MWL98" s="2"/>
      <c r="MWM98" s="2"/>
      <c r="MWN98" s="2"/>
      <c r="MWO98" s="2"/>
      <c r="MWP98" s="2"/>
      <c r="MWQ98" s="2"/>
      <c r="MWR98" s="2"/>
      <c r="MWS98" s="2"/>
      <c r="MWT98" s="2"/>
      <c r="MWU98" s="2"/>
      <c r="MWV98" s="2"/>
      <c r="MWW98" s="2"/>
      <c r="MWX98" s="2"/>
      <c r="MWY98" s="2"/>
      <c r="MWZ98" s="2"/>
      <c r="MXA98" s="2"/>
      <c r="MXB98" s="2"/>
      <c r="MXC98" s="2"/>
      <c r="MXD98" s="2"/>
      <c r="MXE98" s="2"/>
      <c r="MXF98" s="2"/>
      <c r="MXG98" s="2"/>
      <c r="MXH98" s="2"/>
      <c r="MXI98" s="2"/>
      <c r="MXJ98" s="2"/>
      <c r="MXK98" s="2"/>
      <c r="MXL98" s="2"/>
      <c r="MXM98" s="2"/>
      <c r="MXN98" s="2"/>
      <c r="MXO98" s="2"/>
      <c r="MXP98" s="2"/>
      <c r="MXQ98" s="2"/>
      <c r="MXR98" s="2"/>
      <c r="MXS98" s="2"/>
      <c r="MXT98" s="2"/>
      <c r="MXU98" s="2"/>
      <c r="MXV98" s="2"/>
      <c r="MXW98" s="2"/>
      <c r="MXX98" s="2"/>
      <c r="MXY98" s="2"/>
      <c r="MXZ98" s="2"/>
      <c r="MYA98" s="2"/>
      <c r="MYB98" s="2"/>
      <c r="MYC98" s="2"/>
      <c r="MYD98" s="2"/>
      <c r="MYE98" s="2"/>
      <c r="MYF98" s="2"/>
      <c r="MYG98" s="2"/>
      <c r="MYH98" s="2"/>
      <c r="MYI98" s="2"/>
      <c r="MYJ98" s="2"/>
      <c r="MYK98" s="2"/>
      <c r="MYL98" s="2"/>
      <c r="MYM98" s="2"/>
      <c r="MYN98" s="2"/>
      <c r="MYO98" s="2"/>
      <c r="MYP98" s="2"/>
      <c r="MYQ98" s="2"/>
      <c r="MYR98" s="2"/>
      <c r="MYS98" s="2"/>
      <c r="MYT98" s="2"/>
      <c r="MYU98" s="2"/>
      <c r="MYV98" s="2"/>
      <c r="MYW98" s="2"/>
      <c r="MYX98" s="2"/>
      <c r="MYY98" s="2"/>
      <c r="MYZ98" s="2"/>
      <c r="MZA98" s="2"/>
      <c r="MZB98" s="2"/>
      <c r="MZC98" s="2"/>
      <c r="MZD98" s="2"/>
      <c r="MZE98" s="2"/>
      <c r="MZF98" s="2"/>
      <c r="MZG98" s="2"/>
      <c r="MZH98" s="2"/>
      <c r="MZI98" s="2"/>
      <c r="MZJ98" s="2"/>
      <c r="MZK98" s="2"/>
      <c r="MZL98" s="2"/>
      <c r="MZM98" s="2"/>
      <c r="MZN98" s="2"/>
      <c r="MZO98" s="2"/>
      <c r="MZP98" s="2"/>
      <c r="MZQ98" s="2"/>
      <c r="MZR98" s="2"/>
      <c r="MZS98" s="2"/>
      <c r="MZT98" s="2"/>
      <c r="MZU98" s="2"/>
      <c r="MZV98" s="2"/>
      <c r="MZW98" s="2"/>
      <c r="MZX98" s="2"/>
      <c r="MZY98" s="2"/>
      <c r="MZZ98" s="2"/>
      <c r="NAA98" s="2"/>
      <c r="NAB98" s="2"/>
      <c r="NAC98" s="2"/>
      <c r="NAD98" s="2"/>
      <c r="NAE98" s="2"/>
      <c r="NAF98" s="2"/>
      <c r="NAG98" s="2"/>
      <c r="NAH98" s="2"/>
      <c r="NAI98" s="2"/>
      <c r="NAJ98" s="2"/>
      <c r="NAK98" s="2"/>
      <c r="NAL98" s="2"/>
      <c r="NAM98" s="2"/>
      <c r="NAN98" s="2"/>
      <c r="NAO98" s="2"/>
      <c r="NAP98" s="2"/>
      <c r="NAQ98" s="2"/>
      <c r="NAR98" s="2"/>
      <c r="NAS98" s="2"/>
      <c r="NAT98" s="2"/>
      <c r="NAU98" s="2"/>
      <c r="NAV98" s="2"/>
      <c r="NAW98" s="2"/>
      <c r="NAX98" s="2"/>
      <c r="NAY98" s="2"/>
      <c r="NAZ98" s="2"/>
      <c r="NBA98" s="2"/>
      <c r="NBB98" s="2"/>
      <c r="NBC98" s="2"/>
      <c r="NBD98" s="2"/>
      <c r="NBE98" s="2"/>
      <c r="NBF98" s="2"/>
      <c r="NBG98" s="2"/>
      <c r="NBH98" s="2"/>
      <c r="NBI98" s="2"/>
      <c r="NBJ98" s="2"/>
      <c r="NBK98" s="2"/>
      <c r="NBL98" s="2"/>
      <c r="NBM98" s="2"/>
      <c r="NBN98" s="2"/>
      <c r="NBO98" s="2"/>
      <c r="NBP98" s="2"/>
      <c r="NBQ98" s="2"/>
      <c r="NBR98" s="2"/>
      <c r="NBS98" s="2"/>
      <c r="NBT98" s="2"/>
      <c r="NBU98" s="2"/>
      <c r="NBV98" s="2"/>
      <c r="NBW98" s="2"/>
      <c r="NBX98" s="2"/>
      <c r="NBY98" s="2"/>
      <c r="NBZ98" s="2"/>
      <c r="NCA98" s="2"/>
      <c r="NCB98" s="2"/>
      <c r="NCC98" s="2"/>
      <c r="NCD98" s="2"/>
      <c r="NCE98" s="2"/>
      <c r="NCF98" s="2"/>
      <c r="NCG98" s="2"/>
      <c r="NCH98" s="2"/>
      <c r="NCI98" s="2"/>
      <c r="NCJ98" s="2"/>
      <c r="NCK98" s="2"/>
      <c r="NCL98" s="2"/>
      <c r="NCM98" s="2"/>
      <c r="NCN98" s="2"/>
      <c r="NCO98" s="2"/>
      <c r="NCP98" s="2"/>
      <c r="NCQ98" s="2"/>
      <c r="NCR98" s="2"/>
      <c r="NCS98" s="2"/>
      <c r="NCT98" s="2"/>
      <c r="NCU98" s="2"/>
      <c r="NCV98" s="2"/>
      <c r="NCW98" s="2"/>
      <c r="NCX98" s="2"/>
      <c r="NCY98" s="2"/>
      <c r="NCZ98" s="2"/>
      <c r="NDA98" s="2"/>
      <c r="NDB98" s="2"/>
      <c r="NDC98" s="2"/>
      <c r="NDD98" s="2"/>
      <c r="NDE98" s="2"/>
      <c r="NDF98" s="2"/>
      <c r="NDG98" s="2"/>
      <c r="NDH98" s="2"/>
      <c r="NDI98" s="2"/>
      <c r="NDJ98" s="2"/>
      <c r="NDK98" s="2"/>
      <c r="NDL98" s="2"/>
      <c r="NDM98" s="2"/>
      <c r="NDN98" s="2"/>
      <c r="NDO98" s="2"/>
      <c r="NDP98" s="2"/>
      <c r="NDQ98" s="2"/>
      <c r="NDR98" s="2"/>
      <c r="NDS98" s="2"/>
      <c r="NDT98" s="2"/>
      <c r="NDU98" s="2"/>
      <c r="NDV98" s="2"/>
      <c r="NDW98" s="2"/>
      <c r="NDX98" s="2"/>
      <c r="NDY98" s="2"/>
      <c r="NDZ98" s="2"/>
      <c r="NEA98" s="2"/>
      <c r="NEB98" s="2"/>
      <c r="NEC98" s="2"/>
      <c r="NED98" s="2"/>
      <c r="NEE98" s="2"/>
      <c r="NEF98" s="2"/>
      <c r="NEG98" s="2"/>
      <c r="NEH98" s="2"/>
      <c r="NEI98" s="2"/>
      <c r="NEJ98" s="2"/>
      <c r="NEK98" s="2"/>
      <c r="NEL98" s="2"/>
      <c r="NEM98" s="2"/>
      <c r="NEN98" s="2"/>
      <c r="NEO98" s="2"/>
      <c r="NEP98" s="2"/>
      <c r="NEQ98" s="2"/>
      <c r="NER98" s="2"/>
      <c r="NES98" s="2"/>
      <c r="NET98" s="2"/>
      <c r="NEU98" s="2"/>
      <c r="NEV98" s="2"/>
      <c r="NEW98" s="2"/>
      <c r="NEX98" s="2"/>
      <c r="NEY98" s="2"/>
      <c r="NEZ98" s="2"/>
      <c r="NFA98" s="2"/>
      <c r="NFB98" s="2"/>
      <c r="NFC98" s="2"/>
      <c r="NFD98" s="2"/>
      <c r="NFE98" s="2"/>
      <c r="NFF98" s="2"/>
      <c r="NFG98" s="2"/>
      <c r="NFH98" s="2"/>
      <c r="NFI98" s="2"/>
      <c r="NFJ98" s="2"/>
      <c r="NFK98" s="2"/>
      <c r="NFL98" s="2"/>
      <c r="NFM98" s="2"/>
      <c r="NFN98" s="2"/>
      <c r="NFO98" s="2"/>
      <c r="NFP98" s="2"/>
      <c r="NFQ98" s="2"/>
      <c r="NFR98" s="2"/>
      <c r="NFS98" s="2"/>
      <c r="NFT98" s="2"/>
      <c r="NFU98" s="2"/>
      <c r="NFV98" s="2"/>
      <c r="NFW98" s="2"/>
      <c r="NFX98" s="2"/>
      <c r="NFY98" s="2"/>
      <c r="NFZ98" s="2"/>
      <c r="NGA98" s="2"/>
      <c r="NGB98" s="2"/>
      <c r="NGC98" s="2"/>
      <c r="NGD98" s="2"/>
      <c r="NGE98" s="2"/>
      <c r="NGF98" s="2"/>
      <c r="NGG98" s="2"/>
      <c r="NGH98" s="2"/>
      <c r="NGI98" s="2"/>
      <c r="NGJ98" s="2"/>
      <c r="NGK98" s="2"/>
      <c r="NGL98" s="2"/>
      <c r="NGM98" s="2"/>
      <c r="NGN98" s="2"/>
      <c r="NGO98" s="2"/>
      <c r="NGP98" s="2"/>
      <c r="NGQ98" s="2"/>
      <c r="NGR98" s="2"/>
      <c r="NGS98" s="2"/>
      <c r="NGT98" s="2"/>
      <c r="NGU98" s="2"/>
      <c r="NGV98" s="2"/>
      <c r="NGW98" s="2"/>
      <c r="NGX98" s="2"/>
      <c r="NGY98" s="2"/>
      <c r="NGZ98" s="2"/>
      <c r="NHA98" s="2"/>
      <c r="NHB98" s="2"/>
      <c r="NHC98" s="2"/>
      <c r="NHD98" s="2"/>
      <c r="NHE98" s="2"/>
      <c r="NHF98" s="2"/>
      <c r="NHG98" s="2"/>
      <c r="NHH98" s="2"/>
      <c r="NHI98" s="2"/>
      <c r="NHJ98" s="2"/>
      <c r="NHK98" s="2"/>
      <c r="NHL98" s="2"/>
      <c r="NHM98" s="2"/>
      <c r="NHN98" s="2"/>
      <c r="NHO98" s="2"/>
      <c r="NHP98" s="2"/>
      <c r="NHQ98" s="2"/>
      <c r="NHR98" s="2"/>
      <c r="NHS98" s="2"/>
      <c r="NHT98" s="2"/>
      <c r="NHU98" s="2"/>
      <c r="NHV98" s="2"/>
      <c r="NHW98" s="2"/>
      <c r="NHX98" s="2"/>
      <c r="NHY98" s="2"/>
      <c r="NHZ98" s="2"/>
      <c r="NIA98" s="2"/>
      <c r="NIB98" s="2"/>
      <c r="NIC98" s="2"/>
      <c r="NID98" s="2"/>
      <c r="NIE98" s="2"/>
      <c r="NIF98" s="2"/>
      <c r="NIG98" s="2"/>
      <c r="NIH98" s="2"/>
      <c r="NII98" s="2"/>
      <c r="NIJ98" s="2"/>
      <c r="NIK98" s="2"/>
      <c r="NIL98" s="2"/>
      <c r="NIM98" s="2"/>
      <c r="NIN98" s="2"/>
      <c r="NIO98" s="2"/>
      <c r="NIP98" s="2"/>
      <c r="NIQ98" s="2"/>
      <c r="NIR98" s="2"/>
      <c r="NIS98" s="2"/>
      <c r="NIT98" s="2"/>
      <c r="NIU98" s="2"/>
      <c r="NIV98" s="2"/>
      <c r="NIW98" s="2"/>
      <c r="NIX98" s="2"/>
      <c r="NIY98" s="2"/>
      <c r="NIZ98" s="2"/>
      <c r="NJA98" s="2"/>
      <c r="NJB98" s="2"/>
      <c r="NJC98" s="2"/>
      <c r="NJD98" s="2"/>
      <c r="NJE98" s="2"/>
      <c r="NJF98" s="2"/>
      <c r="NJG98" s="2"/>
      <c r="NJH98" s="2"/>
      <c r="NJI98" s="2"/>
      <c r="NJJ98" s="2"/>
      <c r="NJK98" s="2"/>
      <c r="NJL98" s="2"/>
      <c r="NJM98" s="2"/>
      <c r="NJN98" s="2"/>
      <c r="NJO98" s="2"/>
      <c r="NJP98" s="2"/>
      <c r="NJQ98" s="2"/>
      <c r="NJR98" s="2"/>
      <c r="NJS98" s="2"/>
      <c r="NJT98" s="2"/>
      <c r="NJU98" s="2"/>
      <c r="NJV98" s="2"/>
      <c r="NJW98" s="2"/>
      <c r="NJX98" s="2"/>
      <c r="NJY98" s="2"/>
      <c r="NJZ98" s="2"/>
      <c r="NKA98" s="2"/>
      <c r="NKB98" s="2"/>
      <c r="NKC98" s="2"/>
      <c r="NKD98" s="2"/>
      <c r="NKE98" s="2"/>
      <c r="NKF98" s="2"/>
      <c r="NKG98" s="2"/>
      <c r="NKH98" s="2"/>
      <c r="NKI98" s="2"/>
      <c r="NKJ98" s="2"/>
      <c r="NKK98" s="2"/>
      <c r="NKL98" s="2"/>
      <c r="NKM98" s="2"/>
      <c r="NKN98" s="2"/>
      <c r="NKO98" s="2"/>
      <c r="NKP98" s="2"/>
      <c r="NKQ98" s="2"/>
      <c r="NKR98" s="2"/>
      <c r="NKS98" s="2"/>
      <c r="NKT98" s="2"/>
      <c r="NKU98" s="2"/>
      <c r="NKV98" s="2"/>
      <c r="NKW98" s="2"/>
      <c r="NKX98" s="2"/>
      <c r="NKY98" s="2"/>
      <c r="NKZ98" s="2"/>
      <c r="NLA98" s="2"/>
      <c r="NLB98" s="2"/>
      <c r="NLC98" s="2"/>
      <c r="NLD98" s="2"/>
      <c r="NLE98" s="2"/>
      <c r="NLF98" s="2"/>
      <c r="NLG98" s="2"/>
      <c r="NLH98" s="2"/>
      <c r="NLI98" s="2"/>
      <c r="NLJ98" s="2"/>
      <c r="NLK98" s="2"/>
      <c r="NLL98" s="2"/>
      <c r="NLM98" s="2"/>
      <c r="NLN98" s="2"/>
      <c r="NLO98" s="2"/>
      <c r="NLP98" s="2"/>
      <c r="NLQ98" s="2"/>
      <c r="NLR98" s="2"/>
      <c r="NLS98" s="2"/>
      <c r="NLT98" s="2"/>
      <c r="NLU98" s="2"/>
      <c r="NLV98" s="2"/>
      <c r="NLW98" s="2"/>
      <c r="NLX98" s="2"/>
      <c r="NLY98" s="2"/>
      <c r="NLZ98" s="2"/>
      <c r="NMA98" s="2"/>
      <c r="NMB98" s="2"/>
      <c r="NMC98" s="2"/>
      <c r="NMD98" s="2"/>
      <c r="NME98" s="2"/>
      <c r="NMF98" s="2"/>
      <c r="NMG98" s="2"/>
      <c r="NMH98" s="2"/>
      <c r="NMI98" s="2"/>
      <c r="NMJ98" s="2"/>
      <c r="NMK98" s="2"/>
      <c r="NML98" s="2"/>
      <c r="NMM98" s="2"/>
      <c r="NMN98" s="2"/>
      <c r="NMO98" s="2"/>
      <c r="NMP98" s="2"/>
      <c r="NMQ98" s="2"/>
      <c r="NMR98" s="2"/>
      <c r="NMS98" s="2"/>
      <c r="NMT98" s="2"/>
      <c r="NMU98" s="2"/>
      <c r="NMV98" s="2"/>
      <c r="NMW98" s="2"/>
      <c r="NMX98" s="2"/>
      <c r="NMY98" s="2"/>
      <c r="NMZ98" s="2"/>
      <c r="NNA98" s="2"/>
      <c r="NNB98" s="2"/>
      <c r="NNC98" s="2"/>
      <c r="NND98" s="2"/>
      <c r="NNE98" s="2"/>
      <c r="NNF98" s="2"/>
      <c r="NNG98" s="2"/>
      <c r="NNH98" s="2"/>
      <c r="NNI98" s="2"/>
      <c r="NNJ98" s="2"/>
      <c r="NNK98" s="2"/>
      <c r="NNL98" s="2"/>
      <c r="NNM98" s="2"/>
      <c r="NNN98" s="2"/>
      <c r="NNO98" s="2"/>
      <c r="NNP98" s="2"/>
      <c r="NNQ98" s="2"/>
      <c r="NNR98" s="2"/>
      <c r="NNS98" s="2"/>
      <c r="NNT98" s="2"/>
      <c r="NNU98" s="2"/>
      <c r="NNV98" s="2"/>
      <c r="NNW98" s="2"/>
      <c r="NNX98" s="2"/>
      <c r="NNY98" s="2"/>
      <c r="NNZ98" s="2"/>
      <c r="NOA98" s="2"/>
      <c r="NOB98" s="2"/>
      <c r="NOC98" s="2"/>
      <c r="NOD98" s="2"/>
      <c r="NOE98" s="2"/>
      <c r="NOF98" s="2"/>
      <c r="NOG98" s="2"/>
      <c r="NOH98" s="2"/>
      <c r="NOI98" s="2"/>
      <c r="NOJ98" s="2"/>
      <c r="NOK98" s="2"/>
      <c r="NOL98" s="2"/>
      <c r="NOM98" s="2"/>
      <c r="NON98" s="2"/>
      <c r="NOO98" s="2"/>
      <c r="NOP98" s="2"/>
      <c r="NOQ98" s="2"/>
      <c r="NOR98" s="2"/>
      <c r="NOS98" s="2"/>
      <c r="NOT98" s="2"/>
      <c r="NOU98" s="2"/>
      <c r="NOV98" s="2"/>
      <c r="NOW98" s="2"/>
      <c r="NOX98" s="2"/>
      <c r="NOY98" s="2"/>
      <c r="NOZ98" s="2"/>
      <c r="NPA98" s="2"/>
      <c r="NPB98" s="2"/>
      <c r="NPC98" s="2"/>
      <c r="NPD98" s="2"/>
      <c r="NPE98" s="2"/>
      <c r="NPF98" s="2"/>
      <c r="NPG98" s="2"/>
      <c r="NPH98" s="2"/>
      <c r="NPI98" s="2"/>
      <c r="NPJ98" s="2"/>
      <c r="NPK98" s="2"/>
      <c r="NPL98" s="2"/>
      <c r="NPM98" s="2"/>
      <c r="NPN98" s="2"/>
      <c r="NPO98" s="2"/>
      <c r="NPP98" s="2"/>
      <c r="NPQ98" s="2"/>
      <c r="NPR98" s="2"/>
      <c r="NPS98" s="2"/>
      <c r="NPT98" s="2"/>
      <c r="NPU98" s="2"/>
      <c r="NPV98" s="2"/>
      <c r="NPW98" s="2"/>
      <c r="NPX98" s="2"/>
      <c r="NPY98" s="2"/>
      <c r="NPZ98" s="2"/>
      <c r="NQA98" s="2"/>
      <c r="NQB98" s="2"/>
      <c r="NQC98" s="2"/>
      <c r="NQD98" s="2"/>
      <c r="NQE98" s="2"/>
      <c r="NQF98" s="2"/>
      <c r="NQG98" s="2"/>
      <c r="NQH98" s="2"/>
      <c r="NQI98" s="2"/>
      <c r="NQJ98" s="2"/>
      <c r="NQK98" s="2"/>
      <c r="NQL98" s="2"/>
      <c r="NQM98" s="2"/>
      <c r="NQN98" s="2"/>
      <c r="NQO98" s="2"/>
      <c r="NQP98" s="2"/>
      <c r="NQQ98" s="2"/>
      <c r="NQR98" s="2"/>
      <c r="NQS98" s="2"/>
      <c r="NQT98" s="2"/>
      <c r="NQU98" s="2"/>
      <c r="NQV98" s="2"/>
      <c r="NQW98" s="2"/>
      <c r="NQX98" s="2"/>
      <c r="NQY98" s="2"/>
      <c r="NQZ98" s="2"/>
      <c r="NRA98" s="2"/>
      <c r="NRB98" s="2"/>
      <c r="NRC98" s="2"/>
      <c r="NRD98" s="2"/>
      <c r="NRE98" s="2"/>
      <c r="NRF98" s="2"/>
      <c r="NRG98" s="2"/>
      <c r="NRH98" s="2"/>
      <c r="NRI98" s="2"/>
      <c r="NRJ98" s="2"/>
      <c r="NRK98" s="2"/>
      <c r="NRL98" s="2"/>
      <c r="NRM98" s="2"/>
      <c r="NRN98" s="2"/>
      <c r="NRO98" s="2"/>
      <c r="NRP98" s="2"/>
      <c r="NRQ98" s="2"/>
      <c r="NRR98" s="2"/>
      <c r="NRS98" s="2"/>
      <c r="NRT98" s="2"/>
      <c r="NRU98" s="2"/>
      <c r="NRV98" s="2"/>
      <c r="NRW98" s="2"/>
      <c r="NRX98" s="2"/>
      <c r="NRY98" s="2"/>
      <c r="NRZ98" s="2"/>
      <c r="NSA98" s="2"/>
      <c r="NSB98" s="2"/>
      <c r="NSC98" s="2"/>
      <c r="NSD98" s="2"/>
      <c r="NSE98" s="2"/>
      <c r="NSF98" s="2"/>
      <c r="NSG98" s="2"/>
      <c r="NSH98" s="2"/>
      <c r="NSI98" s="2"/>
      <c r="NSJ98" s="2"/>
      <c r="NSK98" s="2"/>
      <c r="NSL98" s="2"/>
      <c r="NSM98" s="2"/>
      <c r="NSN98" s="2"/>
      <c r="NSO98" s="2"/>
      <c r="NSP98" s="2"/>
      <c r="NSQ98" s="2"/>
      <c r="NSR98" s="2"/>
      <c r="NSS98" s="2"/>
      <c r="NST98" s="2"/>
      <c r="NSU98" s="2"/>
      <c r="NSV98" s="2"/>
      <c r="NSW98" s="2"/>
      <c r="NSX98" s="2"/>
      <c r="NSY98" s="2"/>
      <c r="NSZ98" s="2"/>
      <c r="NTA98" s="2"/>
      <c r="NTB98" s="2"/>
      <c r="NTC98" s="2"/>
      <c r="NTD98" s="2"/>
      <c r="NTE98" s="2"/>
      <c r="NTF98" s="2"/>
      <c r="NTG98" s="2"/>
      <c r="NTH98" s="2"/>
      <c r="NTI98" s="2"/>
      <c r="NTJ98" s="2"/>
      <c r="NTK98" s="2"/>
      <c r="NTL98" s="2"/>
      <c r="NTM98" s="2"/>
      <c r="NTN98" s="2"/>
      <c r="NTO98" s="2"/>
      <c r="NTP98" s="2"/>
      <c r="NTQ98" s="2"/>
      <c r="NTR98" s="2"/>
      <c r="NTS98" s="2"/>
      <c r="NTT98" s="2"/>
      <c r="NTU98" s="2"/>
      <c r="NTV98" s="2"/>
      <c r="NTW98" s="2"/>
      <c r="NTX98" s="2"/>
      <c r="NTY98" s="2"/>
      <c r="NTZ98" s="2"/>
      <c r="NUA98" s="2"/>
      <c r="NUB98" s="2"/>
      <c r="NUC98" s="2"/>
      <c r="NUD98" s="2"/>
      <c r="NUE98" s="2"/>
      <c r="NUF98" s="2"/>
      <c r="NUG98" s="2"/>
      <c r="NUH98" s="2"/>
      <c r="NUI98" s="2"/>
      <c r="NUJ98" s="2"/>
      <c r="NUK98" s="2"/>
      <c r="NUL98" s="2"/>
      <c r="NUM98" s="2"/>
      <c r="NUN98" s="2"/>
      <c r="NUO98" s="2"/>
      <c r="NUP98" s="2"/>
      <c r="NUQ98" s="2"/>
      <c r="NUR98" s="2"/>
      <c r="NUS98" s="2"/>
      <c r="NUT98" s="2"/>
      <c r="NUU98" s="2"/>
      <c r="NUV98" s="2"/>
      <c r="NUW98" s="2"/>
      <c r="NUX98" s="2"/>
      <c r="NUY98" s="2"/>
      <c r="NUZ98" s="2"/>
      <c r="NVA98" s="2"/>
      <c r="NVB98" s="2"/>
      <c r="NVC98" s="2"/>
      <c r="NVD98" s="2"/>
      <c r="NVE98" s="2"/>
      <c r="NVF98" s="2"/>
      <c r="NVG98" s="2"/>
      <c r="NVH98" s="2"/>
      <c r="NVI98" s="2"/>
      <c r="NVJ98" s="2"/>
      <c r="NVK98" s="2"/>
      <c r="NVL98" s="2"/>
      <c r="NVM98" s="2"/>
      <c r="NVN98" s="2"/>
      <c r="NVO98" s="2"/>
      <c r="NVP98" s="2"/>
      <c r="NVQ98" s="2"/>
      <c r="NVR98" s="2"/>
      <c r="NVS98" s="2"/>
      <c r="NVT98" s="2"/>
      <c r="NVU98" s="2"/>
      <c r="NVV98" s="2"/>
      <c r="NVW98" s="2"/>
      <c r="NVX98" s="2"/>
      <c r="NVY98" s="2"/>
      <c r="NVZ98" s="2"/>
      <c r="NWA98" s="2"/>
      <c r="NWB98" s="2"/>
      <c r="NWC98" s="2"/>
      <c r="NWD98" s="2"/>
      <c r="NWE98" s="2"/>
      <c r="NWF98" s="2"/>
      <c r="NWG98" s="2"/>
      <c r="NWH98" s="2"/>
      <c r="NWI98" s="2"/>
      <c r="NWJ98" s="2"/>
      <c r="NWK98" s="2"/>
      <c r="NWL98" s="2"/>
      <c r="NWM98" s="2"/>
      <c r="NWN98" s="2"/>
      <c r="NWO98" s="2"/>
      <c r="NWP98" s="2"/>
      <c r="NWQ98" s="2"/>
      <c r="NWR98" s="2"/>
      <c r="NWS98" s="2"/>
      <c r="NWT98" s="2"/>
      <c r="NWU98" s="2"/>
      <c r="NWV98" s="2"/>
      <c r="NWW98" s="2"/>
      <c r="NWX98" s="2"/>
      <c r="NWY98" s="2"/>
      <c r="NWZ98" s="2"/>
      <c r="NXA98" s="2"/>
      <c r="NXB98" s="2"/>
      <c r="NXC98" s="2"/>
      <c r="NXD98" s="2"/>
      <c r="NXE98" s="2"/>
      <c r="NXF98" s="2"/>
      <c r="NXG98" s="2"/>
      <c r="NXH98" s="2"/>
      <c r="NXI98" s="2"/>
      <c r="NXJ98" s="2"/>
      <c r="NXK98" s="2"/>
      <c r="NXL98" s="2"/>
      <c r="NXM98" s="2"/>
      <c r="NXN98" s="2"/>
      <c r="NXO98" s="2"/>
      <c r="NXP98" s="2"/>
      <c r="NXQ98" s="2"/>
      <c r="NXR98" s="2"/>
      <c r="NXS98" s="2"/>
      <c r="NXT98" s="2"/>
      <c r="NXU98" s="2"/>
      <c r="NXV98" s="2"/>
      <c r="NXW98" s="2"/>
      <c r="NXX98" s="2"/>
      <c r="NXY98" s="2"/>
      <c r="NXZ98" s="2"/>
      <c r="NYA98" s="2"/>
      <c r="NYB98" s="2"/>
      <c r="NYC98" s="2"/>
      <c r="NYD98" s="2"/>
      <c r="NYE98" s="2"/>
      <c r="NYF98" s="2"/>
      <c r="NYG98" s="2"/>
      <c r="NYH98" s="2"/>
      <c r="NYI98" s="2"/>
      <c r="NYJ98" s="2"/>
      <c r="NYK98" s="2"/>
      <c r="NYL98" s="2"/>
      <c r="NYM98" s="2"/>
      <c r="NYN98" s="2"/>
      <c r="NYO98" s="2"/>
      <c r="NYP98" s="2"/>
      <c r="NYQ98" s="2"/>
      <c r="NYR98" s="2"/>
      <c r="NYS98" s="2"/>
      <c r="NYT98" s="2"/>
      <c r="NYU98" s="2"/>
      <c r="NYV98" s="2"/>
      <c r="NYW98" s="2"/>
      <c r="NYX98" s="2"/>
      <c r="NYY98" s="2"/>
      <c r="NYZ98" s="2"/>
      <c r="NZA98" s="2"/>
      <c r="NZB98" s="2"/>
      <c r="NZC98" s="2"/>
      <c r="NZD98" s="2"/>
      <c r="NZE98" s="2"/>
      <c r="NZF98" s="2"/>
      <c r="NZG98" s="2"/>
      <c r="NZH98" s="2"/>
      <c r="NZI98" s="2"/>
      <c r="NZJ98" s="2"/>
      <c r="NZK98" s="2"/>
      <c r="NZL98" s="2"/>
      <c r="NZM98" s="2"/>
      <c r="NZN98" s="2"/>
      <c r="NZO98" s="2"/>
      <c r="NZP98" s="2"/>
      <c r="NZQ98" s="2"/>
      <c r="NZR98" s="2"/>
      <c r="NZS98" s="2"/>
      <c r="NZT98" s="2"/>
      <c r="NZU98" s="2"/>
      <c r="NZV98" s="2"/>
      <c r="NZW98" s="2"/>
      <c r="NZX98" s="2"/>
      <c r="NZY98" s="2"/>
      <c r="NZZ98" s="2"/>
      <c r="OAA98" s="2"/>
      <c r="OAB98" s="2"/>
      <c r="OAC98" s="2"/>
      <c r="OAD98" s="2"/>
      <c r="OAE98" s="2"/>
      <c r="OAF98" s="2"/>
      <c r="OAG98" s="2"/>
      <c r="OAH98" s="2"/>
      <c r="OAI98" s="2"/>
      <c r="OAJ98" s="2"/>
      <c r="OAK98" s="2"/>
      <c r="OAL98" s="2"/>
      <c r="OAM98" s="2"/>
      <c r="OAN98" s="2"/>
      <c r="OAO98" s="2"/>
      <c r="OAP98" s="2"/>
      <c r="OAQ98" s="2"/>
      <c r="OAR98" s="2"/>
      <c r="OAS98" s="2"/>
      <c r="OAT98" s="2"/>
      <c r="OAU98" s="2"/>
      <c r="OAV98" s="2"/>
      <c r="OAW98" s="2"/>
      <c r="OAX98" s="2"/>
      <c r="OAY98" s="2"/>
      <c r="OAZ98" s="2"/>
      <c r="OBA98" s="2"/>
      <c r="OBB98" s="2"/>
      <c r="OBC98" s="2"/>
      <c r="OBD98" s="2"/>
      <c r="OBE98" s="2"/>
      <c r="OBF98" s="2"/>
      <c r="OBG98" s="2"/>
      <c r="OBH98" s="2"/>
      <c r="OBI98" s="2"/>
      <c r="OBJ98" s="2"/>
      <c r="OBK98" s="2"/>
      <c r="OBL98" s="2"/>
      <c r="OBM98" s="2"/>
      <c r="OBN98" s="2"/>
      <c r="OBO98" s="2"/>
      <c r="OBP98" s="2"/>
      <c r="OBQ98" s="2"/>
      <c r="OBR98" s="2"/>
      <c r="OBS98" s="2"/>
      <c r="OBT98" s="2"/>
      <c r="OBU98" s="2"/>
      <c r="OBV98" s="2"/>
      <c r="OBW98" s="2"/>
      <c r="OBX98" s="2"/>
      <c r="OBY98" s="2"/>
      <c r="OBZ98" s="2"/>
      <c r="OCA98" s="2"/>
      <c r="OCB98" s="2"/>
      <c r="OCC98" s="2"/>
      <c r="OCD98" s="2"/>
      <c r="OCE98" s="2"/>
      <c r="OCF98" s="2"/>
      <c r="OCG98" s="2"/>
      <c r="OCH98" s="2"/>
      <c r="OCI98" s="2"/>
      <c r="OCJ98" s="2"/>
      <c r="OCK98" s="2"/>
      <c r="OCL98" s="2"/>
      <c r="OCM98" s="2"/>
      <c r="OCN98" s="2"/>
      <c r="OCO98" s="2"/>
      <c r="OCP98" s="2"/>
      <c r="OCQ98" s="2"/>
      <c r="OCR98" s="2"/>
      <c r="OCS98" s="2"/>
      <c r="OCT98" s="2"/>
      <c r="OCU98" s="2"/>
      <c r="OCV98" s="2"/>
      <c r="OCW98" s="2"/>
      <c r="OCX98" s="2"/>
      <c r="OCY98" s="2"/>
      <c r="OCZ98" s="2"/>
      <c r="ODA98" s="2"/>
      <c r="ODB98" s="2"/>
      <c r="ODC98" s="2"/>
      <c r="ODD98" s="2"/>
      <c r="ODE98" s="2"/>
      <c r="ODF98" s="2"/>
      <c r="ODG98" s="2"/>
      <c r="ODH98" s="2"/>
      <c r="ODI98" s="2"/>
      <c r="ODJ98" s="2"/>
      <c r="ODK98" s="2"/>
      <c r="ODL98" s="2"/>
      <c r="ODM98" s="2"/>
      <c r="ODN98" s="2"/>
      <c r="ODO98" s="2"/>
      <c r="ODP98" s="2"/>
      <c r="ODQ98" s="2"/>
      <c r="ODR98" s="2"/>
      <c r="ODS98" s="2"/>
      <c r="ODT98" s="2"/>
      <c r="ODU98" s="2"/>
      <c r="ODV98" s="2"/>
      <c r="ODW98" s="2"/>
      <c r="ODX98" s="2"/>
      <c r="ODY98" s="2"/>
      <c r="ODZ98" s="2"/>
      <c r="OEA98" s="2"/>
      <c r="OEB98" s="2"/>
      <c r="OEC98" s="2"/>
      <c r="OED98" s="2"/>
      <c r="OEE98" s="2"/>
      <c r="OEF98" s="2"/>
      <c r="OEG98" s="2"/>
      <c r="OEH98" s="2"/>
      <c r="OEI98" s="2"/>
      <c r="OEJ98" s="2"/>
      <c r="OEK98" s="2"/>
      <c r="OEL98" s="2"/>
      <c r="OEM98" s="2"/>
      <c r="OEN98" s="2"/>
      <c r="OEO98" s="2"/>
      <c r="OEP98" s="2"/>
      <c r="OEQ98" s="2"/>
      <c r="OER98" s="2"/>
      <c r="OES98" s="2"/>
      <c r="OET98" s="2"/>
      <c r="OEU98" s="2"/>
      <c r="OEV98" s="2"/>
      <c r="OEW98" s="2"/>
      <c r="OEX98" s="2"/>
      <c r="OEY98" s="2"/>
      <c r="OEZ98" s="2"/>
      <c r="OFA98" s="2"/>
      <c r="OFB98" s="2"/>
      <c r="OFC98" s="2"/>
      <c r="OFD98" s="2"/>
      <c r="OFE98" s="2"/>
      <c r="OFF98" s="2"/>
      <c r="OFG98" s="2"/>
      <c r="OFH98" s="2"/>
      <c r="OFI98" s="2"/>
      <c r="OFJ98" s="2"/>
      <c r="OFK98" s="2"/>
      <c r="OFL98" s="2"/>
      <c r="OFM98" s="2"/>
      <c r="OFN98" s="2"/>
      <c r="OFO98" s="2"/>
      <c r="OFP98" s="2"/>
      <c r="OFQ98" s="2"/>
      <c r="OFR98" s="2"/>
      <c r="OFS98" s="2"/>
      <c r="OFT98" s="2"/>
      <c r="OFU98" s="2"/>
      <c r="OFV98" s="2"/>
      <c r="OFW98" s="2"/>
      <c r="OFX98" s="2"/>
      <c r="OFY98" s="2"/>
      <c r="OFZ98" s="2"/>
      <c r="OGA98" s="2"/>
      <c r="OGB98" s="2"/>
      <c r="OGC98" s="2"/>
      <c r="OGD98" s="2"/>
      <c r="OGE98" s="2"/>
      <c r="OGF98" s="2"/>
      <c r="OGG98" s="2"/>
      <c r="OGH98" s="2"/>
      <c r="OGI98" s="2"/>
      <c r="OGJ98" s="2"/>
      <c r="OGK98" s="2"/>
      <c r="OGL98" s="2"/>
      <c r="OGM98" s="2"/>
      <c r="OGN98" s="2"/>
      <c r="OGO98" s="2"/>
      <c r="OGP98" s="2"/>
      <c r="OGQ98" s="2"/>
      <c r="OGR98" s="2"/>
      <c r="OGS98" s="2"/>
      <c r="OGT98" s="2"/>
      <c r="OGU98" s="2"/>
      <c r="OGV98" s="2"/>
      <c r="OGW98" s="2"/>
      <c r="OGX98" s="2"/>
      <c r="OGY98" s="2"/>
      <c r="OGZ98" s="2"/>
      <c r="OHA98" s="2"/>
      <c r="OHB98" s="2"/>
      <c r="OHC98" s="2"/>
      <c r="OHD98" s="2"/>
      <c r="OHE98" s="2"/>
      <c r="OHF98" s="2"/>
      <c r="OHG98" s="2"/>
      <c r="OHH98" s="2"/>
      <c r="OHI98" s="2"/>
      <c r="OHJ98" s="2"/>
      <c r="OHK98" s="2"/>
      <c r="OHL98" s="2"/>
      <c r="OHM98" s="2"/>
      <c r="OHN98" s="2"/>
      <c r="OHO98" s="2"/>
      <c r="OHP98" s="2"/>
      <c r="OHQ98" s="2"/>
      <c r="OHR98" s="2"/>
      <c r="OHS98" s="2"/>
      <c r="OHT98" s="2"/>
      <c r="OHU98" s="2"/>
      <c r="OHV98" s="2"/>
      <c r="OHW98" s="2"/>
      <c r="OHX98" s="2"/>
      <c r="OHY98" s="2"/>
      <c r="OHZ98" s="2"/>
      <c r="OIA98" s="2"/>
      <c r="OIB98" s="2"/>
      <c r="OIC98" s="2"/>
      <c r="OID98" s="2"/>
      <c r="OIE98" s="2"/>
      <c r="OIF98" s="2"/>
      <c r="OIG98" s="2"/>
      <c r="OIH98" s="2"/>
      <c r="OII98" s="2"/>
      <c r="OIJ98" s="2"/>
      <c r="OIK98" s="2"/>
      <c r="OIL98" s="2"/>
      <c r="OIM98" s="2"/>
      <c r="OIN98" s="2"/>
      <c r="OIO98" s="2"/>
      <c r="OIP98" s="2"/>
      <c r="OIQ98" s="2"/>
      <c r="OIR98" s="2"/>
      <c r="OIS98" s="2"/>
      <c r="OIT98" s="2"/>
      <c r="OIU98" s="2"/>
      <c r="OIV98" s="2"/>
      <c r="OIW98" s="2"/>
      <c r="OIX98" s="2"/>
      <c r="OIY98" s="2"/>
      <c r="OIZ98" s="2"/>
      <c r="OJA98" s="2"/>
      <c r="OJB98" s="2"/>
      <c r="OJC98" s="2"/>
      <c r="OJD98" s="2"/>
      <c r="OJE98" s="2"/>
      <c r="OJF98" s="2"/>
      <c r="OJG98" s="2"/>
      <c r="OJH98" s="2"/>
      <c r="OJI98" s="2"/>
      <c r="OJJ98" s="2"/>
      <c r="OJK98" s="2"/>
      <c r="OJL98" s="2"/>
      <c r="OJM98" s="2"/>
      <c r="OJN98" s="2"/>
      <c r="OJO98" s="2"/>
      <c r="OJP98" s="2"/>
      <c r="OJQ98" s="2"/>
      <c r="OJR98" s="2"/>
      <c r="OJS98" s="2"/>
      <c r="OJT98" s="2"/>
      <c r="OJU98" s="2"/>
      <c r="OJV98" s="2"/>
      <c r="OJW98" s="2"/>
      <c r="OJX98" s="2"/>
      <c r="OJY98" s="2"/>
      <c r="OJZ98" s="2"/>
      <c r="OKA98" s="2"/>
      <c r="OKB98" s="2"/>
      <c r="OKC98" s="2"/>
      <c r="OKD98" s="2"/>
      <c r="OKE98" s="2"/>
      <c r="OKF98" s="2"/>
      <c r="OKG98" s="2"/>
      <c r="OKH98" s="2"/>
      <c r="OKI98" s="2"/>
      <c r="OKJ98" s="2"/>
      <c r="OKK98" s="2"/>
      <c r="OKL98" s="2"/>
      <c r="OKM98" s="2"/>
      <c r="OKN98" s="2"/>
      <c r="OKO98" s="2"/>
      <c r="OKP98" s="2"/>
      <c r="OKQ98" s="2"/>
      <c r="OKR98" s="2"/>
      <c r="OKS98" s="2"/>
      <c r="OKT98" s="2"/>
      <c r="OKU98" s="2"/>
      <c r="OKV98" s="2"/>
      <c r="OKW98" s="2"/>
      <c r="OKX98" s="2"/>
      <c r="OKY98" s="2"/>
      <c r="OKZ98" s="2"/>
      <c r="OLA98" s="2"/>
      <c r="OLB98" s="2"/>
      <c r="OLC98" s="2"/>
      <c r="OLD98" s="2"/>
      <c r="OLE98" s="2"/>
      <c r="OLF98" s="2"/>
      <c r="OLG98" s="2"/>
      <c r="OLH98" s="2"/>
      <c r="OLI98" s="2"/>
      <c r="OLJ98" s="2"/>
      <c r="OLK98" s="2"/>
      <c r="OLL98" s="2"/>
      <c r="OLM98" s="2"/>
      <c r="OLN98" s="2"/>
      <c r="OLO98" s="2"/>
      <c r="OLP98" s="2"/>
      <c r="OLQ98" s="2"/>
      <c r="OLR98" s="2"/>
      <c r="OLS98" s="2"/>
      <c r="OLT98" s="2"/>
      <c r="OLU98" s="2"/>
      <c r="OLV98" s="2"/>
      <c r="OLW98" s="2"/>
      <c r="OLX98" s="2"/>
      <c r="OLY98" s="2"/>
      <c r="OLZ98" s="2"/>
      <c r="OMA98" s="2"/>
      <c r="OMB98" s="2"/>
      <c r="OMC98" s="2"/>
      <c r="OMD98" s="2"/>
      <c r="OME98" s="2"/>
      <c r="OMF98" s="2"/>
      <c r="OMG98" s="2"/>
      <c r="OMH98" s="2"/>
      <c r="OMI98" s="2"/>
      <c r="OMJ98" s="2"/>
      <c r="OMK98" s="2"/>
      <c r="OML98" s="2"/>
      <c r="OMM98" s="2"/>
      <c r="OMN98" s="2"/>
      <c r="OMO98" s="2"/>
      <c r="OMP98" s="2"/>
      <c r="OMQ98" s="2"/>
      <c r="OMR98" s="2"/>
      <c r="OMS98" s="2"/>
      <c r="OMT98" s="2"/>
      <c r="OMU98" s="2"/>
      <c r="OMV98" s="2"/>
      <c r="OMW98" s="2"/>
      <c r="OMX98" s="2"/>
      <c r="OMY98" s="2"/>
      <c r="OMZ98" s="2"/>
      <c r="ONA98" s="2"/>
      <c r="ONB98" s="2"/>
      <c r="ONC98" s="2"/>
      <c r="OND98" s="2"/>
      <c r="ONE98" s="2"/>
      <c r="ONF98" s="2"/>
      <c r="ONG98" s="2"/>
      <c r="ONH98" s="2"/>
      <c r="ONI98" s="2"/>
      <c r="ONJ98" s="2"/>
      <c r="ONK98" s="2"/>
      <c r="ONL98" s="2"/>
      <c r="ONM98" s="2"/>
      <c r="ONN98" s="2"/>
      <c r="ONO98" s="2"/>
      <c r="ONP98" s="2"/>
      <c r="ONQ98" s="2"/>
      <c r="ONR98" s="2"/>
      <c r="ONS98" s="2"/>
      <c r="ONT98" s="2"/>
      <c r="ONU98" s="2"/>
      <c r="ONV98" s="2"/>
      <c r="ONW98" s="2"/>
      <c r="ONX98" s="2"/>
      <c r="ONY98" s="2"/>
      <c r="ONZ98" s="2"/>
      <c r="OOA98" s="2"/>
      <c r="OOB98" s="2"/>
      <c r="OOC98" s="2"/>
      <c r="OOD98" s="2"/>
      <c r="OOE98" s="2"/>
      <c r="OOF98" s="2"/>
      <c r="OOG98" s="2"/>
      <c r="OOH98" s="2"/>
      <c r="OOI98" s="2"/>
      <c r="OOJ98" s="2"/>
      <c r="OOK98" s="2"/>
      <c r="OOL98" s="2"/>
      <c r="OOM98" s="2"/>
      <c r="OON98" s="2"/>
      <c r="OOO98" s="2"/>
      <c r="OOP98" s="2"/>
      <c r="OOQ98" s="2"/>
      <c r="OOR98" s="2"/>
      <c r="OOS98" s="2"/>
      <c r="OOT98" s="2"/>
      <c r="OOU98" s="2"/>
      <c r="OOV98" s="2"/>
      <c r="OOW98" s="2"/>
      <c r="OOX98" s="2"/>
      <c r="OOY98" s="2"/>
      <c r="OOZ98" s="2"/>
      <c r="OPA98" s="2"/>
      <c r="OPB98" s="2"/>
      <c r="OPC98" s="2"/>
      <c r="OPD98" s="2"/>
      <c r="OPE98" s="2"/>
      <c r="OPF98" s="2"/>
      <c r="OPG98" s="2"/>
      <c r="OPH98" s="2"/>
      <c r="OPI98" s="2"/>
      <c r="OPJ98" s="2"/>
      <c r="OPK98" s="2"/>
      <c r="OPL98" s="2"/>
      <c r="OPM98" s="2"/>
      <c r="OPN98" s="2"/>
      <c r="OPO98" s="2"/>
      <c r="OPP98" s="2"/>
      <c r="OPQ98" s="2"/>
      <c r="OPR98" s="2"/>
      <c r="OPS98" s="2"/>
      <c r="OPT98" s="2"/>
      <c r="OPU98" s="2"/>
      <c r="OPV98" s="2"/>
      <c r="OPW98" s="2"/>
      <c r="OPX98" s="2"/>
      <c r="OPY98" s="2"/>
      <c r="OPZ98" s="2"/>
      <c r="OQA98" s="2"/>
      <c r="OQB98" s="2"/>
      <c r="OQC98" s="2"/>
      <c r="OQD98" s="2"/>
      <c r="OQE98" s="2"/>
      <c r="OQF98" s="2"/>
      <c r="OQG98" s="2"/>
      <c r="OQH98" s="2"/>
      <c r="OQI98" s="2"/>
      <c r="OQJ98" s="2"/>
      <c r="OQK98" s="2"/>
      <c r="OQL98" s="2"/>
      <c r="OQM98" s="2"/>
      <c r="OQN98" s="2"/>
      <c r="OQO98" s="2"/>
      <c r="OQP98" s="2"/>
      <c r="OQQ98" s="2"/>
      <c r="OQR98" s="2"/>
      <c r="OQS98" s="2"/>
      <c r="OQT98" s="2"/>
      <c r="OQU98" s="2"/>
      <c r="OQV98" s="2"/>
      <c r="OQW98" s="2"/>
      <c r="OQX98" s="2"/>
      <c r="OQY98" s="2"/>
      <c r="OQZ98" s="2"/>
      <c r="ORA98" s="2"/>
      <c r="ORB98" s="2"/>
      <c r="ORC98" s="2"/>
      <c r="ORD98" s="2"/>
      <c r="ORE98" s="2"/>
      <c r="ORF98" s="2"/>
      <c r="ORG98" s="2"/>
      <c r="ORH98" s="2"/>
      <c r="ORI98" s="2"/>
      <c r="ORJ98" s="2"/>
      <c r="ORK98" s="2"/>
      <c r="ORL98" s="2"/>
      <c r="ORM98" s="2"/>
      <c r="ORN98" s="2"/>
      <c r="ORO98" s="2"/>
      <c r="ORP98" s="2"/>
      <c r="ORQ98" s="2"/>
      <c r="ORR98" s="2"/>
      <c r="ORS98" s="2"/>
      <c r="ORT98" s="2"/>
      <c r="ORU98" s="2"/>
      <c r="ORV98" s="2"/>
      <c r="ORW98" s="2"/>
      <c r="ORX98" s="2"/>
      <c r="ORY98" s="2"/>
      <c r="ORZ98" s="2"/>
      <c r="OSA98" s="2"/>
      <c r="OSB98" s="2"/>
      <c r="OSC98" s="2"/>
      <c r="OSD98" s="2"/>
      <c r="OSE98" s="2"/>
      <c r="OSF98" s="2"/>
      <c r="OSG98" s="2"/>
      <c r="OSH98" s="2"/>
      <c r="OSI98" s="2"/>
      <c r="OSJ98" s="2"/>
      <c r="OSK98" s="2"/>
      <c r="OSL98" s="2"/>
      <c r="OSM98" s="2"/>
      <c r="OSN98" s="2"/>
      <c r="OSO98" s="2"/>
      <c r="OSP98" s="2"/>
      <c r="OSQ98" s="2"/>
      <c r="OSR98" s="2"/>
      <c r="OSS98" s="2"/>
      <c r="OST98" s="2"/>
      <c r="OSU98" s="2"/>
      <c r="OSV98" s="2"/>
      <c r="OSW98" s="2"/>
      <c r="OSX98" s="2"/>
      <c r="OSY98" s="2"/>
      <c r="OSZ98" s="2"/>
      <c r="OTA98" s="2"/>
      <c r="OTB98" s="2"/>
      <c r="OTC98" s="2"/>
      <c r="OTD98" s="2"/>
      <c r="OTE98" s="2"/>
      <c r="OTF98" s="2"/>
      <c r="OTG98" s="2"/>
      <c r="OTH98" s="2"/>
      <c r="OTI98" s="2"/>
      <c r="OTJ98" s="2"/>
      <c r="OTK98" s="2"/>
      <c r="OTL98" s="2"/>
      <c r="OTM98" s="2"/>
      <c r="OTN98" s="2"/>
      <c r="OTO98" s="2"/>
      <c r="OTP98" s="2"/>
      <c r="OTQ98" s="2"/>
      <c r="OTR98" s="2"/>
      <c r="OTS98" s="2"/>
      <c r="OTT98" s="2"/>
      <c r="OTU98" s="2"/>
      <c r="OTV98" s="2"/>
      <c r="OTW98" s="2"/>
      <c r="OTX98" s="2"/>
      <c r="OTY98" s="2"/>
      <c r="OTZ98" s="2"/>
      <c r="OUA98" s="2"/>
      <c r="OUB98" s="2"/>
      <c r="OUC98" s="2"/>
      <c r="OUD98" s="2"/>
      <c r="OUE98" s="2"/>
      <c r="OUF98" s="2"/>
      <c r="OUG98" s="2"/>
      <c r="OUH98" s="2"/>
      <c r="OUI98" s="2"/>
      <c r="OUJ98" s="2"/>
      <c r="OUK98" s="2"/>
      <c r="OUL98" s="2"/>
      <c r="OUM98" s="2"/>
      <c r="OUN98" s="2"/>
      <c r="OUO98" s="2"/>
      <c r="OUP98" s="2"/>
      <c r="OUQ98" s="2"/>
      <c r="OUR98" s="2"/>
      <c r="OUS98" s="2"/>
      <c r="OUT98" s="2"/>
      <c r="OUU98" s="2"/>
      <c r="OUV98" s="2"/>
      <c r="OUW98" s="2"/>
      <c r="OUX98" s="2"/>
      <c r="OUY98" s="2"/>
      <c r="OUZ98" s="2"/>
      <c r="OVA98" s="2"/>
      <c r="OVB98" s="2"/>
      <c r="OVC98" s="2"/>
      <c r="OVD98" s="2"/>
      <c r="OVE98" s="2"/>
      <c r="OVF98" s="2"/>
      <c r="OVG98" s="2"/>
      <c r="OVH98" s="2"/>
      <c r="OVI98" s="2"/>
      <c r="OVJ98" s="2"/>
      <c r="OVK98" s="2"/>
      <c r="OVL98" s="2"/>
      <c r="OVM98" s="2"/>
      <c r="OVN98" s="2"/>
      <c r="OVO98" s="2"/>
      <c r="OVP98" s="2"/>
      <c r="OVQ98" s="2"/>
      <c r="OVR98" s="2"/>
      <c r="OVS98" s="2"/>
      <c r="OVT98" s="2"/>
      <c r="OVU98" s="2"/>
      <c r="OVV98" s="2"/>
      <c r="OVW98" s="2"/>
      <c r="OVX98" s="2"/>
      <c r="OVY98" s="2"/>
      <c r="OVZ98" s="2"/>
      <c r="OWA98" s="2"/>
      <c r="OWB98" s="2"/>
      <c r="OWC98" s="2"/>
      <c r="OWD98" s="2"/>
      <c r="OWE98" s="2"/>
      <c r="OWF98" s="2"/>
      <c r="OWG98" s="2"/>
      <c r="OWH98" s="2"/>
      <c r="OWI98" s="2"/>
      <c r="OWJ98" s="2"/>
      <c r="OWK98" s="2"/>
      <c r="OWL98" s="2"/>
      <c r="OWM98" s="2"/>
      <c r="OWN98" s="2"/>
      <c r="OWO98" s="2"/>
      <c r="OWP98" s="2"/>
      <c r="OWQ98" s="2"/>
      <c r="OWR98" s="2"/>
      <c r="OWS98" s="2"/>
      <c r="OWT98" s="2"/>
      <c r="OWU98" s="2"/>
      <c r="OWV98" s="2"/>
      <c r="OWW98" s="2"/>
      <c r="OWX98" s="2"/>
      <c r="OWY98" s="2"/>
      <c r="OWZ98" s="2"/>
      <c r="OXA98" s="2"/>
      <c r="OXB98" s="2"/>
      <c r="OXC98" s="2"/>
      <c r="OXD98" s="2"/>
      <c r="OXE98" s="2"/>
      <c r="OXF98" s="2"/>
      <c r="OXG98" s="2"/>
      <c r="OXH98" s="2"/>
      <c r="OXI98" s="2"/>
      <c r="OXJ98" s="2"/>
      <c r="OXK98" s="2"/>
      <c r="OXL98" s="2"/>
      <c r="OXM98" s="2"/>
      <c r="OXN98" s="2"/>
      <c r="OXO98" s="2"/>
      <c r="OXP98" s="2"/>
      <c r="OXQ98" s="2"/>
      <c r="OXR98" s="2"/>
      <c r="OXS98" s="2"/>
      <c r="OXT98" s="2"/>
      <c r="OXU98" s="2"/>
      <c r="OXV98" s="2"/>
      <c r="OXW98" s="2"/>
      <c r="OXX98" s="2"/>
      <c r="OXY98" s="2"/>
      <c r="OXZ98" s="2"/>
      <c r="OYA98" s="2"/>
      <c r="OYB98" s="2"/>
      <c r="OYC98" s="2"/>
      <c r="OYD98" s="2"/>
      <c r="OYE98" s="2"/>
      <c r="OYF98" s="2"/>
      <c r="OYG98" s="2"/>
      <c r="OYH98" s="2"/>
      <c r="OYI98" s="2"/>
      <c r="OYJ98" s="2"/>
      <c r="OYK98" s="2"/>
      <c r="OYL98" s="2"/>
      <c r="OYM98" s="2"/>
      <c r="OYN98" s="2"/>
      <c r="OYO98" s="2"/>
      <c r="OYP98" s="2"/>
      <c r="OYQ98" s="2"/>
      <c r="OYR98" s="2"/>
      <c r="OYS98" s="2"/>
      <c r="OYT98" s="2"/>
      <c r="OYU98" s="2"/>
      <c r="OYV98" s="2"/>
      <c r="OYW98" s="2"/>
      <c r="OYX98" s="2"/>
      <c r="OYY98" s="2"/>
      <c r="OYZ98" s="2"/>
      <c r="OZA98" s="2"/>
      <c r="OZB98" s="2"/>
      <c r="OZC98" s="2"/>
      <c r="OZD98" s="2"/>
      <c r="OZE98" s="2"/>
      <c r="OZF98" s="2"/>
      <c r="OZG98" s="2"/>
      <c r="OZH98" s="2"/>
      <c r="OZI98" s="2"/>
      <c r="OZJ98" s="2"/>
      <c r="OZK98" s="2"/>
      <c r="OZL98" s="2"/>
      <c r="OZM98" s="2"/>
      <c r="OZN98" s="2"/>
      <c r="OZO98" s="2"/>
      <c r="OZP98" s="2"/>
      <c r="OZQ98" s="2"/>
      <c r="OZR98" s="2"/>
      <c r="OZS98" s="2"/>
      <c r="OZT98" s="2"/>
      <c r="OZU98" s="2"/>
      <c r="OZV98" s="2"/>
      <c r="OZW98" s="2"/>
      <c r="OZX98" s="2"/>
      <c r="OZY98" s="2"/>
      <c r="OZZ98" s="2"/>
      <c r="PAA98" s="2"/>
      <c r="PAB98" s="2"/>
      <c r="PAC98" s="2"/>
      <c r="PAD98" s="2"/>
      <c r="PAE98" s="2"/>
      <c r="PAF98" s="2"/>
      <c r="PAG98" s="2"/>
      <c r="PAH98" s="2"/>
      <c r="PAI98" s="2"/>
      <c r="PAJ98" s="2"/>
      <c r="PAK98" s="2"/>
      <c r="PAL98" s="2"/>
      <c r="PAM98" s="2"/>
      <c r="PAN98" s="2"/>
      <c r="PAO98" s="2"/>
      <c r="PAP98" s="2"/>
      <c r="PAQ98" s="2"/>
      <c r="PAR98" s="2"/>
      <c r="PAS98" s="2"/>
      <c r="PAT98" s="2"/>
      <c r="PAU98" s="2"/>
      <c r="PAV98" s="2"/>
      <c r="PAW98" s="2"/>
      <c r="PAX98" s="2"/>
      <c r="PAY98" s="2"/>
      <c r="PAZ98" s="2"/>
      <c r="PBA98" s="2"/>
      <c r="PBB98" s="2"/>
      <c r="PBC98" s="2"/>
      <c r="PBD98" s="2"/>
      <c r="PBE98" s="2"/>
      <c r="PBF98" s="2"/>
      <c r="PBG98" s="2"/>
      <c r="PBH98" s="2"/>
      <c r="PBI98" s="2"/>
      <c r="PBJ98" s="2"/>
      <c r="PBK98" s="2"/>
      <c r="PBL98" s="2"/>
      <c r="PBM98" s="2"/>
      <c r="PBN98" s="2"/>
      <c r="PBO98" s="2"/>
      <c r="PBP98" s="2"/>
      <c r="PBQ98" s="2"/>
      <c r="PBR98" s="2"/>
      <c r="PBS98" s="2"/>
      <c r="PBT98" s="2"/>
      <c r="PBU98" s="2"/>
      <c r="PBV98" s="2"/>
      <c r="PBW98" s="2"/>
      <c r="PBX98" s="2"/>
      <c r="PBY98" s="2"/>
      <c r="PBZ98" s="2"/>
      <c r="PCA98" s="2"/>
      <c r="PCB98" s="2"/>
      <c r="PCC98" s="2"/>
      <c r="PCD98" s="2"/>
      <c r="PCE98" s="2"/>
      <c r="PCF98" s="2"/>
      <c r="PCG98" s="2"/>
      <c r="PCH98" s="2"/>
      <c r="PCI98" s="2"/>
      <c r="PCJ98" s="2"/>
      <c r="PCK98" s="2"/>
      <c r="PCL98" s="2"/>
      <c r="PCM98" s="2"/>
      <c r="PCN98" s="2"/>
      <c r="PCO98" s="2"/>
      <c r="PCP98" s="2"/>
      <c r="PCQ98" s="2"/>
      <c r="PCR98" s="2"/>
      <c r="PCS98" s="2"/>
      <c r="PCT98" s="2"/>
      <c r="PCU98" s="2"/>
      <c r="PCV98" s="2"/>
      <c r="PCW98" s="2"/>
      <c r="PCX98" s="2"/>
      <c r="PCY98" s="2"/>
      <c r="PCZ98" s="2"/>
      <c r="PDA98" s="2"/>
      <c r="PDB98" s="2"/>
      <c r="PDC98" s="2"/>
      <c r="PDD98" s="2"/>
      <c r="PDE98" s="2"/>
      <c r="PDF98" s="2"/>
      <c r="PDG98" s="2"/>
      <c r="PDH98" s="2"/>
      <c r="PDI98" s="2"/>
      <c r="PDJ98" s="2"/>
      <c r="PDK98" s="2"/>
      <c r="PDL98" s="2"/>
      <c r="PDM98" s="2"/>
      <c r="PDN98" s="2"/>
      <c r="PDO98" s="2"/>
      <c r="PDP98" s="2"/>
      <c r="PDQ98" s="2"/>
      <c r="PDR98" s="2"/>
      <c r="PDS98" s="2"/>
      <c r="PDT98" s="2"/>
      <c r="PDU98" s="2"/>
      <c r="PDV98" s="2"/>
      <c r="PDW98" s="2"/>
      <c r="PDX98" s="2"/>
      <c r="PDY98" s="2"/>
      <c r="PDZ98" s="2"/>
      <c r="PEA98" s="2"/>
      <c r="PEB98" s="2"/>
      <c r="PEC98" s="2"/>
      <c r="PED98" s="2"/>
      <c r="PEE98" s="2"/>
      <c r="PEF98" s="2"/>
      <c r="PEG98" s="2"/>
      <c r="PEH98" s="2"/>
      <c r="PEI98" s="2"/>
      <c r="PEJ98" s="2"/>
      <c r="PEK98" s="2"/>
      <c r="PEL98" s="2"/>
      <c r="PEM98" s="2"/>
      <c r="PEN98" s="2"/>
      <c r="PEO98" s="2"/>
      <c r="PEP98" s="2"/>
      <c r="PEQ98" s="2"/>
      <c r="PER98" s="2"/>
      <c r="PES98" s="2"/>
      <c r="PET98" s="2"/>
      <c r="PEU98" s="2"/>
      <c r="PEV98" s="2"/>
      <c r="PEW98" s="2"/>
      <c r="PEX98" s="2"/>
      <c r="PEY98" s="2"/>
      <c r="PEZ98" s="2"/>
      <c r="PFA98" s="2"/>
      <c r="PFB98" s="2"/>
      <c r="PFC98" s="2"/>
      <c r="PFD98" s="2"/>
      <c r="PFE98" s="2"/>
      <c r="PFF98" s="2"/>
      <c r="PFG98" s="2"/>
      <c r="PFH98" s="2"/>
      <c r="PFI98" s="2"/>
      <c r="PFJ98" s="2"/>
      <c r="PFK98" s="2"/>
      <c r="PFL98" s="2"/>
      <c r="PFM98" s="2"/>
      <c r="PFN98" s="2"/>
      <c r="PFO98" s="2"/>
      <c r="PFP98" s="2"/>
      <c r="PFQ98" s="2"/>
      <c r="PFR98" s="2"/>
      <c r="PFS98" s="2"/>
      <c r="PFT98" s="2"/>
      <c r="PFU98" s="2"/>
      <c r="PFV98" s="2"/>
      <c r="PFW98" s="2"/>
      <c r="PFX98" s="2"/>
      <c r="PFY98" s="2"/>
      <c r="PFZ98" s="2"/>
      <c r="PGA98" s="2"/>
      <c r="PGB98" s="2"/>
      <c r="PGC98" s="2"/>
      <c r="PGD98" s="2"/>
      <c r="PGE98" s="2"/>
      <c r="PGF98" s="2"/>
      <c r="PGG98" s="2"/>
      <c r="PGH98" s="2"/>
      <c r="PGI98" s="2"/>
      <c r="PGJ98" s="2"/>
      <c r="PGK98" s="2"/>
      <c r="PGL98" s="2"/>
      <c r="PGM98" s="2"/>
      <c r="PGN98" s="2"/>
      <c r="PGO98" s="2"/>
      <c r="PGP98" s="2"/>
      <c r="PGQ98" s="2"/>
      <c r="PGR98" s="2"/>
      <c r="PGS98" s="2"/>
      <c r="PGT98" s="2"/>
      <c r="PGU98" s="2"/>
      <c r="PGV98" s="2"/>
      <c r="PGW98" s="2"/>
      <c r="PGX98" s="2"/>
      <c r="PGY98" s="2"/>
      <c r="PGZ98" s="2"/>
      <c r="PHA98" s="2"/>
      <c r="PHB98" s="2"/>
      <c r="PHC98" s="2"/>
      <c r="PHD98" s="2"/>
      <c r="PHE98" s="2"/>
      <c r="PHF98" s="2"/>
      <c r="PHG98" s="2"/>
      <c r="PHH98" s="2"/>
      <c r="PHI98" s="2"/>
      <c r="PHJ98" s="2"/>
      <c r="PHK98" s="2"/>
      <c r="PHL98" s="2"/>
      <c r="PHM98" s="2"/>
      <c r="PHN98" s="2"/>
      <c r="PHO98" s="2"/>
      <c r="PHP98" s="2"/>
      <c r="PHQ98" s="2"/>
      <c r="PHR98" s="2"/>
      <c r="PHS98" s="2"/>
      <c r="PHT98" s="2"/>
      <c r="PHU98" s="2"/>
      <c r="PHV98" s="2"/>
      <c r="PHW98" s="2"/>
      <c r="PHX98" s="2"/>
      <c r="PHY98" s="2"/>
      <c r="PHZ98" s="2"/>
      <c r="PIA98" s="2"/>
      <c r="PIB98" s="2"/>
      <c r="PIC98" s="2"/>
      <c r="PID98" s="2"/>
      <c r="PIE98" s="2"/>
      <c r="PIF98" s="2"/>
      <c r="PIG98" s="2"/>
      <c r="PIH98" s="2"/>
      <c r="PII98" s="2"/>
      <c r="PIJ98" s="2"/>
      <c r="PIK98" s="2"/>
      <c r="PIL98" s="2"/>
      <c r="PIM98" s="2"/>
      <c r="PIN98" s="2"/>
      <c r="PIO98" s="2"/>
      <c r="PIP98" s="2"/>
      <c r="PIQ98" s="2"/>
      <c r="PIR98" s="2"/>
      <c r="PIS98" s="2"/>
      <c r="PIT98" s="2"/>
      <c r="PIU98" s="2"/>
      <c r="PIV98" s="2"/>
      <c r="PIW98" s="2"/>
      <c r="PIX98" s="2"/>
      <c r="PIY98" s="2"/>
      <c r="PIZ98" s="2"/>
      <c r="PJA98" s="2"/>
      <c r="PJB98" s="2"/>
      <c r="PJC98" s="2"/>
      <c r="PJD98" s="2"/>
      <c r="PJE98" s="2"/>
      <c r="PJF98" s="2"/>
      <c r="PJG98" s="2"/>
      <c r="PJH98" s="2"/>
      <c r="PJI98" s="2"/>
      <c r="PJJ98" s="2"/>
      <c r="PJK98" s="2"/>
      <c r="PJL98" s="2"/>
      <c r="PJM98" s="2"/>
      <c r="PJN98" s="2"/>
      <c r="PJO98" s="2"/>
      <c r="PJP98" s="2"/>
      <c r="PJQ98" s="2"/>
      <c r="PJR98" s="2"/>
      <c r="PJS98" s="2"/>
      <c r="PJT98" s="2"/>
      <c r="PJU98" s="2"/>
      <c r="PJV98" s="2"/>
      <c r="PJW98" s="2"/>
      <c r="PJX98" s="2"/>
      <c r="PJY98" s="2"/>
      <c r="PJZ98" s="2"/>
      <c r="PKA98" s="2"/>
      <c r="PKB98" s="2"/>
      <c r="PKC98" s="2"/>
      <c r="PKD98" s="2"/>
      <c r="PKE98" s="2"/>
      <c r="PKF98" s="2"/>
      <c r="PKG98" s="2"/>
      <c r="PKH98" s="2"/>
      <c r="PKI98" s="2"/>
      <c r="PKJ98" s="2"/>
      <c r="PKK98" s="2"/>
      <c r="PKL98" s="2"/>
      <c r="PKM98" s="2"/>
      <c r="PKN98" s="2"/>
      <c r="PKO98" s="2"/>
      <c r="PKP98" s="2"/>
      <c r="PKQ98" s="2"/>
      <c r="PKR98" s="2"/>
      <c r="PKS98" s="2"/>
      <c r="PKT98" s="2"/>
      <c r="PKU98" s="2"/>
      <c r="PKV98" s="2"/>
      <c r="PKW98" s="2"/>
      <c r="PKX98" s="2"/>
      <c r="PKY98" s="2"/>
      <c r="PKZ98" s="2"/>
      <c r="PLA98" s="2"/>
      <c r="PLB98" s="2"/>
      <c r="PLC98" s="2"/>
      <c r="PLD98" s="2"/>
      <c r="PLE98" s="2"/>
      <c r="PLF98" s="2"/>
      <c r="PLG98" s="2"/>
      <c r="PLH98" s="2"/>
      <c r="PLI98" s="2"/>
      <c r="PLJ98" s="2"/>
      <c r="PLK98" s="2"/>
      <c r="PLL98" s="2"/>
      <c r="PLM98" s="2"/>
      <c r="PLN98" s="2"/>
      <c r="PLO98" s="2"/>
      <c r="PLP98" s="2"/>
      <c r="PLQ98" s="2"/>
      <c r="PLR98" s="2"/>
      <c r="PLS98" s="2"/>
      <c r="PLT98" s="2"/>
      <c r="PLU98" s="2"/>
      <c r="PLV98" s="2"/>
      <c r="PLW98" s="2"/>
      <c r="PLX98" s="2"/>
      <c r="PLY98" s="2"/>
      <c r="PLZ98" s="2"/>
      <c r="PMA98" s="2"/>
      <c r="PMB98" s="2"/>
      <c r="PMC98" s="2"/>
      <c r="PMD98" s="2"/>
      <c r="PME98" s="2"/>
      <c r="PMF98" s="2"/>
      <c r="PMG98" s="2"/>
      <c r="PMH98" s="2"/>
      <c r="PMI98" s="2"/>
      <c r="PMJ98" s="2"/>
      <c r="PMK98" s="2"/>
      <c r="PML98" s="2"/>
      <c r="PMM98" s="2"/>
      <c r="PMN98" s="2"/>
      <c r="PMO98" s="2"/>
      <c r="PMP98" s="2"/>
      <c r="PMQ98" s="2"/>
      <c r="PMR98" s="2"/>
      <c r="PMS98" s="2"/>
      <c r="PMT98" s="2"/>
      <c r="PMU98" s="2"/>
      <c r="PMV98" s="2"/>
      <c r="PMW98" s="2"/>
      <c r="PMX98" s="2"/>
      <c r="PMY98" s="2"/>
      <c r="PMZ98" s="2"/>
      <c r="PNA98" s="2"/>
      <c r="PNB98" s="2"/>
      <c r="PNC98" s="2"/>
      <c r="PND98" s="2"/>
      <c r="PNE98" s="2"/>
      <c r="PNF98" s="2"/>
      <c r="PNG98" s="2"/>
      <c r="PNH98" s="2"/>
      <c r="PNI98" s="2"/>
      <c r="PNJ98" s="2"/>
      <c r="PNK98" s="2"/>
      <c r="PNL98" s="2"/>
      <c r="PNM98" s="2"/>
      <c r="PNN98" s="2"/>
      <c r="PNO98" s="2"/>
      <c r="PNP98" s="2"/>
      <c r="PNQ98" s="2"/>
      <c r="PNR98" s="2"/>
      <c r="PNS98" s="2"/>
      <c r="PNT98" s="2"/>
      <c r="PNU98" s="2"/>
      <c r="PNV98" s="2"/>
      <c r="PNW98" s="2"/>
      <c r="PNX98" s="2"/>
      <c r="PNY98" s="2"/>
      <c r="PNZ98" s="2"/>
      <c r="POA98" s="2"/>
      <c r="POB98" s="2"/>
      <c r="POC98" s="2"/>
      <c r="POD98" s="2"/>
      <c r="POE98" s="2"/>
      <c r="POF98" s="2"/>
      <c r="POG98" s="2"/>
      <c r="POH98" s="2"/>
      <c r="POI98" s="2"/>
      <c r="POJ98" s="2"/>
      <c r="POK98" s="2"/>
      <c r="POL98" s="2"/>
      <c r="POM98" s="2"/>
      <c r="PON98" s="2"/>
      <c r="POO98" s="2"/>
      <c r="POP98" s="2"/>
      <c r="POQ98" s="2"/>
      <c r="POR98" s="2"/>
      <c r="POS98" s="2"/>
      <c r="POT98" s="2"/>
      <c r="POU98" s="2"/>
      <c r="POV98" s="2"/>
      <c r="POW98" s="2"/>
      <c r="POX98" s="2"/>
      <c r="POY98" s="2"/>
      <c r="POZ98" s="2"/>
      <c r="PPA98" s="2"/>
      <c r="PPB98" s="2"/>
      <c r="PPC98" s="2"/>
      <c r="PPD98" s="2"/>
      <c r="PPE98" s="2"/>
      <c r="PPF98" s="2"/>
      <c r="PPG98" s="2"/>
      <c r="PPH98" s="2"/>
      <c r="PPI98" s="2"/>
      <c r="PPJ98" s="2"/>
      <c r="PPK98" s="2"/>
      <c r="PPL98" s="2"/>
      <c r="PPM98" s="2"/>
      <c r="PPN98" s="2"/>
      <c r="PPO98" s="2"/>
      <c r="PPP98" s="2"/>
      <c r="PPQ98" s="2"/>
      <c r="PPR98" s="2"/>
      <c r="PPS98" s="2"/>
      <c r="PPT98" s="2"/>
      <c r="PPU98" s="2"/>
      <c r="PPV98" s="2"/>
      <c r="PPW98" s="2"/>
      <c r="PPX98" s="2"/>
      <c r="PPY98" s="2"/>
      <c r="PPZ98" s="2"/>
      <c r="PQA98" s="2"/>
      <c r="PQB98" s="2"/>
      <c r="PQC98" s="2"/>
      <c r="PQD98" s="2"/>
      <c r="PQE98" s="2"/>
      <c r="PQF98" s="2"/>
      <c r="PQG98" s="2"/>
      <c r="PQH98" s="2"/>
      <c r="PQI98" s="2"/>
      <c r="PQJ98" s="2"/>
      <c r="PQK98" s="2"/>
      <c r="PQL98" s="2"/>
      <c r="PQM98" s="2"/>
      <c r="PQN98" s="2"/>
      <c r="PQO98" s="2"/>
      <c r="PQP98" s="2"/>
      <c r="PQQ98" s="2"/>
      <c r="PQR98" s="2"/>
      <c r="PQS98" s="2"/>
      <c r="PQT98" s="2"/>
      <c r="PQU98" s="2"/>
      <c r="PQV98" s="2"/>
      <c r="PQW98" s="2"/>
      <c r="PQX98" s="2"/>
      <c r="PQY98" s="2"/>
      <c r="PQZ98" s="2"/>
      <c r="PRA98" s="2"/>
      <c r="PRB98" s="2"/>
      <c r="PRC98" s="2"/>
      <c r="PRD98" s="2"/>
      <c r="PRE98" s="2"/>
      <c r="PRF98" s="2"/>
      <c r="PRG98" s="2"/>
      <c r="PRH98" s="2"/>
      <c r="PRI98" s="2"/>
      <c r="PRJ98" s="2"/>
      <c r="PRK98" s="2"/>
      <c r="PRL98" s="2"/>
      <c r="PRM98" s="2"/>
      <c r="PRN98" s="2"/>
      <c r="PRO98" s="2"/>
      <c r="PRP98" s="2"/>
      <c r="PRQ98" s="2"/>
      <c r="PRR98" s="2"/>
      <c r="PRS98" s="2"/>
      <c r="PRT98" s="2"/>
      <c r="PRU98" s="2"/>
      <c r="PRV98" s="2"/>
      <c r="PRW98" s="2"/>
      <c r="PRX98" s="2"/>
      <c r="PRY98" s="2"/>
      <c r="PRZ98" s="2"/>
      <c r="PSA98" s="2"/>
      <c r="PSB98" s="2"/>
      <c r="PSC98" s="2"/>
      <c r="PSD98" s="2"/>
      <c r="PSE98" s="2"/>
      <c r="PSF98" s="2"/>
      <c r="PSG98" s="2"/>
      <c r="PSH98" s="2"/>
      <c r="PSI98" s="2"/>
      <c r="PSJ98" s="2"/>
      <c r="PSK98" s="2"/>
      <c r="PSL98" s="2"/>
      <c r="PSM98" s="2"/>
      <c r="PSN98" s="2"/>
      <c r="PSO98" s="2"/>
      <c r="PSP98" s="2"/>
      <c r="PSQ98" s="2"/>
      <c r="PSR98" s="2"/>
      <c r="PSS98" s="2"/>
      <c r="PST98" s="2"/>
      <c r="PSU98" s="2"/>
      <c r="PSV98" s="2"/>
      <c r="PSW98" s="2"/>
      <c r="PSX98" s="2"/>
      <c r="PSY98" s="2"/>
      <c r="PSZ98" s="2"/>
      <c r="PTA98" s="2"/>
      <c r="PTB98" s="2"/>
      <c r="PTC98" s="2"/>
      <c r="PTD98" s="2"/>
      <c r="PTE98" s="2"/>
      <c r="PTF98" s="2"/>
      <c r="PTG98" s="2"/>
      <c r="PTH98" s="2"/>
      <c r="PTI98" s="2"/>
      <c r="PTJ98" s="2"/>
      <c r="PTK98" s="2"/>
      <c r="PTL98" s="2"/>
      <c r="PTM98" s="2"/>
      <c r="PTN98" s="2"/>
      <c r="PTO98" s="2"/>
      <c r="PTP98" s="2"/>
      <c r="PTQ98" s="2"/>
      <c r="PTR98" s="2"/>
      <c r="PTS98" s="2"/>
      <c r="PTT98" s="2"/>
      <c r="PTU98" s="2"/>
      <c r="PTV98" s="2"/>
      <c r="PTW98" s="2"/>
      <c r="PTX98" s="2"/>
      <c r="PTY98" s="2"/>
      <c r="PTZ98" s="2"/>
      <c r="PUA98" s="2"/>
      <c r="PUB98" s="2"/>
      <c r="PUC98" s="2"/>
      <c r="PUD98" s="2"/>
      <c r="PUE98" s="2"/>
      <c r="PUF98" s="2"/>
      <c r="PUG98" s="2"/>
      <c r="PUH98" s="2"/>
      <c r="PUI98" s="2"/>
      <c r="PUJ98" s="2"/>
      <c r="PUK98" s="2"/>
      <c r="PUL98" s="2"/>
      <c r="PUM98" s="2"/>
      <c r="PUN98" s="2"/>
      <c r="PUO98" s="2"/>
      <c r="PUP98" s="2"/>
      <c r="PUQ98" s="2"/>
      <c r="PUR98" s="2"/>
      <c r="PUS98" s="2"/>
      <c r="PUT98" s="2"/>
      <c r="PUU98" s="2"/>
      <c r="PUV98" s="2"/>
      <c r="PUW98" s="2"/>
      <c r="PUX98" s="2"/>
      <c r="PUY98" s="2"/>
      <c r="PUZ98" s="2"/>
      <c r="PVA98" s="2"/>
      <c r="PVB98" s="2"/>
      <c r="PVC98" s="2"/>
      <c r="PVD98" s="2"/>
      <c r="PVE98" s="2"/>
      <c r="PVF98" s="2"/>
      <c r="PVG98" s="2"/>
      <c r="PVH98" s="2"/>
      <c r="PVI98" s="2"/>
      <c r="PVJ98" s="2"/>
      <c r="PVK98" s="2"/>
      <c r="PVL98" s="2"/>
      <c r="PVM98" s="2"/>
      <c r="PVN98" s="2"/>
      <c r="PVO98" s="2"/>
      <c r="PVP98" s="2"/>
      <c r="PVQ98" s="2"/>
      <c r="PVR98" s="2"/>
      <c r="PVS98" s="2"/>
      <c r="PVT98" s="2"/>
      <c r="PVU98" s="2"/>
      <c r="PVV98" s="2"/>
      <c r="PVW98" s="2"/>
      <c r="PVX98" s="2"/>
      <c r="PVY98" s="2"/>
      <c r="PVZ98" s="2"/>
      <c r="PWA98" s="2"/>
      <c r="PWB98" s="2"/>
      <c r="PWC98" s="2"/>
      <c r="PWD98" s="2"/>
      <c r="PWE98" s="2"/>
      <c r="PWF98" s="2"/>
      <c r="PWG98" s="2"/>
      <c r="PWH98" s="2"/>
      <c r="PWI98" s="2"/>
      <c r="PWJ98" s="2"/>
      <c r="PWK98" s="2"/>
      <c r="PWL98" s="2"/>
      <c r="PWM98" s="2"/>
      <c r="PWN98" s="2"/>
      <c r="PWO98" s="2"/>
      <c r="PWP98" s="2"/>
      <c r="PWQ98" s="2"/>
      <c r="PWR98" s="2"/>
      <c r="PWS98" s="2"/>
      <c r="PWT98" s="2"/>
      <c r="PWU98" s="2"/>
      <c r="PWV98" s="2"/>
      <c r="PWW98" s="2"/>
      <c r="PWX98" s="2"/>
      <c r="PWY98" s="2"/>
      <c r="PWZ98" s="2"/>
      <c r="PXA98" s="2"/>
      <c r="PXB98" s="2"/>
      <c r="PXC98" s="2"/>
      <c r="PXD98" s="2"/>
      <c r="PXE98" s="2"/>
      <c r="PXF98" s="2"/>
      <c r="PXG98" s="2"/>
      <c r="PXH98" s="2"/>
      <c r="PXI98" s="2"/>
      <c r="PXJ98" s="2"/>
      <c r="PXK98" s="2"/>
      <c r="PXL98" s="2"/>
      <c r="PXM98" s="2"/>
      <c r="PXN98" s="2"/>
      <c r="PXO98" s="2"/>
      <c r="PXP98" s="2"/>
      <c r="PXQ98" s="2"/>
      <c r="PXR98" s="2"/>
      <c r="PXS98" s="2"/>
      <c r="PXT98" s="2"/>
      <c r="PXU98" s="2"/>
      <c r="PXV98" s="2"/>
      <c r="PXW98" s="2"/>
      <c r="PXX98" s="2"/>
      <c r="PXY98" s="2"/>
      <c r="PXZ98" s="2"/>
      <c r="PYA98" s="2"/>
      <c r="PYB98" s="2"/>
      <c r="PYC98" s="2"/>
      <c r="PYD98" s="2"/>
      <c r="PYE98" s="2"/>
      <c r="PYF98" s="2"/>
      <c r="PYG98" s="2"/>
      <c r="PYH98" s="2"/>
      <c r="PYI98" s="2"/>
      <c r="PYJ98" s="2"/>
      <c r="PYK98" s="2"/>
      <c r="PYL98" s="2"/>
      <c r="PYM98" s="2"/>
      <c r="PYN98" s="2"/>
      <c r="PYO98" s="2"/>
      <c r="PYP98" s="2"/>
      <c r="PYQ98" s="2"/>
      <c r="PYR98" s="2"/>
      <c r="PYS98" s="2"/>
      <c r="PYT98" s="2"/>
      <c r="PYU98" s="2"/>
      <c r="PYV98" s="2"/>
      <c r="PYW98" s="2"/>
      <c r="PYX98" s="2"/>
      <c r="PYY98" s="2"/>
      <c r="PYZ98" s="2"/>
      <c r="PZA98" s="2"/>
      <c r="PZB98" s="2"/>
      <c r="PZC98" s="2"/>
      <c r="PZD98" s="2"/>
      <c r="PZE98" s="2"/>
      <c r="PZF98" s="2"/>
      <c r="PZG98" s="2"/>
      <c r="PZH98" s="2"/>
      <c r="PZI98" s="2"/>
      <c r="PZJ98" s="2"/>
      <c r="PZK98" s="2"/>
      <c r="PZL98" s="2"/>
      <c r="PZM98" s="2"/>
      <c r="PZN98" s="2"/>
      <c r="PZO98" s="2"/>
      <c r="PZP98" s="2"/>
      <c r="PZQ98" s="2"/>
      <c r="PZR98" s="2"/>
      <c r="PZS98" s="2"/>
      <c r="PZT98" s="2"/>
      <c r="PZU98" s="2"/>
      <c r="PZV98" s="2"/>
      <c r="PZW98" s="2"/>
      <c r="PZX98" s="2"/>
      <c r="PZY98" s="2"/>
      <c r="PZZ98" s="2"/>
      <c r="QAA98" s="2"/>
      <c r="QAB98" s="2"/>
      <c r="QAC98" s="2"/>
      <c r="QAD98" s="2"/>
      <c r="QAE98" s="2"/>
      <c r="QAF98" s="2"/>
      <c r="QAG98" s="2"/>
      <c r="QAH98" s="2"/>
      <c r="QAI98" s="2"/>
      <c r="QAJ98" s="2"/>
      <c r="QAK98" s="2"/>
      <c r="QAL98" s="2"/>
      <c r="QAM98" s="2"/>
      <c r="QAN98" s="2"/>
      <c r="QAO98" s="2"/>
      <c r="QAP98" s="2"/>
      <c r="QAQ98" s="2"/>
      <c r="QAR98" s="2"/>
      <c r="QAS98" s="2"/>
      <c r="QAT98" s="2"/>
      <c r="QAU98" s="2"/>
      <c r="QAV98" s="2"/>
      <c r="QAW98" s="2"/>
      <c r="QAX98" s="2"/>
      <c r="QAY98" s="2"/>
      <c r="QAZ98" s="2"/>
      <c r="QBA98" s="2"/>
      <c r="QBB98" s="2"/>
      <c r="QBC98" s="2"/>
      <c r="QBD98" s="2"/>
      <c r="QBE98" s="2"/>
      <c r="QBF98" s="2"/>
      <c r="QBG98" s="2"/>
      <c r="QBH98" s="2"/>
      <c r="QBI98" s="2"/>
      <c r="QBJ98" s="2"/>
      <c r="QBK98" s="2"/>
      <c r="QBL98" s="2"/>
      <c r="QBM98" s="2"/>
      <c r="QBN98" s="2"/>
      <c r="QBO98" s="2"/>
      <c r="QBP98" s="2"/>
      <c r="QBQ98" s="2"/>
      <c r="QBR98" s="2"/>
      <c r="QBS98" s="2"/>
      <c r="QBT98" s="2"/>
      <c r="QBU98" s="2"/>
      <c r="QBV98" s="2"/>
      <c r="QBW98" s="2"/>
      <c r="QBX98" s="2"/>
      <c r="QBY98" s="2"/>
      <c r="QBZ98" s="2"/>
      <c r="QCA98" s="2"/>
      <c r="QCB98" s="2"/>
      <c r="QCC98" s="2"/>
      <c r="QCD98" s="2"/>
      <c r="QCE98" s="2"/>
      <c r="QCF98" s="2"/>
      <c r="QCG98" s="2"/>
      <c r="QCH98" s="2"/>
      <c r="QCI98" s="2"/>
      <c r="QCJ98" s="2"/>
      <c r="QCK98" s="2"/>
      <c r="QCL98" s="2"/>
      <c r="QCM98" s="2"/>
      <c r="QCN98" s="2"/>
      <c r="QCO98" s="2"/>
      <c r="QCP98" s="2"/>
      <c r="QCQ98" s="2"/>
      <c r="QCR98" s="2"/>
      <c r="QCS98" s="2"/>
      <c r="QCT98" s="2"/>
      <c r="QCU98" s="2"/>
      <c r="QCV98" s="2"/>
      <c r="QCW98" s="2"/>
      <c r="QCX98" s="2"/>
      <c r="QCY98" s="2"/>
      <c r="QCZ98" s="2"/>
      <c r="QDA98" s="2"/>
      <c r="QDB98" s="2"/>
      <c r="QDC98" s="2"/>
      <c r="QDD98" s="2"/>
      <c r="QDE98" s="2"/>
      <c r="QDF98" s="2"/>
      <c r="QDG98" s="2"/>
      <c r="QDH98" s="2"/>
      <c r="QDI98" s="2"/>
      <c r="QDJ98" s="2"/>
      <c r="QDK98" s="2"/>
      <c r="QDL98" s="2"/>
      <c r="QDM98" s="2"/>
      <c r="QDN98" s="2"/>
      <c r="QDO98" s="2"/>
      <c r="QDP98" s="2"/>
      <c r="QDQ98" s="2"/>
      <c r="QDR98" s="2"/>
      <c r="QDS98" s="2"/>
      <c r="QDT98" s="2"/>
      <c r="QDU98" s="2"/>
      <c r="QDV98" s="2"/>
      <c r="QDW98" s="2"/>
      <c r="QDX98" s="2"/>
      <c r="QDY98" s="2"/>
      <c r="QDZ98" s="2"/>
      <c r="QEA98" s="2"/>
      <c r="QEB98" s="2"/>
      <c r="QEC98" s="2"/>
      <c r="QED98" s="2"/>
      <c r="QEE98" s="2"/>
      <c r="QEF98" s="2"/>
      <c r="QEG98" s="2"/>
      <c r="QEH98" s="2"/>
      <c r="QEI98" s="2"/>
      <c r="QEJ98" s="2"/>
      <c r="QEK98" s="2"/>
      <c r="QEL98" s="2"/>
      <c r="QEM98" s="2"/>
      <c r="QEN98" s="2"/>
      <c r="QEO98" s="2"/>
      <c r="QEP98" s="2"/>
      <c r="QEQ98" s="2"/>
      <c r="QER98" s="2"/>
      <c r="QES98" s="2"/>
      <c r="QET98" s="2"/>
      <c r="QEU98" s="2"/>
      <c r="QEV98" s="2"/>
      <c r="QEW98" s="2"/>
      <c r="QEX98" s="2"/>
      <c r="QEY98" s="2"/>
      <c r="QEZ98" s="2"/>
      <c r="QFA98" s="2"/>
      <c r="QFB98" s="2"/>
      <c r="QFC98" s="2"/>
      <c r="QFD98" s="2"/>
      <c r="QFE98" s="2"/>
      <c r="QFF98" s="2"/>
      <c r="QFG98" s="2"/>
      <c r="QFH98" s="2"/>
      <c r="QFI98" s="2"/>
      <c r="QFJ98" s="2"/>
      <c r="QFK98" s="2"/>
      <c r="QFL98" s="2"/>
      <c r="QFM98" s="2"/>
      <c r="QFN98" s="2"/>
      <c r="QFO98" s="2"/>
      <c r="QFP98" s="2"/>
      <c r="QFQ98" s="2"/>
      <c r="QFR98" s="2"/>
      <c r="QFS98" s="2"/>
      <c r="QFT98" s="2"/>
      <c r="QFU98" s="2"/>
      <c r="QFV98" s="2"/>
      <c r="QFW98" s="2"/>
      <c r="QFX98" s="2"/>
      <c r="QFY98" s="2"/>
      <c r="QFZ98" s="2"/>
      <c r="QGA98" s="2"/>
      <c r="QGB98" s="2"/>
      <c r="QGC98" s="2"/>
      <c r="QGD98" s="2"/>
      <c r="QGE98" s="2"/>
      <c r="QGF98" s="2"/>
      <c r="QGG98" s="2"/>
      <c r="QGH98" s="2"/>
      <c r="QGI98" s="2"/>
      <c r="QGJ98" s="2"/>
      <c r="QGK98" s="2"/>
      <c r="QGL98" s="2"/>
      <c r="QGM98" s="2"/>
      <c r="QGN98" s="2"/>
      <c r="QGO98" s="2"/>
      <c r="QGP98" s="2"/>
      <c r="QGQ98" s="2"/>
      <c r="QGR98" s="2"/>
      <c r="QGS98" s="2"/>
      <c r="QGT98" s="2"/>
      <c r="QGU98" s="2"/>
      <c r="QGV98" s="2"/>
      <c r="QGW98" s="2"/>
      <c r="QGX98" s="2"/>
      <c r="QGY98" s="2"/>
      <c r="QGZ98" s="2"/>
      <c r="QHA98" s="2"/>
      <c r="QHB98" s="2"/>
      <c r="QHC98" s="2"/>
      <c r="QHD98" s="2"/>
      <c r="QHE98" s="2"/>
      <c r="QHF98" s="2"/>
      <c r="QHG98" s="2"/>
      <c r="QHH98" s="2"/>
      <c r="QHI98" s="2"/>
      <c r="QHJ98" s="2"/>
      <c r="QHK98" s="2"/>
      <c r="QHL98" s="2"/>
      <c r="QHM98" s="2"/>
      <c r="QHN98" s="2"/>
      <c r="QHO98" s="2"/>
      <c r="QHP98" s="2"/>
      <c r="QHQ98" s="2"/>
      <c r="QHR98" s="2"/>
      <c r="QHS98" s="2"/>
      <c r="QHT98" s="2"/>
      <c r="QHU98" s="2"/>
      <c r="QHV98" s="2"/>
      <c r="QHW98" s="2"/>
      <c r="QHX98" s="2"/>
      <c r="QHY98" s="2"/>
      <c r="QHZ98" s="2"/>
      <c r="QIA98" s="2"/>
      <c r="QIB98" s="2"/>
      <c r="QIC98" s="2"/>
      <c r="QID98" s="2"/>
      <c r="QIE98" s="2"/>
      <c r="QIF98" s="2"/>
      <c r="QIG98" s="2"/>
      <c r="QIH98" s="2"/>
      <c r="QII98" s="2"/>
      <c r="QIJ98" s="2"/>
      <c r="QIK98" s="2"/>
      <c r="QIL98" s="2"/>
      <c r="QIM98" s="2"/>
      <c r="QIN98" s="2"/>
      <c r="QIO98" s="2"/>
      <c r="QIP98" s="2"/>
      <c r="QIQ98" s="2"/>
      <c r="QIR98" s="2"/>
      <c r="QIS98" s="2"/>
      <c r="QIT98" s="2"/>
      <c r="QIU98" s="2"/>
      <c r="QIV98" s="2"/>
      <c r="QIW98" s="2"/>
      <c r="QIX98" s="2"/>
      <c r="QIY98" s="2"/>
      <c r="QIZ98" s="2"/>
      <c r="QJA98" s="2"/>
      <c r="QJB98" s="2"/>
      <c r="QJC98" s="2"/>
      <c r="QJD98" s="2"/>
      <c r="QJE98" s="2"/>
      <c r="QJF98" s="2"/>
      <c r="QJG98" s="2"/>
      <c r="QJH98" s="2"/>
      <c r="QJI98" s="2"/>
      <c r="QJJ98" s="2"/>
      <c r="QJK98" s="2"/>
      <c r="QJL98" s="2"/>
      <c r="QJM98" s="2"/>
      <c r="QJN98" s="2"/>
      <c r="QJO98" s="2"/>
      <c r="QJP98" s="2"/>
      <c r="QJQ98" s="2"/>
      <c r="QJR98" s="2"/>
      <c r="QJS98" s="2"/>
      <c r="QJT98" s="2"/>
      <c r="QJU98" s="2"/>
      <c r="QJV98" s="2"/>
      <c r="QJW98" s="2"/>
      <c r="QJX98" s="2"/>
      <c r="QJY98" s="2"/>
      <c r="QJZ98" s="2"/>
      <c r="QKA98" s="2"/>
      <c r="QKB98" s="2"/>
      <c r="QKC98" s="2"/>
      <c r="QKD98" s="2"/>
      <c r="QKE98" s="2"/>
      <c r="QKF98" s="2"/>
      <c r="QKG98" s="2"/>
      <c r="QKH98" s="2"/>
      <c r="QKI98" s="2"/>
      <c r="QKJ98" s="2"/>
      <c r="QKK98" s="2"/>
      <c r="QKL98" s="2"/>
      <c r="QKM98" s="2"/>
      <c r="QKN98" s="2"/>
      <c r="QKO98" s="2"/>
      <c r="QKP98" s="2"/>
      <c r="QKQ98" s="2"/>
      <c r="QKR98" s="2"/>
      <c r="QKS98" s="2"/>
      <c r="QKT98" s="2"/>
      <c r="QKU98" s="2"/>
      <c r="QKV98" s="2"/>
      <c r="QKW98" s="2"/>
      <c r="QKX98" s="2"/>
      <c r="QKY98" s="2"/>
      <c r="QKZ98" s="2"/>
      <c r="QLA98" s="2"/>
      <c r="QLB98" s="2"/>
      <c r="QLC98" s="2"/>
      <c r="QLD98" s="2"/>
      <c r="QLE98" s="2"/>
      <c r="QLF98" s="2"/>
      <c r="QLG98" s="2"/>
      <c r="QLH98" s="2"/>
      <c r="QLI98" s="2"/>
      <c r="QLJ98" s="2"/>
      <c r="QLK98" s="2"/>
      <c r="QLL98" s="2"/>
      <c r="QLM98" s="2"/>
      <c r="QLN98" s="2"/>
      <c r="QLO98" s="2"/>
      <c r="QLP98" s="2"/>
      <c r="QLQ98" s="2"/>
      <c r="QLR98" s="2"/>
      <c r="QLS98" s="2"/>
      <c r="QLT98" s="2"/>
      <c r="QLU98" s="2"/>
      <c r="QLV98" s="2"/>
      <c r="QLW98" s="2"/>
      <c r="QLX98" s="2"/>
      <c r="QLY98" s="2"/>
      <c r="QLZ98" s="2"/>
      <c r="QMA98" s="2"/>
      <c r="QMB98" s="2"/>
      <c r="QMC98" s="2"/>
      <c r="QMD98" s="2"/>
      <c r="QME98" s="2"/>
      <c r="QMF98" s="2"/>
      <c r="QMG98" s="2"/>
      <c r="QMH98" s="2"/>
      <c r="QMI98" s="2"/>
      <c r="QMJ98" s="2"/>
      <c r="QMK98" s="2"/>
      <c r="QML98" s="2"/>
      <c r="QMM98" s="2"/>
      <c r="QMN98" s="2"/>
      <c r="QMO98" s="2"/>
      <c r="QMP98" s="2"/>
      <c r="QMQ98" s="2"/>
      <c r="QMR98" s="2"/>
      <c r="QMS98" s="2"/>
      <c r="QMT98" s="2"/>
      <c r="QMU98" s="2"/>
      <c r="QMV98" s="2"/>
      <c r="QMW98" s="2"/>
      <c r="QMX98" s="2"/>
      <c r="QMY98" s="2"/>
      <c r="QMZ98" s="2"/>
      <c r="QNA98" s="2"/>
      <c r="QNB98" s="2"/>
      <c r="QNC98" s="2"/>
      <c r="QND98" s="2"/>
      <c r="QNE98" s="2"/>
      <c r="QNF98" s="2"/>
      <c r="QNG98" s="2"/>
      <c r="QNH98" s="2"/>
      <c r="QNI98" s="2"/>
      <c r="QNJ98" s="2"/>
      <c r="QNK98" s="2"/>
      <c r="QNL98" s="2"/>
      <c r="QNM98" s="2"/>
      <c r="QNN98" s="2"/>
      <c r="QNO98" s="2"/>
      <c r="QNP98" s="2"/>
      <c r="QNQ98" s="2"/>
      <c r="QNR98" s="2"/>
      <c r="QNS98" s="2"/>
      <c r="QNT98" s="2"/>
      <c r="QNU98" s="2"/>
      <c r="QNV98" s="2"/>
      <c r="QNW98" s="2"/>
      <c r="QNX98" s="2"/>
      <c r="QNY98" s="2"/>
      <c r="QNZ98" s="2"/>
      <c r="QOA98" s="2"/>
      <c r="QOB98" s="2"/>
      <c r="QOC98" s="2"/>
      <c r="QOD98" s="2"/>
      <c r="QOE98" s="2"/>
      <c r="QOF98" s="2"/>
      <c r="QOG98" s="2"/>
      <c r="QOH98" s="2"/>
      <c r="QOI98" s="2"/>
      <c r="QOJ98" s="2"/>
      <c r="QOK98" s="2"/>
      <c r="QOL98" s="2"/>
      <c r="QOM98" s="2"/>
      <c r="QON98" s="2"/>
      <c r="QOO98" s="2"/>
      <c r="QOP98" s="2"/>
      <c r="QOQ98" s="2"/>
      <c r="QOR98" s="2"/>
      <c r="QOS98" s="2"/>
      <c r="QOT98" s="2"/>
      <c r="QOU98" s="2"/>
      <c r="QOV98" s="2"/>
      <c r="QOW98" s="2"/>
      <c r="QOX98" s="2"/>
      <c r="QOY98" s="2"/>
      <c r="QOZ98" s="2"/>
      <c r="QPA98" s="2"/>
      <c r="QPB98" s="2"/>
      <c r="QPC98" s="2"/>
      <c r="QPD98" s="2"/>
      <c r="QPE98" s="2"/>
      <c r="QPF98" s="2"/>
      <c r="QPG98" s="2"/>
      <c r="QPH98" s="2"/>
      <c r="QPI98" s="2"/>
      <c r="QPJ98" s="2"/>
      <c r="QPK98" s="2"/>
      <c r="QPL98" s="2"/>
      <c r="QPM98" s="2"/>
      <c r="QPN98" s="2"/>
      <c r="QPO98" s="2"/>
      <c r="QPP98" s="2"/>
      <c r="QPQ98" s="2"/>
      <c r="QPR98" s="2"/>
      <c r="QPS98" s="2"/>
      <c r="QPT98" s="2"/>
      <c r="QPU98" s="2"/>
      <c r="QPV98" s="2"/>
      <c r="QPW98" s="2"/>
      <c r="QPX98" s="2"/>
      <c r="QPY98" s="2"/>
      <c r="QPZ98" s="2"/>
      <c r="QQA98" s="2"/>
      <c r="QQB98" s="2"/>
      <c r="QQC98" s="2"/>
      <c r="QQD98" s="2"/>
      <c r="QQE98" s="2"/>
      <c r="QQF98" s="2"/>
      <c r="QQG98" s="2"/>
      <c r="QQH98" s="2"/>
      <c r="QQI98" s="2"/>
      <c r="QQJ98" s="2"/>
      <c r="QQK98" s="2"/>
      <c r="QQL98" s="2"/>
      <c r="QQM98" s="2"/>
      <c r="QQN98" s="2"/>
      <c r="QQO98" s="2"/>
      <c r="QQP98" s="2"/>
      <c r="QQQ98" s="2"/>
      <c r="QQR98" s="2"/>
      <c r="QQS98" s="2"/>
      <c r="QQT98" s="2"/>
      <c r="QQU98" s="2"/>
      <c r="QQV98" s="2"/>
      <c r="QQW98" s="2"/>
      <c r="QQX98" s="2"/>
      <c r="QQY98" s="2"/>
      <c r="QQZ98" s="2"/>
      <c r="QRA98" s="2"/>
      <c r="QRB98" s="2"/>
      <c r="QRC98" s="2"/>
      <c r="QRD98" s="2"/>
      <c r="QRE98" s="2"/>
      <c r="QRF98" s="2"/>
      <c r="QRG98" s="2"/>
      <c r="QRH98" s="2"/>
      <c r="QRI98" s="2"/>
      <c r="QRJ98" s="2"/>
      <c r="QRK98" s="2"/>
      <c r="QRL98" s="2"/>
      <c r="QRM98" s="2"/>
      <c r="QRN98" s="2"/>
      <c r="QRO98" s="2"/>
      <c r="QRP98" s="2"/>
      <c r="QRQ98" s="2"/>
      <c r="QRR98" s="2"/>
      <c r="QRS98" s="2"/>
      <c r="QRT98" s="2"/>
      <c r="QRU98" s="2"/>
      <c r="QRV98" s="2"/>
      <c r="QRW98" s="2"/>
      <c r="QRX98" s="2"/>
      <c r="QRY98" s="2"/>
      <c r="QRZ98" s="2"/>
      <c r="QSA98" s="2"/>
      <c r="QSB98" s="2"/>
      <c r="QSC98" s="2"/>
      <c r="QSD98" s="2"/>
      <c r="QSE98" s="2"/>
      <c r="QSF98" s="2"/>
      <c r="QSG98" s="2"/>
      <c r="QSH98" s="2"/>
      <c r="QSI98" s="2"/>
      <c r="QSJ98" s="2"/>
      <c r="QSK98" s="2"/>
      <c r="QSL98" s="2"/>
      <c r="QSM98" s="2"/>
      <c r="QSN98" s="2"/>
      <c r="QSO98" s="2"/>
      <c r="QSP98" s="2"/>
      <c r="QSQ98" s="2"/>
      <c r="QSR98" s="2"/>
      <c r="QSS98" s="2"/>
      <c r="QST98" s="2"/>
      <c r="QSU98" s="2"/>
      <c r="QSV98" s="2"/>
      <c r="QSW98" s="2"/>
      <c r="QSX98" s="2"/>
      <c r="QSY98" s="2"/>
      <c r="QSZ98" s="2"/>
      <c r="QTA98" s="2"/>
      <c r="QTB98" s="2"/>
      <c r="QTC98" s="2"/>
      <c r="QTD98" s="2"/>
      <c r="QTE98" s="2"/>
      <c r="QTF98" s="2"/>
      <c r="QTG98" s="2"/>
      <c r="QTH98" s="2"/>
      <c r="QTI98" s="2"/>
      <c r="QTJ98" s="2"/>
      <c r="QTK98" s="2"/>
      <c r="QTL98" s="2"/>
      <c r="QTM98" s="2"/>
      <c r="QTN98" s="2"/>
      <c r="QTO98" s="2"/>
      <c r="QTP98" s="2"/>
      <c r="QTQ98" s="2"/>
      <c r="QTR98" s="2"/>
      <c r="QTS98" s="2"/>
      <c r="QTT98" s="2"/>
      <c r="QTU98" s="2"/>
      <c r="QTV98" s="2"/>
      <c r="QTW98" s="2"/>
      <c r="QTX98" s="2"/>
      <c r="QTY98" s="2"/>
      <c r="QTZ98" s="2"/>
      <c r="QUA98" s="2"/>
      <c r="QUB98" s="2"/>
      <c r="QUC98" s="2"/>
      <c r="QUD98" s="2"/>
      <c r="QUE98" s="2"/>
      <c r="QUF98" s="2"/>
      <c r="QUG98" s="2"/>
      <c r="QUH98" s="2"/>
      <c r="QUI98" s="2"/>
      <c r="QUJ98" s="2"/>
      <c r="QUK98" s="2"/>
      <c r="QUL98" s="2"/>
      <c r="QUM98" s="2"/>
      <c r="QUN98" s="2"/>
      <c r="QUO98" s="2"/>
      <c r="QUP98" s="2"/>
      <c r="QUQ98" s="2"/>
      <c r="QUR98" s="2"/>
      <c r="QUS98" s="2"/>
      <c r="QUT98" s="2"/>
      <c r="QUU98" s="2"/>
      <c r="QUV98" s="2"/>
      <c r="QUW98" s="2"/>
      <c r="QUX98" s="2"/>
      <c r="QUY98" s="2"/>
      <c r="QUZ98" s="2"/>
      <c r="QVA98" s="2"/>
      <c r="QVB98" s="2"/>
      <c r="QVC98" s="2"/>
      <c r="QVD98" s="2"/>
      <c r="QVE98" s="2"/>
      <c r="QVF98" s="2"/>
      <c r="QVG98" s="2"/>
      <c r="QVH98" s="2"/>
      <c r="QVI98" s="2"/>
      <c r="QVJ98" s="2"/>
      <c r="QVK98" s="2"/>
      <c r="QVL98" s="2"/>
      <c r="QVM98" s="2"/>
      <c r="QVN98" s="2"/>
      <c r="QVO98" s="2"/>
      <c r="QVP98" s="2"/>
      <c r="QVQ98" s="2"/>
      <c r="QVR98" s="2"/>
      <c r="QVS98" s="2"/>
      <c r="QVT98" s="2"/>
      <c r="QVU98" s="2"/>
      <c r="QVV98" s="2"/>
      <c r="QVW98" s="2"/>
      <c r="QVX98" s="2"/>
      <c r="QVY98" s="2"/>
      <c r="QVZ98" s="2"/>
      <c r="QWA98" s="2"/>
      <c r="QWB98" s="2"/>
      <c r="QWC98" s="2"/>
      <c r="QWD98" s="2"/>
      <c r="QWE98" s="2"/>
      <c r="QWF98" s="2"/>
      <c r="QWG98" s="2"/>
      <c r="QWH98" s="2"/>
      <c r="QWI98" s="2"/>
      <c r="QWJ98" s="2"/>
      <c r="QWK98" s="2"/>
      <c r="QWL98" s="2"/>
      <c r="QWM98" s="2"/>
      <c r="QWN98" s="2"/>
      <c r="QWO98" s="2"/>
      <c r="QWP98" s="2"/>
      <c r="QWQ98" s="2"/>
      <c r="QWR98" s="2"/>
      <c r="QWS98" s="2"/>
      <c r="QWT98" s="2"/>
      <c r="QWU98" s="2"/>
      <c r="QWV98" s="2"/>
      <c r="QWW98" s="2"/>
      <c r="QWX98" s="2"/>
      <c r="QWY98" s="2"/>
      <c r="QWZ98" s="2"/>
      <c r="QXA98" s="2"/>
      <c r="QXB98" s="2"/>
      <c r="QXC98" s="2"/>
      <c r="QXD98" s="2"/>
      <c r="QXE98" s="2"/>
      <c r="QXF98" s="2"/>
      <c r="QXG98" s="2"/>
      <c r="QXH98" s="2"/>
      <c r="QXI98" s="2"/>
      <c r="QXJ98" s="2"/>
      <c r="QXK98" s="2"/>
      <c r="QXL98" s="2"/>
      <c r="QXM98" s="2"/>
      <c r="QXN98" s="2"/>
      <c r="QXO98" s="2"/>
      <c r="QXP98" s="2"/>
      <c r="QXQ98" s="2"/>
      <c r="QXR98" s="2"/>
      <c r="QXS98" s="2"/>
      <c r="QXT98" s="2"/>
      <c r="QXU98" s="2"/>
      <c r="QXV98" s="2"/>
      <c r="QXW98" s="2"/>
      <c r="QXX98" s="2"/>
      <c r="QXY98" s="2"/>
      <c r="QXZ98" s="2"/>
      <c r="QYA98" s="2"/>
      <c r="QYB98" s="2"/>
      <c r="QYC98" s="2"/>
      <c r="QYD98" s="2"/>
      <c r="QYE98" s="2"/>
      <c r="QYF98" s="2"/>
      <c r="QYG98" s="2"/>
      <c r="QYH98" s="2"/>
      <c r="QYI98" s="2"/>
      <c r="QYJ98" s="2"/>
      <c r="QYK98" s="2"/>
      <c r="QYL98" s="2"/>
      <c r="QYM98" s="2"/>
      <c r="QYN98" s="2"/>
      <c r="QYO98" s="2"/>
      <c r="QYP98" s="2"/>
      <c r="QYQ98" s="2"/>
      <c r="QYR98" s="2"/>
      <c r="QYS98" s="2"/>
      <c r="QYT98" s="2"/>
      <c r="QYU98" s="2"/>
      <c r="QYV98" s="2"/>
      <c r="QYW98" s="2"/>
      <c r="QYX98" s="2"/>
      <c r="QYY98" s="2"/>
      <c r="QYZ98" s="2"/>
      <c r="QZA98" s="2"/>
      <c r="QZB98" s="2"/>
      <c r="QZC98" s="2"/>
      <c r="QZD98" s="2"/>
      <c r="QZE98" s="2"/>
      <c r="QZF98" s="2"/>
      <c r="QZG98" s="2"/>
      <c r="QZH98" s="2"/>
      <c r="QZI98" s="2"/>
      <c r="QZJ98" s="2"/>
      <c r="QZK98" s="2"/>
      <c r="QZL98" s="2"/>
      <c r="QZM98" s="2"/>
      <c r="QZN98" s="2"/>
      <c r="QZO98" s="2"/>
      <c r="QZP98" s="2"/>
      <c r="QZQ98" s="2"/>
      <c r="QZR98" s="2"/>
      <c r="QZS98" s="2"/>
      <c r="QZT98" s="2"/>
      <c r="QZU98" s="2"/>
      <c r="QZV98" s="2"/>
      <c r="QZW98" s="2"/>
      <c r="QZX98" s="2"/>
      <c r="QZY98" s="2"/>
      <c r="QZZ98" s="2"/>
      <c r="RAA98" s="2"/>
      <c r="RAB98" s="2"/>
      <c r="RAC98" s="2"/>
      <c r="RAD98" s="2"/>
      <c r="RAE98" s="2"/>
      <c r="RAF98" s="2"/>
      <c r="RAG98" s="2"/>
      <c r="RAH98" s="2"/>
      <c r="RAI98" s="2"/>
      <c r="RAJ98" s="2"/>
      <c r="RAK98" s="2"/>
      <c r="RAL98" s="2"/>
      <c r="RAM98" s="2"/>
      <c r="RAN98" s="2"/>
      <c r="RAO98" s="2"/>
      <c r="RAP98" s="2"/>
      <c r="RAQ98" s="2"/>
      <c r="RAR98" s="2"/>
      <c r="RAS98" s="2"/>
      <c r="RAT98" s="2"/>
      <c r="RAU98" s="2"/>
      <c r="RAV98" s="2"/>
      <c r="RAW98" s="2"/>
      <c r="RAX98" s="2"/>
      <c r="RAY98" s="2"/>
      <c r="RAZ98" s="2"/>
      <c r="RBA98" s="2"/>
      <c r="RBB98" s="2"/>
      <c r="RBC98" s="2"/>
      <c r="RBD98" s="2"/>
      <c r="RBE98" s="2"/>
      <c r="RBF98" s="2"/>
      <c r="RBG98" s="2"/>
      <c r="RBH98" s="2"/>
      <c r="RBI98" s="2"/>
      <c r="RBJ98" s="2"/>
      <c r="RBK98" s="2"/>
      <c r="RBL98" s="2"/>
      <c r="RBM98" s="2"/>
      <c r="RBN98" s="2"/>
      <c r="RBO98" s="2"/>
      <c r="RBP98" s="2"/>
      <c r="RBQ98" s="2"/>
      <c r="RBR98" s="2"/>
      <c r="RBS98" s="2"/>
      <c r="RBT98" s="2"/>
      <c r="RBU98" s="2"/>
      <c r="RBV98" s="2"/>
      <c r="RBW98" s="2"/>
      <c r="RBX98" s="2"/>
      <c r="RBY98" s="2"/>
      <c r="RBZ98" s="2"/>
      <c r="RCA98" s="2"/>
      <c r="RCB98" s="2"/>
      <c r="RCC98" s="2"/>
      <c r="RCD98" s="2"/>
      <c r="RCE98" s="2"/>
      <c r="RCF98" s="2"/>
      <c r="RCG98" s="2"/>
      <c r="RCH98" s="2"/>
      <c r="RCI98" s="2"/>
      <c r="RCJ98" s="2"/>
      <c r="RCK98" s="2"/>
      <c r="RCL98" s="2"/>
      <c r="RCM98" s="2"/>
      <c r="RCN98" s="2"/>
      <c r="RCO98" s="2"/>
      <c r="RCP98" s="2"/>
      <c r="RCQ98" s="2"/>
      <c r="RCR98" s="2"/>
      <c r="RCS98" s="2"/>
      <c r="RCT98" s="2"/>
      <c r="RCU98" s="2"/>
      <c r="RCV98" s="2"/>
      <c r="RCW98" s="2"/>
      <c r="RCX98" s="2"/>
      <c r="RCY98" s="2"/>
      <c r="RCZ98" s="2"/>
      <c r="RDA98" s="2"/>
      <c r="RDB98" s="2"/>
      <c r="RDC98" s="2"/>
      <c r="RDD98" s="2"/>
      <c r="RDE98" s="2"/>
      <c r="RDF98" s="2"/>
      <c r="RDG98" s="2"/>
      <c r="RDH98" s="2"/>
      <c r="RDI98" s="2"/>
      <c r="RDJ98" s="2"/>
      <c r="RDK98" s="2"/>
      <c r="RDL98" s="2"/>
      <c r="RDM98" s="2"/>
      <c r="RDN98" s="2"/>
      <c r="RDO98" s="2"/>
      <c r="RDP98" s="2"/>
      <c r="RDQ98" s="2"/>
      <c r="RDR98" s="2"/>
      <c r="RDS98" s="2"/>
      <c r="RDT98" s="2"/>
      <c r="RDU98" s="2"/>
      <c r="RDV98" s="2"/>
      <c r="RDW98" s="2"/>
      <c r="RDX98" s="2"/>
      <c r="RDY98" s="2"/>
      <c r="RDZ98" s="2"/>
      <c r="REA98" s="2"/>
      <c r="REB98" s="2"/>
      <c r="REC98" s="2"/>
      <c r="RED98" s="2"/>
      <c r="REE98" s="2"/>
      <c r="REF98" s="2"/>
      <c r="REG98" s="2"/>
      <c r="REH98" s="2"/>
      <c r="REI98" s="2"/>
      <c r="REJ98" s="2"/>
      <c r="REK98" s="2"/>
      <c r="REL98" s="2"/>
      <c r="REM98" s="2"/>
      <c r="REN98" s="2"/>
      <c r="REO98" s="2"/>
      <c r="REP98" s="2"/>
      <c r="REQ98" s="2"/>
      <c r="RER98" s="2"/>
      <c r="RES98" s="2"/>
      <c r="RET98" s="2"/>
      <c r="REU98" s="2"/>
      <c r="REV98" s="2"/>
      <c r="REW98" s="2"/>
      <c r="REX98" s="2"/>
      <c r="REY98" s="2"/>
      <c r="REZ98" s="2"/>
      <c r="RFA98" s="2"/>
      <c r="RFB98" s="2"/>
      <c r="RFC98" s="2"/>
      <c r="RFD98" s="2"/>
      <c r="RFE98" s="2"/>
      <c r="RFF98" s="2"/>
      <c r="RFG98" s="2"/>
      <c r="RFH98" s="2"/>
      <c r="RFI98" s="2"/>
      <c r="RFJ98" s="2"/>
      <c r="RFK98" s="2"/>
      <c r="RFL98" s="2"/>
      <c r="RFM98" s="2"/>
      <c r="RFN98" s="2"/>
      <c r="RFO98" s="2"/>
      <c r="RFP98" s="2"/>
      <c r="RFQ98" s="2"/>
      <c r="RFR98" s="2"/>
      <c r="RFS98" s="2"/>
      <c r="RFT98" s="2"/>
      <c r="RFU98" s="2"/>
      <c r="RFV98" s="2"/>
      <c r="RFW98" s="2"/>
      <c r="RFX98" s="2"/>
      <c r="RFY98" s="2"/>
      <c r="RFZ98" s="2"/>
      <c r="RGA98" s="2"/>
      <c r="RGB98" s="2"/>
      <c r="RGC98" s="2"/>
      <c r="RGD98" s="2"/>
      <c r="RGE98" s="2"/>
      <c r="RGF98" s="2"/>
      <c r="RGG98" s="2"/>
      <c r="RGH98" s="2"/>
      <c r="RGI98" s="2"/>
      <c r="RGJ98" s="2"/>
      <c r="RGK98" s="2"/>
      <c r="RGL98" s="2"/>
      <c r="RGM98" s="2"/>
      <c r="RGN98" s="2"/>
      <c r="RGO98" s="2"/>
      <c r="RGP98" s="2"/>
      <c r="RGQ98" s="2"/>
      <c r="RGR98" s="2"/>
      <c r="RGS98" s="2"/>
      <c r="RGT98" s="2"/>
      <c r="RGU98" s="2"/>
      <c r="RGV98" s="2"/>
      <c r="RGW98" s="2"/>
      <c r="RGX98" s="2"/>
      <c r="RGY98" s="2"/>
      <c r="RGZ98" s="2"/>
      <c r="RHA98" s="2"/>
      <c r="RHB98" s="2"/>
      <c r="RHC98" s="2"/>
      <c r="RHD98" s="2"/>
      <c r="RHE98" s="2"/>
      <c r="RHF98" s="2"/>
      <c r="RHG98" s="2"/>
      <c r="RHH98" s="2"/>
      <c r="RHI98" s="2"/>
      <c r="RHJ98" s="2"/>
      <c r="RHK98" s="2"/>
      <c r="RHL98" s="2"/>
      <c r="RHM98" s="2"/>
      <c r="RHN98" s="2"/>
      <c r="RHO98" s="2"/>
      <c r="RHP98" s="2"/>
      <c r="RHQ98" s="2"/>
      <c r="RHR98" s="2"/>
      <c r="RHS98" s="2"/>
      <c r="RHT98" s="2"/>
      <c r="RHU98" s="2"/>
      <c r="RHV98" s="2"/>
      <c r="RHW98" s="2"/>
      <c r="RHX98" s="2"/>
      <c r="RHY98" s="2"/>
      <c r="RHZ98" s="2"/>
      <c r="RIA98" s="2"/>
      <c r="RIB98" s="2"/>
      <c r="RIC98" s="2"/>
      <c r="RID98" s="2"/>
      <c r="RIE98" s="2"/>
      <c r="RIF98" s="2"/>
      <c r="RIG98" s="2"/>
      <c r="RIH98" s="2"/>
      <c r="RII98" s="2"/>
      <c r="RIJ98" s="2"/>
      <c r="RIK98" s="2"/>
      <c r="RIL98" s="2"/>
      <c r="RIM98" s="2"/>
      <c r="RIN98" s="2"/>
      <c r="RIO98" s="2"/>
      <c r="RIP98" s="2"/>
      <c r="RIQ98" s="2"/>
      <c r="RIR98" s="2"/>
      <c r="RIS98" s="2"/>
      <c r="RIT98" s="2"/>
      <c r="RIU98" s="2"/>
      <c r="RIV98" s="2"/>
      <c r="RIW98" s="2"/>
      <c r="RIX98" s="2"/>
      <c r="RIY98" s="2"/>
      <c r="RIZ98" s="2"/>
      <c r="RJA98" s="2"/>
      <c r="RJB98" s="2"/>
      <c r="RJC98" s="2"/>
      <c r="RJD98" s="2"/>
      <c r="RJE98" s="2"/>
      <c r="RJF98" s="2"/>
      <c r="RJG98" s="2"/>
      <c r="RJH98" s="2"/>
      <c r="RJI98" s="2"/>
      <c r="RJJ98" s="2"/>
      <c r="RJK98" s="2"/>
      <c r="RJL98" s="2"/>
      <c r="RJM98" s="2"/>
      <c r="RJN98" s="2"/>
      <c r="RJO98" s="2"/>
      <c r="RJP98" s="2"/>
      <c r="RJQ98" s="2"/>
      <c r="RJR98" s="2"/>
      <c r="RJS98" s="2"/>
      <c r="RJT98" s="2"/>
      <c r="RJU98" s="2"/>
      <c r="RJV98" s="2"/>
      <c r="RJW98" s="2"/>
      <c r="RJX98" s="2"/>
      <c r="RJY98" s="2"/>
      <c r="RJZ98" s="2"/>
      <c r="RKA98" s="2"/>
      <c r="RKB98" s="2"/>
      <c r="RKC98" s="2"/>
      <c r="RKD98" s="2"/>
      <c r="RKE98" s="2"/>
      <c r="RKF98" s="2"/>
      <c r="RKG98" s="2"/>
      <c r="RKH98" s="2"/>
      <c r="RKI98" s="2"/>
      <c r="RKJ98" s="2"/>
      <c r="RKK98" s="2"/>
      <c r="RKL98" s="2"/>
      <c r="RKM98" s="2"/>
      <c r="RKN98" s="2"/>
      <c r="RKO98" s="2"/>
      <c r="RKP98" s="2"/>
      <c r="RKQ98" s="2"/>
      <c r="RKR98" s="2"/>
      <c r="RKS98" s="2"/>
      <c r="RKT98" s="2"/>
      <c r="RKU98" s="2"/>
      <c r="RKV98" s="2"/>
      <c r="RKW98" s="2"/>
      <c r="RKX98" s="2"/>
      <c r="RKY98" s="2"/>
      <c r="RKZ98" s="2"/>
      <c r="RLA98" s="2"/>
      <c r="RLB98" s="2"/>
      <c r="RLC98" s="2"/>
      <c r="RLD98" s="2"/>
      <c r="RLE98" s="2"/>
      <c r="RLF98" s="2"/>
      <c r="RLG98" s="2"/>
      <c r="RLH98" s="2"/>
      <c r="RLI98" s="2"/>
      <c r="RLJ98" s="2"/>
      <c r="RLK98" s="2"/>
      <c r="RLL98" s="2"/>
      <c r="RLM98" s="2"/>
      <c r="RLN98" s="2"/>
      <c r="RLO98" s="2"/>
      <c r="RLP98" s="2"/>
      <c r="RLQ98" s="2"/>
      <c r="RLR98" s="2"/>
      <c r="RLS98" s="2"/>
      <c r="RLT98" s="2"/>
      <c r="RLU98" s="2"/>
      <c r="RLV98" s="2"/>
      <c r="RLW98" s="2"/>
      <c r="RLX98" s="2"/>
      <c r="RLY98" s="2"/>
      <c r="RLZ98" s="2"/>
      <c r="RMA98" s="2"/>
      <c r="RMB98" s="2"/>
      <c r="RMC98" s="2"/>
      <c r="RMD98" s="2"/>
      <c r="RME98" s="2"/>
      <c r="RMF98" s="2"/>
      <c r="RMG98" s="2"/>
      <c r="RMH98" s="2"/>
      <c r="RMI98" s="2"/>
      <c r="RMJ98" s="2"/>
      <c r="RMK98" s="2"/>
      <c r="RML98" s="2"/>
      <c r="RMM98" s="2"/>
      <c r="RMN98" s="2"/>
      <c r="RMO98" s="2"/>
      <c r="RMP98" s="2"/>
      <c r="RMQ98" s="2"/>
      <c r="RMR98" s="2"/>
      <c r="RMS98" s="2"/>
      <c r="RMT98" s="2"/>
      <c r="RMU98" s="2"/>
      <c r="RMV98" s="2"/>
      <c r="RMW98" s="2"/>
      <c r="RMX98" s="2"/>
      <c r="RMY98" s="2"/>
      <c r="RMZ98" s="2"/>
      <c r="RNA98" s="2"/>
      <c r="RNB98" s="2"/>
      <c r="RNC98" s="2"/>
      <c r="RND98" s="2"/>
      <c r="RNE98" s="2"/>
      <c r="RNF98" s="2"/>
      <c r="RNG98" s="2"/>
      <c r="RNH98" s="2"/>
      <c r="RNI98" s="2"/>
      <c r="RNJ98" s="2"/>
      <c r="RNK98" s="2"/>
      <c r="RNL98" s="2"/>
      <c r="RNM98" s="2"/>
      <c r="RNN98" s="2"/>
      <c r="RNO98" s="2"/>
      <c r="RNP98" s="2"/>
      <c r="RNQ98" s="2"/>
      <c r="RNR98" s="2"/>
      <c r="RNS98" s="2"/>
      <c r="RNT98" s="2"/>
      <c r="RNU98" s="2"/>
      <c r="RNV98" s="2"/>
      <c r="RNW98" s="2"/>
      <c r="RNX98" s="2"/>
      <c r="RNY98" s="2"/>
      <c r="RNZ98" s="2"/>
      <c r="ROA98" s="2"/>
      <c r="ROB98" s="2"/>
      <c r="ROC98" s="2"/>
      <c r="ROD98" s="2"/>
      <c r="ROE98" s="2"/>
      <c r="ROF98" s="2"/>
      <c r="ROG98" s="2"/>
      <c r="ROH98" s="2"/>
      <c r="ROI98" s="2"/>
      <c r="ROJ98" s="2"/>
      <c r="ROK98" s="2"/>
      <c r="ROL98" s="2"/>
      <c r="ROM98" s="2"/>
      <c r="RON98" s="2"/>
      <c r="ROO98" s="2"/>
      <c r="ROP98" s="2"/>
      <c r="ROQ98" s="2"/>
      <c r="ROR98" s="2"/>
      <c r="ROS98" s="2"/>
      <c r="ROT98" s="2"/>
      <c r="ROU98" s="2"/>
      <c r="ROV98" s="2"/>
      <c r="ROW98" s="2"/>
      <c r="ROX98" s="2"/>
      <c r="ROY98" s="2"/>
      <c r="ROZ98" s="2"/>
      <c r="RPA98" s="2"/>
      <c r="RPB98" s="2"/>
      <c r="RPC98" s="2"/>
      <c r="RPD98" s="2"/>
      <c r="RPE98" s="2"/>
      <c r="RPF98" s="2"/>
      <c r="RPG98" s="2"/>
      <c r="RPH98" s="2"/>
      <c r="RPI98" s="2"/>
      <c r="RPJ98" s="2"/>
      <c r="RPK98" s="2"/>
      <c r="RPL98" s="2"/>
      <c r="RPM98" s="2"/>
      <c r="RPN98" s="2"/>
      <c r="RPO98" s="2"/>
      <c r="RPP98" s="2"/>
      <c r="RPQ98" s="2"/>
      <c r="RPR98" s="2"/>
      <c r="RPS98" s="2"/>
      <c r="RPT98" s="2"/>
      <c r="RPU98" s="2"/>
      <c r="RPV98" s="2"/>
      <c r="RPW98" s="2"/>
      <c r="RPX98" s="2"/>
      <c r="RPY98" s="2"/>
      <c r="RPZ98" s="2"/>
      <c r="RQA98" s="2"/>
      <c r="RQB98" s="2"/>
      <c r="RQC98" s="2"/>
      <c r="RQD98" s="2"/>
      <c r="RQE98" s="2"/>
      <c r="RQF98" s="2"/>
      <c r="RQG98" s="2"/>
      <c r="RQH98" s="2"/>
      <c r="RQI98" s="2"/>
      <c r="RQJ98" s="2"/>
      <c r="RQK98" s="2"/>
      <c r="RQL98" s="2"/>
      <c r="RQM98" s="2"/>
      <c r="RQN98" s="2"/>
      <c r="RQO98" s="2"/>
      <c r="RQP98" s="2"/>
      <c r="RQQ98" s="2"/>
      <c r="RQR98" s="2"/>
      <c r="RQS98" s="2"/>
      <c r="RQT98" s="2"/>
      <c r="RQU98" s="2"/>
      <c r="RQV98" s="2"/>
      <c r="RQW98" s="2"/>
      <c r="RQX98" s="2"/>
      <c r="RQY98" s="2"/>
      <c r="RQZ98" s="2"/>
      <c r="RRA98" s="2"/>
      <c r="RRB98" s="2"/>
      <c r="RRC98" s="2"/>
      <c r="RRD98" s="2"/>
      <c r="RRE98" s="2"/>
      <c r="RRF98" s="2"/>
      <c r="RRG98" s="2"/>
      <c r="RRH98" s="2"/>
      <c r="RRI98" s="2"/>
      <c r="RRJ98" s="2"/>
      <c r="RRK98" s="2"/>
      <c r="RRL98" s="2"/>
      <c r="RRM98" s="2"/>
      <c r="RRN98" s="2"/>
      <c r="RRO98" s="2"/>
      <c r="RRP98" s="2"/>
      <c r="RRQ98" s="2"/>
      <c r="RRR98" s="2"/>
      <c r="RRS98" s="2"/>
      <c r="RRT98" s="2"/>
      <c r="RRU98" s="2"/>
      <c r="RRV98" s="2"/>
      <c r="RRW98" s="2"/>
      <c r="RRX98" s="2"/>
      <c r="RRY98" s="2"/>
      <c r="RRZ98" s="2"/>
      <c r="RSA98" s="2"/>
      <c r="RSB98" s="2"/>
      <c r="RSC98" s="2"/>
      <c r="RSD98" s="2"/>
      <c r="RSE98" s="2"/>
      <c r="RSF98" s="2"/>
      <c r="RSG98" s="2"/>
      <c r="RSH98" s="2"/>
      <c r="RSI98" s="2"/>
      <c r="RSJ98" s="2"/>
      <c r="RSK98" s="2"/>
      <c r="RSL98" s="2"/>
      <c r="RSM98" s="2"/>
      <c r="RSN98" s="2"/>
      <c r="RSO98" s="2"/>
      <c r="RSP98" s="2"/>
      <c r="RSQ98" s="2"/>
      <c r="RSR98" s="2"/>
      <c r="RSS98" s="2"/>
      <c r="RST98" s="2"/>
      <c r="RSU98" s="2"/>
      <c r="RSV98" s="2"/>
      <c r="RSW98" s="2"/>
      <c r="RSX98" s="2"/>
      <c r="RSY98" s="2"/>
      <c r="RSZ98" s="2"/>
      <c r="RTA98" s="2"/>
      <c r="RTB98" s="2"/>
      <c r="RTC98" s="2"/>
      <c r="RTD98" s="2"/>
      <c r="RTE98" s="2"/>
      <c r="RTF98" s="2"/>
      <c r="RTG98" s="2"/>
      <c r="RTH98" s="2"/>
      <c r="RTI98" s="2"/>
      <c r="RTJ98" s="2"/>
      <c r="RTK98" s="2"/>
      <c r="RTL98" s="2"/>
      <c r="RTM98" s="2"/>
      <c r="RTN98" s="2"/>
      <c r="RTO98" s="2"/>
      <c r="RTP98" s="2"/>
      <c r="RTQ98" s="2"/>
      <c r="RTR98" s="2"/>
      <c r="RTS98" s="2"/>
      <c r="RTT98" s="2"/>
      <c r="RTU98" s="2"/>
      <c r="RTV98" s="2"/>
      <c r="RTW98" s="2"/>
      <c r="RTX98" s="2"/>
      <c r="RTY98" s="2"/>
      <c r="RTZ98" s="2"/>
      <c r="RUA98" s="2"/>
      <c r="RUB98" s="2"/>
      <c r="RUC98" s="2"/>
      <c r="RUD98" s="2"/>
      <c r="RUE98" s="2"/>
      <c r="RUF98" s="2"/>
      <c r="RUG98" s="2"/>
      <c r="RUH98" s="2"/>
      <c r="RUI98" s="2"/>
      <c r="RUJ98" s="2"/>
      <c r="RUK98" s="2"/>
      <c r="RUL98" s="2"/>
      <c r="RUM98" s="2"/>
      <c r="RUN98" s="2"/>
      <c r="RUO98" s="2"/>
      <c r="RUP98" s="2"/>
      <c r="RUQ98" s="2"/>
      <c r="RUR98" s="2"/>
      <c r="RUS98" s="2"/>
      <c r="RUT98" s="2"/>
      <c r="RUU98" s="2"/>
      <c r="RUV98" s="2"/>
      <c r="RUW98" s="2"/>
      <c r="RUX98" s="2"/>
      <c r="RUY98" s="2"/>
      <c r="RUZ98" s="2"/>
      <c r="RVA98" s="2"/>
      <c r="RVB98" s="2"/>
      <c r="RVC98" s="2"/>
      <c r="RVD98" s="2"/>
      <c r="RVE98" s="2"/>
      <c r="RVF98" s="2"/>
      <c r="RVG98" s="2"/>
      <c r="RVH98" s="2"/>
      <c r="RVI98" s="2"/>
      <c r="RVJ98" s="2"/>
      <c r="RVK98" s="2"/>
      <c r="RVL98" s="2"/>
      <c r="RVM98" s="2"/>
      <c r="RVN98" s="2"/>
      <c r="RVO98" s="2"/>
      <c r="RVP98" s="2"/>
      <c r="RVQ98" s="2"/>
      <c r="RVR98" s="2"/>
      <c r="RVS98" s="2"/>
      <c r="RVT98" s="2"/>
      <c r="RVU98" s="2"/>
      <c r="RVV98" s="2"/>
      <c r="RVW98" s="2"/>
      <c r="RVX98" s="2"/>
      <c r="RVY98" s="2"/>
      <c r="RVZ98" s="2"/>
      <c r="RWA98" s="2"/>
      <c r="RWB98" s="2"/>
      <c r="RWC98" s="2"/>
      <c r="RWD98" s="2"/>
      <c r="RWE98" s="2"/>
      <c r="RWF98" s="2"/>
      <c r="RWG98" s="2"/>
      <c r="RWH98" s="2"/>
      <c r="RWI98" s="2"/>
      <c r="RWJ98" s="2"/>
      <c r="RWK98" s="2"/>
      <c r="RWL98" s="2"/>
      <c r="RWM98" s="2"/>
      <c r="RWN98" s="2"/>
      <c r="RWO98" s="2"/>
      <c r="RWP98" s="2"/>
      <c r="RWQ98" s="2"/>
      <c r="RWR98" s="2"/>
      <c r="RWS98" s="2"/>
      <c r="RWT98" s="2"/>
      <c r="RWU98" s="2"/>
      <c r="RWV98" s="2"/>
      <c r="RWW98" s="2"/>
      <c r="RWX98" s="2"/>
      <c r="RWY98" s="2"/>
      <c r="RWZ98" s="2"/>
      <c r="RXA98" s="2"/>
      <c r="RXB98" s="2"/>
      <c r="RXC98" s="2"/>
      <c r="RXD98" s="2"/>
      <c r="RXE98" s="2"/>
      <c r="RXF98" s="2"/>
      <c r="RXG98" s="2"/>
      <c r="RXH98" s="2"/>
      <c r="RXI98" s="2"/>
      <c r="RXJ98" s="2"/>
      <c r="RXK98" s="2"/>
      <c r="RXL98" s="2"/>
      <c r="RXM98" s="2"/>
      <c r="RXN98" s="2"/>
      <c r="RXO98" s="2"/>
      <c r="RXP98" s="2"/>
      <c r="RXQ98" s="2"/>
      <c r="RXR98" s="2"/>
      <c r="RXS98" s="2"/>
      <c r="RXT98" s="2"/>
      <c r="RXU98" s="2"/>
      <c r="RXV98" s="2"/>
      <c r="RXW98" s="2"/>
      <c r="RXX98" s="2"/>
      <c r="RXY98" s="2"/>
      <c r="RXZ98" s="2"/>
      <c r="RYA98" s="2"/>
      <c r="RYB98" s="2"/>
      <c r="RYC98" s="2"/>
      <c r="RYD98" s="2"/>
      <c r="RYE98" s="2"/>
      <c r="RYF98" s="2"/>
      <c r="RYG98" s="2"/>
      <c r="RYH98" s="2"/>
      <c r="RYI98" s="2"/>
      <c r="RYJ98" s="2"/>
      <c r="RYK98" s="2"/>
      <c r="RYL98" s="2"/>
      <c r="RYM98" s="2"/>
      <c r="RYN98" s="2"/>
      <c r="RYO98" s="2"/>
      <c r="RYP98" s="2"/>
      <c r="RYQ98" s="2"/>
      <c r="RYR98" s="2"/>
      <c r="RYS98" s="2"/>
      <c r="RYT98" s="2"/>
      <c r="RYU98" s="2"/>
      <c r="RYV98" s="2"/>
      <c r="RYW98" s="2"/>
      <c r="RYX98" s="2"/>
      <c r="RYY98" s="2"/>
      <c r="RYZ98" s="2"/>
      <c r="RZA98" s="2"/>
      <c r="RZB98" s="2"/>
      <c r="RZC98" s="2"/>
      <c r="RZD98" s="2"/>
      <c r="RZE98" s="2"/>
      <c r="RZF98" s="2"/>
      <c r="RZG98" s="2"/>
      <c r="RZH98" s="2"/>
      <c r="RZI98" s="2"/>
      <c r="RZJ98" s="2"/>
      <c r="RZK98" s="2"/>
      <c r="RZL98" s="2"/>
      <c r="RZM98" s="2"/>
      <c r="RZN98" s="2"/>
      <c r="RZO98" s="2"/>
      <c r="RZP98" s="2"/>
      <c r="RZQ98" s="2"/>
      <c r="RZR98" s="2"/>
      <c r="RZS98" s="2"/>
      <c r="RZT98" s="2"/>
      <c r="RZU98" s="2"/>
      <c r="RZV98" s="2"/>
      <c r="RZW98" s="2"/>
      <c r="RZX98" s="2"/>
      <c r="RZY98" s="2"/>
      <c r="RZZ98" s="2"/>
      <c r="SAA98" s="2"/>
      <c r="SAB98" s="2"/>
      <c r="SAC98" s="2"/>
      <c r="SAD98" s="2"/>
      <c r="SAE98" s="2"/>
      <c r="SAF98" s="2"/>
      <c r="SAG98" s="2"/>
      <c r="SAH98" s="2"/>
      <c r="SAI98" s="2"/>
      <c r="SAJ98" s="2"/>
      <c r="SAK98" s="2"/>
      <c r="SAL98" s="2"/>
      <c r="SAM98" s="2"/>
      <c r="SAN98" s="2"/>
      <c r="SAO98" s="2"/>
      <c r="SAP98" s="2"/>
      <c r="SAQ98" s="2"/>
      <c r="SAR98" s="2"/>
      <c r="SAS98" s="2"/>
      <c r="SAT98" s="2"/>
      <c r="SAU98" s="2"/>
      <c r="SAV98" s="2"/>
      <c r="SAW98" s="2"/>
      <c r="SAX98" s="2"/>
      <c r="SAY98" s="2"/>
      <c r="SAZ98" s="2"/>
      <c r="SBA98" s="2"/>
      <c r="SBB98" s="2"/>
      <c r="SBC98" s="2"/>
      <c r="SBD98" s="2"/>
      <c r="SBE98" s="2"/>
      <c r="SBF98" s="2"/>
      <c r="SBG98" s="2"/>
      <c r="SBH98" s="2"/>
      <c r="SBI98" s="2"/>
      <c r="SBJ98" s="2"/>
      <c r="SBK98" s="2"/>
      <c r="SBL98" s="2"/>
      <c r="SBM98" s="2"/>
      <c r="SBN98" s="2"/>
      <c r="SBO98" s="2"/>
      <c r="SBP98" s="2"/>
      <c r="SBQ98" s="2"/>
      <c r="SBR98" s="2"/>
      <c r="SBS98" s="2"/>
      <c r="SBT98" s="2"/>
      <c r="SBU98" s="2"/>
      <c r="SBV98" s="2"/>
      <c r="SBW98" s="2"/>
      <c r="SBX98" s="2"/>
      <c r="SBY98" s="2"/>
      <c r="SBZ98" s="2"/>
      <c r="SCA98" s="2"/>
      <c r="SCB98" s="2"/>
      <c r="SCC98" s="2"/>
      <c r="SCD98" s="2"/>
      <c r="SCE98" s="2"/>
      <c r="SCF98" s="2"/>
      <c r="SCG98" s="2"/>
      <c r="SCH98" s="2"/>
      <c r="SCI98" s="2"/>
      <c r="SCJ98" s="2"/>
      <c r="SCK98" s="2"/>
      <c r="SCL98" s="2"/>
      <c r="SCM98" s="2"/>
      <c r="SCN98" s="2"/>
      <c r="SCO98" s="2"/>
      <c r="SCP98" s="2"/>
      <c r="SCQ98" s="2"/>
      <c r="SCR98" s="2"/>
      <c r="SCS98" s="2"/>
      <c r="SCT98" s="2"/>
      <c r="SCU98" s="2"/>
      <c r="SCV98" s="2"/>
      <c r="SCW98" s="2"/>
      <c r="SCX98" s="2"/>
      <c r="SCY98" s="2"/>
      <c r="SCZ98" s="2"/>
      <c r="SDA98" s="2"/>
      <c r="SDB98" s="2"/>
      <c r="SDC98" s="2"/>
      <c r="SDD98" s="2"/>
      <c r="SDE98" s="2"/>
      <c r="SDF98" s="2"/>
      <c r="SDG98" s="2"/>
      <c r="SDH98" s="2"/>
      <c r="SDI98" s="2"/>
      <c r="SDJ98" s="2"/>
      <c r="SDK98" s="2"/>
      <c r="SDL98" s="2"/>
      <c r="SDM98" s="2"/>
      <c r="SDN98" s="2"/>
      <c r="SDO98" s="2"/>
      <c r="SDP98" s="2"/>
      <c r="SDQ98" s="2"/>
      <c r="SDR98" s="2"/>
      <c r="SDS98" s="2"/>
      <c r="SDT98" s="2"/>
      <c r="SDU98" s="2"/>
      <c r="SDV98" s="2"/>
      <c r="SDW98" s="2"/>
      <c r="SDX98" s="2"/>
      <c r="SDY98" s="2"/>
      <c r="SDZ98" s="2"/>
      <c r="SEA98" s="2"/>
      <c r="SEB98" s="2"/>
      <c r="SEC98" s="2"/>
      <c r="SED98" s="2"/>
      <c r="SEE98" s="2"/>
      <c r="SEF98" s="2"/>
      <c r="SEG98" s="2"/>
      <c r="SEH98" s="2"/>
      <c r="SEI98" s="2"/>
      <c r="SEJ98" s="2"/>
      <c r="SEK98" s="2"/>
      <c r="SEL98" s="2"/>
      <c r="SEM98" s="2"/>
      <c r="SEN98" s="2"/>
      <c r="SEO98" s="2"/>
      <c r="SEP98" s="2"/>
      <c r="SEQ98" s="2"/>
      <c r="SER98" s="2"/>
      <c r="SES98" s="2"/>
      <c r="SET98" s="2"/>
      <c r="SEU98" s="2"/>
      <c r="SEV98" s="2"/>
      <c r="SEW98" s="2"/>
      <c r="SEX98" s="2"/>
      <c r="SEY98" s="2"/>
      <c r="SEZ98" s="2"/>
      <c r="SFA98" s="2"/>
      <c r="SFB98" s="2"/>
      <c r="SFC98" s="2"/>
      <c r="SFD98" s="2"/>
      <c r="SFE98" s="2"/>
      <c r="SFF98" s="2"/>
      <c r="SFG98" s="2"/>
      <c r="SFH98" s="2"/>
      <c r="SFI98" s="2"/>
      <c r="SFJ98" s="2"/>
      <c r="SFK98" s="2"/>
      <c r="SFL98" s="2"/>
      <c r="SFM98" s="2"/>
      <c r="SFN98" s="2"/>
      <c r="SFO98" s="2"/>
      <c r="SFP98" s="2"/>
      <c r="SFQ98" s="2"/>
      <c r="SFR98" s="2"/>
      <c r="SFS98" s="2"/>
      <c r="SFT98" s="2"/>
      <c r="SFU98" s="2"/>
      <c r="SFV98" s="2"/>
      <c r="SFW98" s="2"/>
      <c r="SFX98" s="2"/>
      <c r="SFY98" s="2"/>
      <c r="SFZ98" s="2"/>
      <c r="SGA98" s="2"/>
      <c r="SGB98" s="2"/>
      <c r="SGC98" s="2"/>
      <c r="SGD98" s="2"/>
      <c r="SGE98" s="2"/>
      <c r="SGF98" s="2"/>
      <c r="SGG98" s="2"/>
      <c r="SGH98" s="2"/>
      <c r="SGI98" s="2"/>
      <c r="SGJ98" s="2"/>
      <c r="SGK98" s="2"/>
      <c r="SGL98" s="2"/>
      <c r="SGM98" s="2"/>
      <c r="SGN98" s="2"/>
      <c r="SGO98" s="2"/>
      <c r="SGP98" s="2"/>
      <c r="SGQ98" s="2"/>
      <c r="SGR98" s="2"/>
      <c r="SGS98" s="2"/>
      <c r="SGT98" s="2"/>
      <c r="SGU98" s="2"/>
      <c r="SGV98" s="2"/>
      <c r="SGW98" s="2"/>
      <c r="SGX98" s="2"/>
      <c r="SGY98" s="2"/>
      <c r="SGZ98" s="2"/>
      <c r="SHA98" s="2"/>
      <c r="SHB98" s="2"/>
      <c r="SHC98" s="2"/>
      <c r="SHD98" s="2"/>
      <c r="SHE98" s="2"/>
      <c r="SHF98" s="2"/>
      <c r="SHG98" s="2"/>
      <c r="SHH98" s="2"/>
      <c r="SHI98" s="2"/>
      <c r="SHJ98" s="2"/>
      <c r="SHK98" s="2"/>
      <c r="SHL98" s="2"/>
      <c r="SHM98" s="2"/>
      <c r="SHN98" s="2"/>
      <c r="SHO98" s="2"/>
      <c r="SHP98" s="2"/>
      <c r="SHQ98" s="2"/>
      <c r="SHR98" s="2"/>
      <c r="SHS98" s="2"/>
      <c r="SHT98" s="2"/>
      <c r="SHU98" s="2"/>
      <c r="SHV98" s="2"/>
      <c r="SHW98" s="2"/>
      <c r="SHX98" s="2"/>
      <c r="SHY98" s="2"/>
      <c r="SHZ98" s="2"/>
      <c r="SIA98" s="2"/>
      <c r="SIB98" s="2"/>
      <c r="SIC98" s="2"/>
      <c r="SID98" s="2"/>
      <c r="SIE98" s="2"/>
      <c r="SIF98" s="2"/>
      <c r="SIG98" s="2"/>
      <c r="SIH98" s="2"/>
      <c r="SII98" s="2"/>
      <c r="SIJ98" s="2"/>
      <c r="SIK98" s="2"/>
      <c r="SIL98" s="2"/>
      <c r="SIM98" s="2"/>
      <c r="SIN98" s="2"/>
      <c r="SIO98" s="2"/>
      <c r="SIP98" s="2"/>
      <c r="SIQ98" s="2"/>
      <c r="SIR98" s="2"/>
      <c r="SIS98" s="2"/>
      <c r="SIT98" s="2"/>
      <c r="SIU98" s="2"/>
      <c r="SIV98" s="2"/>
      <c r="SIW98" s="2"/>
      <c r="SIX98" s="2"/>
      <c r="SIY98" s="2"/>
      <c r="SIZ98" s="2"/>
      <c r="SJA98" s="2"/>
      <c r="SJB98" s="2"/>
      <c r="SJC98" s="2"/>
      <c r="SJD98" s="2"/>
      <c r="SJE98" s="2"/>
      <c r="SJF98" s="2"/>
      <c r="SJG98" s="2"/>
      <c r="SJH98" s="2"/>
      <c r="SJI98" s="2"/>
      <c r="SJJ98" s="2"/>
      <c r="SJK98" s="2"/>
      <c r="SJL98" s="2"/>
      <c r="SJM98" s="2"/>
      <c r="SJN98" s="2"/>
      <c r="SJO98" s="2"/>
      <c r="SJP98" s="2"/>
      <c r="SJQ98" s="2"/>
      <c r="SJR98" s="2"/>
      <c r="SJS98" s="2"/>
      <c r="SJT98" s="2"/>
      <c r="SJU98" s="2"/>
      <c r="SJV98" s="2"/>
      <c r="SJW98" s="2"/>
      <c r="SJX98" s="2"/>
      <c r="SJY98" s="2"/>
      <c r="SJZ98" s="2"/>
      <c r="SKA98" s="2"/>
      <c r="SKB98" s="2"/>
      <c r="SKC98" s="2"/>
      <c r="SKD98" s="2"/>
      <c r="SKE98" s="2"/>
      <c r="SKF98" s="2"/>
      <c r="SKG98" s="2"/>
      <c r="SKH98" s="2"/>
      <c r="SKI98" s="2"/>
      <c r="SKJ98" s="2"/>
      <c r="SKK98" s="2"/>
      <c r="SKL98" s="2"/>
      <c r="SKM98" s="2"/>
      <c r="SKN98" s="2"/>
      <c r="SKO98" s="2"/>
      <c r="SKP98" s="2"/>
      <c r="SKQ98" s="2"/>
      <c r="SKR98" s="2"/>
      <c r="SKS98" s="2"/>
      <c r="SKT98" s="2"/>
      <c r="SKU98" s="2"/>
      <c r="SKV98" s="2"/>
      <c r="SKW98" s="2"/>
      <c r="SKX98" s="2"/>
      <c r="SKY98" s="2"/>
      <c r="SKZ98" s="2"/>
      <c r="SLA98" s="2"/>
      <c r="SLB98" s="2"/>
      <c r="SLC98" s="2"/>
      <c r="SLD98" s="2"/>
      <c r="SLE98" s="2"/>
      <c r="SLF98" s="2"/>
      <c r="SLG98" s="2"/>
      <c r="SLH98" s="2"/>
      <c r="SLI98" s="2"/>
      <c r="SLJ98" s="2"/>
      <c r="SLK98" s="2"/>
      <c r="SLL98" s="2"/>
      <c r="SLM98" s="2"/>
      <c r="SLN98" s="2"/>
      <c r="SLO98" s="2"/>
      <c r="SLP98" s="2"/>
      <c r="SLQ98" s="2"/>
      <c r="SLR98" s="2"/>
      <c r="SLS98" s="2"/>
      <c r="SLT98" s="2"/>
      <c r="SLU98" s="2"/>
      <c r="SLV98" s="2"/>
      <c r="SLW98" s="2"/>
      <c r="SLX98" s="2"/>
      <c r="SLY98" s="2"/>
      <c r="SLZ98" s="2"/>
      <c r="SMA98" s="2"/>
      <c r="SMB98" s="2"/>
      <c r="SMC98" s="2"/>
      <c r="SMD98" s="2"/>
      <c r="SME98" s="2"/>
      <c r="SMF98" s="2"/>
      <c r="SMG98" s="2"/>
      <c r="SMH98" s="2"/>
      <c r="SMI98" s="2"/>
      <c r="SMJ98" s="2"/>
      <c r="SMK98" s="2"/>
      <c r="SML98" s="2"/>
      <c r="SMM98" s="2"/>
      <c r="SMN98" s="2"/>
      <c r="SMO98" s="2"/>
      <c r="SMP98" s="2"/>
      <c r="SMQ98" s="2"/>
      <c r="SMR98" s="2"/>
      <c r="SMS98" s="2"/>
      <c r="SMT98" s="2"/>
      <c r="SMU98" s="2"/>
      <c r="SMV98" s="2"/>
      <c r="SMW98" s="2"/>
      <c r="SMX98" s="2"/>
      <c r="SMY98" s="2"/>
      <c r="SMZ98" s="2"/>
      <c r="SNA98" s="2"/>
      <c r="SNB98" s="2"/>
      <c r="SNC98" s="2"/>
      <c r="SND98" s="2"/>
      <c r="SNE98" s="2"/>
      <c r="SNF98" s="2"/>
      <c r="SNG98" s="2"/>
      <c r="SNH98" s="2"/>
      <c r="SNI98" s="2"/>
      <c r="SNJ98" s="2"/>
      <c r="SNK98" s="2"/>
      <c r="SNL98" s="2"/>
      <c r="SNM98" s="2"/>
      <c r="SNN98" s="2"/>
      <c r="SNO98" s="2"/>
      <c r="SNP98" s="2"/>
      <c r="SNQ98" s="2"/>
      <c r="SNR98" s="2"/>
      <c r="SNS98" s="2"/>
      <c r="SNT98" s="2"/>
      <c r="SNU98" s="2"/>
      <c r="SNV98" s="2"/>
      <c r="SNW98" s="2"/>
      <c r="SNX98" s="2"/>
      <c r="SNY98" s="2"/>
      <c r="SNZ98" s="2"/>
      <c r="SOA98" s="2"/>
      <c r="SOB98" s="2"/>
      <c r="SOC98" s="2"/>
      <c r="SOD98" s="2"/>
      <c r="SOE98" s="2"/>
      <c r="SOF98" s="2"/>
      <c r="SOG98" s="2"/>
      <c r="SOH98" s="2"/>
      <c r="SOI98" s="2"/>
      <c r="SOJ98" s="2"/>
      <c r="SOK98" s="2"/>
      <c r="SOL98" s="2"/>
      <c r="SOM98" s="2"/>
      <c r="SON98" s="2"/>
      <c r="SOO98" s="2"/>
      <c r="SOP98" s="2"/>
      <c r="SOQ98" s="2"/>
      <c r="SOR98" s="2"/>
      <c r="SOS98" s="2"/>
      <c r="SOT98" s="2"/>
      <c r="SOU98" s="2"/>
      <c r="SOV98" s="2"/>
      <c r="SOW98" s="2"/>
      <c r="SOX98" s="2"/>
      <c r="SOY98" s="2"/>
      <c r="SOZ98" s="2"/>
      <c r="SPA98" s="2"/>
      <c r="SPB98" s="2"/>
      <c r="SPC98" s="2"/>
      <c r="SPD98" s="2"/>
      <c r="SPE98" s="2"/>
      <c r="SPF98" s="2"/>
      <c r="SPG98" s="2"/>
      <c r="SPH98" s="2"/>
      <c r="SPI98" s="2"/>
      <c r="SPJ98" s="2"/>
      <c r="SPK98" s="2"/>
      <c r="SPL98" s="2"/>
      <c r="SPM98" s="2"/>
      <c r="SPN98" s="2"/>
      <c r="SPO98" s="2"/>
      <c r="SPP98" s="2"/>
      <c r="SPQ98" s="2"/>
      <c r="SPR98" s="2"/>
      <c r="SPS98" s="2"/>
      <c r="SPT98" s="2"/>
      <c r="SPU98" s="2"/>
      <c r="SPV98" s="2"/>
      <c r="SPW98" s="2"/>
      <c r="SPX98" s="2"/>
      <c r="SPY98" s="2"/>
      <c r="SPZ98" s="2"/>
      <c r="SQA98" s="2"/>
      <c r="SQB98" s="2"/>
      <c r="SQC98" s="2"/>
      <c r="SQD98" s="2"/>
      <c r="SQE98" s="2"/>
      <c r="SQF98" s="2"/>
      <c r="SQG98" s="2"/>
      <c r="SQH98" s="2"/>
      <c r="SQI98" s="2"/>
      <c r="SQJ98" s="2"/>
      <c r="SQK98" s="2"/>
      <c r="SQL98" s="2"/>
      <c r="SQM98" s="2"/>
      <c r="SQN98" s="2"/>
      <c r="SQO98" s="2"/>
      <c r="SQP98" s="2"/>
      <c r="SQQ98" s="2"/>
      <c r="SQR98" s="2"/>
      <c r="SQS98" s="2"/>
      <c r="SQT98" s="2"/>
      <c r="SQU98" s="2"/>
      <c r="SQV98" s="2"/>
      <c r="SQW98" s="2"/>
      <c r="SQX98" s="2"/>
      <c r="SQY98" s="2"/>
      <c r="SQZ98" s="2"/>
      <c r="SRA98" s="2"/>
      <c r="SRB98" s="2"/>
      <c r="SRC98" s="2"/>
      <c r="SRD98" s="2"/>
      <c r="SRE98" s="2"/>
      <c r="SRF98" s="2"/>
      <c r="SRG98" s="2"/>
      <c r="SRH98" s="2"/>
      <c r="SRI98" s="2"/>
      <c r="SRJ98" s="2"/>
      <c r="SRK98" s="2"/>
      <c r="SRL98" s="2"/>
      <c r="SRM98" s="2"/>
      <c r="SRN98" s="2"/>
      <c r="SRO98" s="2"/>
      <c r="SRP98" s="2"/>
      <c r="SRQ98" s="2"/>
      <c r="SRR98" s="2"/>
      <c r="SRS98" s="2"/>
      <c r="SRT98" s="2"/>
      <c r="SRU98" s="2"/>
      <c r="SRV98" s="2"/>
      <c r="SRW98" s="2"/>
      <c r="SRX98" s="2"/>
      <c r="SRY98" s="2"/>
      <c r="SRZ98" s="2"/>
      <c r="SSA98" s="2"/>
      <c r="SSB98" s="2"/>
      <c r="SSC98" s="2"/>
      <c r="SSD98" s="2"/>
      <c r="SSE98" s="2"/>
      <c r="SSF98" s="2"/>
      <c r="SSG98" s="2"/>
      <c r="SSH98" s="2"/>
      <c r="SSI98" s="2"/>
      <c r="SSJ98" s="2"/>
      <c r="SSK98" s="2"/>
      <c r="SSL98" s="2"/>
      <c r="SSM98" s="2"/>
      <c r="SSN98" s="2"/>
      <c r="SSO98" s="2"/>
      <c r="SSP98" s="2"/>
      <c r="SSQ98" s="2"/>
      <c r="SSR98" s="2"/>
      <c r="SSS98" s="2"/>
      <c r="SST98" s="2"/>
      <c r="SSU98" s="2"/>
      <c r="SSV98" s="2"/>
      <c r="SSW98" s="2"/>
      <c r="SSX98" s="2"/>
      <c r="SSY98" s="2"/>
      <c r="SSZ98" s="2"/>
      <c r="STA98" s="2"/>
      <c r="STB98" s="2"/>
      <c r="STC98" s="2"/>
      <c r="STD98" s="2"/>
      <c r="STE98" s="2"/>
      <c r="STF98" s="2"/>
      <c r="STG98" s="2"/>
      <c r="STH98" s="2"/>
      <c r="STI98" s="2"/>
      <c r="STJ98" s="2"/>
      <c r="STK98" s="2"/>
      <c r="STL98" s="2"/>
      <c r="STM98" s="2"/>
      <c r="STN98" s="2"/>
      <c r="STO98" s="2"/>
      <c r="STP98" s="2"/>
      <c r="STQ98" s="2"/>
      <c r="STR98" s="2"/>
      <c r="STS98" s="2"/>
      <c r="STT98" s="2"/>
      <c r="STU98" s="2"/>
      <c r="STV98" s="2"/>
      <c r="STW98" s="2"/>
      <c r="STX98" s="2"/>
      <c r="STY98" s="2"/>
      <c r="STZ98" s="2"/>
      <c r="SUA98" s="2"/>
      <c r="SUB98" s="2"/>
      <c r="SUC98" s="2"/>
      <c r="SUD98" s="2"/>
      <c r="SUE98" s="2"/>
      <c r="SUF98" s="2"/>
      <c r="SUG98" s="2"/>
      <c r="SUH98" s="2"/>
      <c r="SUI98" s="2"/>
      <c r="SUJ98" s="2"/>
      <c r="SUK98" s="2"/>
      <c r="SUL98" s="2"/>
      <c r="SUM98" s="2"/>
      <c r="SUN98" s="2"/>
      <c r="SUO98" s="2"/>
      <c r="SUP98" s="2"/>
      <c r="SUQ98" s="2"/>
      <c r="SUR98" s="2"/>
      <c r="SUS98" s="2"/>
      <c r="SUT98" s="2"/>
      <c r="SUU98" s="2"/>
      <c r="SUV98" s="2"/>
      <c r="SUW98" s="2"/>
      <c r="SUX98" s="2"/>
      <c r="SUY98" s="2"/>
      <c r="SUZ98" s="2"/>
      <c r="SVA98" s="2"/>
      <c r="SVB98" s="2"/>
      <c r="SVC98" s="2"/>
      <c r="SVD98" s="2"/>
      <c r="SVE98" s="2"/>
      <c r="SVF98" s="2"/>
      <c r="SVG98" s="2"/>
      <c r="SVH98" s="2"/>
      <c r="SVI98" s="2"/>
      <c r="SVJ98" s="2"/>
      <c r="SVK98" s="2"/>
      <c r="SVL98" s="2"/>
      <c r="SVM98" s="2"/>
      <c r="SVN98" s="2"/>
      <c r="SVO98" s="2"/>
      <c r="SVP98" s="2"/>
      <c r="SVQ98" s="2"/>
      <c r="SVR98" s="2"/>
      <c r="SVS98" s="2"/>
      <c r="SVT98" s="2"/>
      <c r="SVU98" s="2"/>
      <c r="SVV98" s="2"/>
      <c r="SVW98" s="2"/>
      <c r="SVX98" s="2"/>
      <c r="SVY98" s="2"/>
      <c r="SVZ98" s="2"/>
      <c r="SWA98" s="2"/>
      <c r="SWB98" s="2"/>
      <c r="SWC98" s="2"/>
      <c r="SWD98" s="2"/>
      <c r="SWE98" s="2"/>
      <c r="SWF98" s="2"/>
      <c r="SWG98" s="2"/>
      <c r="SWH98" s="2"/>
      <c r="SWI98" s="2"/>
      <c r="SWJ98" s="2"/>
      <c r="SWK98" s="2"/>
      <c r="SWL98" s="2"/>
      <c r="SWM98" s="2"/>
      <c r="SWN98" s="2"/>
      <c r="SWO98" s="2"/>
      <c r="SWP98" s="2"/>
      <c r="SWQ98" s="2"/>
      <c r="SWR98" s="2"/>
      <c r="SWS98" s="2"/>
      <c r="SWT98" s="2"/>
      <c r="SWU98" s="2"/>
      <c r="SWV98" s="2"/>
      <c r="SWW98" s="2"/>
      <c r="SWX98" s="2"/>
      <c r="SWY98" s="2"/>
      <c r="SWZ98" s="2"/>
      <c r="SXA98" s="2"/>
      <c r="SXB98" s="2"/>
      <c r="SXC98" s="2"/>
      <c r="SXD98" s="2"/>
      <c r="SXE98" s="2"/>
      <c r="SXF98" s="2"/>
      <c r="SXG98" s="2"/>
      <c r="SXH98" s="2"/>
      <c r="SXI98" s="2"/>
      <c r="SXJ98" s="2"/>
      <c r="SXK98" s="2"/>
      <c r="SXL98" s="2"/>
      <c r="SXM98" s="2"/>
      <c r="SXN98" s="2"/>
      <c r="SXO98" s="2"/>
      <c r="SXP98" s="2"/>
      <c r="SXQ98" s="2"/>
      <c r="SXR98" s="2"/>
      <c r="SXS98" s="2"/>
      <c r="SXT98" s="2"/>
      <c r="SXU98" s="2"/>
      <c r="SXV98" s="2"/>
      <c r="SXW98" s="2"/>
      <c r="SXX98" s="2"/>
      <c r="SXY98" s="2"/>
      <c r="SXZ98" s="2"/>
      <c r="SYA98" s="2"/>
      <c r="SYB98" s="2"/>
      <c r="SYC98" s="2"/>
      <c r="SYD98" s="2"/>
      <c r="SYE98" s="2"/>
      <c r="SYF98" s="2"/>
      <c r="SYG98" s="2"/>
      <c r="SYH98" s="2"/>
      <c r="SYI98" s="2"/>
      <c r="SYJ98" s="2"/>
      <c r="SYK98" s="2"/>
      <c r="SYL98" s="2"/>
      <c r="SYM98" s="2"/>
      <c r="SYN98" s="2"/>
      <c r="SYO98" s="2"/>
      <c r="SYP98" s="2"/>
      <c r="SYQ98" s="2"/>
      <c r="SYR98" s="2"/>
      <c r="SYS98" s="2"/>
      <c r="SYT98" s="2"/>
      <c r="SYU98" s="2"/>
      <c r="SYV98" s="2"/>
      <c r="SYW98" s="2"/>
      <c r="SYX98" s="2"/>
      <c r="SYY98" s="2"/>
      <c r="SYZ98" s="2"/>
      <c r="SZA98" s="2"/>
      <c r="SZB98" s="2"/>
      <c r="SZC98" s="2"/>
      <c r="SZD98" s="2"/>
      <c r="SZE98" s="2"/>
      <c r="SZF98" s="2"/>
      <c r="SZG98" s="2"/>
      <c r="SZH98" s="2"/>
      <c r="SZI98" s="2"/>
      <c r="SZJ98" s="2"/>
      <c r="SZK98" s="2"/>
      <c r="SZL98" s="2"/>
      <c r="SZM98" s="2"/>
      <c r="SZN98" s="2"/>
      <c r="SZO98" s="2"/>
      <c r="SZP98" s="2"/>
      <c r="SZQ98" s="2"/>
      <c r="SZR98" s="2"/>
      <c r="SZS98" s="2"/>
      <c r="SZT98" s="2"/>
      <c r="SZU98" s="2"/>
      <c r="SZV98" s="2"/>
      <c r="SZW98" s="2"/>
      <c r="SZX98" s="2"/>
      <c r="SZY98" s="2"/>
      <c r="SZZ98" s="2"/>
      <c r="TAA98" s="2"/>
      <c r="TAB98" s="2"/>
      <c r="TAC98" s="2"/>
      <c r="TAD98" s="2"/>
      <c r="TAE98" s="2"/>
      <c r="TAF98" s="2"/>
      <c r="TAG98" s="2"/>
      <c r="TAH98" s="2"/>
      <c r="TAI98" s="2"/>
      <c r="TAJ98" s="2"/>
      <c r="TAK98" s="2"/>
      <c r="TAL98" s="2"/>
      <c r="TAM98" s="2"/>
      <c r="TAN98" s="2"/>
      <c r="TAO98" s="2"/>
      <c r="TAP98" s="2"/>
      <c r="TAQ98" s="2"/>
      <c r="TAR98" s="2"/>
      <c r="TAS98" s="2"/>
      <c r="TAT98" s="2"/>
      <c r="TAU98" s="2"/>
      <c r="TAV98" s="2"/>
      <c r="TAW98" s="2"/>
      <c r="TAX98" s="2"/>
      <c r="TAY98" s="2"/>
      <c r="TAZ98" s="2"/>
      <c r="TBA98" s="2"/>
      <c r="TBB98" s="2"/>
      <c r="TBC98" s="2"/>
      <c r="TBD98" s="2"/>
      <c r="TBE98" s="2"/>
      <c r="TBF98" s="2"/>
      <c r="TBG98" s="2"/>
      <c r="TBH98" s="2"/>
      <c r="TBI98" s="2"/>
      <c r="TBJ98" s="2"/>
      <c r="TBK98" s="2"/>
      <c r="TBL98" s="2"/>
      <c r="TBM98" s="2"/>
      <c r="TBN98" s="2"/>
      <c r="TBO98" s="2"/>
      <c r="TBP98" s="2"/>
      <c r="TBQ98" s="2"/>
      <c r="TBR98" s="2"/>
      <c r="TBS98" s="2"/>
      <c r="TBT98" s="2"/>
      <c r="TBU98" s="2"/>
      <c r="TBV98" s="2"/>
      <c r="TBW98" s="2"/>
      <c r="TBX98" s="2"/>
      <c r="TBY98" s="2"/>
      <c r="TBZ98" s="2"/>
      <c r="TCA98" s="2"/>
      <c r="TCB98" s="2"/>
      <c r="TCC98" s="2"/>
      <c r="TCD98" s="2"/>
      <c r="TCE98" s="2"/>
      <c r="TCF98" s="2"/>
      <c r="TCG98" s="2"/>
      <c r="TCH98" s="2"/>
      <c r="TCI98" s="2"/>
      <c r="TCJ98" s="2"/>
      <c r="TCK98" s="2"/>
      <c r="TCL98" s="2"/>
      <c r="TCM98" s="2"/>
      <c r="TCN98" s="2"/>
      <c r="TCO98" s="2"/>
      <c r="TCP98" s="2"/>
      <c r="TCQ98" s="2"/>
      <c r="TCR98" s="2"/>
      <c r="TCS98" s="2"/>
      <c r="TCT98" s="2"/>
      <c r="TCU98" s="2"/>
      <c r="TCV98" s="2"/>
      <c r="TCW98" s="2"/>
      <c r="TCX98" s="2"/>
      <c r="TCY98" s="2"/>
      <c r="TCZ98" s="2"/>
      <c r="TDA98" s="2"/>
      <c r="TDB98" s="2"/>
      <c r="TDC98" s="2"/>
      <c r="TDD98" s="2"/>
      <c r="TDE98" s="2"/>
      <c r="TDF98" s="2"/>
      <c r="TDG98" s="2"/>
      <c r="TDH98" s="2"/>
      <c r="TDI98" s="2"/>
      <c r="TDJ98" s="2"/>
      <c r="TDK98" s="2"/>
      <c r="TDL98" s="2"/>
      <c r="TDM98" s="2"/>
      <c r="TDN98" s="2"/>
      <c r="TDO98" s="2"/>
      <c r="TDP98" s="2"/>
      <c r="TDQ98" s="2"/>
      <c r="TDR98" s="2"/>
      <c r="TDS98" s="2"/>
      <c r="TDT98" s="2"/>
      <c r="TDU98" s="2"/>
      <c r="TDV98" s="2"/>
      <c r="TDW98" s="2"/>
      <c r="TDX98" s="2"/>
      <c r="TDY98" s="2"/>
      <c r="TDZ98" s="2"/>
      <c r="TEA98" s="2"/>
      <c r="TEB98" s="2"/>
      <c r="TEC98" s="2"/>
      <c r="TED98" s="2"/>
      <c r="TEE98" s="2"/>
      <c r="TEF98" s="2"/>
      <c r="TEG98" s="2"/>
      <c r="TEH98" s="2"/>
      <c r="TEI98" s="2"/>
      <c r="TEJ98" s="2"/>
      <c r="TEK98" s="2"/>
      <c r="TEL98" s="2"/>
      <c r="TEM98" s="2"/>
      <c r="TEN98" s="2"/>
      <c r="TEO98" s="2"/>
      <c r="TEP98" s="2"/>
      <c r="TEQ98" s="2"/>
      <c r="TER98" s="2"/>
      <c r="TES98" s="2"/>
      <c r="TET98" s="2"/>
      <c r="TEU98" s="2"/>
      <c r="TEV98" s="2"/>
      <c r="TEW98" s="2"/>
      <c r="TEX98" s="2"/>
      <c r="TEY98" s="2"/>
      <c r="TEZ98" s="2"/>
      <c r="TFA98" s="2"/>
      <c r="TFB98" s="2"/>
      <c r="TFC98" s="2"/>
      <c r="TFD98" s="2"/>
      <c r="TFE98" s="2"/>
      <c r="TFF98" s="2"/>
      <c r="TFG98" s="2"/>
      <c r="TFH98" s="2"/>
      <c r="TFI98" s="2"/>
      <c r="TFJ98" s="2"/>
      <c r="TFK98" s="2"/>
      <c r="TFL98" s="2"/>
      <c r="TFM98" s="2"/>
      <c r="TFN98" s="2"/>
      <c r="TFO98" s="2"/>
      <c r="TFP98" s="2"/>
      <c r="TFQ98" s="2"/>
      <c r="TFR98" s="2"/>
      <c r="TFS98" s="2"/>
      <c r="TFT98" s="2"/>
      <c r="TFU98" s="2"/>
      <c r="TFV98" s="2"/>
      <c r="TFW98" s="2"/>
      <c r="TFX98" s="2"/>
      <c r="TFY98" s="2"/>
      <c r="TFZ98" s="2"/>
      <c r="TGA98" s="2"/>
      <c r="TGB98" s="2"/>
      <c r="TGC98" s="2"/>
      <c r="TGD98" s="2"/>
      <c r="TGE98" s="2"/>
      <c r="TGF98" s="2"/>
      <c r="TGG98" s="2"/>
      <c r="TGH98" s="2"/>
      <c r="TGI98" s="2"/>
      <c r="TGJ98" s="2"/>
      <c r="TGK98" s="2"/>
      <c r="TGL98" s="2"/>
      <c r="TGM98" s="2"/>
      <c r="TGN98" s="2"/>
      <c r="TGO98" s="2"/>
      <c r="TGP98" s="2"/>
      <c r="TGQ98" s="2"/>
      <c r="TGR98" s="2"/>
      <c r="TGS98" s="2"/>
      <c r="TGT98" s="2"/>
      <c r="TGU98" s="2"/>
      <c r="TGV98" s="2"/>
      <c r="TGW98" s="2"/>
      <c r="TGX98" s="2"/>
      <c r="TGY98" s="2"/>
      <c r="TGZ98" s="2"/>
      <c r="THA98" s="2"/>
      <c r="THB98" s="2"/>
      <c r="THC98" s="2"/>
      <c r="THD98" s="2"/>
      <c r="THE98" s="2"/>
      <c r="THF98" s="2"/>
      <c r="THG98" s="2"/>
      <c r="THH98" s="2"/>
      <c r="THI98" s="2"/>
      <c r="THJ98" s="2"/>
      <c r="THK98" s="2"/>
      <c r="THL98" s="2"/>
      <c r="THM98" s="2"/>
      <c r="THN98" s="2"/>
      <c r="THO98" s="2"/>
      <c r="THP98" s="2"/>
      <c r="THQ98" s="2"/>
      <c r="THR98" s="2"/>
      <c r="THS98" s="2"/>
      <c r="THT98" s="2"/>
      <c r="THU98" s="2"/>
      <c r="THV98" s="2"/>
      <c r="THW98" s="2"/>
      <c r="THX98" s="2"/>
      <c r="THY98" s="2"/>
      <c r="THZ98" s="2"/>
      <c r="TIA98" s="2"/>
      <c r="TIB98" s="2"/>
      <c r="TIC98" s="2"/>
      <c r="TID98" s="2"/>
      <c r="TIE98" s="2"/>
      <c r="TIF98" s="2"/>
      <c r="TIG98" s="2"/>
      <c r="TIH98" s="2"/>
      <c r="TII98" s="2"/>
      <c r="TIJ98" s="2"/>
      <c r="TIK98" s="2"/>
      <c r="TIL98" s="2"/>
      <c r="TIM98" s="2"/>
      <c r="TIN98" s="2"/>
      <c r="TIO98" s="2"/>
      <c r="TIP98" s="2"/>
      <c r="TIQ98" s="2"/>
      <c r="TIR98" s="2"/>
      <c r="TIS98" s="2"/>
      <c r="TIT98" s="2"/>
      <c r="TIU98" s="2"/>
      <c r="TIV98" s="2"/>
      <c r="TIW98" s="2"/>
      <c r="TIX98" s="2"/>
      <c r="TIY98" s="2"/>
      <c r="TIZ98" s="2"/>
      <c r="TJA98" s="2"/>
      <c r="TJB98" s="2"/>
      <c r="TJC98" s="2"/>
      <c r="TJD98" s="2"/>
      <c r="TJE98" s="2"/>
      <c r="TJF98" s="2"/>
      <c r="TJG98" s="2"/>
      <c r="TJH98" s="2"/>
      <c r="TJI98" s="2"/>
      <c r="TJJ98" s="2"/>
      <c r="TJK98" s="2"/>
      <c r="TJL98" s="2"/>
      <c r="TJM98" s="2"/>
      <c r="TJN98" s="2"/>
      <c r="TJO98" s="2"/>
      <c r="TJP98" s="2"/>
      <c r="TJQ98" s="2"/>
      <c r="TJR98" s="2"/>
      <c r="TJS98" s="2"/>
      <c r="TJT98" s="2"/>
      <c r="TJU98" s="2"/>
      <c r="TJV98" s="2"/>
      <c r="TJW98" s="2"/>
      <c r="TJX98" s="2"/>
      <c r="TJY98" s="2"/>
      <c r="TJZ98" s="2"/>
      <c r="TKA98" s="2"/>
      <c r="TKB98" s="2"/>
      <c r="TKC98" s="2"/>
      <c r="TKD98" s="2"/>
      <c r="TKE98" s="2"/>
      <c r="TKF98" s="2"/>
      <c r="TKG98" s="2"/>
      <c r="TKH98" s="2"/>
      <c r="TKI98" s="2"/>
      <c r="TKJ98" s="2"/>
      <c r="TKK98" s="2"/>
      <c r="TKL98" s="2"/>
      <c r="TKM98" s="2"/>
      <c r="TKN98" s="2"/>
      <c r="TKO98" s="2"/>
      <c r="TKP98" s="2"/>
      <c r="TKQ98" s="2"/>
      <c r="TKR98" s="2"/>
      <c r="TKS98" s="2"/>
      <c r="TKT98" s="2"/>
      <c r="TKU98" s="2"/>
      <c r="TKV98" s="2"/>
      <c r="TKW98" s="2"/>
      <c r="TKX98" s="2"/>
      <c r="TKY98" s="2"/>
      <c r="TKZ98" s="2"/>
      <c r="TLA98" s="2"/>
      <c r="TLB98" s="2"/>
      <c r="TLC98" s="2"/>
      <c r="TLD98" s="2"/>
      <c r="TLE98" s="2"/>
      <c r="TLF98" s="2"/>
      <c r="TLG98" s="2"/>
      <c r="TLH98" s="2"/>
      <c r="TLI98" s="2"/>
      <c r="TLJ98" s="2"/>
      <c r="TLK98" s="2"/>
      <c r="TLL98" s="2"/>
      <c r="TLM98" s="2"/>
      <c r="TLN98" s="2"/>
      <c r="TLO98" s="2"/>
      <c r="TLP98" s="2"/>
      <c r="TLQ98" s="2"/>
      <c r="TLR98" s="2"/>
      <c r="TLS98" s="2"/>
      <c r="TLT98" s="2"/>
      <c r="TLU98" s="2"/>
      <c r="TLV98" s="2"/>
      <c r="TLW98" s="2"/>
      <c r="TLX98" s="2"/>
      <c r="TLY98" s="2"/>
      <c r="TLZ98" s="2"/>
      <c r="TMA98" s="2"/>
      <c r="TMB98" s="2"/>
      <c r="TMC98" s="2"/>
      <c r="TMD98" s="2"/>
      <c r="TME98" s="2"/>
      <c r="TMF98" s="2"/>
      <c r="TMG98" s="2"/>
      <c r="TMH98" s="2"/>
      <c r="TMI98" s="2"/>
      <c r="TMJ98" s="2"/>
      <c r="TMK98" s="2"/>
      <c r="TML98" s="2"/>
      <c r="TMM98" s="2"/>
      <c r="TMN98" s="2"/>
      <c r="TMO98" s="2"/>
      <c r="TMP98" s="2"/>
      <c r="TMQ98" s="2"/>
      <c r="TMR98" s="2"/>
      <c r="TMS98" s="2"/>
      <c r="TMT98" s="2"/>
      <c r="TMU98" s="2"/>
      <c r="TMV98" s="2"/>
      <c r="TMW98" s="2"/>
      <c r="TMX98" s="2"/>
      <c r="TMY98" s="2"/>
      <c r="TMZ98" s="2"/>
      <c r="TNA98" s="2"/>
      <c r="TNB98" s="2"/>
      <c r="TNC98" s="2"/>
      <c r="TND98" s="2"/>
      <c r="TNE98" s="2"/>
      <c r="TNF98" s="2"/>
      <c r="TNG98" s="2"/>
      <c r="TNH98" s="2"/>
      <c r="TNI98" s="2"/>
      <c r="TNJ98" s="2"/>
      <c r="TNK98" s="2"/>
      <c r="TNL98" s="2"/>
      <c r="TNM98" s="2"/>
      <c r="TNN98" s="2"/>
      <c r="TNO98" s="2"/>
      <c r="TNP98" s="2"/>
      <c r="TNQ98" s="2"/>
      <c r="TNR98" s="2"/>
      <c r="TNS98" s="2"/>
      <c r="TNT98" s="2"/>
      <c r="TNU98" s="2"/>
      <c r="TNV98" s="2"/>
      <c r="TNW98" s="2"/>
      <c r="TNX98" s="2"/>
      <c r="TNY98" s="2"/>
      <c r="TNZ98" s="2"/>
      <c r="TOA98" s="2"/>
      <c r="TOB98" s="2"/>
      <c r="TOC98" s="2"/>
      <c r="TOD98" s="2"/>
      <c r="TOE98" s="2"/>
      <c r="TOF98" s="2"/>
      <c r="TOG98" s="2"/>
      <c r="TOH98" s="2"/>
      <c r="TOI98" s="2"/>
      <c r="TOJ98" s="2"/>
      <c r="TOK98" s="2"/>
      <c r="TOL98" s="2"/>
      <c r="TOM98" s="2"/>
      <c r="TON98" s="2"/>
      <c r="TOO98" s="2"/>
      <c r="TOP98" s="2"/>
      <c r="TOQ98" s="2"/>
      <c r="TOR98" s="2"/>
      <c r="TOS98" s="2"/>
      <c r="TOT98" s="2"/>
      <c r="TOU98" s="2"/>
      <c r="TOV98" s="2"/>
      <c r="TOW98" s="2"/>
      <c r="TOX98" s="2"/>
      <c r="TOY98" s="2"/>
      <c r="TOZ98" s="2"/>
      <c r="TPA98" s="2"/>
      <c r="TPB98" s="2"/>
      <c r="TPC98" s="2"/>
      <c r="TPD98" s="2"/>
      <c r="TPE98" s="2"/>
      <c r="TPF98" s="2"/>
      <c r="TPG98" s="2"/>
      <c r="TPH98" s="2"/>
      <c r="TPI98" s="2"/>
      <c r="TPJ98" s="2"/>
      <c r="TPK98" s="2"/>
      <c r="TPL98" s="2"/>
      <c r="TPM98" s="2"/>
      <c r="TPN98" s="2"/>
      <c r="TPO98" s="2"/>
      <c r="TPP98" s="2"/>
      <c r="TPQ98" s="2"/>
      <c r="TPR98" s="2"/>
      <c r="TPS98" s="2"/>
      <c r="TPT98" s="2"/>
      <c r="TPU98" s="2"/>
      <c r="TPV98" s="2"/>
      <c r="TPW98" s="2"/>
      <c r="TPX98" s="2"/>
      <c r="TPY98" s="2"/>
      <c r="TPZ98" s="2"/>
      <c r="TQA98" s="2"/>
      <c r="TQB98" s="2"/>
      <c r="TQC98" s="2"/>
      <c r="TQD98" s="2"/>
      <c r="TQE98" s="2"/>
      <c r="TQF98" s="2"/>
      <c r="TQG98" s="2"/>
      <c r="TQH98" s="2"/>
      <c r="TQI98" s="2"/>
      <c r="TQJ98" s="2"/>
      <c r="TQK98" s="2"/>
      <c r="TQL98" s="2"/>
      <c r="TQM98" s="2"/>
      <c r="TQN98" s="2"/>
      <c r="TQO98" s="2"/>
      <c r="TQP98" s="2"/>
      <c r="TQQ98" s="2"/>
      <c r="TQR98" s="2"/>
      <c r="TQS98" s="2"/>
      <c r="TQT98" s="2"/>
      <c r="TQU98" s="2"/>
      <c r="TQV98" s="2"/>
      <c r="TQW98" s="2"/>
      <c r="TQX98" s="2"/>
      <c r="TQY98" s="2"/>
      <c r="TQZ98" s="2"/>
      <c r="TRA98" s="2"/>
      <c r="TRB98" s="2"/>
      <c r="TRC98" s="2"/>
      <c r="TRD98" s="2"/>
      <c r="TRE98" s="2"/>
      <c r="TRF98" s="2"/>
      <c r="TRG98" s="2"/>
      <c r="TRH98" s="2"/>
      <c r="TRI98" s="2"/>
      <c r="TRJ98" s="2"/>
      <c r="TRK98" s="2"/>
      <c r="TRL98" s="2"/>
      <c r="TRM98" s="2"/>
      <c r="TRN98" s="2"/>
      <c r="TRO98" s="2"/>
      <c r="TRP98" s="2"/>
      <c r="TRQ98" s="2"/>
      <c r="TRR98" s="2"/>
      <c r="TRS98" s="2"/>
      <c r="TRT98" s="2"/>
      <c r="TRU98" s="2"/>
      <c r="TRV98" s="2"/>
      <c r="TRW98" s="2"/>
      <c r="TRX98" s="2"/>
      <c r="TRY98" s="2"/>
      <c r="TRZ98" s="2"/>
      <c r="TSA98" s="2"/>
      <c r="TSB98" s="2"/>
      <c r="TSC98" s="2"/>
      <c r="TSD98" s="2"/>
      <c r="TSE98" s="2"/>
      <c r="TSF98" s="2"/>
      <c r="TSG98" s="2"/>
      <c r="TSH98" s="2"/>
      <c r="TSI98" s="2"/>
      <c r="TSJ98" s="2"/>
      <c r="TSK98" s="2"/>
      <c r="TSL98" s="2"/>
      <c r="TSM98" s="2"/>
      <c r="TSN98" s="2"/>
      <c r="TSO98" s="2"/>
      <c r="TSP98" s="2"/>
      <c r="TSQ98" s="2"/>
      <c r="TSR98" s="2"/>
      <c r="TSS98" s="2"/>
      <c r="TST98" s="2"/>
      <c r="TSU98" s="2"/>
      <c r="TSV98" s="2"/>
      <c r="TSW98" s="2"/>
      <c r="TSX98" s="2"/>
      <c r="TSY98" s="2"/>
      <c r="TSZ98" s="2"/>
      <c r="TTA98" s="2"/>
      <c r="TTB98" s="2"/>
      <c r="TTC98" s="2"/>
      <c r="TTD98" s="2"/>
      <c r="TTE98" s="2"/>
      <c r="TTF98" s="2"/>
      <c r="TTG98" s="2"/>
      <c r="TTH98" s="2"/>
      <c r="TTI98" s="2"/>
      <c r="TTJ98" s="2"/>
      <c r="TTK98" s="2"/>
      <c r="TTL98" s="2"/>
      <c r="TTM98" s="2"/>
      <c r="TTN98" s="2"/>
      <c r="TTO98" s="2"/>
      <c r="TTP98" s="2"/>
      <c r="TTQ98" s="2"/>
      <c r="TTR98" s="2"/>
      <c r="TTS98" s="2"/>
      <c r="TTT98" s="2"/>
      <c r="TTU98" s="2"/>
      <c r="TTV98" s="2"/>
      <c r="TTW98" s="2"/>
      <c r="TTX98" s="2"/>
      <c r="TTY98" s="2"/>
      <c r="TTZ98" s="2"/>
      <c r="TUA98" s="2"/>
      <c r="TUB98" s="2"/>
      <c r="TUC98" s="2"/>
      <c r="TUD98" s="2"/>
      <c r="TUE98" s="2"/>
      <c r="TUF98" s="2"/>
      <c r="TUG98" s="2"/>
      <c r="TUH98" s="2"/>
      <c r="TUI98" s="2"/>
      <c r="TUJ98" s="2"/>
      <c r="TUK98" s="2"/>
      <c r="TUL98" s="2"/>
      <c r="TUM98" s="2"/>
      <c r="TUN98" s="2"/>
      <c r="TUO98" s="2"/>
      <c r="TUP98" s="2"/>
      <c r="TUQ98" s="2"/>
      <c r="TUR98" s="2"/>
      <c r="TUS98" s="2"/>
      <c r="TUT98" s="2"/>
      <c r="TUU98" s="2"/>
      <c r="TUV98" s="2"/>
      <c r="TUW98" s="2"/>
      <c r="TUX98" s="2"/>
      <c r="TUY98" s="2"/>
      <c r="TUZ98" s="2"/>
      <c r="TVA98" s="2"/>
      <c r="TVB98" s="2"/>
      <c r="TVC98" s="2"/>
      <c r="TVD98" s="2"/>
      <c r="TVE98" s="2"/>
      <c r="TVF98" s="2"/>
      <c r="TVG98" s="2"/>
      <c r="TVH98" s="2"/>
      <c r="TVI98" s="2"/>
      <c r="TVJ98" s="2"/>
      <c r="TVK98" s="2"/>
      <c r="TVL98" s="2"/>
      <c r="TVM98" s="2"/>
      <c r="TVN98" s="2"/>
      <c r="TVO98" s="2"/>
      <c r="TVP98" s="2"/>
      <c r="TVQ98" s="2"/>
      <c r="TVR98" s="2"/>
      <c r="TVS98" s="2"/>
      <c r="TVT98" s="2"/>
      <c r="TVU98" s="2"/>
      <c r="TVV98" s="2"/>
      <c r="TVW98" s="2"/>
      <c r="TVX98" s="2"/>
      <c r="TVY98" s="2"/>
      <c r="TVZ98" s="2"/>
      <c r="TWA98" s="2"/>
      <c r="TWB98" s="2"/>
      <c r="TWC98" s="2"/>
      <c r="TWD98" s="2"/>
      <c r="TWE98" s="2"/>
      <c r="TWF98" s="2"/>
      <c r="TWG98" s="2"/>
      <c r="TWH98" s="2"/>
      <c r="TWI98" s="2"/>
      <c r="TWJ98" s="2"/>
      <c r="TWK98" s="2"/>
      <c r="TWL98" s="2"/>
      <c r="TWM98" s="2"/>
      <c r="TWN98" s="2"/>
      <c r="TWO98" s="2"/>
      <c r="TWP98" s="2"/>
      <c r="TWQ98" s="2"/>
      <c r="TWR98" s="2"/>
      <c r="TWS98" s="2"/>
      <c r="TWT98" s="2"/>
      <c r="TWU98" s="2"/>
      <c r="TWV98" s="2"/>
      <c r="TWW98" s="2"/>
      <c r="TWX98" s="2"/>
      <c r="TWY98" s="2"/>
      <c r="TWZ98" s="2"/>
      <c r="TXA98" s="2"/>
      <c r="TXB98" s="2"/>
      <c r="TXC98" s="2"/>
      <c r="TXD98" s="2"/>
      <c r="TXE98" s="2"/>
      <c r="TXF98" s="2"/>
      <c r="TXG98" s="2"/>
      <c r="TXH98" s="2"/>
      <c r="TXI98" s="2"/>
      <c r="TXJ98" s="2"/>
      <c r="TXK98" s="2"/>
      <c r="TXL98" s="2"/>
      <c r="TXM98" s="2"/>
      <c r="TXN98" s="2"/>
      <c r="TXO98" s="2"/>
      <c r="TXP98" s="2"/>
      <c r="TXQ98" s="2"/>
      <c r="TXR98" s="2"/>
      <c r="TXS98" s="2"/>
      <c r="TXT98" s="2"/>
      <c r="TXU98" s="2"/>
      <c r="TXV98" s="2"/>
      <c r="TXW98" s="2"/>
      <c r="TXX98" s="2"/>
      <c r="TXY98" s="2"/>
      <c r="TXZ98" s="2"/>
      <c r="TYA98" s="2"/>
      <c r="TYB98" s="2"/>
      <c r="TYC98" s="2"/>
      <c r="TYD98" s="2"/>
      <c r="TYE98" s="2"/>
      <c r="TYF98" s="2"/>
      <c r="TYG98" s="2"/>
      <c r="TYH98" s="2"/>
      <c r="TYI98" s="2"/>
      <c r="TYJ98" s="2"/>
      <c r="TYK98" s="2"/>
      <c r="TYL98" s="2"/>
      <c r="TYM98" s="2"/>
      <c r="TYN98" s="2"/>
      <c r="TYO98" s="2"/>
      <c r="TYP98" s="2"/>
      <c r="TYQ98" s="2"/>
      <c r="TYR98" s="2"/>
      <c r="TYS98" s="2"/>
      <c r="TYT98" s="2"/>
      <c r="TYU98" s="2"/>
      <c r="TYV98" s="2"/>
      <c r="TYW98" s="2"/>
      <c r="TYX98" s="2"/>
      <c r="TYY98" s="2"/>
      <c r="TYZ98" s="2"/>
      <c r="TZA98" s="2"/>
      <c r="TZB98" s="2"/>
      <c r="TZC98" s="2"/>
      <c r="TZD98" s="2"/>
      <c r="TZE98" s="2"/>
      <c r="TZF98" s="2"/>
      <c r="TZG98" s="2"/>
      <c r="TZH98" s="2"/>
      <c r="TZI98" s="2"/>
      <c r="TZJ98" s="2"/>
      <c r="TZK98" s="2"/>
      <c r="TZL98" s="2"/>
      <c r="TZM98" s="2"/>
      <c r="TZN98" s="2"/>
      <c r="TZO98" s="2"/>
      <c r="TZP98" s="2"/>
      <c r="TZQ98" s="2"/>
      <c r="TZR98" s="2"/>
      <c r="TZS98" s="2"/>
      <c r="TZT98" s="2"/>
      <c r="TZU98" s="2"/>
      <c r="TZV98" s="2"/>
      <c r="TZW98" s="2"/>
      <c r="TZX98" s="2"/>
      <c r="TZY98" s="2"/>
      <c r="TZZ98" s="2"/>
      <c r="UAA98" s="2"/>
      <c r="UAB98" s="2"/>
      <c r="UAC98" s="2"/>
      <c r="UAD98" s="2"/>
      <c r="UAE98" s="2"/>
      <c r="UAF98" s="2"/>
      <c r="UAG98" s="2"/>
      <c r="UAH98" s="2"/>
      <c r="UAI98" s="2"/>
      <c r="UAJ98" s="2"/>
      <c r="UAK98" s="2"/>
      <c r="UAL98" s="2"/>
      <c r="UAM98" s="2"/>
      <c r="UAN98" s="2"/>
      <c r="UAO98" s="2"/>
      <c r="UAP98" s="2"/>
      <c r="UAQ98" s="2"/>
      <c r="UAR98" s="2"/>
      <c r="UAS98" s="2"/>
      <c r="UAT98" s="2"/>
      <c r="UAU98" s="2"/>
      <c r="UAV98" s="2"/>
      <c r="UAW98" s="2"/>
      <c r="UAX98" s="2"/>
      <c r="UAY98" s="2"/>
      <c r="UAZ98" s="2"/>
      <c r="UBA98" s="2"/>
      <c r="UBB98" s="2"/>
      <c r="UBC98" s="2"/>
      <c r="UBD98" s="2"/>
      <c r="UBE98" s="2"/>
      <c r="UBF98" s="2"/>
      <c r="UBG98" s="2"/>
      <c r="UBH98" s="2"/>
      <c r="UBI98" s="2"/>
      <c r="UBJ98" s="2"/>
      <c r="UBK98" s="2"/>
      <c r="UBL98" s="2"/>
      <c r="UBM98" s="2"/>
      <c r="UBN98" s="2"/>
      <c r="UBO98" s="2"/>
      <c r="UBP98" s="2"/>
      <c r="UBQ98" s="2"/>
      <c r="UBR98" s="2"/>
      <c r="UBS98" s="2"/>
      <c r="UBT98" s="2"/>
      <c r="UBU98" s="2"/>
      <c r="UBV98" s="2"/>
      <c r="UBW98" s="2"/>
      <c r="UBX98" s="2"/>
      <c r="UBY98" s="2"/>
      <c r="UBZ98" s="2"/>
      <c r="UCA98" s="2"/>
      <c r="UCB98" s="2"/>
      <c r="UCC98" s="2"/>
      <c r="UCD98" s="2"/>
      <c r="UCE98" s="2"/>
      <c r="UCF98" s="2"/>
      <c r="UCG98" s="2"/>
      <c r="UCH98" s="2"/>
      <c r="UCI98" s="2"/>
      <c r="UCJ98" s="2"/>
      <c r="UCK98" s="2"/>
      <c r="UCL98" s="2"/>
      <c r="UCM98" s="2"/>
      <c r="UCN98" s="2"/>
      <c r="UCO98" s="2"/>
      <c r="UCP98" s="2"/>
      <c r="UCQ98" s="2"/>
      <c r="UCR98" s="2"/>
      <c r="UCS98" s="2"/>
      <c r="UCT98" s="2"/>
      <c r="UCU98" s="2"/>
      <c r="UCV98" s="2"/>
      <c r="UCW98" s="2"/>
      <c r="UCX98" s="2"/>
      <c r="UCY98" s="2"/>
      <c r="UCZ98" s="2"/>
      <c r="UDA98" s="2"/>
      <c r="UDB98" s="2"/>
      <c r="UDC98" s="2"/>
      <c r="UDD98" s="2"/>
      <c r="UDE98" s="2"/>
      <c r="UDF98" s="2"/>
      <c r="UDG98" s="2"/>
      <c r="UDH98" s="2"/>
      <c r="UDI98" s="2"/>
      <c r="UDJ98" s="2"/>
      <c r="UDK98" s="2"/>
      <c r="UDL98" s="2"/>
      <c r="UDM98" s="2"/>
      <c r="UDN98" s="2"/>
      <c r="UDO98" s="2"/>
      <c r="UDP98" s="2"/>
      <c r="UDQ98" s="2"/>
      <c r="UDR98" s="2"/>
      <c r="UDS98" s="2"/>
      <c r="UDT98" s="2"/>
      <c r="UDU98" s="2"/>
      <c r="UDV98" s="2"/>
      <c r="UDW98" s="2"/>
      <c r="UDX98" s="2"/>
      <c r="UDY98" s="2"/>
      <c r="UDZ98" s="2"/>
      <c r="UEA98" s="2"/>
      <c r="UEB98" s="2"/>
      <c r="UEC98" s="2"/>
      <c r="UED98" s="2"/>
      <c r="UEE98" s="2"/>
      <c r="UEF98" s="2"/>
      <c r="UEG98" s="2"/>
      <c r="UEH98" s="2"/>
      <c r="UEI98" s="2"/>
      <c r="UEJ98" s="2"/>
      <c r="UEK98" s="2"/>
      <c r="UEL98" s="2"/>
      <c r="UEM98" s="2"/>
      <c r="UEN98" s="2"/>
      <c r="UEO98" s="2"/>
      <c r="UEP98" s="2"/>
      <c r="UEQ98" s="2"/>
      <c r="UER98" s="2"/>
      <c r="UES98" s="2"/>
      <c r="UET98" s="2"/>
      <c r="UEU98" s="2"/>
      <c r="UEV98" s="2"/>
      <c r="UEW98" s="2"/>
      <c r="UEX98" s="2"/>
      <c r="UEY98" s="2"/>
      <c r="UEZ98" s="2"/>
      <c r="UFA98" s="2"/>
      <c r="UFB98" s="2"/>
      <c r="UFC98" s="2"/>
      <c r="UFD98" s="2"/>
      <c r="UFE98" s="2"/>
      <c r="UFF98" s="2"/>
      <c r="UFG98" s="2"/>
      <c r="UFH98" s="2"/>
      <c r="UFI98" s="2"/>
      <c r="UFJ98" s="2"/>
      <c r="UFK98" s="2"/>
      <c r="UFL98" s="2"/>
      <c r="UFM98" s="2"/>
      <c r="UFN98" s="2"/>
      <c r="UFO98" s="2"/>
      <c r="UFP98" s="2"/>
      <c r="UFQ98" s="2"/>
      <c r="UFR98" s="2"/>
      <c r="UFS98" s="2"/>
      <c r="UFT98" s="2"/>
      <c r="UFU98" s="2"/>
      <c r="UFV98" s="2"/>
      <c r="UFW98" s="2"/>
      <c r="UFX98" s="2"/>
      <c r="UFY98" s="2"/>
      <c r="UFZ98" s="2"/>
      <c r="UGA98" s="2"/>
      <c r="UGB98" s="2"/>
      <c r="UGC98" s="2"/>
      <c r="UGD98" s="2"/>
      <c r="UGE98" s="2"/>
      <c r="UGF98" s="2"/>
      <c r="UGG98" s="2"/>
      <c r="UGH98" s="2"/>
      <c r="UGI98" s="2"/>
      <c r="UGJ98" s="2"/>
      <c r="UGK98" s="2"/>
      <c r="UGL98" s="2"/>
      <c r="UGM98" s="2"/>
      <c r="UGN98" s="2"/>
      <c r="UGO98" s="2"/>
      <c r="UGP98" s="2"/>
      <c r="UGQ98" s="2"/>
      <c r="UGR98" s="2"/>
      <c r="UGS98" s="2"/>
      <c r="UGT98" s="2"/>
      <c r="UGU98" s="2"/>
      <c r="UGV98" s="2"/>
      <c r="UGW98" s="2"/>
      <c r="UGX98" s="2"/>
      <c r="UGY98" s="2"/>
      <c r="UGZ98" s="2"/>
      <c r="UHA98" s="2"/>
      <c r="UHB98" s="2"/>
      <c r="UHC98" s="2"/>
      <c r="UHD98" s="2"/>
      <c r="UHE98" s="2"/>
      <c r="UHF98" s="2"/>
      <c r="UHG98" s="2"/>
      <c r="UHH98" s="2"/>
      <c r="UHI98" s="2"/>
      <c r="UHJ98" s="2"/>
      <c r="UHK98" s="2"/>
      <c r="UHL98" s="2"/>
      <c r="UHM98" s="2"/>
      <c r="UHN98" s="2"/>
      <c r="UHO98" s="2"/>
      <c r="UHP98" s="2"/>
      <c r="UHQ98" s="2"/>
      <c r="UHR98" s="2"/>
      <c r="UHS98" s="2"/>
      <c r="UHT98" s="2"/>
      <c r="UHU98" s="2"/>
      <c r="UHV98" s="2"/>
      <c r="UHW98" s="2"/>
      <c r="UHX98" s="2"/>
      <c r="UHY98" s="2"/>
      <c r="UHZ98" s="2"/>
      <c r="UIA98" s="2"/>
      <c r="UIB98" s="2"/>
      <c r="UIC98" s="2"/>
      <c r="UID98" s="2"/>
      <c r="UIE98" s="2"/>
      <c r="UIF98" s="2"/>
      <c r="UIG98" s="2"/>
      <c r="UIH98" s="2"/>
      <c r="UII98" s="2"/>
      <c r="UIJ98" s="2"/>
      <c r="UIK98" s="2"/>
      <c r="UIL98" s="2"/>
      <c r="UIM98" s="2"/>
      <c r="UIN98" s="2"/>
      <c r="UIO98" s="2"/>
      <c r="UIP98" s="2"/>
      <c r="UIQ98" s="2"/>
      <c r="UIR98" s="2"/>
      <c r="UIS98" s="2"/>
      <c r="UIT98" s="2"/>
      <c r="UIU98" s="2"/>
      <c r="UIV98" s="2"/>
      <c r="UIW98" s="2"/>
      <c r="UIX98" s="2"/>
      <c r="UIY98" s="2"/>
      <c r="UIZ98" s="2"/>
      <c r="UJA98" s="2"/>
      <c r="UJB98" s="2"/>
      <c r="UJC98" s="2"/>
      <c r="UJD98" s="2"/>
      <c r="UJE98" s="2"/>
      <c r="UJF98" s="2"/>
      <c r="UJG98" s="2"/>
      <c r="UJH98" s="2"/>
      <c r="UJI98" s="2"/>
      <c r="UJJ98" s="2"/>
      <c r="UJK98" s="2"/>
      <c r="UJL98" s="2"/>
      <c r="UJM98" s="2"/>
      <c r="UJN98" s="2"/>
      <c r="UJO98" s="2"/>
      <c r="UJP98" s="2"/>
      <c r="UJQ98" s="2"/>
      <c r="UJR98" s="2"/>
      <c r="UJS98" s="2"/>
      <c r="UJT98" s="2"/>
      <c r="UJU98" s="2"/>
      <c r="UJV98" s="2"/>
      <c r="UJW98" s="2"/>
      <c r="UJX98" s="2"/>
      <c r="UJY98" s="2"/>
      <c r="UJZ98" s="2"/>
      <c r="UKA98" s="2"/>
      <c r="UKB98" s="2"/>
      <c r="UKC98" s="2"/>
      <c r="UKD98" s="2"/>
      <c r="UKE98" s="2"/>
      <c r="UKF98" s="2"/>
      <c r="UKG98" s="2"/>
      <c r="UKH98" s="2"/>
      <c r="UKI98" s="2"/>
      <c r="UKJ98" s="2"/>
      <c r="UKK98" s="2"/>
      <c r="UKL98" s="2"/>
      <c r="UKM98" s="2"/>
      <c r="UKN98" s="2"/>
      <c r="UKO98" s="2"/>
      <c r="UKP98" s="2"/>
      <c r="UKQ98" s="2"/>
      <c r="UKR98" s="2"/>
      <c r="UKS98" s="2"/>
      <c r="UKT98" s="2"/>
      <c r="UKU98" s="2"/>
      <c r="UKV98" s="2"/>
      <c r="UKW98" s="2"/>
      <c r="UKX98" s="2"/>
      <c r="UKY98" s="2"/>
      <c r="UKZ98" s="2"/>
      <c r="ULA98" s="2"/>
      <c r="ULB98" s="2"/>
      <c r="ULC98" s="2"/>
      <c r="ULD98" s="2"/>
      <c r="ULE98" s="2"/>
      <c r="ULF98" s="2"/>
      <c r="ULG98" s="2"/>
      <c r="ULH98" s="2"/>
      <c r="ULI98" s="2"/>
      <c r="ULJ98" s="2"/>
      <c r="ULK98" s="2"/>
      <c r="ULL98" s="2"/>
      <c r="ULM98" s="2"/>
      <c r="ULN98" s="2"/>
      <c r="ULO98" s="2"/>
      <c r="ULP98" s="2"/>
      <c r="ULQ98" s="2"/>
      <c r="ULR98" s="2"/>
      <c r="ULS98" s="2"/>
      <c r="ULT98" s="2"/>
      <c r="ULU98" s="2"/>
      <c r="ULV98" s="2"/>
      <c r="ULW98" s="2"/>
      <c r="ULX98" s="2"/>
      <c r="ULY98" s="2"/>
      <c r="ULZ98" s="2"/>
      <c r="UMA98" s="2"/>
      <c r="UMB98" s="2"/>
      <c r="UMC98" s="2"/>
      <c r="UMD98" s="2"/>
      <c r="UME98" s="2"/>
      <c r="UMF98" s="2"/>
      <c r="UMG98" s="2"/>
      <c r="UMH98" s="2"/>
      <c r="UMI98" s="2"/>
      <c r="UMJ98" s="2"/>
      <c r="UMK98" s="2"/>
      <c r="UML98" s="2"/>
      <c r="UMM98" s="2"/>
      <c r="UMN98" s="2"/>
      <c r="UMO98" s="2"/>
      <c r="UMP98" s="2"/>
      <c r="UMQ98" s="2"/>
      <c r="UMR98" s="2"/>
      <c r="UMS98" s="2"/>
      <c r="UMT98" s="2"/>
      <c r="UMU98" s="2"/>
      <c r="UMV98" s="2"/>
      <c r="UMW98" s="2"/>
      <c r="UMX98" s="2"/>
      <c r="UMY98" s="2"/>
      <c r="UMZ98" s="2"/>
      <c r="UNA98" s="2"/>
      <c r="UNB98" s="2"/>
      <c r="UNC98" s="2"/>
      <c r="UND98" s="2"/>
      <c r="UNE98" s="2"/>
      <c r="UNF98" s="2"/>
      <c r="UNG98" s="2"/>
      <c r="UNH98" s="2"/>
      <c r="UNI98" s="2"/>
      <c r="UNJ98" s="2"/>
      <c r="UNK98" s="2"/>
      <c r="UNL98" s="2"/>
      <c r="UNM98" s="2"/>
      <c r="UNN98" s="2"/>
      <c r="UNO98" s="2"/>
      <c r="UNP98" s="2"/>
      <c r="UNQ98" s="2"/>
      <c r="UNR98" s="2"/>
      <c r="UNS98" s="2"/>
      <c r="UNT98" s="2"/>
      <c r="UNU98" s="2"/>
      <c r="UNV98" s="2"/>
      <c r="UNW98" s="2"/>
      <c r="UNX98" s="2"/>
      <c r="UNY98" s="2"/>
      <c r="UNZ98" s="2"/>
      <c r="UOA98" s="2"/>
      <c r="UOB98" s="2"/>
      <c r="UOC98" s="2"/>
      <c r="UOD98" s="2"/>
      <c r="UOE98" s="2"/>
      <c r="UOF98" s="2"/>
      <c r="UOG98" s="2"/>
      <c r="UOH98" s="2"/>
      <c r="UOI98" s="2"/>
      <c r="UOJ98" s="2"/>
      <c r="UOK98" s="2"/>
      <c r="UOL98" s="2"/>
      <c r="UOM98" s="2"/>
      <c r="UON98" s="2"/>
      <c r="UOO98" s="2"/>
      <c r="UOP98" s="2"/>
      <c r="UOQ98" s="2"/>
      <c r="UOR98" s="2"/>
      <c r="UOS98" s="2"/>
      <c r="UOT98" s="2"/>
      <c r="UOU98" s="2"/>
      <c r="UOV98" s="2"/>
      <c r="UOW98" s="2"/>
      <c r="UOX98" s="2"/>
      <c r="UOY98" s="2"/>
      <c r="UOZ98" s="2"/>
      <c r="UPA98" s="2"/>
      <c r="UPB98" s="2"/>
      <c r="UPC98" s="2"/>
      <c r="UPD98" s="2"/>
      <c r="UPE98" s="2"/>
      <c r="UPF98" s="2"/>
      <c r="UPG98" s="2"/>
      <c r="UPH98" s="2"/>
      <c r="UPI98" s="2"/>
      <c r="UPJ98" s="2"/>
      <c r="UPK98" s="2"/>
      <c r="UPL98" s="2"/>
      <c r="UPM98" s="2"/>
      <c r="UPN98" s="2"/>
      <c r="UPO98" s="2"/>
      <c r="UPP98" s="2"/>
      <c r="UPQ98" s="2"/>
      <c r="UPR98" s="2"/>
      <c r="UPS98" s="2"/>
      <c r="UPT98" s="2"/>
      <c r="UPU98" s="2"/>
      <c r="UPV98" s="2"/>
      <c r="UPW98" s="2"/>
      <c r="UPX98" s="2"/>
      <c r="UPY98" s="2"/>
      <c r="UPZ98" s="2"/>
      <c r="UQA98" s="2"/>
      <c r="UQB98" s="2"/>
      <c r="UQC98" s="2"/>
      <c r="UQD98" s="2"/>
      <c r="UQE98" s="2"/>
      <c r="UQF98" s="2"/>
      <c r="UQG98" s="2"/>
      <c r="UQH98" s="2"/>
      <c r="UQI98" s="2"/>
      <c r="UQJ98" s="2"/>
      <c r="UQK98" s="2"/>
      <c r="UQL98" s="2"/>
      <c r="UQM98" s="2"/>
      <c r="UQN98" s="2"/>
      <c r="UQO98" s="2"/>
      <c r="UQP98" s="2"/>
      <c r="UQQ98" s="2"/>
      <c r="UQR98" s="2"/>
      <c r="UQS98" s="2"/>
      <c r="UQT98" s="2"/>
      <c r="UQU98" s="2"/>
      <c r="UQV98" s="2"/>
      <c r="UQW98" s="2"/>
      <c r="UQX98" s="2"/>
      <c r="UQY98" s="2"/>
      <c r="UQZ98" s="2"/>
      <c r="URA98" s="2"/>
      <c r="URB98" s="2"/>
      <c r="URC98" s="2"/>
      <c r="URD98" s="2"/>
      <c r="URE98" s="2"/>
      <c r="URF98" s="2"/>
      <c r="URG98" s="2"/>
      <c r="URH98" s="2"/>
      <c r="URI98" s="2"/>
      <c r="URJ98" s="2"/>
      <c r="URK98" s="2"/>
      <c r="URL98" s="2"/>
      <c r="URM98" s="2"/>
      <c r="URN98" s="2"/>
      <c r="URO98" s="2"/>
      <c r="URP98" s="2"/>
      <c r="URQ98" s="2"/>
      <c r="URR98" s="2"/>
      <c r="URS98" s="2"/>
      <c r="URT98" s="2"/>
      <c r="URU98" s="2"/>
      <c r="URV98" s="2"/>
      <c r="URW98" s="2"/>
      <c r="URX98" s="2"/>
      <c r="URY98" s="2"/>
      <c r="URZ98" s="2"/>
      <c r="USA98" s="2"/>
      <c r="USB98" s="2"/>
      <c r="USC98" s="2"/>
      <c r="USD98" s="2"/>
      <c r="USE98" s="2"/>
      <c r="USF98" s="2"/>
      <c r="USG98" s="2"/>
      <c r="USH98" s="2"/>
      <c r="USI98" s="2"/>
      <c r="USJ98" s="2"/>
      <c r="USK98" s="2"/>
      <c r="USL98" s="2"/>
      <c r="USM98" s="2"/>
      <c r="USN98" s="2"/>
      <c r="USO98" s="2"/>
      <c r="USP98" s="2"/>
      <c r="USQ98" s="2"/>
      <c r="USR98" s="2"/>
      <c r="USS98" s="2"/>
      <c r="UST98" s="2"/>
      <c r="USU98" s="2"/>
      <c r="USV98" s="2"/>
      <c r="USW98" s="2"/>
      <c r="USX98" s="2"/>
      <c r="USY98" s="2"/>
      <c r="USZ98" s="2"/>
      <c r="UTA98" s="2"/>
      <c r="UTB98" s="2"/>
      <c r="UTC98" s="2"/>
      <c r="UTD98" s="2"/>
      <c r="UTE98" s="2"/>
      <c r="UTF98" s="2"/>
      <c r="UTG98" s="2"/>
      <c r="UTH98" s="2"/>
      <c r="UTI98" s="2"/>
      <c r="UTJ98" s="2"/>
      <c r="UTK98" s="2"/>
      <c r="UTL98" s="2"/>
      <c r="UTM98" s="2"/>
      <c r="UTN98" s="2"/>
      <c r="UTO98" s="2"/>
      <c r="UTP98" s="2"/>
      <c r="UTQ98" s="2"/>
      <c r="UTR98" s="2"/>
      <c r="UTS98" s="2"/>
      <c r="UTT98" s="2"/>
      <c r="UTU98" s="2"/>
      <c r="UTV98" s="2"/>
      <c r="UTW98" s="2"/>
      <c r="UTX98" s="2"/>
      <c r="UTY98" s="2"/>
      <c r="UTZ98" s="2"/>
      <c r="UUA98" s="2"/>
      <c r="UUB98" s="2"/>
      <c r="UUC98" s="2"/>
      <c r="UUD98" s="2"/>
      <c r="UUE98" s="2"/>
      <c r="UUF98" s="2"/>
      <c r="UUG98" s="2"/>
      <c r="UUH98" s="2"/>
      <c r="UUI98" s="2"/>
      <c r="UUJ98" s="2"/>
      <c r="UUK98" s="2"/>
      <c r="UUL98" s="2"/>
      <c r="UUM98" s="2"/>
      <c r="UUN98" s="2"/>
      <c r="UUO98" s="2"/>
      <c r="UUP98" s="2"/>
      <c r="UUQ98" s="2"/>
      <c r="UUR98" s="2"/>
      <c r="UUS98" s="2"/>
      <c r="UUT98" s="2"/>
      <c r="UUU98" s="2"/>
      <c r="UUV98" s="2"/>
      <c r="UUW98" s="2"/>
      <c r="UUX98" s="2"/>
      <c r="UUY98" s="2"/>
      <c r="UUZ98" s="2"/>
      <c r="UVA98" s="2"/>
      <c r="UVB98" s="2"/>
      <c r="UVC98" s="2"/>
      <c r="UVD98" s="2"/>
      <c r="UVE98" s="2"/>
      <c r="UVF98" s="2"/>
      <c r="UVG98" s="2"/>
      <c r="UVH98" s="2"/>
      <c r="UVI98" s="2"/>
      <c r="UVJ98" s="2"/>
      <c r="UVK98" s="2"/>
      <c r="UVL98" s="2"/>
      <c r="UVM98" s="2"/>
      <c r="UVN98" s="2"/>
      <c r="UVO98" s="2"/>
      <c r="UVP98" s="2"/>
      <c r="UVQ98" s="2"/>
      <c r="UVR98" s="2"/>
      <c r="UVS98" s="2"/>
      <c r="UVT98" s="2"/>
      <c r="UVU98" s="2"/>
      <c r="UVV98" s="2"/>
      <c r="UVW98" s="2"/>
      <c r="UVX98" s="2"/>
      <c r="UVY98" s="2"/>
      <c r="UVZ98" s="2"/>
      <c r="UWA98" s="2"/>
      <c r="UWB98" s="2"/>
      <c r="UWC98" s="2"/>
      <c r="UWD98" s="2"/>
      <c r="UWE98" s="2"/>
      <c r="UWF98" s="2"/>
      <c r="UWG98" s="2"/>
      <c r="UWH98" s="2"/>
      <c r="UWI98" s="2"/>
      <c r="UWJ98" s="2"/>
      <c r="UWK98" s="2"/>
      <c r="UWL98" s="2"/>
      <c r="UWM98" s="2"/>
      <c r="UWN98" s="2"/>
      <c r="UWO98" s="2"/>
      <c r="UWP98" s="2"/>
      <c r="UWQ98" s="2"/>
      <c r="UWR98" s="2"/>
      <c r="UWS98" s="2"/>
      <c r="UWT98" s="2"/>
      <c r="UWU98" s="2"/>
      <c r="UWV98" s="2"/>
      <c r="UWW98" s="2"/>
      <c r="UWX98" s="2"/>
      <c r="UWY98" s="2"/>
      <c r="UWZ98" s="2"/>
      <c r="UXA98" s="2"/>
      <c r="UXB98" s="2"/>
      <c r="UXC98" s="2"/>
      <c r="UXD98" s="2"/>
      <c r="UXE98" s="2"/>
      <c r="UXF98" s="2"/>
      <c r="UXG98" s="2"/>
      <c r="UXH98" s="2"/>
      <c r="UXI98" s="2"/>
      <c r="UXJ98" s="2"/>
      <c r="UXK98" s="2"/>
      <c r="UXL98" s="2"/>
      <c r="UXM98" s="2"/>
      <c r="UXN98" s="2"/>
      <c r="UXO98" s="2"/>
      <c r="UXP98" s="2"/>
      <c r="UXQ98" s="2"/>
      <c r="UXR98" s="2"/>
      <c r="UXS98" s="2"/>
      <c r="UXT98" s="2"/>
      <c r="UXU98" s="2"/>
      <c r="UXV98" s="2"/>
      <c r="UXW98" s="2"/>
      <c r="UXX98" s="2"/>
      <c r="UXY98" s="2"/>
      <c r="UXZ98" s="2"/>
      <c r="UYA98" s="2"/>
      <c r="UYB98" s="2"/>
      <c r="UYC98" s="2"/>
      <c r="UYD98" s="2"/>
      <c r="UYE98" s="2"/>
      <c r="UYF98" s="2"/>
      <c r="UYG98" s="2"/>
      <c r="UYH98" s="2"/>
      <c r="UYI98" s="2"/>
      <c r="UYJ98" s="2"/>
      <c r="UYK98" s="2"/>
      <c r="UYL98" s="2"/>
      <c r="UYM98" s="2"/>
      <c r="UYN98" s="2"/>
      <c r="UYO98" s="2"/>
      <c r="UYP98" s="2"/>
      <c r="UYQ98" s="2"/>
      <c r="UYR98" s="2"/>
      <c r="UYS98" s="2"/>
      <c r="UYT98" s="2"/>
      <c r="UYU98" s="2"/>
      <c r="UYV98" s="2"/>
      <c r="UYW98" s="2"/>
      <c r="UYX98" s="2"/>
      <c r="UYY98" s="2"/>
      <c r="UYZ98" s="2"/>
      <c r="UZA98" s="2"/>
      <c r="UZB98" s="2"/>
      <c r="UZC98" s="2"/>
      <c r="UZD98" s="2"/>
      <c r="UZE98" s="2"/>
      <c r="UZF98" s="2"/>
      <c r="UZG98" s="2"/>
      <c r="UZH98" s="2"/>
      <c r="UZI98" s="2"/>
      <c r="UZJ98" s="2"/>
      <c r="UZK98" s="2"/>
      <c r="UZL98" s="2"/>
      <c r="UZM98" s="2"/>
      <c r="UZN98" s="2"/>
      <c r="UZO98" s="2"/>
      <c r="UZP98" s="2"/>
      <c r="UZQ98" s="2"/>
      <c r="UZR98" s="2"/>
      <c r="UZS98" s="2"/>
      <c r="UZT98" s="2"/>
      <c r="UZU98" s="2"/>
      <c r="UZV98" s="2"/>
      <c r="UZW98" s="2"/>
      <c r="UZX98" s="2"/>
      <c r="UZY98" s="2"/>
      <c r="UZZ98" s="2"/>
      <c r="VAA98" s="2"/>
      <c r="VAB98" s="2"/>
      <c r="VAC98" s="2"/>
      <c r="VAD98" s="2"/>
      <c r="VAE98" s="2"/>
      <c r="VAF98" s="2"/>
      <c r="VAG98" s="2"/>
      <c r="VAH98" s="2"/>
      <c r="VAI98" s="2"/>
      <c r="VAJ98" s="2"/>
      <c r="VAK98" s="2"/>
      <c r="VAL98" s="2"/>
      <c r="VAM98" s="2"/>
      <c r="VAN98" s="2"/>
      <c r="VAO98" s="2"/>
      <c r="VAP98" s="2"/>
      <c r="VAQ98" s="2"/>
      <c r="VAR98" s="2"/>
      <c r="VAS98" s="2"/>
      <c r="VAT98" s="2"/>
      <c r="VAU98" s="2"/>
      <c r="VAV98" s="2"/>
      <c r="VAW98" s="2"/>
      <c r="VAX98" s="2"/>
      <c r="VAY98" s="2"/>
      <c r="VAZ98" s="2"/>
      <c r="VBA98" s="2"/>
      <c r="VBB98" s="2"/>
      <c r="VBC98" s="2"/>
      <c r="VBD98" s="2"/>
      <c r="VBE98" s="2"/>
      <c r="VBF98" s="2"/>
      <c r="VBG98" s="2"/>
      <c r="VBH98" s="2"/>
      <c r="VBI98" s="2"/>
      <c r="VBJ98" s="2"/>
      <c r="VBK98" s="2"/>
      <c r="VBL98" s="2"/>
      <c r="VBM98" s="2"/>
      <c r="VBN98" s="2"/>
      <c r="VBO98" s="2"/>
      <c r="VBP98" s="2"/>
      <c r="VBQ98" s="2"/>
      <c r="VBR98" s="2"/>
      <c r="VBS98" s="2"/>
      <c r="VBT98" s="2"/>
      <c r="VBU98" s="2"/>
      <c r="VBV98" s="2"/>
      <c r="VBW98" s="2"/>
      <c r="VBX98" s="2"/>
      <c r="VBY98" s="2"/>
      <c r="VBZ98" s="2"/>
      <c r="VCA98" s="2"/>
      <c r="VCB98" s="2"/>
      <c r="VCC98" s="2"/>
      <c r="VCD98" s="2"/>
      <c r="VCE98" s="2"/>
      <c r="VCF98" s="2"/>
      <c r="VCG98" s="2"/>
      <c r="VCH98" s="2"/>
      <c r="VCI98" s="2"/>
      <c r="VCJ98" s="2"/>
      <c r="VCK98" s="2"/>
      <c r="VCL98" s="2"/>
      <c r="VCM98" s="2"/>
      <c r="VCN98" s="2"/>
      <c r="VCO98" s="2"/>
      <c r="VCP98" s="2"/>
      <c r="VCQ98" s="2"/>
      <c r="VCR98" s="2"/>
      <c r="VCS98" s="2"/>
      <c r="VCT98" s="2"/>
      <c r="VCU98" s="2"/>
      <c r="VCV98" s="2"/>
      <c r="VCW98" s="2"/>
      <c r="VCX98" s="2"/>
      <c r="VCY98" s="2"/>
      <c r="VCZ98" s="2"/>
      <c r="VDA98" s="2"/>
      <c r="VDB98" s="2"/>
      <c r="VDC98" s="2"/>
      <c r="VDD98" s="2"/>
      <c r="VDE98" s="2"/>
      <c r="VDF98" s="2"/>
      <c r="VDG98" s="2"/>
      <c r="VDH98" s="2"/>
      <c r="VDI98" s="2"/>
      <c r="VDJ98" s="2"/>
      <c r="VDK98" s="2"/>
      <c r="VDL98" s="2"/>
      <c r="VDM98" s="2"/>
      <c r="VDN98" s="2"/>
      <c r="VDO98" s="2"/>
      <c r="VDP98" s="2"/>
      <c r="VDQ98" s="2"/>
      <c r="VDR98" s="2"/>
      <c r="VDS98" s="2"/>
      <c r="VDT98" s="2"/>
      <c r="VDU98" s="2"/>
      <c r="VDV98" s="2"/>
      <c r="VDW98" s="2"/>
      <c r="VDX98" s="2"/>
      <c r="VDY98" s="2"/>
      <c r="VDZ98" s="2"/>
      <c r="VEA98" s="2"/>
      <c r="VEB98" s="2"/>
      <c r="VEC98" s="2"/>
      <c r="VED98" s="2"/>
      <c r="VEE98" s="2"/>
      <c r="VEF98" s="2"/>
      <c r="VEG98" s="2"/>
      <c r="VEH98" s="2"/>
      <c r="VEI98" s="2"/>
      <c r="VEJ98" s="2"/>
      <c r="VEK98" s="2"/>
      <c r="VEL98" s="2"/>
      <c r="VEM98" s="2"/>
      <c r="VEN98" s="2"/>
      <c r="VEO98" s="2"/>
      <c r="VEP98" s="2"/>
      <c r="VEQ98" s="2"/>
      <c r="VER98" s="2"/>
      <c r="VES98" s="2"/>
      <c r="VET98" s="2"/>
      <c r="VEU98" s="2"/>
      <c r="VEV98" s="2"/>
      <c r="VEW98" s="2"/>
      <c r="VEX98" s="2"/>
      <c r="VEY98" s="2"/>
      <c r="VEZ98" s="2"/>
      <c r="VFA98" s="2"/>
      <c r="VFB98" s="2"/>
      <c r="VFC98" s="2"/>
      <c r="VFD98" s="2"/>
      <c r="VFE98" s="2"/>
      <c r="VFF98" s="2"/>
      <c r="VFG98" s="2"/>
      <c r="VFH98" s="2"/>
      <c r="VFI98" s="2"/>
      <c r="VFJ98" s="2"/>
      <c r="VFK98" s="2"/>
      <c r="VFL98" s="2"/>
      <c r="VFM98" s="2"/>
      <c r="VFN98" s="2"/>
      <c r="VFO98" s="2"/>
      <c r="VFP98" s="2"/>
      <c r="VFQ98" s="2"/>
      <c r="VFR98" s="2"/>
      <c r="VFS98" s="2"/>
      <c r="VFT98" s="2"/>
      <c r="VFU98" s="2"/>
      <c r="VFV98" s="2"/>
      <c r="VFW98" s="2"/>
      <c r="VFX98" s="2"/>
      <c r="VFY98" s="2"/>
      <c r="VFZ98" s="2"/>
      <c r="VGA98" s="2"/>
      <c r="VGB98" s="2"/>
      <c r="VGC98" s="2"/>
      <c r="VGD98" s="2"/>
      <c r="VGE98" s="2"/>
      <c r="VGF98" s="2"/>
      <c r="VGG98" s="2"/>
      <c r="VGH98" s="2"/>
      <c r="VGI98" s="2"/>
      <c r="VGJ98" s="2"/>
      <c r="VGK98" s="2"/>
      <c r="VGL98" s="2"/>
      <c r="VGM98" s="2"/>
      <c r="VGN98" s="2"/>
      <c r="VGO98" s="2"/>
      <c r="VGP98" s="2"/>
      <c r="VGQ98" s="2"/>
      <c r="VGR98" s="2"/>
      <c r="VGS98" s="2"/>
      <c r="VGT98" s="2"/>
      <c r="VGU98" s="2"/>
      <c r="VGV98" s="2"/>
      <c r="VGW98" s="2"/>
      <c r="VGX98" s="2"/>
      <c r="VGY98" s="2"/>
      <c r="VGZ98" s="2"/>
      <c r="VHA98" s="2"/>
      <c r="VHB98" s="2"/>
      <c r="VHC98" s="2"/>
      <c r="VHD98" s="2"/>
      <c r="VHE98" s="2"/>
      <c r="VHF98" s="2"/>
      <c r="VHG98" s="2"/>
      <c r="VHH98" s="2"/>
      <c r="VHI98" s="2"/>
      <c r="VHJ98" s="2"/>
      <c r="VHK98" s="2"/>
      <c r="VHL98" s="2"/>
      <c r="VHM98" s="2"/>
      <c r="VHN98" s="2"/>
      <c r="VHO98" s="2"/>
      <c r="VHP98" s="2"/>
      <c r="VHQ98" s="2"/>
      <c r="VHR98" s="2"/>
      <c r="VHS98" s="2"/>
      <c r="VHT98" s="2"/>
      <c r="VHU98" s="2"/>
      <c r="VHV98" s="2"/>
      <c r="VHW98" s="2"/>
      <c r="VHX98" s="2"/>
      <c r="VHY98" s="2"/>
      <c r="VHZ98" s="2"/>
      <c r="VIA98" s="2"/>
      <c r="VIB98" s="2"/>
      <c r="VIC98" s="2"/>
      <c r="VID98" s="2"/>
      <c r="VIE98" s="2"/>
      <c r="VIF98" s="2"/>
      <c r="VIG98" s="2"/>
      <c r="VIH98" s="2"/>
      <c r="VII98" s="2"/>
      <c r="VIJ98" s="2"/>
      <c r="VIK98" s="2"/>
      <c r="VIL98" s="2"/>
      <c r="VIM98" s="2"/>
      <c r="VIN98" s="2"/>
      <c r="VIO98" s="2"/>
      <c r="VIP98" s="2"/>
      <c r="VIQ98" s="2"/>
      <c r="VIR98" s="2"/>
      <c r="VIS98" s="2"/>
      <c r="VIT98" s="2"/>
      <c r="VIU98" s="2"/>
      <c r="VIV98" s="2"/>
      <c r="VIW98" s="2"/>
      <c r="VIX98" s="2"/>
      <c r="VIY98" s="2"/>
      <c r="VIZ98" s="2"/>
      <c r="VJA98" s="2"/>
      <c r="VJB98" s="2"/>
      <c r="VJC98" s="2"/>
      <c r="VJD98" s="2"/>
      <c r="VJE98" s="2"/>
      <c r="VJF98" s="2"/>
      <c r="VJG98" s="2"/>
      <c r="VJH98" s="2"/>
      <c r="VJI98" s="2"/>
      <c r="VJJ98" s="2"/>
      <c r="VJK98" s="2"/>
      <c r="VJL98" s="2"/>
      <c r="VJM98" s="2"/>
      <c r="VJN98" s="2"/>
      <c r="VJO98" s="2"/>
      <c r="VJP98" s="2"/>
      <c r="VJQ98" s="2"/>
      <c r="VJR98" s="2"/>
      <c r="VJS98" s="2"/>
      <c r="VJT98" s="2"/>
      <c r="VJU98" s="2"/>
      <c r="VJV98" s="2"/>
      <c r="VJW98" s="2"/>
      <c r="VJX98" s="2"/>
      <c r="VJY98" s="2"/>
      <c r="VJZ98" s="2"/>
      <c r="VKA98" s="2"/>
      <c r="VKB98" s="2"/>
      <c r="VKC98" s="2"/>
      <c r="VKD98" s="2"/>
      <c r="VKE98" s="2"/>
      <c r="VKF98" s="2"/>
      <c r="VKG98" s="2"/>
      <c r="VKH98" s="2"/>
      <c r="VKI98" s="2"/>
      <c r="VKJ98" s="2"/>
      <c r="VKK98" s="2"/>
      <c r="VKL98" s="2"/>
      <c r="VKM98" s="2"/>
      <c r="VKN98" s="2"/>
      <c r="VKO98" s="2"/>
      <c r="VKP98" s="2"/>
      <c r="VKQ98" s="2"/>
      <c r="VKR98" s="2"/>
      <c r="VKS98" s="2"/>
      <c r="VKT98" s="2"/>
      <c r="VKU98" s="2"/>
      <c r="VKV98" s="2"/>
      <c r="VKW98" s="2"/>
      <c r="VKX98" s="2"/>
      <c r="VKY98" s="2"/>
      <c r="VKZ98" s="2"/>
      <c r="VLA98" s="2"/>
      <c r="VLB98" s="2"/>
      <c r="VLC98" s="2"/>
      <c r="VLD98" s="2"/>
      <c r="VLE98" s="2"/>
      <c r="VLF98" s="2"/>
      <c r="VLG98" s="2"/>
      <c r="VLH98" s="2"/>
      <c r="VLI98" s="2"/>
      <c r="VLJ98" s="2"/>
      <c r="VLK98" s="2"/>
      <c r="VLL98" s="2"/>
      <c r="VLM98" s="2"/>
      <c r="VLN98" s="2"/>
      <c r="VLO98" s="2"/>
      <c r="VLP98" s="2"/>
      <c r="VLQ98" s="2"/>
      <c r="VLR98" s="2"/>
      <c r="VLS98" s="2"/>
      <c r="VLT98" s="2"/>
      <c r="VLU98" s="2"/>
      <c r="VLV98" s="2"/>
      <c r="VLW98" s="2"/>
      <c r="VLX98" s="2"/>
      <c r="VLY98" s="2"/>
      <c r="VLZ98" s="2"/>
      <c r="VMA98" s="2"/>
      <c r="VMB98" s="2"/>
      <c r="VMC98" s="2"/>
      <c r="VMD98" s="2"/>
      <c r="VME98" s="2"/>
      <c r="VMF98" s="2"/>
      <c r="VMG98" s="2"/>
      <c r="VMH98" s="2"/>
      <c r="VMI98" s="2"/>
      <c r="VMJ98" s="2"/>
      <c r="VMK98" s="2"/>
      <c r="VML98" s="2"/>
      <c r="VMM98" s="2"/>
      <c r="VMN98" s="2"/>
      <c r="VMO98" s="2"/>
      <c r="VMP98" s="2"/>
      <c r="VMQ98" s="2"/>
      <c r="VMR98" s="2"/>
      <c r="VMS98" s="2"/>
      <c r="VMT98" s="2"/>
      <c r="VMU98" s="2"/>
      <c r="VMV98" s="2"/>
      <c r="VMW98" s="2"/>
      <c r="VMX98" s="2"/>
      <c r="VMY98" s="2"/>
      <c r="VMZ98" s="2"/>
      <c r="VNA98" s="2"/>
      <c r="VNB98" s="2"/>
      <c r="VNC98" s="2"/>
      <c r="VND98" s="2"/>
      <c r="VNE98" s="2"/>
      <c r="VNF98" s="2"/>
      <c r="VNG98" s="2"/>
      <c r="VNH98" s="2"/>
      <c r="VNI98" s="2"/>
      <c r="VNJ98" s="2"/>
      <c r="VNK98" s="2"/>
      <c r="VNL98" s="2"/>
      <c r="VNM98" s="2"/>
      <c r="VNN98" s="2"/>
      <c r="VNO98" s="2"/>
      <c r="VNP98" s="2"/>
      <c r="VNQ98" s="2"/>
      <c r="VNR98" s="2"/>
      <c r="VNS98" s="2"/>
      <c r="VNT98" s="2"/>
      <c r="VNU98" s="2"/>
      <c r="VNV98" s="2"/>
      <c r="VNW98" s="2"/>
      <c r="VNX98" s="2"/>
      <c r="VNY98" s="2"/>
      <c r="VNZ98" s="2"/>
      <c r="VOA98" s="2"/>
      <c r="VOB98" s="2"/>
      <c r="VOC98" s="2"/>
      <c r="VOD98" s="2"/>
      <c r="VOE98" s="2"/>
      <c r="VOF98" s="2"/>
      <c r="VOG98" s="2"/>
      <c r="VOH98" s="2"/>
      <c r="VOI98" s="2"/>
      <c r="VOJ98" s="2"/>
      <c r="VOK98" s="2"/>
      <c r="VOL98" s="2"/>
      <c r="VOM98" s="2"/>
      <c r="VON98" s="2"/>
      <c r="VOO98" s="2"/>
      <c r="VOP98" s="2"/>
      <c r="VOQ98" s="2"/>
      <c r="VOR98" s="2"/>
      <c r="VOS98" s="2"/>
      <c r="VOT98" s="2"/>
      <c r="VOU98" s="2"/>
      <c r="VOV98" s="2"/>
      <c r="VOW98" s="2"/>
      <c r="VOX98" s="2"/>
      <c r="VOY98" s="2"/>
      <c r="VOZ98" s="2"/>
      <c r="VPA98" s="2"/>
      <c r="VPB98" s="2"/>
      <c r="VPC98" s="2"/>
      <c r="VPD98" s="2"/>
      <c r="VPE98" s="2"/>
      <c r="VPF98" s="2"/>
      <c r="VPG98" s="2"/>
      <c r="VPH98" s="2"/>
      <c r="VPI98" s="2"/>
      <c r="VPJ98" s="2"/>
      <c r="VPK98" s="2"/>
      <c r="VPL98" s="2"/>
      <c r="VPM98" s="2"/>
      <c r="VPN98" s="2"/>
      <c r="VPO98" s="2"/>
      <c r="VPP98" s="2"/>
      <c r="VPQ98" s="2"/>
      <c r="VPR98" s="2"/>
      <c r="VPS98" s="2"/>
      <c r="VPT98" s="2"/>
      <c r="VPU98" s="2"/>
      <c r="VPV98" s="2"/>
      <c r="VPW98" s="2"/>
      <c r="VPX98" s="2"/>
      <c r="VPY98" s="2"/>
      <c r="VPZ98" s="2"/>
      <c r="VQA98" s="2"/>
      <c r="VQB98" s="2"/>
      <c r="VQC98" s="2"/>
      <c r="VQD98" s="2"/>
      <c r="VQE98" s="2"/>
      <c r="VQF98" s="2"/>
      <c r="VQG98" s="2"/>
      <c r="VQH98" s="2"/>
      <c r="VQI98" s="2"/>
      <c r="VQJ98" s="2"/>
      <c r="VQK98" s="2"/>
      <c r="VQL98" s="2"/>
      <c r="VQM98" s="2"/>
      <c r="VQN98" s="2"/>
      <c r="VQO98" s="2"/>
      <c r="VQP98" s="2"/>
      <c r="VQQ98" s="2"/>
      <c r="VQR98" s="2"/>
      <c r="VQS98" s="2"/>
      <c r="VQT98" s="2"/>
      <c r="VQU98" s="2"/>
      <c r="VQV98" s="2"/>
      <c r="VQW98" s="2"/>
      <c r="VQX98" s="2"/>
      <c r="VQY98" s="2"/>
      <c r="VQZ98" s="2"/>
      <c r="VRA98" s="2"/>
      <c r="VRB98" s="2"/>
      <c r="VRC98" s="2"/>
      <c r="VRD98" s="2"/>
      <c r="VRE98" s="2"/>
      <c r="VRF98" s="2"/>
      <c r="VRG98" s="2"/>
      <c r="VRH98" s="2"/>
      <c r="VRI98" s="2"/>
      <c r="VRJ98" s="2"/>
      <c r="VRK98" s="2"/>
      <c r="VRL98" s="2"/>
      <c r="VRM98" s="2"/>
      <c r="VRN98" s="2"/>
      <c r="VRO98" s="2"/>
      <c r="VRP98" s="2"/>
      <c r="VRQ98" s="2"/>
      <c r="VRR98" s="2"/>
      <c r="VRS98" s="2"/>
      <c r="VRT98" s="2"/>
      <c r="VRU98" s="2"/>
      <c r="VRV98" s="2"/>
      <c r="VRW98" s="2"/>
      <c r="VRX98" s="2"/>
      <c r="VRY98" s="2"/>
      <c r="VRZ98" s="2"/>
      <c r="VSA98" s="2"/>
      <c r="VSB98" s="2"/>
      <c r="VSC98" s="2"/>
      <c r="VSD98" s="2"/>
      <c r="VSE98" s="2"/>
      <c r="VSF98" s="2"/>
      <c r="VSG98" s="2"/>
      <c r="VSH98" s="2"/>
      <c r="VSI98" s="2"/>
      <c r="VSJ98" s="2"/>
      <c r="VSK98" s="2"/>
      <c r="VSL98" s="2"/>
      <c r="VSM98" s="2"/>
      <c r="VSN98" s="2"/>
      <c r="VSO98" s="2"/>
      <c r="VSP98" s="2"/>
      <c r="VSQ98" s="2"/>
      <c r="VSR98" s="2"/>
      <c r="VSS98" s="2"/>
      <c r="VST98" s="2"/>
      <c r="VSU98" s="2"/>
      <c r="VSV98" s="2"/>
      <c r="VSW98" s="2"/>
      <c r="VSX98" s="2"/>
      <c r="VSY98" s="2"/>
      <c r="VSZ98" s="2"/>
      <c r="VTA98" s="2"/>
      <c r="VTB98" s="2"/>
      <c r="VTC98" s="2"/>
      <c r="VTD98" s="2"/>
      <c r="VTE98" s="2"/>
      <c r="VTF98" s="2"/>
      <c r="VTG98" s="2"/>
      <c r="VTH98" s="2"/>
      <c r="VTI98" s="2"/>
      <c r="VTJ98" s="2"/>
      <c r="VTK98" s="2"/>
      <c r="VTL98" s="2"/>
      <c r="VTM98" s="2"/>
      <c r="VTN98" s="2"/>
      <c r="VTO98" s="2"/>
      <c r="VTP98" s="2"/>
      <c r="VTQ98" s="2"/>
      <c r="VTR98" s="2"/>
      <c r="VTS98" s="2"/>
      <c r="VTT98" s="2"/>
      <c r="VTU98" s="2"/>
      <c r="VTV98" s="2"/>
      <c r="VTW98" s="2"/>
      <c r="VTX98" s="2"/>
      <c r="VTY98" s="2"/>
      <c r="VTZ98" s="2"/>
      <c r="VUA98" s="2"/>
      <c r="VUB98" s="2"/>
      <c r="VUC98" s="2"/>
      <c r="VUD98" s="2"/>
      <c r="VUE98" s="2"/>
      <c r="VUF98" s="2"/>
      <c r="VUG98" s="2"/>
      <c r="VUH98" s="2"/>
      <c r="VUI98" s="2"/>
      <c r="VUJ98" s="2"/>
      <c r="VUK98" s="2"/>
      <c r="VUL98" s="2"/>
      <c r="VUM98" s="2"/>
      <c r="VUN98" s="2"/>
      <c r="VUO98" s="2"/>
      <c r="VUP98" s="2"/>
      <c r="VUQ98" s="2"/>
      <c r="VUR98" s="2"/>
      <c r="VUS98" s="2"/>
      <c r="VUT98" s="2"/>
      <c r="VUU98" s="2"/>
      <c r="VUV98" s="2"/>
      <c r="VUW98" s="2"/>
      <c r="VUX98" s="2"/>
      <c r="VUY98" s="2"/>
      <c r="VUZ98" s="2"/>
      <c r="VVA98" s="2"/>
      <c r="VVB98" s="2"/>
      <c r="VVC98" s="2"/>
      <c r="VVD98" s="2"/>
      <c r="VVE98" s="2"/>
      <c r="VVF98" s="2"/>
      <c r="VVG98" s="2"/>
      <c r="VVH98" s="2"/>
      <c r="VVI98" s="2"/>
      <c r="VVJ98" s="2"/>
      <c r="VVK98" s="2"/>
      <c r="VVL98" s="2"/>
      <c r="VVM98" s="2"/>
      <c r="VVN98" s="2"/>
      <c r="VVO98" s="2"/>
      <c r="VVP98" s="2"/>
      <c r="VVQ98" s="2"/>
      <c r="VVR98" s="2"/>
      <c r="VVS98" s="2"/>
      <c r="VVT98" s="2"/>
      <c r="VVU98" s="2"/>
      <c r="VVV98" s="2"/>
      <c r="VVW98" s="2"/>
      <c r="VVX98" s="2"/>
      <c r="VVY98" s="2"/>
      <c r="VVZ98" s="2"/>
      <c r="VWA98" s="2"/>
      <c r="VWB98" s="2"/>
      <c r="VWC98" s="2"/>
      <c r="VWD98" s="2"/>
      <c r="VWE98" s="2"/>
      <c r="VWF98" s="2"/>
      <c r="VWG98" s="2"/>
      <c r="VWH98" s="2"/>
      <c r="VWI98" s="2"/>
      <c r="VWJ98" s="2"/>
      <c r="VWK98" s="2"/>
      <c r="VWL98" s="2"/>
      <c r="VWM98" s="2"/>
      <c r="VWN98" s="2"/>
      <c r="VWO98" s="2"/>
      <c r="VWP98" s="2"/>
      <c r="VWQ98" s="2"/>
      <c r="VWR98" s="2"/>
      <c r="VWS98" s="2"/>
      <c r="VWT98" s="2"/>
      <c r="VWU98" s="2"/>
      <c r="VWV98" s="2"/>
      <c r="VWW98" s="2"/>
      <c r="VWX98" s="2"/>
      <c r="VWY98" s="2"/>
      <c r="VWZ98" s="2"/>
      <c r="VXA98" s="2"/>
      <c r="VXB98" s="2"/>
      <c r="VXC98" s="2"/>
      <c r="VXD98" s="2"/>
      <c r="VXE98" s="2"/>
      <c r="VXF98" s="2"/>
      <c r="VXG98" s="2"/>
      <c r="VXH98" s="2"/>
      <c r="VXI98" s="2"/>
      <c r="VXJ98" s="2"/>
      <c r="VXK98" s="2"/>
      <c r="VXL98" s="2"/>
      <c r="VXM98" s="2"/>
      <c r="VXN98" s="2"/>
      <c r="VXO98" s="2"/>
      <c r="VXP98" s="2"/>
      <c r="VXQ98" s="2"/>
      <c r="VXR98" s="2"/>
      <c r="VXS98" s="2"/>
      <c r="VXT98" s="2"/>
      <c r="VXU98" s="2"/>
      <c r="VXV98" s="2"/>
      <c r="VXW98" s="2"/>
      <c r="VXX98" s="2"/>
      <c r="VXY98" s="2"/>
      <c r="VXZ98" s="2"/>
      <c r="VYA98" s="2"/>
      <c r="VYB98" s="2"/>
      <c r="VYC98" s="2"/>
      <c r="VYD98" s="2"/>
      <c r="VYE98" s="2"/>
      <c r="VYF98" s="2"/>
      <c r="VYG98" s="2"/>
      <c r="VYH98" s="2"/>
      <c r="VYI98" s="2"/>
      <c r="VYJ98" s="2"/>
      <c r="VYK98" s="2"/>
      <c r="VYL98" s="2"/>
      <c r="VYM98" s="2"/>
      <c r="VYN98" s="2"/>
      <c r="VYO98" s="2"/>
      <c r="VYP98" s="2"/>
      <c r="VYQ98" s="2"/>
      <c r="VYR98" s="2"/>
      <c r="VYS98" s="2"/>
      <c r="VYT98" s="2"/>
      <c r="VYU98" s="2"/>
      <c r="VYV98" s="2"/>
      <c r="VYW98" s="2"/>
      <c r="VYX98" s="2"/>
      <c r="VYY98" s="2"/>
      <c r="VYZ98" s="2"/>
      <c r="VZA98" s="2"/>
      <c r="VZB98" s="2"/>
      <c r="VZC98" s="2"/>
      <c r="VZD98" s="2"/>
      <c r="VZE98" s="2"/>
      <c r="VZF98" s="2"/>
      <c r="VZG98" s="2"/>
      <c r="VZH98" s="2"/>
      <c r="VZI98" s="2"/>
      <c r="VZJ98" s="2"/>
      <c r="VZK98" s="2"/>
      <c r="VZL98" s="2"/>
      <c r="VZM98" s="2"/>
      <c r="VZN98" s="2"/>
      <c r="VZO98" s="2"/>
      <c r="VZP98" s="2"/>
      <c r="VZQ98" s="2"/>
      <c r="VZR98" s="2"/>
      <c r="VZS98" s="2"/>
      <c r="VZT98" s="2"/>
      <c r="VZU98" s="2"/>
      <c r="VZV98" s="2"/>
      <c r="VZW98" s="2"/>
      <c r="VZX98" s="2"/>
      <c r="VZY98" s="2"/>
      <c r="VZZ98" s="2"/>
      <c r="WAA98" s="2"/>
      <c r="WAB98" s="2"/>
      <c r="WAC98" s="2"/>
      <c r="WAD98" s="2"/>
      <c r="WAE98" s="2"/>
      <c r="WAF98" s="2"/>
      <c r="WAG98" s="2"/>
      <c r="WAH98" s="2"/>
      <c r="WAI98" s="2"/>
      <c r="WAJ98" s="2"/>
      <c r="WAK98" s="2"/>
      <c r="WAL98" s="2"/>
      <c r="WAM98" s="2"/>
      <c r="WAN98" s="2"/>
      <c r="WAO98" s="2"/>
      <c r="WAP98" s="2"/>
      <c r="WAQ98" s="2"/>
      <c r="WAR98" s="2"/>
      <c r="WAS98" s="2"/>
      <c r="WAT98" s="2"/>
      <c r="WAU98" s="2"/>
      <c r="WAV98" s="2"/>
      <c r="WAW98" s="2"/>
      <c r="WAX98" s="2"/>
      <c r="WAY98" s="2"/>
      <c r="WAZ98" s="2"/>
      <c r="WBA98" s="2"/>
      <c r="WBB98" s="2"/>
      <c r="WBC98" s="2"/>
      <c r="WBD98" s="2"/>
      <c r="WBE98" s="2"/>
      <c r="WBF98" s="2"/>
      <c r="WBG98" s="2"/>
      <c r="WBH98" s="2"/>
      <c r="WBI98" s="2"/>
      <c r="WBJ98" s="2"/>
      <c r="WBK98" s="2"/>
      <c r="WBL98" s="2"/>
      <c r="WBM98" s="2"/>
      <c r="WBN98" s="2"/>
      <c r="WBO98" s="2"/>
      <c r="WBP98" s="2"/>
      <c r="WBQ98" s="2"/>
      <c r="WBR98" s="2"/>
      <c r="WBS98" s="2"/>
      <c r="WBT98" s="2"/>
      <c r="WBU98" s="2"/>
      <c r="WBV98" s="2"/>
      <c r="WBW98" s="2"/>
      <c r="WBX98" s="2"/>
      <c r="WBY98" s="2"/>
      <c r="WBZ98" s="2"/>
      <c r="WCA98" s="2"/>
      <c r="WCB98" s="2"/>
      <c r="WCC98" s="2"/>
      <c r="WCD98" s="2"/>
      <c r="WCE98" s="2"/>
      <c r="WCF98" s="2"/>
      <c r="WCG98" s="2"/>
      <c r="WCH98" s="2"/>
      <c r="WCI98" s="2"/>
      <c r="WCJ98" s="2"/>
      <c r="WCK98" s="2"/>
      <c r="WCL98" s="2"/>
      <c r="WCM98" s="2"/>
      <c r="WCN98" s="2"/>
      <c r="WCO98" s="2"/>
      <c r="WCP98" s="2"/>
      <c r="WCQ98" s="2"/>
      <c r="WCR98" s="2"/>
      <c r="WCS98" s="2"/>
      <c r="WCT98" s="2"/>
      <c r="WCU98" s="2"/>
      <c r="WCV98" s="2"/>
      <c r="WCW98" s="2"/>
      <c r="WCX98" s="2"/>
      <c r="WCY98" s="2"/>
      <c r="WCZ98" s="2"/>
      <c r="WDA98" s="2"/>
      <c r="WDB98" s="2"/>
      <c r="WDC98" s="2"/>
      <c r="WDD98" s="2"/>
      <c r="WDE98" s="2"/>
      <c r="WDF98" s="2"/>
      <c r="WDG98" s="2"/>
      <c r="WDH98" s="2"/>
      <c r="WDI98" s="2"/>
      <c r="WDJ98" s="2"/>
      <c r="WDK98" s="2"/>
      <c r="WDL98" s="2"/>
      <c r="WDM98" s="2"/>
      <c r="WDN98" s="2"/>
      <c r="WDO98" s="2"/>
      <c r="WDP98" s="2"/>
      <c r="WDQ98" s="2"/>
      <c r="WDR98" s="2"/>
      <c r="WDS98" s="2"/>
      <c r="WDT98" s="2"/>
      <c r="WDU98" s="2"/>
      <c r="WDV98" s="2"/>
      <c r="WDW98" s="2"/>
      <c r="WDX98" s="2"/>
      <c r="WDY98" s="2"/>
      <c r="WDZ98" s="2"/>
      <c r="WEA98" s="2"/>
      <c r="WEB98" s="2"/>
      <c r="WEC98" s="2"/>
      <c r="WED98" s="2"/>
      <c r="WEE98" s="2"/>
      <c r="WEF98" s="2"/>
      <c r="WEG98" s="2"/>
      <c r="WEH98" s="2"/>
      <c r="WEI98" s="2"/>
      <c r="WEJ98" s="2"/>
      <c r="WEK98" s="2"/>
      <c r="WEL98" s="2"/>
      <c r="WEM98" s="2"/>
      <c r="WEN98" s="2"/>
      <c r="WEO98" s="2"/>
      <c r="WEP98" s="2"/>
      <c r="WEQ98" s="2"/>
      <c r="WER98" s="2"/>
      <c r="WES98" s="2"/>
      <c r="WET98" s="2"/>
      <c r="WEU98" s="2"/>
      <c r="WEV98" s="2"/>
      <c r="WEW98" s="2"/>
      <c r="WEX98" s="2"/>
      <c r="WEY98" s="2"/>
      <c r="WEZ98" s="2"/>
      <c r="WFA98" s="2"/>
      <c r="WFB98" s="2"/>
      <c r="WFC98" s="2"/>
      <c r="WFD98" s="2"/>
      <c r="WFE98" s="2"/>
      <c r="WFF98" s="2"/>
      <c r="WFG98" s="2"/>
      <c r="WFH98" s="2"/>
      <c r="WFI98" s="2"/>
      <c r="WFJ98" s="2"/>
      <c r="WFK98" s="2"/>
      <c r="WFL98" s="2"/>
      <c r="WFM98" s="2"/>
      <c r="WFN98" s="2"/>
      <c r="WFO98" s="2"/>
      <c r="WFP98" s="2"/>
      <c r="WFQ98" s="2"/>
      <c r="WFR98" s="2"/>
      <c r="WFS98" s="2"/>
      <c r="WFT98" s="2"/>
      <c r="WFU98" s="2"/>
      <c r="WFV98" s="2"/>
      <c r="WFW98" s="2"/>
      <c r="WFX98" s="2"/>
      <c r="WFY98" s="2"/>
      <c r="WFZ98" s="2"/>
      <c r="WGA98" s="2"/>
      <c r="WGB98" s="2"/>
      <c r="WGC98" s="2"/>
      <c r="WGD98" s="2"/>
      <c r="WGE98" s="2"/>
      <c r="WGF98" s="2"/>
      <c r="WGG98" s="2"/>
      <c r="WGH98" s="2"/>
      <c r="WGI98" s="2"/>
      <c r="WGJ98" s="2"/>
      <c r="WGK98" s="2"/>
      <c r="WGL98" s="2"/>
      <c r="WGM98" s="2"/>
      <c r="WGN98" s="2"/>
      <c r="WGO98" s="2"/>
      <c r="WGP98" s="2"/>
      <c r="WGQ98" s="2"/>
      <c r="WGR98" s="2"/>
      <c r="WGS98" s="2"/>
      <c r="WGT98" s="2"/>
      <c r="WGU98" s="2"/>
      <c r="WGV98" s="2"/>
      <c r="WGW98" s="2"/>
      <c r="WGX98" s="2"/>
      <c r="WGY98" s="2"/>
      <c r="WGZ98" s="2"/>
      <c r="WHA98" s="2"/>
      <c r="WHB98" s="2"/>
      <c r="WHC98" s="2"/>
      <c r="WHD98" s="2"/>
      <c r="WHE98" s="2"/>
      <c r="WHF98" s="2"/>
      <c r="WHG98" s="2"/>
      <c r="WHH98" s="2"/>
      <c r="WHI98" s="2"/>
      <c r="WHJ98" s="2"/>
      <c r="WHK98" s="2"/>
      <c r="WHL98" s="2"/>
      <c r="WHM98" s="2"/>
      <c r="WHN98" s="2"/>
      <c r="WHO98" s="2"/>
      <c r="WHP98" s="2"/>
      <c r="WHQ98" s="2"/>
      <c r="WHR98" s="2"/>
      <c r="WHS98" s="2"/>
      <c r="WHT98" s="2"/>
      <c r="WHU98" s="2"/>
      <c r="WHV98" s="2"/>
      <c r="WHW98" s="2"/>
      <c r="WHX98" s="2"/>
      <c r="WHY98" s="2"/>
      <c r="WHZ98" s="2"/>
      <c r="WIA98" s="2"/>
      <c r="WIB98" s="2"/>
      <c r="WIC98" s="2"/>
      <c r="WID98" s="2"/>
      <c r="WIE98" s="2"/>
      <c r="WIF98" s="2"/>
      <c r="WIG98" s="2"/>
      <c r="WIH98" s="2"/>
      <c r="WII98" s="2"/>
      <c r="WIJ98" s="2"/>
      <c r="WIK98" s="2"/>
      <c r="WIL98" s="2"/>
      <c r="WIM98" s="2"/>
      <c r="WIN98" s="2"/>
      <c r="WIO98" s="2"/>
      <c r="WIP98" s="2"/>
      <c r="WIQ98" s="2"/>
      <c r="WIR98" s="2"/>
      <c r="WIS98" s="2"/>
      <c r="WIT98" s="2"/>
      <c r="WIU98" s="2"/>
      <c r="WIV98" s="2"/>
      <c r="WIW98" s="2"/>
      <c r="WIX98" s="2"/>
      <c r="WIY98" s="2"/>
      <c r="WIZ98" s="2"/>
      <c r="WJA98" s="2"/>
      <c r="WJB98" s="2"/>
      <c r="WJC98" s="2"/>
      <c r="WJD98" s="2"/>
      <c r="WJE98" s="2"/>
      <c r="WJF98" s="2"/>
      <c r="WJG98" s="2"/>
      <c r="WJH98" s="2"/>
      <c r="WJI98" s="2"/>
      <c r="WJJ98" s="2"/>
      <c r="WJK98" s="2"/>
      <c r="WJL98" s="2"/>
      <c r="WJM98" s="2"/>
      <c r="WJN98" s="2"/>
      <c r="WJO98" s="2"/>
      <c r="WJP98" s="2"/>
      <c r="WJQ98" s="2"/>
      <c r="WJR98" s="2"/>
      <c r="WJS98" s="2"/>
      <c r="WJT98" s="2"/>
      <c r="WJU98" s="2"/>
      <c r="WJV98" s="2"/>
      <c r="WJW98" s="2"/>
      <c r="WJX98" s="2"/>
      <c r="WJY98" s="2"/>
      <c r="WJZ98" s="2"/>
      <c r="WKA98" s="2"/>
      <c r="WKB98" s="2"/>
      <c r="WKC98" s="2"/>
      <c r="WKD98" s="2"/>
      <c r="WKE98" s="2"/>
      <c r="WKF98" s="2"/>
      <c r="WKG98" s="2"/>
      <c r="WKH98" s="2"/>
      <c r="WKI98" s="2"/>
      <c r="WKJ98" s="2"/>
      <c r="WKK98" s="2"/>
      <c r="WKL98" s="2"/>
      <c r="WKM98" s="2"/>
      <c r="WKN98" s="2"/>
      <c r="WKO98" s="2"/>
      <c r="WKP98" s="2"/>
      <c r="WKQ98" s="2"/>
      <c r="WKR98" s="2"/>
      <c r="WKS98" s="2"/>
      <c r="WKT98" s="2"/>
      <c r="WKU98" s="2"/>
      <c r="WKV98" s="2"/>
      <c r="WKW98" s="2"/>
      <c r="WKX98" s="2"/>
      <c r="WKY98" s="2"/>
      <c r="WKZ98" s="2"/>
      <c r="WLA98" s="2"/>
      <c r="WLB98" s="2"/>
      <c r="WLC98" s="2"/>
      <c r="WLD98" s="2"/>
      <c r="WLE98" s="2"/>
      <c r="WLF98" s="2"/>
      <c r="WLG98" s="2"/>
      <c r="WLH98" s="2"/>
      <c r="WLI98" s="2"/>
      <c r="WLJ98" s="2"/>
      <c r="WLK98" s="2"/>
      <c r="WLL98" s="2"/>
      <c r="WLM98" s="2"/>
      <c r="WLN98" s="2"/>
      <c r="WLO98" s="2"/>
      <c r="WLP98" s="2"/>
      <c r="WLQ98" s="2"/>
      <c r="WLR98" s="2"/>
      <c r="WLS98" s="2"/>
      <c r="WLT98" s="2"/>
      <c r="WLU98" s="2"/>
      <c r="WLV98" s="2"/>
      <c r="WLW98" s="2"/>
      <c r="WLX98" s="2"/>
      <c r="WLY98" s="2"/>
      <c r="WLZ98" s="2"/>
      <c r="WMA98" s="2"/>
      <c r="WMB98" s="2"/>
      <c r="WMC98" s="2"/>
      <c r="WMD98" s="2"/>
      <c r="WME98" s="2"/>
      <c r="WMF98" s="2"/>
      <c r="WMG98" s="2"/>
      <c r="WMH98" s="2"/>
      <c r="WMI98" s="2"/>
      <c r="WMJ98" s="2"/>
      <c r="WMK98" s="2"/>
      <c r="WML98" s="2"/>
      <c r="WMM98" s="2"/>
      <c r="WMN98" s="2"/>
      <c r="WMO98" s="2"/>
      <c r="WMP98" s="2"/>
      <c r="WMQ98" s="2"/>
      <c r="WMR98" s="2"/>
      <c r="WMS98" s="2"/>
      <c r="WMT98" s="2"/>
      <c r="WMU98" s="2"/>
      <c r="WMV98" s="2"/>
      <c r="WMW98" s="2"/>
      <c r="WMX98" s="2"/>
      <c r="WMY98" s="2"/>
      <c r="WMZ98" s="2"/>
      <c r="WNA98" s="2"/>
      <c r="WNB98" s="2"/>
      <c r="WNC98" s="2"/>
      <c r="WND98" s="2"/>
      <c r="WNE98" s="2"/>
      <c r="WNF98" s="2"/>
      <c r="WNG98" s="2"/>
      <c r="WNH98" s="2"/>
      <c r="WNI98" s="2"/>
      <c r="WNJ98" s="2"/>
      <c r="WNK98" s="2"/>
      <c r="WNL98" s="2"/>
      <c r="WNM98" s="2"/>
      <c r="WNN98" s="2"/>
      <c r="WNO98" s="2"/>
      <c r="WNP98" s="2"/>
      <c r="WNQ98" s="2"/>
      <c r="WNR98" s="2"/>
      <c r="WNS98" s="2"/>
      <c r="WNT98" s="2"/>
      <c r="WNU98" s="2"/>
      <c r="WNV98" s="2"/>
      <c r="WNW98" s="2"/>
      <c r="WNX98" s="2"/>
      <c r="WNY98" s="2"/>
      <c r="WNZ98" s="2"/>
      <c r="WOA98" s="2"/>
      <c r="WOB98" s="2"/>
      <c r="WOC98" s="2"/>
      <c r="WOD98" s="2"/>
      <c r="WOE98" s="2"/>
      <c r="WOF98" s="2"/>
      <c r="WOG98" s="2"/>
      <c r="WOH98" s="2"/>
      <c r="WOI98" s="2"/>
      <c r="WOJ98" s="2"/>
      <c r="WOK98" s="2"/>
      <c r="WOL98" s="2"/>
      <c r="WOM98" s="2"/>
      <c r="WON98" s="2"/>
      <c r="WOO98" s="2"/>
      <c r="WOP98" s="2"/>
      <c r="WOQ98" s="2"/>
      <c r="WOR98" s="2"/>
      <c r="WOS98" s="2"/>
      <c r="WOT98" s="2"/>
      <c r="WOU98" s="2"/>
      <c r="WOV98" s="2"/>
      <c r="WOW98" s="2"/>
      <c r="WOX98" s="2"/>
      <c r="WOY98" s="2"/>
      <c r="WOZ98" s="2"/>
      <c r="WPA98" s="2"/>
      <c r="WPB98" s="2"/>
      <c r="WPC98" s="2"/>
      <c r="WPD98" s="2"/>
      <c r="WPE98" s="2"/>
      <c r="WPF98" s="2"/>
      <c r="WPG98" s="2"/>
      <c r="WPH98" s="2"/>
      <c r="WPI98" s="2"/>
      <c r="WPJ98" s="2"/>
      <c r="WPK98" s="2"/>
      <c r="WPL98" s="2"/>
      <c r="WPM98" s="2"/>
      <c r="WPN98" s="2"/>
      <c r="WPO98" s="2"/>
      <c r="WPP98" s="2"/>
      <c r="WPQ98" s="2"/>
      <c r="WPR98" s="2"/>
      <c r="WPS98" s="2"/>
      <c r="WPT98" s="2"/>
      <c r="WPU98" s="2"/>
      <c r="WPV98" s="2"/>
      <c r="WPW98" s="2"/>
      <c r="WPX98" s="2"/>
      <c r="WPY98" s="2"/>
      <c r="WPZ98" s="2"/>
      <c r="WQA98" s="2"/>
      <c r="WQB98" s="2"/>
      <c r="WQC98" s="2"/>
      <c r="WQD98" s="2"/>
      <c r="WQE98" s="2"/>
      <c r="WQF98" s="2"/>
      <c r="WQG98" s="2"/>
      <c r="WQH98" s="2"/>
      <c r="WQI98" s="2"/>
      <c r="WQJ98" s="2"/>
      <c r="WQK98" s="2"/>
      <c r="WQL98" s="2"/>
      <c r="WQM98" s="2"/>
      <c r="WQN98" s="2"/>
      <c r="WQO98" s="2"/>
      <c r="WQP98" s="2"/>
      <c r="WQQ98" s="2"/>
      <c r="WQR98" s="2"/>
      <c r="WQS98" s="2"/>
      <c r="WQT98" s="2"/>
      <c r="WQU98" s="2"/>
      <c r="WQV98" s="2"/>
      <c r="WQW98" s="2"/>
      <c r="WQX98" s="2"/>
      <c r="WQY98" s="2"/>
      <c r="WQZ98" s="2"/>
      <c r="WRA98" s="2"/>
      <c r="WRB98" s="2"/>
      <c r="WRC98" s="2"/>
      <c r="WRD98" s="2"/>
      <c r="WRE98" s="2"/>
      <c r="WRF98" s="2"/>
      <c r="WRG98" s="2"/>
      <c r="WRH98" s="2"/>
      <c r="WRI98" s="2"/>
      <c r="WRJ98" s="2"/>
      <c r="WRK98" s="2"/>
      <c r="WRL98" s="2"/>
      <c r="WRM98" s="2"/>
      <c r="WRN98" s="2"/>
      <c r="WRO98" s="2"/>
      <c r="WRP98" s="2"/>
      <c r="WRQ98" s="2"/>
      <c r="WRR98" s="2"/>
      <c r="WRS98" s="2"/>
      <c r="WRT98" s="2"/>
      <c r="WRU98" s="2"/>
      <c r="WRV98" s="2"/>
      <c r="WRW98" s="2"/>
      <c r="WRX98" s="2"/>
      <c r="WRY98" s="2"/>
      <c r="WRZ98" s="2"/>
      <c r="WSA98" s="2"/>
      <c r="WSB98" s="2"/>
      <c r="WSC98" s="2"/>
      <c r="WSD98" s="2"/>
      <c r="WSE98" s="2"/>
      <c r="WSF98" s="2"/>
      <c r="WSG98" s="2"/>
      <c r="WSH98" s="2"/>
      <c r="WSI98" s="2"/>
      <c r="WSJ98" s="2"/>
      <c r="WSK98" s="2"/>
      <c r="WSL98" s="2"/>
      <c r="WSM98" s="2"/>
      <c r="WSN98" s="2"/>
      <c r="WSO98" s="2"/>
      <c r="WSP98" s="2"/>
      <c r="WSQ98" s="2"/>
      <c r="WSR98" s="2"/>
      <c r="WSS98" s="2"/>
      <c r="WST98" s="2"/>
      <c r="WSU98" s="2"/>
      <c r="WSV98" s="2"/>
      <c r="WSW98" s="2"/>
      <c r="WSX98" s="2"/>
      <c r="WSY98" s="2"/>
      <c r="WSZ98" s="2"/>
      <c r="WTA98" s="2"/>
      <c r="WTB98" s="2"/>
      <c r="WTC98" s="2"/>
      <c r="WTD98" s="2"/>
      <c r="WTE98" s="2"/>
      <c r="WTF98" s="2"/>
      <c r="WTG98" s="2"/>
      <c r="WTH98" s="2"/>
      <c r="WTI98" s="2"/>
      <c r="WTJ98" s="2"/>
      <c r="WTK98" s="2"/>
      <c r="WTL98" s="2"/>
      <c r="WTM98" s="2"/>
      <c r="WTN98" s="2"/>
      <c r="WTO98" s="2"/>
      <c r="WTP98" s="2"/>
      <c r="WTQ98" s="2"/>
      <c r="WTR98" s="2"/>
      <c r="WTS98" s="2"/>
      <c r="WTT98" s="2"/>
      <c r="WTU98" s="2"/>
      <c r="WTV98" s="2"/>
      <c r="WTW98" s="2"/>
      <c r="WTX98" s="2"/>
      <c r="WTY98" s="2"/>
      <c r="WTZ98" s="2"/>
      <c r="WUA98" s="2"/>
      <c r="WUB98" s="2"/>
      <c r="WUC98" s="2"/>
      <c r="WUD98" s="2"/>
      <c r="WUE98" s="2"/>
      <c r="WUF98" s="2"/>
      <c r="WUG98" s="2"/>
      <c r="WUH98" s="2"/>
      <c r="WUI98" s="2"/>
      <c r="WUJ98" s="2"/>
      <c r="WUK98" s="2"/>
      <c r="WUL98" s="2"/>
      <c r="WUM98" s="2"/>
      <c r="WUN98" s="2"/>
      <c r="WUO98" s="2"/>
      <c r="WUP98" s="2"/>
      <c r="WUQ98" s="2"/>
      <c r="WUR98" s="2"/>
      <c r="WUS98" s="2"/>
      <c r="WUT98" s="2"/>
      <c r="WUU98" s="2"/>
      <c r="WUV98" s="2"/>
      <c r="WUW98" s="2"/>
      <c r="WUX98" s="2"/>
      <c r="WUY98" s="2"/>
      <c r="WUZ98" s="2"/>
      <c r="WVA98" s="2"/>
      <c r="WVB98" s="2"/>
      <c r="WVC98" s="2"/>
      <c r="WVD98" s="2"/>
      <c r="WVE98" s="2"/>
      <c r="WVF98" s="2"/>
      <c r="WVG98" s="2"/>
      <c r="WVH98" s="2"/>
      <c r="WVI98" s="2"/>
      <c r="WVJ98" s="2"/>
      <c r="WVK98" s="2"/>
      <c r="WVL98" s="2"/>
      <c r="WVM98" s="2"/>
      <c r="WVN98" s="2"/>
      <c r="WVO98" s="2"/>
      <c r="WVP98" s="2"/>
      <c r="WVQ98" s="2"/>
      <c r="WVR98" s="2"/>
      <c r="WVS98" s="2"/>
      <c r="WVT98" s="2"/>
      <c r="WVU98" s="2"/>
      <c r="WVV98" s="2"/>
      <c r="WVW98" s="2"/>
      <c r="WVX98" s="2"/>
      <c r="WVY98" s="2"/>
      <c r="WVZ98" s="2"/>
      <c r="WWA98" s="2"/>
      <c r="WWB98" s="2"/>
      <c r="WWC98" s="2"/>
      <c r="WWD98" s="2"/>
      <c r="WWE98" s="2"/>
      <c r="WWF98" s="2"/>
      <c r="WWG98" s="2"/>
      <c r="WWH98" s="2"/>
      <c r="WWI98" s="2"/>
      <c r="WWJ98" s="2"/>
      <c r="WWK98" s="2"/>
      <c r="WWL98" s="2"/>
      <c r="WWM98" s="2"/>
      <c r="WWN98" s="2"/>
      <c r="WWO98" s="2"/>
      <c r="WWP98" s="2"/>
      <c r="WWQ98" s="2"/>
      <c r="WWR98" s="2"/>
      <c r="WWS98" s="2"/>
      <c r="WWT98" s="2"/>
      <c r="WWU98" s="2"/>
      <c r="WWV98" s="2"/>
      <c r="WWW98" s="2"/>
      <c r="WWX98" s="2"/>
      <c r="WWY98" s="2"/>
      <c r="WWZ98" s="2"/>
      <c r="WXA98" s="2"/>
      <c r="WXB98" s="2"/>
      <c r="WXC98" s="2"/>
      <c r="WXD98" s="2"/>
      <c r="WXE98" s="2"/>
      <c r="WXF98" s="2"/>
      <c r="WXG98" s="2"/>
      <c r="WXH98" s="2"/>
      <c r="WXI98" s="2"/>
      <c r="WXJ98" s="2"/>
      <c r="WXK98" s="2"/>
      <c r="WXL98" s="2"/>
      <c r="WXM98" s="2"/>
      <c r="WXN98" s="2"/>
      <c r="WXO98" s="2"/>
      <c r="WXP98" s="2"/>
      <c r="WXQ98" s="2"/>
      <c r="WXR98" s="2"/>
      <c r="WXS98" s="2"/>
      <c r="WXT98" s="2"/>
      <c r="WXU98" s="2"/>
      <c r="WXV98" s="2"/>
      <c r="WXW98" s="2"/>
      <c r="WXX98" s="2"/>
      <c r="WXY98" s="2"/>
      <c r="WXZ98" s="2"/>
      <c r="WYA98" s="2"/>
      <c r="WYB98" s="2"/>
      <c r="WYC98" s="2"/>
      <c r="WYD98" s="2"/>
      <c r="WYE98" s="2"/>
      <c r="WYF98" s="2"/>
      <c r="WYG98" s="2"/>
      <c r="WYH98" s="2"/>
      <c r="WYI98" s="2"/>
      <c r="WYJ98" s="2"/>
      <c r="WYK98" s="2"/>
      <c r="WYL98" s="2"/>
      <c r="WYM98" s="2"/>
      <c r="WYN98" s="2"/>
      <c r="WYO98" s="2"/>
      <c r="WYP98" s="2"/>
      <c r="WYQ98" s="2"/>
      <c r="WYR98" s="2"/>
      <c r="WYS98" s="2"/>
      <c r="WYT98" s="2"/>
      <c r="WYU98" s="2"/>
      <c r="WYV98" s="2"/>
      <c r="WYW98" s="2"/>
      <c r="WYX98" s="2"/>
      <c r="WYY98" s="2"/>
      <c r="WYZ98" s="2"/>
      <c r="WZA98" s="2"/>
      <c r="WZB98" s="2"/>
      <c r="WZC98" s="2"/>
      <c r="WZD98" s="2"/>
      <c r="WZE98" s="2"/>
      <c r="WZF98" s="2"/>
      <c r="WZG98" s="2"/>
      <c r="WZH98" s="2"/>
      <c r="WZI98" s="2"/>
      <c r="WZJ98" s="2"/>
      <c r="WZK98" s="2"/>
      <c r="WZL98" s="2"/>
      <c r="WZM98" s="2"/>
      <c r="WZN98" s="2"/>
      <c r="WZO98" s="2"/>
      <c r="WZP98" s="2"/>
      <c r="WZQ98" s="2"/>
      <c r="WZR98" s="2"/>
      <c r="WZS98" s="2"/>
      <c r="WZT98" s="2"/>
      <c r="WZU98" s="2"/>
      <c r="WZV98" s="2"/>
      <c r="WZW98" s="2"/>
      <c r="WZX98" s="2"/>
      <c r="WZY98" s="2"/>
      <c r="WZZ98" s="2"/>
      <c r="XAA98" s="2"/>
      <c r="XAB98" s="2"/>
      <c r="XAC98" s="2"/>
      <c r="XAD98" s="2"/>
      <c r="XAE98" s="2"/>
      <c r="XAF98" s="2"/>
      <c r="XAG98" s="2"/>
      <c r="XAH98" s="2"/>
      <c r="XAI98" s="2"/>
      <c r="XAJ98" s="2"/>
      <c r="XAK98" s="2"/>
      <c r="XAL98" s="2"/>
      <c r="XAM98" s="2"/>
      <c r="XAN98" s="2"/>
      <c r="XAO98" s="2"/>
      <c r="XAP98" s="2"/>
      <c r="XAQ98" s="2"/>
      <c r="XAR98" s="2"/>
      <c r="XAS98" s="2"/>
      <c r="XAT98" s="2"/>
      <c r="XAU98" s="2"/>
      <c r="XAV98" s="2"/>
      <c r="XAW98" s="2"/>
      <c r="XAX98" s="2"/>
      <c r="XAY98" s="2"/>
      <c r="XAZ98" s="2"/>
      <c r="XBA98" s="2"/>
      <c r="XBB98" s="2"/>
      <c r="XBC98" s="2"/>
      <c r="XBD98" s="2"/>
      <c r="XBE98" s="2"/>
      <c r="XBF98" s="2"/>
      <c r="XBG98" s="2"/>
      <c r="XBH98" s="2"/>
      <c r="XBI98" s="2"/>
      <c r="XBJ98" s="2"/>
      <c r="XBK98" s="2"/>
      <c r="XBL98" s="2"/>
      <c r="XBM98" s="2"/>
      <c r="XBN98" s="2"/>
      <c r="XBO98" s="2"/>
      <c r="XBP98" s="2"/>
      <c r="XBQ98" s="2"/>
      <c r="XBR98" s="2"/>
      <c r="XBS98" s="2"/>
      <c r="XBT98" s="2"/>
      <c r="XBU98" s="5"/>
      <c r="XBV98" s="5"/>
      <c r="XBW98" s="5"/>
      <c r="XBX98" s="5"/>
      <c r="XBY98" s="5"/>
      <c r="XBZ98" s="5"/>
      <c r="XCA98" s="5"/>
      <c r="XCB98" s="5"/>
      <c r="XCC98" s="5"/>
      <c r="XCD98" s="5"/>
      <c r="XCE98" s="5"/>
      <c r="XCF98" s="5"/>
      <c r="XCG98" s="5"/>
      <c r="XCH98" s="5"/>
      <c r="XCI98" s="5"/>
      <c r="XCJ98" s="5"/>
      <c r="XCK98" s="5"/>
      <c r="XCL98" s="5"/>
      <c r="XCM98" s="5"/>
      <c r="XCN98" s="5"/>
      <c r="XCO98" s="5"/>
      <c r="XCP98" s="5"/>
      <c r="XCQ98" s="5"/>
      <c r="XCR98" s="5"/>
      <c r="XCS98" s="5"/>
      <c r="XCT98" s="5"/>
      <c r="XCU98" s="5"/>
      <c r="XCV98" s="5"/>
      <c r="XCW98" s="5"/>
      <c r="XCX98" s="5"/>
      <c r="XCY98" s="5"/>
      <c r="XCZ98" s="5"/>
      <c r="XDA98" s="5"/>
      <c r="XDB98" s="5"/>
      <c r="XDC98" s="5"/>
      <c r="XDD98" s="5"/>
      <c r="XDE98" s="5"/>
      <c r="XDF98" s="5"/>
      <c r="XDG98" s="5"/>
      <c r="XDH98" s="5"/>
      <c r="XDI98" s="5"/>
      <c r="XDJ98" s="5"/>
      <c r="XDK98" s="5"/>
      <c r="XDL98" s="5"/>
      <c r="XDM98" s="5"/>
      <c r="XDN98" s="5"/>
      <c r="XDO98" s="5"/>
      <c r="XDP98" s="5"/>
      <c r="XDQ98" s="5"/>
      <c r="XDR98" s="5"/>
      <c r="XDS98" s="5"/>
      <c r="XDT98" s="5"/>
      <c r="XDU98" s="5"/>
    </row>
    <row r="99" customHeight="1" spans="1:1024 1025:16349">
      <c r="B99" s="26"/>
      <c r="C99" s="27" t="s">
        <v>199</v>
      </c>
      <c r="D99" s="28" t="s">
        <v>200</v>
      </c>
      <c r="E99" s="29"/>
      <c r="F99" s="30"/>
      <c r="G99" s="68">
        <v>0</v>
      </c>
      <c r="H99" s="25">
        <f t="shared" si="1"/>
        <v>0</v>
      </c>
    </row>
    <row r="100" customHeight="1" spans="1:1024 1025:16349">
      <c r="B100" s="26"/>
      <c r="C100" s="27" t="s">
        <v>201</v>
      </c>
      <c r="D100" s="28" t="s">
        <v>202</v>
      </c>
      <c r="E100" s="82" t="s">
        <v>203</v>
      </c>
      <c r="F100" s="83"/>
      <c r="G100" s="68">
        <v>0</v>
      </c>
      <c r="H100" s="25">
        <f t="shared" si="1"/>
        <v>0</v>
      </c>
    </row>
    <row r="101" customHeight="1" spans="1:1024 1025:16349">
      <c r="B101" s="84"/>
      <c r="C101" s="85"/>
      <c r="D101" s="85"/>
      <c r="E101" s="86"/>
      <c r="F101" s="87"/>
      <c r="G101" s="68">
        <v>0</v>
      </c>
      <c r="H101" s="25">
        <f t="shared" si="1"/>
        <v>0</v>
      </c>
    </row>
    <row r="102" customHeight="1" spans="1:1024 1025:16349">
      <c r="B102" s="84" t="s">
        <v>268</v>
      </c>
      <c r="C102" s="22" t="s">
        <v>269</v>
      </c>
      <c r="D102" s="88" t="s">
        <v>270</v>
      </c>
      <c r="E102" s="86"/>
      <c r="F102" s="87"/>
      <c r="G102" s="68">
        <v>0</v>
      </c>
      <c r="H102" s="25">
        <f t="shared" si="1"/>
        <v>0</v>
      </c>
    </row>
    <row r="103" customHeight="1" spans="1:1024 1025:16349">
      <c r="B103" s="84" t="s">
        <v>271</v>
      </c>
      <c r="C103" s="89" t="s">
        <v>272</v>
      </c>
      <c r="D103" s="90" t="s">
        <v>273</v>
      </c>
      <c r="E103" s="86" t="s">
        <v>41</v>
      </c>
      <c r="F103" s="87">
        <v>0</v>
      </c>
      <c r="G103" s="68">
        <v>0</v>
      </c>
      <c r="H103" s="25">
        <f t="shared" si="1"/>
        <v>0</v>
      </c>
    </row>
    <row r="104" customHeight="1" spans="1:1024 1025:16349">
      <c r="B104" s="84" t="s">
        <v>274</v>
      </c>
      <c r="C104" s="89" t="s">
        <v>275</v>
      </c>
      <c r="D104" s="90" t="s">
        <v>276</v>
      </c>
      <c r="E104" s="86" t="s">
        <v>41</v>
      </c>
      <c r="F104" s="87">
        <v>0</v>
      </c>
      <c r="G104" s="68">
        <v>0</v>
      </c>
      <c r="H104" s="25">
        <f t="shared" si="1"/>
        <v>0</v>
      </c>
    </row>
    <row r="105" customHeight="1" spans="1:1024 1025:16349">
      <c r="B105" s="84"/>
      <c r="C105" s="91"/>
      <c r="D105" s="91"/>
      <c r="E105" s="86"/>
      <c r="F105" s="87"/>
      <c r="G105" s="68">
        <v>0</v>
      </c>
      <c r="H105" s="25">
        <f t="shared" si="1"/>
        <v>0</v>
      </c>
    </row>
    <row r="106" customHeight="1" spans="1:1024 1025:16349">
      <c r="B106" s="84" t="s">
        <v>277</v>
      </c>
      <c r="C106" s="22" t="s">
        <v>278</v>
      </c>
      <c r="D106" s="88" t="s">
        <v>279</v>
      </c>
      <c r="E106" s="86"/>
      <c r="F106" s="87"/>
      <c r="G106" s="68">
        <v>0</v>
      </c>
      <c r="H106" s="25">
        <f t="shared" si="1"/>
        <v>0</v>
      </c>
    </row>
    <row r="107" customHeight="1" spans="1:1024 1025:16349">
      <c r="B107" s="84" t="s">
        <v>280</v>
      </c>
      <c r="C107" s="89" t="s">
        <v>281</v>
      </c>
      <c r="D107" s="90" t="s">
        <v>282</v>
      </c>
      <c r="E107" s="92" t="s">
        <v>283</v>
      </c>
      <c r="F107" s="87">
        <v>0</v>
      </c>
      <c r="G107" s="68">
        <v>0</v>
      </c>
      <c r="H107" s="25">
        <f t="shared" si="1"/>
        <v>0</v>
      </c>
    </row>
    <row r="108" customHeight="1" spans="1:1024 1025:16349">
      <c r="B108" s="84"/>
      <c r="C108" s="91"/>
      <c r="D108" s="91"/>
      <c r="E108" s="86"/>
      <c r="F108" s="87"/>
      <c r="G108" s="68">
        <v>0</v>
      </c>
      <c r="H108" s="25">
        <f t="shared" si="1"/>
        <v>0</v>
      </c>
    </row>
    <row r="109" customHeight="1" spans="1:1024 1025:16349">
      <c r="B109" s="84" t="s">
        <v>284</v>
      </c>
      <c r="C109" s="22" t="s">
        <v>285</v>
      </c>
      <c r="D109" s="88" t="s">
        <v>286</v>
      </c>
      <c r="E109" s="86"/>
      <c r="F109" s="87"/>
      <c r="G109" s="68">
        <v>0</v>
      </c>
      <c r="H109" s="25">
        <f t="shared" si="1"/>
        <v>0</v>
      </c>
    </row>
    <row r="110" customHeight="1" spans="1:1024 1025:16349">
      <c r="A110" s="8">
        <f ca="1" t="shared" ref="A110:A114" si="3">COUNTA(OFFSET(A$1,0,0,ROW()-1,1))+1</f>
        <v>11</v>
      </c>
      <c r="B110" s="84" t="s">
        <v>287</v>
      </c>
      <c r="C110" s="89" t="s">
        <v>288</v>
      </c>
      <c r="D110" s="90" t="s">
        <v>289</v>
      </c>
      <c r="E110" s="86" t="s">
        <v>41</v>
      </c>
      <c r="F110" s="87">
        <v>1</v>
      </c>
      <c r="G110" s="68">
        <v>0</v>
      </c>
      <c r="H110" s="25">
        <f t="shared" si="1"/>
        <v>0</v>
      </c>
    </row>
    <row r="111" customHeight="1" spans="1:1024 1025:16349">
      <c r="B111" s="26"/>
      <c r="C111" s="55"/>
      <c r="D111" s="55"/>
      <c r="E111" s="29"/>
      <c r="F111" s="93"/>
      <c r="G111" s="68">
        <v>0</v>
      </c>
      <c r="H111" s="25">
        <f t="shared" si="1"/>
        <v>0</v>
      </c>
    </row>
    <row r="112" customHeight="1" spans="1:1024 1025:16349">
      <c r="B112" s="26"/>
      <c r="C112" s="27" t="s">
        <v>263</v>
      </c>
      <c r="D112" s="28" t="s">
        <v>264</v>
      </c>
      <c r="E112" s="29"/>
      <c r="F112" s="93"/>
      <c r="G112" s="68">
        <v>0</v>
      </c>
      <c r="H112" s="25">
        <f t="shared" si="1"/>
        <v>0</v>
      </c>
    </row>
    <row r="113" customHeight="1" spans="1:1024 1025:16296">
      <c r="A113" s="8">
        <f ca="1" t="shared" si="3"/>
        <v>12</v>
      </c>
      <c r="B113" s="94" t="s">
        <v>290</v>
      </c>
      <c r="C113" s="95" t="s">
        <v>291</v>
      </c>
      <c r="D113" s="96" t="s">
        <v>292</v>
      </c>
      <c r="E113" s="94" t="s">
        <v>41</v>
      </c>
      <c r="F113" s="97">
        <v>1</v>
      </c>
      <c r="G113" s="68">
        <v>0</v>
      </c>
      <c r="H113" s="25">
        <f t="shared" si="1"/>
        <v>0</v>
      </c>
    </row>
    <row r="114" customHeight="1" spans="1:1024 1025:16296">
      <c r="A114" s="8">
        <f ca="1" t="shared" si="3"/>
        <v>13</v>
      </c>
      <c r="B114" s="94" t="s">
        <v>290</v>
      </c>
      <c r="C114" s="95" t="s">
        <v>293</v>
      </c>
      <c r="D114" s="96" t="s">
        <v>294</v>
      </c>
      <c r="E114" s="94" t="s">
        <v>41</v>
      </c>
      <c r="F114" s="97">
        <v>1</v>
      </c>
      <c r="G114" s="68">
        <v>0</v>
      </c>
      <c r="H114" s="25">
        <f t="shared" si="1"/>
        <v>0</v>
      </c>
    </row>
    <row r="115" customHeight="1" spans="1:1024 1025:16296">
      <c r="B115" s="29"/>
      <c r="C115" s="55"/>
      <c r="D115" s="55"/>
      <c r="E115" s="29"/>
      <c r="F115" s="72"/>
      <c r="G115" s="68">
        <v>0</v>
      </c>
      <c r="H115" s="25">
        <f t="shared" si="1"/>
        <v>0</v>
      </c>
    </row>
    <row r="116" customHeight="1" spans="1:1024 1025:16296">
      <c r="B116" s="74"/>
      <c r="C116" s="75" t="s">
        <v>194</v>
      </c>
      <c r="D116" s="76" t="s">
        <v>195</v>
      </c>
      <c r="E116" s="77"/>
      <c r="F116" s="74"/>
      <c r="G116" s="78">
        <v>0</v>
      </c>
      <c r="H116" s="79">
        <f>SUM(H98:H115)</f>
        <v>0</v>
      </c>
    </row>
    <row r="117" customHeight="1" spans="1:1024 1025:16296">
      <c r="B117" s="54"/>
      <c r="C117" s="55"/>
      <c r="D117" s="55"/>
      <c r="E117" s="54"/>
      <c r="F117" s="98"/>
      <c r="G117" s="68">
        <v>0</v>
      </c>
      <c r="H117" s="25">
        <f t="shared" si="1"/>
        <v>0</v>
      </c>
    </row>
    <row r="118" s="5" customFormat="1" customHeight="1" spans="1:1024 1025:16296">
      <c r="A118" s="99"/>
      <c r="B118" s="58" t="s">
        <v>295</v>
      </c>
      <c r="C118" s="59" t="s">
        <v>296</v>
      </c>
      <c r="D118" s="60" t="s">
        <v>297</v>
      </c>
      <c r="E118" s="61"/>
      <c r="F118" s="100"/>
      <c r="G118" s="68">
        <v>0</v>
      </c>
      <c r="H118" s="25">
        <f t="shared" si="1"/>
        <v>0</v>
      </c>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c r="HE118" s="2"/>
      <c r="HF118" s="2"/>
      <c r="HG118" s="2"/>
      <c r="HH118" s="2"/>
      <c r="HI118" s="2"/>
      <c r="HJ118" s="2"/>
      <c r="HK118" s="2"/>
      <c r="HL118" s="2"/>
      <c r="HM118" s="2"/>
      <c r="HN118" s="2"/>
      <c r="HO118" s="2"/>
      <c r="HP118" s="2"/>
      <c r="HQ118" s="2"/>
      <c r="HR118" s="2"/>
      <c r="HS118" s="2"/>
      <c r="HT118" s="2"/>
      <c r="HU118" s="2"/>
      <c r="HV118" s="2"/>
      <c r="HW118" s="2"/>
      <c r="HX118" s="2"/>
      <c r="HY118" s="2"/>
      <c r="HZ118" s="2"/>
      <c r="IA118" s="2"/>
      <c r="IB118" s="2"/>
      <c r="IC118" s="2"/>
      <c r="ID118" s="2"/>
      <c r="IE118" s="2"/>
      <c r="IF118" s="2"/>
      <c r="IG118" s="2"/>
      <c r="IH118" s="2"/>
      <c r="II118" s="2"/>
      <c r="IJ118" s="2"/>
      <c r="IK118" s="2"/>
      <c r="IL118" s="2"/>
      <c r="IM118" s="2"/>
      <c r="IN118" s="2"/>
      <c r="IO118" s="2"/>
      <c r="IP118" s="2"/>
      <c r="IQ118" s="2"/>
      <c r="IR118" s="2"/>
      <c r="IS118" s="2"/>
      <c r="IT118" s="2"/>
      <c r="IU118" s="2"/>
      <c r="IV118" s="2"/>
      <c r="IW118" s="2"/>
      <c r="IX118" s="2"/>
      <c r="IY118" s="2"/>
      <c r="IZ118" s="2"/>
      <c r="JA118" s="2"/>
      <c r="JB118" s="2"/>
      <c r="JC118" s="2"/>
      <c r="JD118" s="2"/>
      <c r="JE118" s="2"/>
      <c r="JF118" s="2"/>
      <c r="JG118" s="2"/>
      <c r="JH118" s="2"/>
      <c r="JI118" s="2"/>
      <c r="JJ118" s="2"/>
      <c r="JK118" s="2"/>
      <c r="JL118" s="2"/>
      <c r="JM118" s="2"/>
      <c r="JN118" s="2"/>
      <c r="JO118" s="2"/>
      <c r="JP118" s="2"/>
      <c r="JQ118" s="2"/>
      <c r="JR118" s="2"/>
      <c r="JS118" s="2"/>
      <c r="JT118" s="2"/>
      <c r="JU118" s="2"/>
      <c r="JV118" s="2"/>
      <c r="JW118" s="2"/>
      <c r="JX118" s="2"/>
      <c r="JY118" s="2"/>
      <c r="JZ118" s="2"/>
      <c r="KA118" s="2"/>
      <c r="KB118" s="2"/>
      <c r="KC118" s="2"/>
      <c r="KD118" s="2"/>
      <c r="KE118" s="2"/>
      <c r="KF118" s="2"/>
      <c r="KG118" s="2"/>
      <c r="KH118" s="2"/>
      <c r="KI118" s="2"/>
      <c r="KJ118" s="2"/>
      <c r="KK118" s="2"/>
      <c r="KL118" s="2"/>
      <c r="KM118" s="2"/>
      <c r="KN118" s="2"/>
      <c r="KO118" s="2"/>
      <c r="KP118" s="2"/>
      <c r="KQ118" s="2"/>
      <c r="KR118" s="2"/>
      <c r="KS118" s="2"/>
      <c r="KT118" s="2"/>
      <c r="KU118" s="2"/>
      <c r="KV118" s="2"/>
      <c r="KW118" s="2"/>
      <c r="KX118" s="2"/>
      <c r="KY118" s="2"/>
      <c r="KZ118" s="2"/>
      <c r="LA118" s="2"/>
      <c r="LB118" s="2"/>
      <c r="LC118" s="2"/>
      <c r="LD118" s="2"/>
      <c r="LE118" s="2"/>
      <c r="LF118" s="2"/>
      <c r="LG118" s="2"/>
      <c r="LH118" s="2"/>
      <c r="LI118" s="2"/>
      <c r="LJ118" s="2"/>
      <c r="LK118" s="2"/>
      <c r="LL118" s="2"/>
      <c r="LM118" s="2"/>
      <c r="LN118" s="2"/>
      <c r="LO118" s="2"/>
      <c r="LP118" s="2"/>
      <c r="LQ118" s="2"/>
      <c r="LR118" s="2"/>
      <c r="LS118" s="2"/>
      <c r="LT118" s="2"/>
      <c r="LU118" s="2"/>
      <c r="LV118" s="2"/>
      <c r="LW118" s="2"/>
      <c r="LX118" s="2"/>
      <c r="LY118" s="2"/>
      <c r="LZ118" s="2"/>
      <c r="MA118" s="2"/>
      <c r="MB118" s="2"/>
      <c r="MC118" s="2"/>
      <c r="MD118" s="2"/>
      <c r="ME118" s="2"/>
      <c r="MF118" s="2"/>
      <c r="MG118" s="2"/>
      <c r="MH118" s="2"/>
      <c r="MI118" s="2"/>
      <c r="MJ118" s="2"/>
      <c r="MK118" s="2"/>
      <c r="ML118" s="2"/>
      <c r="MM118" s="2"/>
      <c r="MN118" s="2"/>
      <c r="MO118" s="2"/>
      <c r="MP118" s="2"/>
      <c r="MQ118" s="2"/>
      <c r="MR118" s="2"/>
      <c r="MS118" s="2"/>
      <c r="MT118" s="2"/>
      <c r="MU118" s="2"/>
      <c r="MV118" s="2"/>
      <c r="MW118" s="2"/>
      <c r="MX118" s="2"/>
      <c r="MY118" s="2"/>
      <c r="MZ118" s="2"/>
      <c r="NA118" s="2"/>
      <c r="NB118" s="2"/>
      <c r="NC118" s="2"/>
      <c r="ND118" s="2"/>
      <c r="NE118" s="2"/>
      <c r="NF118" s="2"/>
      <c r="NG118" s="2"/>
      <c r="NH118" s="2"/>
      <c r="NI118" s="2"/>
      <c r="NJ118" s="2"/>
      <c r="NK118" s="2"/>
      <c r="NL118" s="2"/>
      <c r="NM118" s="2"/>
      <c r="NN118" s="2"/>
      <c r="NO118" s="2"/>
      <c r="NP118" s="2"/>
      <c r="NQ118" s="2"/>
      <c r="NR118" s="2"/>
      <c r="NS118" s="2"/>
      <c r="NT118" s="2"/>
      <c r="NU118" s="2"/>
      <c r="NV118" s="2"/>
      <c r="NW118" s="2"/>
      <c r="NX118" s="2"/>
      <c r="NY118" s="2"/>
      <c r="NZ118" s="2"/>
      <c r="OA118" s="2"/>
      <c r="OB118" s="2"/>
      <c r="OC118" s="2"/>
      <c r="OD118" s="2"/>
      <c r="OE118" s="2"/>
      <c r="OF118" s="2"/>
      <c r="OG118" s="2"/>
      <c r="OH118" s="2"/>
      <c r="OI118" s="2"/>
      <c r="OJ118" s="2"/>
      <c r="OK118" s="2"/>
      <c r="OL118" s="2"/>
      <c r="OM118" s="2"/>
      <c r="ON118" s="2"/>
      <c r="OO118" s="2"/>
      <c r="OP118" s="2"/>
      <c r="OQ118" s="2"/>
      <c r="OR118" s="2"/>
      <c r="OS118" s="2"/>
      <c r="OT118" s="2"/>
      <c r="OU118" s="2"/>
      <c r="OV118" s="2"/>
      <c r="OW118" s="2"/>
      <c r="OX118" s="2"/>
      <c r="OY118" s="2"/>
      <c r="OZ118" s="2"/>
      <c r="PA118" s="2"/>
      <c r="PB118" s="2"/>
      <c r="PC118" s="2"/>
      <c r="PD118" s="2"/>
      <c r="PE118" s="2"/>
      <c r="PF118" s="2"/>
      <c r="PG118" s="2"/>
      <c r="PH118" s="2"/>
      <c r="PI118" s="2"/>
      <c r="PJ118" s="2"/>
      <c r="PK118" s="2"/>
      <c r="PL118" s="2"/>
      <c r="PM118" s="2"/>
      <c r="PN118" s="2"/>
      <c r="PO118" s="2"/>
      <c r="PP118" s="2"/>
      <c r="PQ118" s="2"/>
      <c r="PR118" s="2"/>
      <c r="PS118" s="2"/>
      <c r="PT118" s="2"/>
      <c r="PU118" s="2"/>
      <c r="PV118" s="2"/>
      <c r="PW118" s="2"/>
      <c r="PX118" s="2"/>
      <c r="PY118" s="2"/>
      <c r="PZ118" s="2"/>
      <c r="QA118" s="2"/>
      <c r="QB118" s="2"/>
      <c r="QC118" s="2"/>
      <c r="QD118" s="2"/>
      <c r="QE118" s="2"/>
      <c r="QF118" s="2"/>
      <c r="QG118" s="2"/>
      <c r="QH118" s="2"/>
      <c r="QI118" s="2"/>
      <c r="QJ118" s="2"/>
      <c r="QK118" s="2"/>
      <c r="QL118" s="2"/>
      <c r="QM118" s="2"/>
      <c r="QN118" s="2"/>
      <c r="QO118" s="2"/>
      <c r="QP118" s="2"/>
      <c r="QQ118" s="2"/>
      <c r="QR118" s="2"/>
      <c r="QS118" s="2"/>
      <c r="QT118" s="2"/>
      <c r="QU118" s="2"/>
      <c r="QV118" s="2"/>
      <c r="QW118" s="2"/>
      <c r="QX118" s="2"/>
      <c r="QY118" s="2"/>
      <c r="QZ118" s="2"/>
      <c r="RA118" s="2"/>
      <c r="RB118" s="2"/>
      <c r="RC118" s="2"/>
      <c r="RD118" s="2"/>
      <c r="RE118" s="2"/>
      <c r="RF118" s="2"/>
      <c r="RG118" s="2"/>
      <c r="RH118" s="2"/>
      <c r="RI118" s="2"/>
      <c r="RJ118" s="2"/>
      <c r="RK118" s="2"/>
      <c r="RL118" s="2"/>
      <c r="RM118" s="2"/>
      <c r="RN118" s="2"/>
      <c r="RO118" s="2"/>
      <c r="RP118" s="2"/>
      <c r="RQ118" s="2"/>
      <c r="RR118" s="2"/>
      <c r="RS118" s="2"/>
      <c r="RT118" s="2"/>
      <c r="RU118" s="2"/>
      <c r="RV118" s="2"/>
      <c r="RW118" s="2"/>
      <c r="RX118" s="2"/>
      <c r="RY118" s="2"/>
      <c r="RZ118" s="2"/>
      <c r="SA118" s="2"/>
      <c r="SB118" s="2"/>
      <c r="SC118" s="2"/>
      <c r="SD118" s="2"/>
      <c r="SE118" s="2"/>
      <c r="SF118" s="2"/>
      <c r="SG118" s="2"/>
      <c r="SH118" s="2"/>
      <c r="SI118" s="2"/>
      <c r="SJ118" s="2"/>
      <c r="SK118" s="2"/>
      <c r="SL118" s="2"/>
      <c r="SM118" s="2"/>
      <c r="SN118" s="2"/>
      <c r="SO118" s="2"/>
      <c r="SP118" s="2"/>
      <c r="SQ118" s="2"/>
      <c r="SR118" s="2"/>
      <c r="SS118" s="2"/>
      <c r="ST118" s="2"/>
      <c r="SU118" s="2"/>
      <c r="SV118" s="2"/>
      <c r="SW118" s="2"/>
      <c r="SX118" s="2"/>
      <c r="SY118" s="2"/>
      <c r="SZ118" s="2"/>
      <c r="TA118" s="2"/>
      <c r="TB118" s="2"/>
      <c r="TC118" s="2"/>
      <c r="TD118" s="2"/>
      <c r="TE118" s="2"/>
      <c r="TF118" s="2"/>
      <c r="TG118" s="2"/>
      <c r="TH118" s="2"/>
      <c r="TI118" s="2"/>
      <c r="TJ118" s="2"/>
      <c r="TK118" s="2"/>
      <c r="TL118" s="2"/>
      <c r="TM118" s="2"/>
      <c r="TN118" s="2"/>
      <c r="TO118" s="2"/>
      <c r="TP118" s="2"/>
      <c r="TQ118" s="2"/>
      <c r="TR118" s="2"/>
      <c r="TS118" s="2"/>
      <c r="TT118" s="2"/>
      <c r="TU118" s="2"/>
      <c r="TV118" s="2"/>
      <c r="TW118" s="2"/>
      <c r="TX118" s="2"/>
      <c r="TY118" s="2"/>
      <c r="TZ118" s="2"/>
      <c r="UA118" s="2"/>
      <c r="UB118" s="2"/>
      <c r="UC118" s="2"/>
      <c r="UD118" s="2"/>
      <c r="UE118" s="2"/>
      <c r="UF118" s="2"/>
      <c r="UG118" s="2"/>
      <c r="UH118" s="2"/>
      <c r="UI118" s="2"/>
      <c r="UJ118" s="2"/>
      <c r="UK118" s="2"/>
      <c r="UL118" s="2"/>
      <c r="UM118" s="2"/>
      <c r="UN118" s="2"/>
      <c r="UO118" s="2"/>
      <c r="UP118" s="2"/>
      <c r="UQ118" s="2"/>
      <c r="UR118" s="2"/>
      <c r="US118" s="2"/>
      <c r="UT118" s="2"/>
      <c r="UU118" s="2"/>
      <c r="UV118" s="2"/>
      <c r="UW118" s="2"/>
      <c r="UX118" s="2"/>
      <c r="UY118" s="2"/>
      <c r="UZ118" s="2"/>
      <c r="VA118" s="2"/>
      <c r="VB118" s="2"/>
      <c r="VC118" s="2"/>
      <c r="VD118" s="2"/>
      <c r="VE118" s="2"/>
      <c r="VF118" s="2"/>
      <c r="VG118" s="2"/>
      <c r="VH118" s="2"/>
      <c r="VI118" s="2"/>
      <c r="VJ118" s="2"/>
      <c r="VK118" s="2"/>
      <c r="VL118" s="2"/>
      <c r="VM118" s="2"/>
      <c r="VN118" s="2"/>
      <c r="VO118" s="2"/>
      <c r="VP118" s="2"/>
      <c r="VQ118" s="2"/>
      <c r="VR118" s="2"/>
      <c r="VS118" s="2"/>
      <c r="VT118" s="2"/>
      <c r="VU118" s="2"/>
      <c r="VV118" s="2"/>
      <c r="VW118" s="2"/>
      <c r="VX118" s="2"/>
      <c r="VY118" s="2"/>
      <c r="VZ118" s="2"/>
      <c r="WA118" s="2"/>
      <c r="WB118" s="2"/>
      <c r="WC118" s="2"/>
      <c r="WD118" s="2"/>
      <c r="WE118" s="2"/>
      <c r="WF118" s="2"/>
      <c r="WG118" s="2"/>
      <c r="WH118" s="2"/>
      <c r="WI118" s="2"/>
      <c r="WJ118" s="2"/>
      <c r="WK118" s="2"/>
      <c r="WL118" s="2"/>
      <c r="WM118" s="2"/>
      <c r="WN118" s="2"/>
      <c r="WO118" s="2"/>
      <c r="WP118" s="2"/>
      <c r="WQ118" s="2"/>
      <c r="WR118" s="2"/>
      <c r="WS118" s="2"/>
      <c r="WT118" s="2"/>
      <c r="WU118" s="2"/>
      <c r="WV118" s="2"/>
      <c r="WW118" s="2"/>
      <c r="WX118" s="2"/>
      <c r="WY118" s="2"/>
      <c r="WZ118" s="2"/>
      <c r="XA118" s="2"/>
      <c r="XB118" s="2"/>
      <c r="XC118" s="2"/>
      <c r="XD118" s="2"/>
      <c r="XE118" s="2"/>
      <c r="XF118" s="2"/>
      <c r="XG118" s="2"/>
      <c r="XH118" s="2"/>
      <c r="XI118" s="2"/>
      <c r="XJ118" s="2"/>
      <c r="XK118" s="2"/>
      <c r="XL118" s="2"/>
      <c r="XM118" s="2"/>
      <c r="XN118" s="2"/>
      <c r="XO118" s="2"/>
      <c r="XP118" s="2"/>
      <c r="XQ118" s="2"/>
      <c r="XR118" s="2"/>
      <c r="XS118" s="2"/>
      <c r="XT118" s="2"/>
      <c r="XU118" s="2"/>
      <c r="XV118" s="2"/>
      <c r="XW118" s="2"/>
      <c r="XX118" s="2"/>
      <c r="XY118" s="2"/>
      <c r="XZ118" s="2"/>
      <c r="YA118" s="2"/>
      <c r="YB118" s="2"/>
      <c r="YC118" s="2"/>
      <c r="YD118" s="2"/>
      <c r="YE118" s="2"/>
      <c r="YF118" s="2"/>
      <c r="YG118" s="2"/>
      <c r="YH118" s="2"/>
      <c r="YI118" s="2"/>
      <c r="YJ118" s="2"/>
      <c r="YK118" s="2"/>
      <c r="YL118" s="2"/>
      <c r="YM118" s="2"/>
      <c r="YN118" s="2"/>
      <c r="YO118" s="2"/>
      <c r="YP118" s="2"/>
      <c r="YQ118" s="2"/>
      <c r="YR118" s="2"/>
      <c r="YS118" s="2"/>
      <c r="YT118" s="2"/>
      <c r="YU118" s="2"/>
      <c r="YV118" s="2"/>
      <c r="YW118" s="2"/>
      <c r="YX118" s="2"/>
      <c r="YY118" s="2"/>
      <c r="YZ118" s="2"/>
      <c r="ZA118" s="2"/>
      <c r="ZB118" s="2"/>
      <c r="ZC118" s="2"/>
      <c r="ZD118" s="2"/>
      <c r="ZE118" s="2"/>
      <c r="ZF118" s="2"/>
      <c r="ZG118" s="2"/>
      <c r="ZH118" s="2"/>
      <c r="ZI118" s="2"/>
      <c r="ZJ118" s="2"/>
      <c r="ZK118" s="2"/>
      <c r="ZL118" s="2"/>
      <c r="ZM118" s="2"/>
      <c r="ZN118" s="2"/>
      <c r="ZO118" s="2"/>
      <c r="ZP118" s="2"/>
      <c r="ZQ118" s="2"/>
      <c r="ZR118" s="2"/>
      <c r="ZS118" s="2"/>
      <c r="ZT118" s="2"/>
      <c r="ZU118" s="2"/>
      <c r="ZV118" s="2"/>
      <c r="ZW118" s="2"/>
      <c r="ZX118" s="2"/>
      <c r="ZY118" s="2"/>
      <c r="ZZ118" s="2"/>
      <c r="AAA118" s="2"/>
      <c r="AAB118" s="2"/>
      <c r="AAC118" s="2"/>
      <c r="AAD118" s="2"/>
      <c r="AAE118" s="2"/>
      <c r="AAF118" s="2"/>
      <c r="AAG118" s="2"/>
      <c r="AAH118" s="2"/>
      <c r="AAI118" s="2"/>
      <c r="AAJ118" s="2"/>
      <c r="AAK118" s="2"/>
      <c r="AAL118" s="2"/>
      <c r="AAM118" s="2"/>
      <c r="AAN118" s="2"/>
      <c r="AAO118" s="2"/>
      <c r="AAP118" s="2"/>
      <c r="AAQ118" s="2"/>
      <c r="AAR118" s="2"/>
      <c r="AAS118" s="2"/>
      <c r="AAT118" s="2"/>
      <c r="AAU118" s="2"/>
      <c r="AAV118" s="2"/>
      <c r="AAW118" s="2"/>
      <c r="AAX118" s="2"/>
      <c r="AAY118" s="2"/>
      <c r="AAZ118" s="2"/>
      <c r="ABA118" s="2"/>
      <c r="ABB118" s="2"/>
      <c r="ABC118" s="2"/>
      <c r="ABD118" s="2"/>
      <c r="ABE118" s="2"/>
      <c r="ABF118" s="2"/>
      <c r="ABG118" s="2"/>
      <c r="ABH118" s="2"/>
      <c r="ABI118" s="2"/>
      <c r="ABJ118" s="2"/>
      <c r="ABK118" s="2"/>
      <c r="ABL118" s="2"/>
      <c r="ABM118" s="2"/>
      <c r="ABN118" s="2"/>
      <c r="ABO118" s="2"/>
      <c r="ABP118" s="2"/>
      <c r="ABQ118" s="2"/>
      <c r="ABR118" s="2"/>
      <c r="ABS118" s="2"/>
      <c r="ABT118" s="2"/>
      <c r="ABU118" s="2"/>
      <c r="ABV118" s="2"/>
      <c r="ABW118" s="2"/>
      <c r="ABX118" s="2"/>
      <c r="ABY118" s="2"/>
      <c r="ABZ118" s="2"/>
      <c r="ACA118" s="2"/>
      <c r="ACB118" s="2"/>
      <c r="ACC118" s="2"/>
      <c r="ACD118" s="2"/>
      <c r="ACE118" s="2"/>
      <c r="ACF118" s="2"/>
      <c r="ACG118" s="2"/>
      <c r="ACH118" s="2"/>
      <c r="ACI118" s="2"/>
      <c r="ACJ118" s="2"/>
      <c r="ACK118" s="2"/>
      <c r="ACL118" s="2"/>
      <c r="ACM118" s="2"/>
      <c r="ACN118" s="2"/>
      <c r="ACO118" s="2"/>
      <c r="ACP118" s="2"/>
      <c r="ACQ118" s="2"/>
      <c r="ACR118" s="2"/>
      <c r="ACS118" s="2"/>
      <c r="ACT118" s="2"/>
      <c r="ACU118" s="2"/>
      <c r="ACV118" s="2"/>
      <c r="ACW118" s="2"/>
      <c r="ACX118" s="2"/>
      <c r="ACY118" s="2"/>
      <c r="ACZ118" s="2"/>
      <c r="ADA118" s="2"/>
      <c r="ADB118" s="2"/>
      <c r="ADC118" s="2"/>
      <c r="ADD118" s="2"/>
      <c r="ADE118" s="2"/>
      <c r="ADF118" s="2"/>
      <c r="ADG118" s="2"/>
      <c r="ADH118" s="2"/>
      <c r="ADI118" s="2"/>
      <c r="ADJ118" s="2"/>
      <c r="ADK118" s="2"/>
      <c r="ADL118" s="2"/>
      <c r="ADM118" s="2"/>
      <c r="ADN118" s="2"/>
      <c r="ADO118" s="2"/>
      <c r="ADP118" s="2"/>
      <c r="ADQ118" s="2"/>
      <c r="ADR118" s="2"/>
      <c r="ADS118" s="2"/>
      <c r="ADT118" s="2"/>
      <c r="ADU118" s="2"/>
      <c r="ADV118" s="2"/>
      <c r="ADW118" s="2"/>
      <c r="ADX118" s="2"/>
      <c r="ADY118" s="2"/>
      <c r="ADZ118" s="2"/>
      <c r="AEA118" s="2"/>
      <c r="AEB118" s="2"/>
      <c r="AEC118" s="2"/>
      <c r="AED118" s="2"/>
      <c r="AEE118" s="2"/>
      <c r="AEF118" s="2"/>
      <c r="AEG118" s="2"/>
      <c r="AEH118" s="2"/>
      <c r="AEI118" s="2"/>
      <c r="AEJ118" s="2"/>
      <c r="AEK118" s="2"/>
      <c r="AEL118" s="2"/>
      <c r="AEM118" s="2"/>
      <c r="AEN118" s="2"/>
      <c r="AEO118" s="2"/>
      <c r="AEP118" s="2"/>
      <c r="AEQ118" s="2"/>
      <c r="AER118" s="2"/>
      <c r="AES118" s="2"/>
      <c r="AET118" s="2"/>
      <c r="AEU118" s="2"/>
      <c r="AEV118" s="2"/>
      <c r="AEW118" s="2"/>
      <c r="AEX118" s="2"/>
      <c r="AEY118" s="2"/>
      <c r="AEZ118" s="2"/>
      <c r="AFA118" s="2"/>
      <c r="AFB118" s="2"/>
      <c r="AFC118" s="2"/>
      <c r="AFD118" s="2"/>
      <c r="AFE118" s="2"/>
      <c r="AFF118" s="2"/>
      <c r="AFG118" s="2"/>
      <c r="AFH118" s="2"/>
      <c r="AFI118" s="2"/>
      <c r="AFJ118" s="2"/>
      <c r="AFK118" s="2"/>
      <c r="AFL118" s="2"/>
      <c r="AFM118" s="2"/>
      <c r="AFN118" s="2"/>
      <c r="AFO118" s="2"/>
      <c r="AFP118" s="2"/>
      <c r="AFQ118" s="2"/>
      <c r="AFR118" s="2"/>
      <c r="AFS118" s="2"/>
      <c r="AFT118" s="2"/>
      <c r="AFU118" s="2"/>
      <c r="AFV118" s="2"/>
      <c r="AFW118" s="2"/>
      <c r="AFX118" s="2"/>
      <c r="AFY118" s="2"/>
      <c r="AFZ118" s="2"/>
      <c r="AGA118" s="2"/>
      <c r="AGB118" s="2"/>
      <c r="AGC118" s="2"/>
      <c r="AGD118" s="2"/>
      <c r="AGE118" s="2"/>
      <c r="AGF118" s="2"/>
      <c r="AGG118" s="2"/>
      <c r="AGH118" s="2"/>
      <c r="AGI118" s="2"/>
      <c r="AGJ118" s="2"/>
      <c r="AGK118" s="2"/>
      <c r="AGL118" s="2"/>
      <c r="AGM118" s="2"/>
      <c r="AGN118" s="2"/>
      <c r="AGO118" s="2"/>
      <c r="AGP118" s="2"/>
      <c r="AGQ118" s="2"/>
      <c r="AGR118" s="2"/>
      <c r="AGS118" s="2"/>
      <c r="AGT118" s="2"/>
      <c r="AGU118" s="2"/>
      <c r="AGV118" s="2"/>
      <c r="AGW118" s="2"/>
      <c r="AGX118" s="2"/>
      <c r="AGY118" s="2"/>
      <c r="AGZ118" s="2"/>
      <c r="AHA118" s="2"/>
      <c r="AHB118" s="2"/>
      <c r="AHC118" s="2"/>
      <c r="AHD118" s="2"/>
      <c r="AHE118" s="2"/>
      <c r="AHF118" s="2"/>
      <c r="AHG118" s="2"/>
      <c r="AHH118" s="2"/>
      <c r="AHI118" s="2"/>
      <c r="AHJ118" s="2"/>
      <c r="AHK118" s="2"/>
      <c r="AHL118" s="2"/>
      <c r="AHM118" s="2"/>
      <c r="AHN118" s="2"/>
      <c r="AHO118" s="2"/>
      <c r="AHP118" s="2"/>
      <c r="AHQ118" s="2"/>
      <c r="AHR118" s="2"/>
      <c r="AHS118" s="2"/>
      <c r="AHT118" s="2"/>
      <c r="AHU118" s="2"/>
      <c r="AHV118" s="2"/>
      <c r="AHW118" s="2"/>
      <c r="AHX118" s="2"/>
      <c r="AHY118" s="2"/>
      <c r="AHZ118" s="2"/>
      <c r="AIA118" s="2"/>
      <c r="AIB118" s="2"/>
      <c r="AIC118" s="2"/>
      <c r="AID118" s="2"/>
      <c r="AIE118" s="2"/>
      <c r="AIF118" s="2"/>
      <c r="AIG118" s="2"/>
      <c r="AIH118" s="2"/>
      <c r="AII118" s="2"/>
      <c r="AIJ118" s="2"/>
      <c r="AIK118" s="2"/>
      <c r="AIL118" s="2"/>
      <c r="AIM118" s="2"/>
      <c r="AIN118" s="2"/>
      <c r="AIO118" s="2"/>
      <c r="AIP118" s="2"/>
      <c r="AIQ118" s="2"/>
      <c r="AIR118" s="2"/>
      <c r="AIS118" s="2"/>
      <c r="AIT118" s="2"/>
      <c r="AIU118" s="2"/>
      <c r="AIV118" s="2"/>
      <c r="AIW118" s="2"/>
      <c r="AIX118" s="2"/>
      <c r="AIY118" s="2"/>
      <c r="AIZ118" s="2"/>
      <c r="AJA118" s="2"/>
      <c r="AJB118" s="2"/>
      <c r="AJC118" s="2"/>
      <c r="AJD118" s="2"/>
      <c r="AJE118" s="2"/>
      <c r="AJF118" s="2"/>
      <c r="AJG118" s="2"/>
      <c r="AJH118" s="2"/>
      <c r="AJI118" s="2"/>
      <c r="AJJ118" s="2"/>
      <c r="AJK118" s="2"/>
      <c r="AJL118" s="2"/>
      <c r="AJM118" s="2"/>
      <c r="AJN118" s="2"/>
      <c r="AJO118" s="2"/>
      <c r="AJP118" s="2"/>
      <c r="AJQ118" s="2"/>
      <c r="AJR118" s="2"/>
      <c r="AJS118" s="2"/>
      <c r="AJT118" s="2"/>
      <c r="AJU118" s="2"/>
      <c r="AJV118" s="2"/>
      <c r="AJW118" s="2"/>
      <c r="AJX118" s="2"/>
      <c r="AJY118" s="2"/>
      <c r="AJZ118" s="2"/>
      <c r="AKA118" s="2"/>
      <c r="AKB118" s="2"/>
      <c r="AKC118" s="2"/>
      <c r="AKD118" s="2"/>
      <c r="AKE118" s="2"/>
      <c r="AKF118" s="2"/>
      <c r="AKG118" s="2"/>
      <c r="AKH118" s="2"/>
      <c r="AKI118" s="2"/>
      <c r="AKJ118" s="2"/>
      <c r="AKK118" s="2"/>
      <c r="AKL118" s="2"/>
      <c r="AKM118" s="2"/>
      <c r="AKN118" s="2"/>
      <c r="AKO118" s="2"/>
      <c r="AKP118" s="2"/>
      <c r="AKQ118" s="2"/>
      <c r="AKR118" s="2"/>
      <c r="AKS118" s="2"/>
      <c r="AKT118" s="2"/>
      <c r="AKU118" s="2"/>
      <c r="AKV118" s="2"/>
      <c r="AKW118" s="2"/>
      <c r="AKX118" s="2"/>
      <c r="AKY118" s="2"/>
      <c r="AKZ118" s="2"/>
      <c r="ALA118" s="2"/>
      <c r="ALB118" s="2"/>
      <c r="ALC118" s="2"/>
      <c r="ALD118" s="2"/>
      <c r="ALE118" s="2"/>
      <c r="ALF118" s="2"/>
      <c r="ALG118" s="2"/>
      <c r="ALH118" s="2"/>
      <c r="ALI118" s="2"/>
      <c r="ALJ118" s="2"/>
      <c r="ALK118" s="2"/>
      <c r="ALL118" s="2"/>
      <c r="ALM118" s="2"/>
      <c r="ALN118" s="2"/>
      <c r="ALO118" s="2"/>
      <c r="ALP118" s="2"/>
      <c r="ALQ118" s="2"/>
      <c r="ALR118" s="2"/>
      <c r="ALS118" s="2"/>
      <c r="ALT118" s="2"/>
      <c r="ALU118" s="2"/>
      <c r="ALV118" s="2"/>
      <c r="ALW118" s="2"/>
      <c r="ALX118" s="2"/>
      <c r="ALY118" s="2"/>
      <c r="ALZ118" s="2"/>
      <c r="AMA118" s="2"/>
      <c r="AMB118" s="2"/>
      <c r="AMC118" s="2"/>
      <c r="AMD118" s="2"/>
      <c r="AME118" s="2"/>
      <c r="AMF118" s="2"/>
      <c r="AMG118" s="2"/>
      <c r="AMH118" s="2"/>
      <c r="AMI118" s="2"/>
      <c r="AMJ118" s="2"/>
      <c r="AMK118" s="2"/>
      <c r="AML118" s="2"/>
      <c r="AMM118" s="2"/>
      <c r="AMN118" s="2"/>
      <c r="AMO118" s="2"/>
      <c r="AMP118" s="2"/>
      <c r="AMQ118" s="2"/>
      <c r="AMR118" s="2"/>
      <c r="AMS118" s="2"/>
      <c r="AMT118" s="2"/>
      <c r="AMU118" s="2"/>
      <c r="AMV118" s="2"/>
      <c r="AMW118" s="2"/>
      <c r="AMX118" s="2"/>
      <c r="AMY118" s="2"/>
      <c r="AMZ118" s="2"/>
      <c r="ANA118" s="2"/>
      <c r="ANB118" s="2"/>
      <c r="ANC118" s="2"/>
      <c r="AND118" s="2"/>
      <c r="ANE118" s="2"/>
      <c r="ANF118" s="2"/>
      <c r="ANG118" s="2"/>
      <c r="ANH118" s="2"/>
      <c r="ANI118" s="2"/>
      <c r="ANJ118" s="2"/>
      <c r="ANK118" s="2"/>
      <c r="ANL118" s="2"/>
      <c r="ANM118" s="2"/>
      <c r="ANN118" s="2"/>
      <c r="ANO118" s="2"/>
      <c r="ANP118" s="2"/>
      <c r="ANQ118" s="2"/>
      <c r="ANR118" s="2"/>
      <c r="ANS118" s="2"/>
      <c r="ANT118" s="2"/>
      <c r="ANU118" s="2"/>
      <c r="ANV118" s="2"/>
      <c r="ANW118" s="2"/>
      <c r="ANX118" s="2"/>
      <c r="ANY118" s="2"/>
      <c r="ANZ118" s="2"/>
      <c r="AOA118" s="2"/>
      <c r="AOB118" s="2"/>
      <c r="AOC118" s="2"/>
      <c r="AOD118" s="2"/>
      <c r="AOE118" s="2"/>
      <c r="AOF118" s="2"/>
      <c r="AOG118" s="2"/>
      <c r="AOH118" s="2"/>
      <c r="AOI118" s="2"/>
      <c r="AOJ118" s="2"/>
      <c r="AOK118" s="2"/>
      <c r="AOL118" s="2"/>
      <c r="AOM118" s="2"/>
      <c r="AON118" s="2"/>
      <c r="AOO118" s="2"/>
      <c r="AOP118" s="2"/>
      <c r="AOQ118" s="2"/>
      <c r="AOR118" s="2"/>
      <c r="AOS118" s="2"/>
      <c r="AOT118" s="2"/>
      <c r="AOU118" s="2"/>
      <c r="AOV118" s="2"/>
      <c r="AOW118" s="2"/>
      <c r="AOX118" s="2"/>
      <c r="AOY118" s="2"/>
      <c r="AOZ118" s="2"/>
      <c r="APA118" s="2"/>
      <c r="APB118" s="2"/>
      <c r="APC118" s="2"/>
      <c r="APD118" s="2"/>
      <c r="APE118" s="2"/>
      <c r="APF118" s="2"/>
      <c r="APG118" s="2"/>
      <c r="APH118" s="2"/>
      <c r="API118" s="2"/>
      <c r="APJ118" s="2"/>
      <c r="APK118" s="2"/>
      <c r="APL118" s="2"/>
      <c r="APM118" s="2"/>
      <c r="APN118" s="2"/>
      <c r="APO118" s="2"/>
      <c r="APP118" s="2"/>
      <c r="APQ118" s="2"/>
      <c r="APR118" s="2"/>
      <c r="APS118" s="2"/>
      <c r="APT118" s="2"/>
      <c r="APU118" s="2"/>
      <c r="APV118" s="2"/>
      <c r="APW118" s="2"/>
      <c r="APX118" s="2"/>
      <c r="APY118" s="2"/>
      <c r="APZ118" s="2"/>
      <c r="AQA118" s="2"/>
      <c r="AQB118" s="2"/>
      <c r="AQC118" s="2"/>
      <c r="AQD118" s="2"/>
      <c r="AQE118" s="2"/>
      <c r="AQF118" s="2"/>
      <c r="AQG118" s="2"/>
      <c r="AQH118" s="2"/>
      <c r="AQI118" s="2"/>
      <c r="AQJ118" s="2"/>
      <c r="AQK118" s="2"/>
      <c r="AQL118" s="2"/>
      <c r="AQM118" s="2"/>
      <c r="AQN118" s="2"/>
      <c r="AQO118" s="2"/>
      <c r="AQP118" s="2"/>
      <c r="AQQ118" s="2"/>
      <c r="AQR118" s="2"/>
      <c r="AQS118" s="2"/>
      <c r="AQT118" s="2"/>
      <c r="AQU118" s="2"/>
      <c r="AQV118" s="2"/>
      <c r="AQW118" s="2"/>
      <c r="AQX118" s="2"/>
      <c r="AQY118" s="2"/>
      <c r="AQZ118" s="2"/>
      <c r="ARA118" s="2"/>
      <c r="ARB118" s="2"/>
      <c r="ARC118" s="2"/>
      <c r="ARD118" s="2"/>
      <c r="ARE118" s="2"/>
      <c r="ARF118" s="2"/>
      <c r="ARG118" s="2"/>
      <c r="ARH118" s="2"/>
      <c r="ARI118" s="2"/>
      <c r="ARJ118" s="2"/>
      <c r="ARK118" s="2"/>
      <c r="ARL118" s="2"/>
      <c r="ARM118" s="2"/>
      <c r="ARN118" s="2"/>
      <c r="ARO118" s="2"/>
      <c r="ARP118" s="2"/>
      <c r="ARQ118" s="2"/>
      <c r="ARR118" s="2"/>
      <c r="ARS118" s="2"/>
      <c r="ART118" s="2"/>
      <c r="ARU118" s="2"/>
      <c r="ARV118" s="2"/>
      <c r="ARW118" s="2"/>
      <c r="ARX118" s="2"/>
      <c r="ARY118" s="2"/>
      <c r="ARZ118" s="2"/>
      <c r="ASA118" s="2"/>
      <c r="ASB118" s="2"/>
      <c r="ASC118" s="2"/>
      <c r="ASD118" s="2"/>
      <c r="ASE118" s="2"/>
      <c r="ASF118" s="2"/>
      <c r="ASG118" s="2"/>
      <c r="ASH118" s="2"/>
      <c r="ASI118" s="2"/>
      <c r="ASJ118" s="2"/>
      <c r="ASK118" s="2"/>
      <c r="ASL118" s="2"/>
      <c r="ASM118" s="2"/>
      <c r="ASN118" s="2"/>
      <c r="ASO118" s="2"/>
      <c r="ASP118" s="2"/>
      <c r="ASQ118" s="2"/>
      <c r="ASR118" s="2"/>
      <c r="ASS118" s="2"/>
      <c r="AST118" s="2"/>
      <c r="ASU118" s="2"/>
      <c r="ASV118" s="2"/>
      <c r="ASW118" s="2"/>
      <c r="ASX118" s="2"/>
      <c r="ASY118" s="2"/>
      <c r="ASZ118" s="2"/>
      <c r="ATA118" s="2"/>
      <c r="ATB118" s="2"/>
      <c r="ATC118" s="2"/>
      <c r="ATD118" s="2"/>
      <c r="ATE118" s="2"/>
      <c r="ATF118" s="2"/>
      <c r="ATG118" s="2"/>
      <c r="ATH118" s="2"/>
      <c r="ATI118" s="2"/>
      <c r="ATJ118" s="2"/>
      <c r="ATK118" s="2"/>
      <c r="ATL118" s="2"/>
      <c r="ATM118" s="2"/>
      <c r="ATN118" s="2"/>
      <c r="ATO118" s="2"/>
      <c r="ATP118" s="2"/>
      <c r="ATQ118" s="2"/>
      <c r="ATR118" s="2"/>
      <c r="ATS118" s="2"/>
      <c r="ATT118" s="2"/>
      <c r="ATU118" s="2"/>
      <c r="ATV118" s="2"/>
      <c r="ATW118" s="2"/>
      <c r="ATX118" s="2"/>
      <c r="ATY118" s="2"/>
      <c r="ATZ118" s="2"/>
      <c r="AUA118" s="2"/>
      <c r="AUB118" s="2"/>
      <c r="AUC118" s="2"/>
      <c r="AUD118" s="2"/>
      <c r="AUE118" s="2"/>
      <c r="AUF118" s="2"/>
      <c r="AUG118" s="2"/>
      <c r="AUH118" s="2"/>
      <c r="AUI118" s="2"/>
      <c r="AUJ118" s="2"/>
      <c r="AUK118" s="2"/>
      <c r="AUL118" s="2"/>
      <c r="AUM118" s="2"/>
      <c r="AUN118" s="2"/>
      <c r="AUO118" s="2"/>
      <c r="AUP118" s="2"/>
      <c r="AUQ118" s="2"/>
      <c r="AUR118" s="2"/>
      <c r="AUS118" s="2"/>
      <c r="AUT118" s="2"/>
      <c r="AUU118" s="2"/>
      <c r="AUV118" s="2"/>
      <c r="AUW118" s="2"/>
      <c r="AUX118" s="2"/>
      <c r="AUY118" s="2"/>
      <c r="AUZ118" s="2"/>
      <c r="AVA118" s="2"/>
      <c r="AVB118" s="2"/>
      <c r="AVC118" s="2"/>
      <c r="AVD118" s="2"/>
      <c r="AVE118" s="2"/>
      <c r="AVF118" s="2"/>
      <c r="AVG118" s="2"/>
      <c r="AVH118" s="2"/>
      <c r="AVI118" s="2"/>
      <c r="AVJ118" s="2"/>
      <c r="AVK118" s="2"/>
      <c r="AVL118" s="2"/>
      <c r="AVM118" s="2"/>
      <c r="AVN118" s="2"/>
      <c r="AVO118" s="2"/>
      <c r="AVP118" s="2"/>
      <c r="AVQ118" s="2"/>
      <c r="AVR118" s="2"/>
      <c r="AVS118" s="2"/>
      <c r="AVT118" s="2"/>
      <c r="AVU118" s="2"/>
      <c r="AVV118" s="2"/>
      <c r="AVW118" s="2"/>
      <c r="AVX118" s="2"/>
      <c r="AVY118" s="2"/>
      <c r="AVZ118" s="2"/>
      <c r="AWA118" s="2"/>
      <c r="AWB118" s="2"/>
      <c r="AWC118" s="2"/>
      <c r="AWD118" s="2"/>
      <c r="AWE118" s="2"/>
      <c r="AWF118" s="2"/>
      <c r="AWG118" s="2"/>
      <c r="AWH118" s="2"/>
      <c r="AWI118" s="2"/>
      <c r="AWJ118" s="2"/>
      <c r="AWK118" s="2"/>
      <c r="AWL118" s="2"/>
      <c r="AWM118" s="2"/>
      <c r="AWN118" s="2"/>
      <c r="AWO118" s="2"/>
      <c r="AWP118" s="2"/>
      <c r="AWQ118" s="2"/>
      <c r="AWR118" s="2"/>
      <c r="AWS118" s="2"/>
      <c r="AWT118" s="2"/>
      <c r="AWU118" s="2"/>
      <c r="AWV118" s="2"/>
      <c r="AWW118" s="2"/>
      <c r="AWX118" s="2"/>
      <c r="AWY118" s="2"/>
      <c r="AWZ118" s="2"/>
      <c r="AXA118" s="2"/>
      <c r="AXB118" s="2"/>
      <c r="AXC118" s="2"/>
      <c r="AXD118" s="2"/>
      <c r="AXE118" s="2"/>
      <c r="AXF118" s="2"/>
      <c r="AXG118" s="2"/>
      <c r="AXH118" s="2"/>
      <c r="AXI118" s="2"/>
      <c r="AXJ118" s="2"/>
      <c r="AXK118" s="2"/>
      <c r="AXL118" s="2"/>
      <c r="AXM118" s="2"/>
      <c r="AXN118" s="2"/>
      <c r="AXO118" s="2"/>
      <c r="AXP118" s="2"/>
      <c r="AXQ118" s="2"/>
      <c r="AXR118" s="2"/>
      <c r="AXS118" s="2"/>
      <c r="AXT118" s="2"/>
      <c r="AXU118" s="2"/>
      <c r="AXV118" s="2"/>
      <c r="AXW118" s="2"/>
      <c r="AXX118" s="2"/>
      <c r="AXY118" s="2"/>
      <c r="AXZ118" s="2"/>
      <c r="AYA118" s="2"/>
      <c r="AYB118" s="2"/>
      <c r="AYC118" s="2"/>
      <c r="AYD118" s="2"/>
      <c r="AYE118" s="2"/>
      <c r="AYF118" s="2"/>
      <c r="AYG118" s="2"/>
      <c r="AYH118" s="2"/>
      <c r="AYI118" s="2"/>
      <c r="AYJ118" s="2"/>
      <c r="AYK118" s="2"/>
      <c r="AYL118" s="2"/>
      <c r="AYM118" s="2"/>
      <c r="AYN118" s="2"/>
      <c r="AYO118" s="2"/>
      <c r="AYP118" s="2"/>
      <c r="AYQ118" s="2"/>
      <c r="AYR118" s="2"/>
      <c r="AYS118" s="2"/>
      <c r="AYT118" s="2"/>
      <c r="AYU118" s="2"/>
      <c r="AYV118" s="2"/>
      <c r="AYW118" s="2"/>
      <c r="AYX118" s="2"/>
      <c r="AYY118" s="2"/>
      <c r="AYZ118" s="2"/>
      <c r="AZA118" s="2"/>
      <c r="AZB118" s="2"/>
      <c r="AZC118" s="2"/>
      <c r="AZD118" s="2"/>
      <c r="AZE118" s="2"/>
      <c r="AZF118" s="2"/>
      <c r="AZG118" s="2"/>
      <c r="AZH118" s="2"/>
      <c r="AZI118" s="2"/>
      <c r="AZJ118" s="2"/>
      <c r="AZK118" s="2"/>
      <c r="AZL118" s="2"/>
      <c r="AZM118" s="2"/>
      <c r="AZN118" s="2"/>
      <c r="AZO118" s="2"/>
      <c r="AZP118" s="2"/>
      <c r="AZQ118" s="2"/>
      <c r="AZR118" s="2"/>
      <c r="AZS118" s="2"/>
      <c r="AZT118" s="2"/>
      <c r="AZU118" s="2"/>
      <c r="AZV118" s="2"/>
      <c r="AZW118" s="2"/>
      <c r="AZX118" s="2"/>
      <c r="AZY118" s="2"/>
      <c r="AZZ118" s="2"/>
      <c r="BAA118" s="2"/>
      <c r="BAB118" s="2"/>
      <c r="BAC118" s="2"/>
      <c r="BAD118" s="2"/>
      <c r="BAE118" s="2"/>
      <c r="BAF118" s="2"/>
      <c r="BAG118" s="2"/>
      <c r="BAH118" s="2"/>
      <c r="BAI118" s="2"/>
      <c r="BAJ118" s="2"/>
      <c r="BAK118" s="2"/>
      <c r="BAL118" s="2"/>
      <c r="BAM118" s="2"/>
      <c r="BAN118" s="2"/>
      <c r="BAO118" s="2"/>
      <c r="BAP118" s="2"/>
      <c r="BAQ118" s="2"/>
      <c r="BAR118" s="2"/>
      <c r="BAS118" s="2"/>
      <c r="BAT118" s="2"/>
      <c r="BAU118" s="2"/>
      <c r="BAV118" s="2"/>
      <c r="BAW118" s="2"/>
      <c r="BAX118" s="2"/>
      <c r="BAY118" s="2"/>
      <c r="BAZ118" s="2"/>
      <c r="BBA118" s="2"/>
      <c r="BBB118" s="2"/>
      <c r="BBC118" s="2"/>
      <c r="BBD118" s="2"/>
      <c r="BBE118" s="2"/>
      <c r="BBF118" s="2"/>
      <c r="BBG118" s="2"/>
      <c r="BBH118" s="2"/>
      <c r="BBI118" s="2"/>
      <c r="BBJ118" s="2"/>
      <c r="BBK118" s="2"/>
      <c r="BBL118" s="2"/>
      <c r="BBM118" s="2"/>
      <c r="BBN118" s="2"/>
      <c r="BBO118" s="2"/>
      <c r="BBP118" s="2"/>
      <c r="BBQ118" s="2"/>
      <c r="BBR118" s="2"/>
      <c r="BBS118" s="2"/>
      <c r="BBT118" s="2"/>
      <c r="BBU118" s="2"/>
      <c r="BBV118" s="2"/>
      <c r="BBW118" s="2"/>
      <c r="BBX118" s="2"/>
      <c r="BBY118" s="2"/>
      <c r="BBZ118" s="2"/>
      <c r="BCA118" s="2"/>
      <c r="BCB118" s="2"/>
      <c r="BCC118" s="2"/>
      <c r="BCD118" s="2"/>
      <c r="BCE118" s="2"/>
      <c r="BCF118" s="2"/>
      <c r="BCG118" s="2"/>
      <c r="BCH118" s="2"/>
      <c r="BCI118" s="2"/>
      <c r="BCJ118" s="2"/>
      <c r="BCK118" s="2"/>
      <c r="BCL118" s="2"/>
      <c r="BCM118" s="2"/>
      <c r="BCN118" s="2"/>
      <c r="BCO118" s="2"/>
      <c r="BCP118" s="2"/>
      <c r="BCQ118" s="2"/>
      <c r="BCR118" s="2"/>
      <c r="BCS118" s="2"/>
      <c r="BCT118" s="2"/>
      <c r="BCU118" s="2"/>
      <c r="BCV118" s="2"/>
      <c r="BCW118" s="2"/>
      <c r="BCX118" s="2"/>
      <c r="BCY118" s="2"/>
      <c r="BCZ118" s="2"/>
      <c r="BDA118" s="2"/>
      <c r="BDB118" s="2"/>
      <c r="BDC118" s="2"/>
      <c r="BDD118" s="2"/>
      <c r="BDE118" s="2"/>
      <c r="BDF118" s="2"/>
      <c r="BDG118" s="2"/>
      <c r="BDH118" s="2"/>
      <c r="BDI118" s="2"/>
      <c r="BDJ118" s="2"/>
      <c r="BDK118" s="2"/>
      <c r="BDL118" s="2"/>
      <c r="BDM118" s="2"/>
      <c r="BDN118" s="2"/>
      <c r="BDO118" s="2"/>
      <c r="BDP118" s="2"/>
      <c r="BDQ118" s="2"/>
      <c r="BDR118" s="2"/>
      <c r="BDS118" s="2"/>
      <c r="BDT118" s="2"/>
      <c r="BDU118" s="2"/>
      <c r="BDV118" s="2"/>
      <c r="BDW118" s="2"/>
      <c r="BDX118" s="2"/>
      <c r="BDY118" s="2"/>
      <c r="BDZ118" s="2"/>
      <c r="BEA118" s="2"/>
      <c r="BEB118" s="2"/>
      <c r="BEC118" s="2"/>
      <c r="BED118" s="2"/>
      <c r="BEE118" s="2"/>
      <c r="BEF118" s="2"/>
      <c r="BEG118" s="2"/>
      <c r="BEH118" s="2"/>
      <c r="BEI118" s="2"/>
      <c r="BEJ118" s="2"/>
      <c r="BEK118" s="2"/>
      <c r="BEL118" s="2"/>
      <c r="BEM118" s="2"/>
      <c r="BEN118" s="2"/>
      <c r="BEO118" s="2"/>
      <c r="BEP118" s="2"/>
      <c r="BEQ118" s="2"/>
      <c r="BER118" s="2"/>
      <c r="BES118" s="2"/>
      <c r="BET118" s="2"/>
      <c r="BEU118" s="2"/>
      <c r="BEV118" s="2"/>
      <c r="BEW118" s="2"/>
      <c r="BEX118" s="2"/>
      <c r="BEY118" s="2"/>
      <c r="BEZ118" s="2"/>
      <c r="BFA118" s="2"/>
      <c r="BFB118" s="2"/>
      <c r="BFC118" s="2"/>
      <c r="BFD118" s="2"/>
      <c r="BFE118" s="2"/>
      <c r="BFF118" s="2"/>
      <c r="BFG118" s="2"/>
      <c r="BFH118" s="2"/>
      <c r="BFI118" s="2"/>
      <c r="BFJ118" s="2"/>
      <c r="BFK118" s="2"/>
      <c r="BFL118" s="2"/>
      <c r="BFM118" s="2"/>
      <c r="BFN118" s="2"/>
      <c r="BFO118" s="2"/>
      <c r="BFP118" s="2"/>
      <c r="BFQ118" s="2"/>
      <c r="BFR118" s="2"/>
      <c r="BFS118" s="2"/>
      <c r="BFT118" s="2"/>
      <c r="BFU118" s="2"/>
      <c r="BFV118" s="2"/>
      <c r="BFW118" s="2"/>
      <c r="BFX118" s="2"/>
      <c r="BFY118" s="2"/>
      <c r="BFZ118" s="2"/>
      <c r="BGA118" s="2"/>
      <c r="BGB118" s="2"/>
      <c r="BGC118" s="2"/>
      <c r="BGD118" s="2"/>
      <c r="BGE118" s="2"/>
      <c r="BGF118" s="2"/>
      <c r="BGG118" s="2"/>
      <c r="BGH118" s="2"/>
      <c r="BGI118" s="2"/>
      <c r="BGJ118" s="2"/>
      <c r="BGK118" s="2"/>
      <c r="BGL118" s="2"/>
      <c r="BGM118" s="2"/>
      <c r="BGN118" s="2"/>
      <c r="BGO118" s="2"/>
      <c r="BGP118" s="2"/>
      <c r="BGQ118" s="2"/>
      <c r="BGR118" s="2"/>
      <c r="BGS118" s="2"/>
      <c r="BGT118" s="2"/>
      <c r="BGU118" s="2"/>
      <c r="BGV118" s="2"/>
      <c r="BGW118" s="2"/>
      <c r="BGX118" s="2"/>
      <c r="BGY118" s="2"/>
      <c r="BGZ118" s="2"/>
      <c r="BHA118" s="2"/>
      <c r="BHB118" s="2"/>
      <c r="BHC118" s="2"/>
      <c r="BHD118" s="2"/>
      <c r="BHE118" s="2"/>
      <c r="BHF118" s="2"/>
      <c r="BHG118" s="2"/>
      <c r="BHH118" s="2"/>
      <c r="BHI118" s="2"/>
      <c r="BHJ118" s="2"/>
      <c r="BHK118" s="2"/>
      <c r="BHL118" s="2"/>
      <c r="BHM118" s="2"/>
      <c r="BHN118" s="2"/>
      <c r="BHO118" s="2"/>
      <c r="BHP118" s="2"/>
      <c r="BHQ118" s="2"/>
      <c r="BHR118" s="2"/>
      <c r="BHS118" s="2"/>
      <c r="BHT118" s="2"/>
      <c r="BHU118" s="2"/>
      <c r="BHV118" s="2"/>
      <c r="BHW118" s="2"/>
      <c r="BHX118" s="2"/>
      <c r="BHY118" s="2"/>
      <c r="BHZ118" s="2"/>
      <c r="BIA118" s="2"/>
      <c r="BIB118" s="2"/>
      <c r="BIC118" s="2"/>
      <c r="BID118" s="2"/>
      <c r="BIE118" s="2"/>
      <c r="BIF118" s="2"/>
      <c r="BIG118" s="2"/>
      <c r="BIH118" s="2"/>
      <c r="BII118" s="2"/>
      <c r="BIJ118" s="2"/>
      <c r="BIK118" s="2"/>
      <c r="BIL118" s="2"/>
      <c r="BIM118" s="2"/>
      <c r="BIN118" s="2"/>
      <c r="BIO118" s="2"/>
      <c r="BIP118" s="2"/>
      <c r="BIQ118" s="2"/>
      <c r="BIR118" s="2"/>
      <c r="BIS118" s="2"/>
      <c r="BIT118" s="2"/>
      <c r="BIU118" s="2"/>
      <c r="BIV118" s="2"/>
      <c r="BIW118" s="2"/>
      <c r="BIX118" s="2"/>
      <c r="BIY118" s="2"/>
      <c r="BIZ118" s="2"/>
      <c r="BJA118" s="2"/>
      <c r="BJB118" s="2"/>
      <c r="BJC118" s="2"/>
      <c r="BJD118" s="2"/>
      <c r="BJE118" s="2"/>
      <c r="BJF118" s="2"/>
      <c r="BJG118" s="2"/>
      <c r="BJH118" s="2"/>
      <c r="BJI118" s="2"/>
      <c r="BJJ118" s="2"/>
      <c r="BJK118" s="2"/>
      <c r="BJL118" s="2"/>
      <c r="BJM118" s="2"/>
      <c r="BJN118" s="2"/>
      <c r="BJO118" s="2"/>
      <c r="BJP118" s="2"/>
      <c r="BJQ118" s="2"/>
      <c r="BJR118" s="2"/>
      <c r="BJS118" s="2"/>
      <c r="BJT118" s="2"/>
      <c r="BJU118" s="2"/>
      <c r="BJV118" s="2"/>
      <c r="BJW118" s="2"/>
      <c r="BJX118" s="2"/>
      <c r="BJY118" s="2"/>
      <c r="BJZ118" s="2"/>
      <c r="BKA118" s="2"/>
      <c r="BKB118" s="2"/>
      <c r="BKC118" s="2"/>
      <c r="BKD118" s="2"/>
      <c r="BKE118" s="2"/>
      <c r="BKF118" s="2"/>
      <c r="BKG118" s="2"/>
      <c r="BKH118" s="2"/>
      <c r="BKI118" s="2"/>
      <c r="BKJ118" s="2"/>
      <c r="BKK118" s="2"/>
      <c r="BKL118" s="2"/>
      <c r="BKM118" s="2"/>
      <c r="BKN118" s="2"/>
      <c r="BKO118" s="2"/>
      <c r="BKP118" s="2"/>
      <c r="BKQ118" s="2"/>
      <c r="BKR118" s="2"/>
      <c r="BKS118" s="2"/>
      <c r="BKT118" s="2"/>
      <c r="BKU118" s="2"/>
      <c r="BKV118" s="2"/>
      <c r="BKW118" s="2"/>
      <c r="BKX118" s="2"/>
      <c r="BKY118" s="2"/>
      <c r="BKZ118" s="2"/>
      <c r="BLA118" s="2"/>
      <c r="BLB118" s="2"/>
      <c r="BLC118" s="2"/>
      <c r="BLD118" s="2"/>
      <c r="BLE118" s="2"/>
      <c r="BLF118" s="2"/>
      <c r="BLG118" s="2"/>
      <c r="BLH118" s="2"/>
      <c r="BLI118" s="2"/>
      <c r="BLJ118" s="2"/>
      <c r="BLK118" s="2"/>
      <c r="BLL118" s="2"/>
      <c r="BLM118" s="2"/>
      <c r="BLN118" s="2"/>
      <c r="BLO118" s="2"/>
      <c r="BLP118" s="2"/>
      <c r="BLQ118" s="2"/>
      <c r="BLR118" s="2"/>
      <c r="BLS118" s="2"/>
      <c r="BLT118" s="2"/>
      <c r="BLU118" s="2"/>
      <c r="BLV118" s="2"/>
      <c r="BLW118" s="2"/>
      <c r="BLX118" s="2"/>
      <c r="BLY118" s="2"/>
      <c r="BLZ118" s="2"/>
      <c r="BMA118" s="2"/>
      <c r="BMB118" s="2"/>
      <c r="BMC118" s="2"/>
      <c r="BMD118" s="2"/>
      <c r="BME118" s="2"/>
      <c r="BMF118" s="2"/>
      <c r="BMG118" s="2"/>
      <c r="BMH118" s="2"/>
      <c r="BMI118" s="2"/>
      <c r="BMJ118" s="2"/>
      <c r="BMK118" s="2"/>
      <c r="BML118" s="2"/>
      <c r="BMM118" s="2"/>
      <c r="BMN118" s="2"/>
      <c r="BMO118" s="2"/>
      <c r="BMP118" s="2"/>
      <c r="BMQ118" s="2"/>
      <c r="BMR118" s="2"/>
      <c r="BMS118" s="2"/>
      <c r="BMT118" s="2"/>
      <c r="BMU118" s="2"/>
      <c r="BMV118" s="2"/>
      <c r="BMW118" s="2"/>
      <c r="BMX118" s="2"/>
      <c r="BMY118" s="2"/>
      <c r="BMZ118" s="2"/>
      <c r="BNA118" s="2"/>
      <c r="BNB118" s="2"/>
      <c r="BNC118" s="2"/>
      <c r="BND118" s="2"/>
      <c r="BNE118" s="2"/>
      <c r="BNF118" s="2"/>
      <c r="BNG118" s="2"/>
      <c r="BNH118" s="2"/>
      <c r="BNI118" s="2"/>
      <c r="BNJ118" s="2"/>
      <c r="BNK118" s="2"/>
      <c r="BNL118" s="2"/>
      <c r="BNM118" s="2"/>
      <c r="BNN118" s="2"/>
      <c r="BNO118" s="2"/>
      <c r="BNP118" s="2"/>
      <c r="BNQ118" s="2"/>
      <c r="BNR118" s="2"/>
      <c r="BNS118" s="2"/>
      <c r="BNT118" s="2"/>
      <c r="BNU118" s="2"/>
      <c r="BNV118" s="2"/>
      <c r="BNW118" s="2"/>
      <c r="BNX118" s="2"/>
      <c r="BNY118" s="2"/>
      <c r="BNZ118" s="2"/>
      <c r="BOA118" s="2"/>
      <c r="BOB118" s="2"/>
      <c r="BOC118" s="2"/>
      <c r="BOD118" s="2"/>
      <c r="BOE118" s="2"/>
      <c r="BOF118" s="2"/>
      <c r="BOG118" s="2"/>
      <c r="BOH118" s="2"/>
      <c r="BOI118" s="2"/>
      <c r="BOJ118" s="2"/>
      <c r="BOK118" s="2"/>
      <c r="BOL118" s="2"/>
      <c r="BOM118" s="2"/>
      <c r="BON118" s="2"/>
      <c r="BOO118" s="2"/>
      <c r="BOP118" s="2"/>
      <c r="BOQ118" s="2"/>
      <c r="BOR118" s="2"/>
      <c r="BOS118" s="2"/>
      <c r="BOT118" s="2"/>
      <c r="BOU118" s="2"/>
      <c r="BOV118" s="2"/>
      <c r="BOW118" s="2"/>
      <c r="BOX118" s="2"/>
      <c r="BOY118" s="2"/>
      <c r="BOZ118" s="2"/>
      <c r="BPA118" s="2"/>
      <c r="BPB118" s="2"/>
      <c r="BPC118" s="2"/>
      <c r="BPD118" s="2"/>
      <c r="BPE118" s="2"/>
      <c r="BPF118" s="2"/>
      <c r="BPG118" s="2"/>
      <c r="BPH118" s="2"/>
      <c r="BPI118" s="2"/>
      <c r="BPJ118" s="2"/>
      <c r="BPK118" s="2"/>
      <c r="BPL118" s="2"/>
      <c r="BPM118" s="2"/>
      <c r="BPN118" s="2"/>
      <c r="BPO118" s="2"/>
      <c r="BPP118" s="2"/>
      <c r="BPQ118" s="2"/>
      <c r="BPR118" s="2"/>
      <c r="BPS118" s="2"/>
      <c r="BPT118" s="2"/>
      <c r="BPU118" s="2"/>
      <c r="BPV118" s="2"/>
      <c r="BPW118" s="2"/>
      <c r="BPX118" s="2"/>
      <c r="BPY118" s="2"/>
      <c r="BPZ118" s="2"/>
      <c r="BQA118" s="2"/>
      <c r="BQB118" s="2"/>
      <c r="BQC118" s="2"/>
      <c r="BQD118" s="2"/>
      <c r="BQE118" s="2"/>
      <c r="BQF118" s="2"/>
      <c r="BQG118" s="2"/>
      <c r="BQH118" s="2"/>
      <c r="BQI118" s="2"/>
      <c r="BQJ118" s="2"/>
      <c r="BQK118" s="2"/>
      <c r="BQL118" s="2"/>
      <c r="BQM118" s="2"/>
      <c r="BQN118" s="2"/>
      <c r="BQO118" s="2"/>
      <c r="BQP118" s="2"/>
      <c r="BQQ118" s="2"/>
      <c r="BQR118" s="2"/>
      <c r="BQS118" s="2"/>
      <c r="BQT118" s="2"/>
      <c r="BQU118" s="2"/>
      <c r="BQV118" s="2"/>
      <c r="BQW118" s="2"/>
      <c r="BQX118" s="2"/>
      <c r="BQY118" s="2"/>
      <c r="BQZ118" s="2"/>
      <c r="BRA118" s="2"/>
      <c r="BRB118" s="2"/>
      <c r="BRC118" s="2"/>
      <c r="BRD118" s="2"/>
      <c r="BRE118" s="2"/>
      <c r="BRF118" s="2"/>
      <c r="BRG118" s="2"/>
      <c r="BRH118" s="2"/>
      <c r="BRI118" s="2"/>
      <c r="BRJ118" s="2"/>
      <c r="BRK118" s="2"/>
      <c r="BRL118" s="2"/>
      <c r="BRM118" s="2"/>
      <c r="BRN118" s="2"/>
      <c r="BRO118" s="2"/>
      <c r="BRP118" s="2"/>
      <c r="BRQ118" s="2"/>
      <c r="BRR118" s="2"/>
      <c r="BRS118" s="2"/>
      <c r="BRT118" s="2"/>
      <c r="BRU118" s="2"/>
      <c r="BRV118" s="2"/>
      <c r="BRW118" s="2"/>
      <c r="BRX118" s="2"/>
      <c r="BRY118" s="2"/>
      <c r="BRZ118" s="2"/>
      <c r="BSA118" s="2"/>
      <c r="BSB118" s="2"/>
      <c r="BSC118" s="2"/>
      <c r="BSD118" s="2"/>
      <c r="BSE118" s="2"/>
      <c r="BSF118" s="2"/>
      <c r="BSG118" s="2"/>
      <c r="BSH118" s="2"/>
      <c r="BSI118" s="2"/>
      <c r="BSJ118" s="2"/>
      <c r="BSK118" s="2"/>
      <c r="BSL118" s="2"/>
      <c r="BSM118" s="2"/>
      <c r="BSN118" s="2"/>
      <c r="BSO118" s="2"/>
      <c r="BSP118" s="2"/>
      <c r="BSQ118" s="2"/>
      <c r="BSR118" s="2"/>
      <c r="BSS118" s="2"/>
      <c r="BST118" s="2"/>
      <c r="BSU118" s="2"/>
      <c r="BSV118" s="2"/>
      <c r="BSW118" s="2"/>
      <c r="BSX118" s="2"/>
      <c r="BSY118" s="2"/>
      <c r="BSZ118" s="2"/>
      <c r="BTA118" s="2"/>
      <c r="BTB118" s="2"/>
      <c r="BTC118" s="2"/>
      <c r="BTD118" s="2"/>
      <c r="BTE118" s="2"/>
      <c r="BTF118" s="2"/>
      <c r="BTG118" s="2"/>
      <c r="BTH118" s="2"/>
      <c r="BTI118" s="2"/>
      <c r="BTJ118" s="2"/>
      <c r="BTK118" s="2"/>
      <c r="BTL118" s="2"/>
      <c r="BTM118" s="2"/>
      <c r="BTN118" s="2"/>
      <c r="BTO118" s="2"/>
      <c r="BTP118" s="2"/>
      <c r="BTQ118" s="2"/>
      <c r="BTR118" s="2"/>
      <c r="BTS118" s="2"/>
      <c r="BTT118" s="2"/>
      <c r="BTU118" s="2"/>
      <c r="BTV118" s="2"/>
      <c r="BTW118" s="2"/>
      <c r="BTX118" s="2"/>
      <c r="BTY118" s="2"/>
      <c r="BTZ118" s="2"/>
      <c r="BUA118" s="2"/>
      <c r="BUB118" s="2"/>
      <c r="BUC118" s="2"/>
      <c r="BUD118" s="2"/>
      <c r="BUE118" s="2"/>
      <c r="BUF118" s="2"/>
      <c r="BUG118" s="2"/>
      <c r="BUH118" s="2"/>
      <c r="BUI118" s="2"/>
      <c r="BUJ118" s="2"/>
      <c r="BUK118" s="2"/>
      <c r="BUL118" s="2"/>
      <c r="BUM118" s="2"/>
      <c r="BUN118" s="2"/>
      <c r="BUO118" s="2"/>
      <c r="BUP118" s="2"/>
      <c r="BUQ118" s="2"/>
      <c r="BUR118" s="2"/>
      <c r="BUS118" s="2"/>
      <c r="BUT118" s="2"/>
      <c r="BUU118" s="2"/>
      <c r="BUV118" s="2"/>
      <c r="BUW118" s="2"/>
      <c r="BUX118" s="2"/>
      <c r="BUY118" s="2"/>
      <c r="BUZ118" s="2"/>
      <c r="BVA118" s="2"/>
      <c r="BVB118" s="2"/>
      <c r="BVC118" s="2"/>
      <c r="BVD118" s="2"/>
      <c r="BVE118" s="2"/>
      <c r="BVF118" s="2"/>
      <c r="BVG118" s="2"/>
      <c r="BVH118" s="2"/>
      <c r="BVI118" s="2"/>
      <c r="BVJ118" s="2"/>
      <c r="BVK118" s="2"/>
      <c r="BVL118" s="2"/>
      <c r="BVM118" s="2"/>
      <c r="BVN118" s="2"/>
      <c r="BVO118" s="2"/>
      <c r="BVP118" s="2"/>
      <c r="BVQ118" s="2"/>
      <c r="BVR118" s="2"/>
      <c r="BVS118" s="2"/>
      <c r="BVT118" s="2"/>
      <c r="BVU118" s="2"/>
      <c r="BVV118" s="2"/>
      <c r="BVW118" s="2"/>
      <c r="BVX118" s="2"/>
      <c r="BVY118" s="2"/>
      <c r="BVZ118" s="2"/>
      <c r="BWA118" s="2"/>
      <c r="BWB118" s="2"/>
      <c r="BWC118" s="2"/>
      <c r="BWD118" s="2"/>
      <c r="BWE118" s="2"/>
      <c r="BWF118" s="2"/>
      <c r="BWG118" s="2"/>
      <c r="BWH118" s="2"/>
      <c r="BWI118" s="2"/>
      <c r="BWJ118" s="2"/>
      <c r="BWK118" s="2"/>
      <c r="BWL118" s="2"/>
      <c r="BWM118" s="2"/>
      <c r="BWN118" s="2"/>
      <c r="BWO118" s="2"/>
      <c r="BWP118" s="2"/>
      <c r="BWQ118" s="2"/>
      <c r="BWR118" s="2"/>
      <c r="BWS118" s="2"/>
      <c r="BWT118" s="2"/>
      <c r="BWU118" s="2"/>
      <c r="BWV118" s="2"/>
      <c r="BWW118" s="2"/>
      <c r="BWX118" s="2"/>
      <c r="BWY118" s="2"/>
      <c r="BWZ118" s="2"/>
      <c r="BXA118" s="2"/>
      <c r="BXB118" s="2"/>
      <c r="BXC118" s="2"/>
      <c r="BXD118" s="2"/>
      <c r="BXE118" s="2"/>
      <c r="BXF118" s="2"/>
      <c r="BXG118" s="2"/>
      <c r="BXH118" s="2"/>
      <c r="BXI118" s="2"/>
      <c r="BXJ118" s="2"/>
      <c r="BXK118" s="2"/>
      <c r="BXL118" s="2"/>
      <c r="BXM118" s="2"/>
      <c r="BXN118" s="2"/>
      <c r="BXO118" s="2"/>
      <c r="BXP118" s="2"/>
      <c r="BXQ118" s="2"/>
      <c r="BXR118" s="2"/>
      <c r="BXS118" s="2"/>
      <c r="BXT118" s="2"/>
      <c r="BXU118" s="2"/>
      <c r="BXV118" s="2"/>
      <c r="BXW118" s="2"/>
      <c r="BXX118" s="2"/>
      <c r="BXY118" s="2"/>
      <c r="BXZ118" s="2"/>
      <c r="BYA118" s="2"/>
      <c r="BYB118" s="2"/>
      <c r="BYC118" s="2"/>
      <c r="BYD118" s="2"/>
      <c r="BYE118" s="2"/>
      <c r="BYF118" s="2"/>
      <c r="BYG118" s="2"/>
      <c r="BYH118" s="2"/>
      <c r="BYI118" s="2"/>
      <c r="BYJ118" s="2"/>
      <c r="BYK118" s="2"/>
      <c r="BYL118" s="2"/>
      <c r="BYM118" s="2"/>
      <c r="BYN118" s="2"/>
      <c r="BYO118" s="2"/>
      <c r="BYP118" s="2"/>
      <c r="BYQ118" s="2"/>
      <c r="BYR118" s="2"/>
      <c r="BYS118" s="2"/>
      <c r="BYT118" s="2"/>
      <c r="BYU118" s="2"/>
      <c r="BYV118" s="2"/>
      <c r="BYW118" s="2"/>
      <c r="BYX118" s="2"/>
      <c r="BYY118" s="2"/>
      <c r="BYZ118" s="2"/>
      <c r="BZA118" s="2"/>
      <c r="BZB118" s="2"/>
      <c r="BZC118" s="2"/>
      <c r="BZD118" s="2"/>
      <c r="BZE118" s="2"/>
      <c r="BZF118" s="2"/>
      <c r="BZG118" s="2"/>
      <c r="BZH118" s="2"/>
      <c r="BZI118" s="2"/>
      <c r="BZJ118" s="2"/>
      <c r="BZK118" s="2"/>
      <c r="BZL118" s="2"/>
      <c r="BZM118" s="2"/>
      <c r="BZN118" s="2"/>
      <c r="BZO118" s="2"/>
      <c r="BZP118" s="2"/>
      <c r="BZQ118" s="2"/>
      <c r="BZR118" s="2"/>
      <c r="BZS118" s="2"/>
      <c r="BZT118" s="2"/>
      <c r="BZU118" s="2"/>
      <c r="BZV118" s="2"/>
      <c r="BZW118" s="2"/>
      <c r="BZX118" s="2"/>
      <c r="BZY118" s="2"/>
      <c r="BZZ118" s="2"/>
      <c r="CAA118" s="2"/>
      <c r="CAB118" s="2"/>
      <c r="CAC118" s="2"/>
      <c r="CAD118" s="2"/>
      <c r="CAE118" s="2"/>
      <c r="CAF118" s="2"/>
      <c r="CAG118" s="2"/>
      <c r="CAH118" s="2"/>
      <c r="CAI118" s="2"/>
      <c r="CAJ118" s="2"/>
      <c r="CAK118" s="2"/>
      <c r="CAL118" s="2"/>
      <c r="CAM118" s="2"/>
      <c r="CAN118" s="2"/>
      <c r="CAO118" s="2"/>
      <c r="CAP118" s="2"/>
      <c r="CAQ118" s="2"/>
      <c r="CAR118" s="2"/>
      <c r="CAS118" s="2"/>
      <c r="CAT118" s="2"/>
      <c r="CAU118" s="2"/>
      <c r="CAV118" s="2"/>
      <c r="CAW118" s="2"/>
      <c r="CAX118" s="2"/>
      <c r="CAY118" s="2"/>
      <c r="CAZ118" s="2"/>
      <c r="CBA118" s="2"/>
      <c r="CBB118" s="2"/>
      <c r="CBC118" s="2"/>
      <c r="CBD118" s="2"/>
      <c r="CBE118" s="2"/>
      <c r="CBF118" s="2"/>
      <c r="CBG118" s="2"/>
      <c r="CBH118" s="2"/>
      <c r="CBI118" s="2"/>
      <c r="CBJ118" s="2"/>
      <c r="CBK118" s="2"/>
      <c r="CBL118" s="2"/>
      <c r="CBM118" s="2"/>
      <c r="CBN118" s="2"/>
      <c r="CBO118" s="2"/>
      <c r="CBP118" s="2"/>
      <c r="CBQ118" s="2"/>
      <c r="CBR118" s="2"/>
      <c r="CBS118" s="2"/>
      <c r="CBT118" s="2"/>
      <c r="CBU118" s="2"/>
      <c r="CBV118" s="2"/>
      <c r="CBW118" s="2"/>
      <c r="CBX118" s="2"/>
      <c r="CBY118" s="2"/>
      <c r="CBZ118" s="2"/>
      <c r="CCA118" s="2"/>
      <c r="CCB118" s="2"/>
      <c r="CCC118" s="2"/>
      <c r="CCD118" s="2"/>
      <c r="CCE118" s="2"/>
      <c r="CCF118" s="2"/>
      <c r="CCG118" s="2"/>
      <c r="CCH118" s="2"/>
      <c r="CCI118" s="2"/>
      <c r="CCJ118" s="2"/>
      <c r="CCK118" s="2"/>
      <c r="CCL118" s="2"/>
      <c r="CCM118" s="2"/>
      <c r="CCN118" s="2"/>
      <c r="CCO118" s="2"/>
      <c r="CCP118" s="2"/>
      <c r="CCQ118" s="2"/>
      <c r="CCR118" s="2"/>
      <c r="CCS118" s="2"/>
      <c r="CCT118" s="2"/>
      <c r="CCU118" s="2"/>
      <c r="CCV118" s="2"/>
      <c r="CCW118" s="2"/>
      <c r="CCX118" s="2"/>
      <c r="CCY118" s="2"/>
      <c r="CCZ118" s="2"/>
      <c r="CDA118" s="2"/>
      <c r="CDB118" s="2"/>
      <c r="CDC118" s="2"/>
      <c r="CDD118" s="2"/>
      <c r="CDE118" s="2"/>
      <c r="CDF118" s="2"/>
      <c r="CDG118" s="2"/>
      <c r="CDH118" s="2"/>
      <c r="CDI118" s="2"/>
      <c r="CDJ118" s="2"/>
      <c r="CDK118" s="2"/>
      <c r="CDL118" s="2"/>
      <c r="CDM118" s="2"/>
      <c r="CDN118" s="2"/>
      <c r="CDO118" s="2"/>
      <c r="CDP118" s="2"/>
      <c r="CDQ118" s="2"/>
      <c r="CDR118" s="2"/>
      <c r="CDS118" s="2"/>
      <c r="CDT118" s="2"/>
      <c r="CDU118" s="2"/>
      <c r="CDV118" s="2"/>
      <c r="CDW118" s="2"/>
      <c r="CDX118" s="2"/>
      <c r="CDY118" s="2"/>
      <c r="CDZ118" s="2"/>
      <c r="CEA118" s="2"/>
      <c r="CEB118" s="2"/>
      <c r="CEC118" s="2"/>
      <c r="CED118" s="2"/>
      <c r="CEE118" s="2"/>
      <c r="CEF118" s="2"/>
      <c r="CEG118" s="2"/>
      <c r="CEH118" s="2"/>
      <c r="CEI118" s="2"/>
      <c r="CEJ118" s="2"/>
      <c r="CEK118" s="2"/>
      <c r="CEL118" s="2"/>
      <c r="CEM118" s="2"/>
      <c r="CEN118" s="2"/>
      <c r="CEO118" s="2"/>
      <c r="CEP118" s="2"/>
      <c r="CEQ118" s="2"/>
      <c r="CER118" s="2"/>
      <c r="CES118" s="2"/>
      <c r="CET118" s="2"/>
      <c r="CEU118" s="2"/>
      <c r="CEV118" s="2"/>
      <c r="CEW118" s="2"/>
      <c r="CEX118" s="2"/>
      <c r="CEY118" s="2"/>
      <c r="CEZ118" s="2"/>
      <c r="CFA118" s="2"/>
      <c r="CFB118" s="2"/>
      <c r="CFC118" s="2"/>
      <c r="CFD118" s="2"/>
      <c r="CFE118" s="2"/>
      <c r="CFF118" s="2"/>
      <c r="CFG118" s="2"/>
      <c r="CFH118" s="2"/>
      <c r="CFI118" s="2"/>
      <c r="CFJ118" s="2"/>
      <c r="CFK118" s="2"/>
      <c r="CFL118" s="2"/>
      <c r="CFM118" s="2"/>
      <c r="CFN118" s="2"/>
      <c r="CFO118" s="2"/>
      <c r="CFP118" s="2"/>
      <c r="CFQ118" s="2"/>
      <c r="CFR118" s="2"/>
      <c r="CFS118" s="2"/>
      <c r="CFT118" s="2"/>
      <c r="CFU118" s="2"/>
      <c r="CFV118" s="2"/>
      <c r="CFW118" s="2"/>
      <c r="CFX118" s="2"/>
      <c r="CFY118" s="2"/>
      <c r="CFZ118" s="2"/>
      <c r="CGA118" s="2"/>
      <c r="CGB118" s="2"/>
      <c r="CGC118" s="2"/>
      <c r="CGD118" s="2"/>
      <c r="CGE118" s="2"/>
      <c r="CGF118" s="2"/>
      <c r="CGG118" s="2"/>
      <c r="CGH118" s="2"/>
      <c r="CGI118" s="2"/>
      <c r="CGJ118" s="2"/>
      <c r="CGK118" s="2"/>
      <c r="CGL118" s="2"/>
      <c r="CGM118" s="2"/>
      <c r="CGN118" s="2"/>
      <c r="CGO118" s="2"/>
      <c r="CGP118" s="2"/>
      <c r="CGQ118" s="2"/>
      <c r="CGR118" s="2"/>
      <c r="CGS118" s="2"/>
      <c r="CGT118" s="2"/>
      <c r="CGU118" s="2"/>
      <c r="CGV118" s="2"/>
      <c r="CGW118" s="2"/>
      <c r="CGX118" s="2"/>
      <c r="CGY118" s="2"/>
      <c r="CGZ118" s="2"/>
      <c r="CHA118" s="2"/>
      <c r="CHB118" s="2"/>
      <c r="CHC118" s="2"/>
      <c r="CHD118" s="2"/>
      <c r="CHE118" s="2"/>
      <c r="CHF118" s="2"/>
      <c r="CHG118" s="2"/>
      <c r="CHH118" s="2"/>
      <c r="CHI118" s="2"/>
      <c r="CHJ118" s="2"/>
      <c r="CHK118" s="2"/>
      <c r="CHL118" s="2"/>
      <c r="CHM118" s="2"/>
      <c r="CHN118" s="2"/>
      <c r="CHO118" s="2"/>
      <c r="CHP118" s="2"/>
      <c r="CHQ118" s="2"/>
      <c r="CHR118" s="2"/>
      <c r="CHS118" s="2"/>
      <c r="CHT118" s="2"/>
      <c r="CHU118" s="2"/>
      <c r="CHV118" s="2"/>
      <c r="CHW118" s="2"/>
      <c r="CHX118" s="2"/>
      <c r="CHY118" s="2"/>
      <c r="CHZ118" s="2"/>
      <c r="CIA118" s="2"/>
      <c r="CIB118" s="2"/>
      <c r="CIC118" s="2"/>
      <c r="CID118" s="2"/>
      <c r="CIE118" s="2"/>
      <c r="CIF118" s="2"/>
      <c r="CIG118" s="2"/>
      <c r="CIH118" s="2"/>
      <c r="CII118" s="2"/>
      <c r="CIJ118" s="2"/>
      <c r="CIK118" s="2"/>
      <c r="CIL118" s="2"/>
      <c r="CIM118" s="2"/>
      <c r="CIN118" s="2"/>
      <c r="CIO118" s="2"/>
      <c r="CIP118" s="2"/>
      <c r="CIQ118" s="2"/>
      <c r="CIR118" s="2"/>
      <c r="CIS118" s="2"/>
      <c r="CIT118" s="2"/>
      <c r="CIU118" s="2"/>
      <c r="CIV118" s="2"/>
      <c r="CIW118" s="2"/>
      <c r="CIX118" s="2"/>
      <c r="CIY118" s="2"/>
      <c r="CIZ118" s="2"/>
      <c r="CJA118" s="2"/>
      <c r="CJB118" s="2"/>
      <c r="CJC118" s="2"/>
      <c r="CJD118" s="2"/>
      <c r="CJE118" s="2"/>
      <c r="CJF118" s="2"/>
      <c r="CJG118" s="2"/>
      <c r="CJH118" s="2"/>
      <c r="CJI118" s="2"/>
      <c r="CJJ118" s="2"/>
      <c r="CJK118" s="2"/>
      <c r="CJL118" s="2"/>
      <c r="CJM118" s="2"/>
      <c r="CJN118" s="2"/>
      <c r="CJO118" s="2"/>
      <c r="CJP118" s="2"/>
      <c r="CJQ118" s="2"/>
      <c r="CJR118" s="2"/>
      <c r="CJS118" s="2"/>
      <c r="CJT118" s="2"/>
      <c r="CJU118" s="2"/>
      <c r="CJV118" s="2"/>
      <c r="CJW118" s="2"/>
      <c r="CJX118" s="2"/>
      <c r="CJY118" s="2"/>
      <c r="CJZ118" s="2"/>
      <c r="CKA118" s="2"/>
      <c r="CKB118" s="2"/>
      <c r="CKC118" s="2"/>
      <c r="CKD118" s="2"/>
      <c r="CKE118" s="2"/>
      <c r="CKF118" s="2"/>
      <c r="CKG118" s="2"/>
      <c r="CKH118" s="2"/>
      <c r="CKI118" s="2"/>
      <c r="CKJ118" s="2"/>
      <c r="CKK118" s="2"/>
      <c r="CKL118" s="2"/>
      <c r="CKM118" s="2"/>
      <c r="CKN118" s="2"/>
      <c r="CKO118" s="2"/>
      <c r="CKP118" s="2"/>
      <c r="CKQ118" s="2"/>
      <c r="CKR118" s="2"/>
      <c r="CKS118" s="2"/>
      <c r="CKT118" s="2"/>
      <c r="CKU118" s="2"/>
      <c r="CKV118" s="2"/>
      <c r="CKW118" s="2"/>
      <c r="CKX118" s="2"/>
      <c r="CKY118" s="2"/>
      <c r="CKZ118" s="2"/>
      <c r="CLA118" s="2"/>
      <c r="CLB118" s="2"/>
      <c r="CLC118" s="2"/>
      <c r="CLD118" s="2"/>
      <c r="CLE118" s="2"/>
      <c r="CLF118" s="2"/>
      <c r="CLG118" s="2"/>
      <c r="CLH118" s="2"/>
      <c r="CLI118" s="2"/>
      <c r="CLJ118" s="2"/>
      <c r="CLK118" s="2"/>
      <c r="CLL118" s="2"/>
      <c r="CLM118" s="2"/>
      <c r="CLN118" s="2"/>
      <c r="CLO118" s="2"/>
      <c r="CLP118" s="2"/>
      <c r="CLQ118" s="2"/>
      <c r="CLR118" s="2"/>
      <c r="CLS118" s="2"/>
      <c r="CLT118" s="2"/>
      <c r="CLU118" s="2"/>
      <c r="CLV118" s="2"/>
      <c r="CLW118" s="2"/>
      <c r="CLX118" s="2"/>
      <c r="CLY118" s="2"/>
      <c r="CLZ118" s="2"/>
      <c r="CMA118" s="2"/>
      <c r="CMB118" s="2"/>
      <c r="CMC118" s="2"/>
      <c r="CMD118" s="2"/>
      <c r="CME118" s="2"/>
      <c r="CMF118" s="2"/>
      <c r="CMG118" s="2"/>
      <c r="CMH118" s="2"/>
      <c r="CMI118" s="2"/>
      <c r="CMJ118" s="2"/>
      <c r="CMK118" s="2"/>
      <c r="CML118" s="2"/>
      <c r="CMM118" s="2"/>
      <c r="CMN118" s="2"/>
      <c r="CMO118" s="2"/>
      <c r="CMP118" s="2"/>
      <c r="CMQ118" s="2"/>
      <c r="CMR118" s="2"/>
      <c r="CMS118" s="2"/>
      <c r="CMT118" s="2"/>
      <c r="CMU118" s="2"/>
      <c r="CMV118" s="2"/>
      <c r="CMW118" s="2"/>
      <c r="CMX118" s="2"/>
      <c r="CMY118" s="2"/>
      <c r="CMZ118" s="2"/>
      <c r="CNA118" s="2"/>
      <c r="CNB118" s="2"/>
      <c r="CNC118" s="2"/>
      <c r="CND118" s="2"/>
      <c r="CNE118" s="2"/>
      <c r="CNF118" s="2"/>
      <c r="CNG118" s="2"/>
      <c r="CNH118" s="2"/>
      <c r="CNI118" s="2"/>
      <c r="CNJ118" s="2"/>
      <c r="CNK118" s="2"/>
      <c r="CNL118" s="2"/>
      <c r="CNM118" s="2"/>
      <c r="CNN118" s="2"/>
      <c r="CNO118" s="2"/>
      <c r="CNP118" s="2"/>
      <c r="CNQ118" s="2"/>
      <c r="CNR118" s="2"/>
      <c r="CNS118" s="2"/>
      <c r="CNT118" s="2"/>
      <c r="CNU118" s="2"/>
      <c r="CNV118" s="2"/>
      <c r="CNW118" s="2"/>
      <c r="CNX118" s="2"/>
      <c r="CNY118" s="2"/>
      <c r="CNZ118" s="2"/>
      <c r="COA118" s="2"/>
      <c r="COB118" s="2"/>
      <c r="COC118" s="2"/>
      <c r="COD118" s="2"/>
      <c r="COE118" s="2"/>
      <c r="COF118" s="2"/>
      <c r="COG118" s="2"/>
      <c r="COH118" s="2"/>
      <c r="COI118" s="2"/>
      <c r="COJ118" s="2"/>
      <c r="COK118" s="2"/>
      <c r="COL118" s="2"/>
      <c r="COM118" s="2"/>
      <c r="CON118" s="2"/>
      <c r="COO118" s="2"/>
      <c r="COP118" s="2"/>
      <c r="COQ118" s="2"/>
      <c r="COR118" s="2"/>
      <c r="COS118" s="2"/>
      <c r="COT118" s="2"/>
      <c r="COU118" s="2"/>
      <c r="COV118" s="2"/>
      <c r="COW118" s="2"/>
      <c r="COX118" s="2"/>
      <c r="COY118" s="2"/>
      <c r="COZ118" s="2"/>
      <c r="CPA118" s="2"/>
      <c r="CPB118" s="2"/>
      <c r="CPC118" s="2"/>
      <c r="CPD118" s="2"/>
      <c r="CPE118" s="2"/>
      <c r="CPF118" s="2"/>
      <c r="CPG118" s="2"/>
      <c r="CPH118" s="2"/>
      <c r="CPI118" s="2"/>
      <c r="CPJ118" s="2"/>
      <c r="CPK118" s="2"/>
      <c r="CPL118" s="2"/>
      <c r="CPM118" s="2"/>
      <c r="CPN118" s="2"/>
      <c r="CPO118" s="2"/>
      <c r="CPP118" s="2"/>
      <c r="CPQ118" s="2"/>
      <c r="CPR118" s="2"/>
      <c r="CPS118" s="2"/>
      <c r="CPT118" s="2"/>
      <c r="CPU118" s="2"/>
      <c r="CPV118" s="2"/>
      <c r="CPW118" s="2"/>
      <c r="CPX118" s="2"/>
      <c r="CPY118" s="2"/>
      <c r="CPZ118" s="2"/>
      <c r="CQA118" s="2"/>
      <c r="CQB118" s="2"/>
      <c r="CQC118" s="2"/>
      <c r="CQD118" s="2"/>
      <c r="CQE118" s="2"/>
      <c r="CQF118" s="2"/>
      <c r="CQG118" s="2"/>
      <c r="CQH118" s="2"/>
      <c r="CQI118" s="2"/>
      <c r="CQJ118" s="2"/>
      <c r="CQK118" s="2"/>
      <c r="CQL118" s="2"/>
      <c r="CQM118" s="2"/>
      <c r="CQN118" s="2"/>
      <c r="CQO118" s="2"/>
      <c r="CQP118" s="2"/>
      <c r="CQQ118" s="2"/>
      <c r="CQR118" s="2"/>
      <c r="CQS118" s="2"/>
      <c r="CQT118" s="2"/>
      <c r="CQU118" s="2"/>
      <c r="CQV118" s="2"/>
      <c r="CQW118" s="2"/>
      <c r="CQX118" s="2"/>
      <c r="CQY118" s="2"/>
      <c r="CQZ118" s="2"/>
      <c r="CRA118" s="2"/>
      <c r="CRB118" s="2"/>
      <c r="CRC118" s="2"/>
      <c r="CRD118" s="2"/>
      <c r="CRE118" s="2"/>
      <c r="CRF118" s="2"/>
      <c r="CRG118" s="2"/>
      <c r="CRH118" s="2"/>
      <c r="CRI118" s="2"/>
      <c r="CRJ118" s="2"/>
      <c r="CRK118" s="2"/>
      <c r="CRL118" s="2"/>
      <c r="CRM118" s="2"/>
      <c r="CRN118" s="2"/>
      <c r="CRO118" s="2"/>
      <c r="CRP118" s="2"/>
      <c r="CRQ118" s="2"/>
      <c r="CRR118" s="2"/>
      <c r="CRS118" s="2"/>
      <c r="CRT118" s="2"/>
      <c r="CRU118" s="2"/>
      <c r="CRV118" s="2"/>
      <c r="CRW118" s="2"/>
      <c r="CRX118" s="2"/>
      <c r="CRY118" s="2"/>
      <c r="CRZ118" s="2"/>
      <c r="CSA118" s="2"/>
      <c r="CSB118" s="2"/>
      <c r="CSC118" s="2"/>
      <c r="CSD118" s="2"/>
      <c r="CSE118" s="2"/>
      <c r="CSF118" s="2"/>
      <c r="CSG118" s="2"/>
      <c r="CSH118" s="2"/>
      <c r="CSI118" s="2"/>
      <c r="CSJ118" s="2"/>
      <c r="CSK118" s="2"/>
      <c r="CSL118" s="2"/>
      <c r="CSM118" s="2"/>
      <c r="CSN118" s="2"/>
      <c r="CSO118" s="2"/>
      <c r="CSP118" s="2"/>
      <c r="CSQ118" s="2"/>
      <c r="CSR118" s="2"/>
      <c r="CSS118" s="2"/>
      <c r="CST118" s="2"/>
      <c r="CSU118" s="2"/>
      <c r="CSV118" s="2"/>
      <c r="CSW118" s="2"/>
      <c r="CSX118" s="2"/>
      <c r="CSY118" s="2"/>
      <c r="CSZ118" s="2"/>
      <c r="CTA118" s="2"/>
      <c r="CTB118" s="2"/>
      <c r="CTC118" s="2"/>
      <c r="CTD118" s="2"/>
      <c r="CTE118" s="2"/>
      <c r="CTF118" s="2"/>
      <c r="CTG118" s="2"/>
      <c r="CTH118" s="2"/>
      <c r="CTI118" s="2"/>
      <c r="CTJ118" s="2"/>
      <c r="CTK118" s="2"/>
      <c r="CTL118" s="2"/>
      <c r="CTM118" s="2"/>
      <c r="CTN118" s="2"/>
      <c r="CTO118" s="2"/>
      <c r="CTP118" s="2"/>
      <c r="CTQ118" s="2"/>
      <c r="CTR118" s="2"/>
      <c r="CTS118" s="2"/>
      <c r="CTT118" s="2"/>
      <c r="CTU118" s="2"/>
      <c r="CTV118" s="2"/>
      <c r="CTW118" s="2"/>
      <c r="CTX118" s="2"/>
      <c r="CTY118" s="2"/>
      <c r="CTZ118" s="2"/>
      <c r="CUA118" s="2"/>
      <c r="CUB118" s="2"/>
      <c r="CUC118" s="2"/>
      <c r="CUD118" s="2"/>
      <c r="CUE118" s="2"/>
      <c r="CUF118" s="2"/>
      <c r="CUG118" s="2"/>
      <c r="CUH118" s="2"/>
      <c r="CUI118" s="2"/>
      <c r="CUJ118" s="2"/>
      <c r="CUK118" s="2"/>
      <c r="CUL118" s="2"/>
      <c r="CUM118" s="2"/>
      <c r="CUN118" s="2"/>
      <c r="CUO118" s="2"/>
      <c r="CUP118" s="2"/>
      <c r="CUQ118" s="2"/>
      <c r="CUR118" s="2"/>
      <c r="CUS118" s="2"/>
      <c r="CUT118" s="2"/>
      <c r="CUU118" s="2"/>
      <c r="CUV118" s="2"/>
      <c r="CUW118" s="2"/>
      <c r="CUX118" s="2"/>
      <c r="CUY118" s="2"/>
      <c r="CUZ118" s="2"/>
      <c r="CVA118" s="2"/>
      <c r="CVB118" s="2"/>
      <c r="CVC118" s="2"/>
      <c r="CVD118" s="2"/>
      <c r="CVE118" s="2"/>
      <c r="CVF118" s="2"/>
      <c r="CVG118" s="2"/>
      <c r="CVH118" s="2"/>
      <c r="CVI118" s="2"/>
      <c r="CVJ118" s="2"/>
      <c r="CVK118" s="2"/>
      <c r="CVL118" s="2"/>
      <c r="CVM118" s="2"/>
      <c r="CVN118" s="2"/>
      <c r="CVO118" s="2"/>
      <c r="CVP118" s="2"/>
      <c r="CVQ118" s="2"/>
      <c r="CVR118" s="2"/>
      <c r="CVS118" s="2"/>
      <c r="CVT118" s="2"/>
      <c r="CVU118" s="2"/>
      <c r="CVV118" s="2"/>
      <c r="CVW118" s="2"/>
      <c r="CVX118" s="2"/>
      <c r="CVY118" s="2"/>
      <c r="CVZ118" s="2"/>
      <c r="CWA118" s="2"/>
      <c r="CWB118" s="2"/>
      <c r="CWC118" s="2"/>
      <c r="CWD118" s="2"/>
      <c r="CWE118" s="2"/>
      <c r="CWF118" s="2"/>
      <c r="CWG118" s="2"/>
      <c r="CWH118" s="2"/>
      <c r="CWI118" s="2"/>
      <c r="CWJ118" s="2"/>
      <c r="CWK118" s="2"/>
      <c r="CWL118" s="2"/>
      <c r="CWM118" s="2"/>
      <c r="CWN118" s="2"/>
      <c r="CWO118" s="2"/>
      <c r="CWP118" s="2"/>
      <c r="CWQ118" s="2"/>
      <c r="CWR118" s="2"/>
      <c r="CWS118" s="2"/>
      <c r="CWT118" s="2"/>
      <c r="CWU118" s="2"/>
      <c r="CWV118" s="2"/>
      <c r="CWW118" s="2"/>
      <c r="CWX118" s="2"/>
      <c r="CWY118" s="2"/>
      <c r="CWZ118" s="2"/>
      <c r="CXA118" s="2"/>
      <c r="CXB118" s="2"/>
      <c r="CXC118" s="2"/>
      <c r="CXD118" s="2"/>
      <c r="CXE118" s="2"/>
      <c r="CXF118" s="2"/>
      <c r="CXG118" s="2"/>
      <c r="CXH118" s="2"/>
      <c r="CXI118" s="2"/>
      <c r="CXJ118" s="2"/>
      <c r="CXK118" s="2"/>
      <c r="CXL118" s="2"/>
      <c r="CXM118" s="2"/>
      <c r="CXN118" s="2"/>
      <c r="CXO118" s="2"/>
      <c r="CXP118" s="2"/>
      <c r="CXQ118" s="2"/>
      <c r="CXR118" s="2"/>
      <c r="CXS118" s="2"/>
      <c r="CXT118" s="2"/>
      <c r="CXU118" s="2"/>
      <c r="CXV118" s="2"/>
      <c r="CXW118" s="2"/>
      <c r="CXX118" s="2"/>
      <c r="CXY118" s="2"/>
      <c r="CXZ118" s="2"/>
      <c r="CYA118" s="2"/>
      <c r="CYB118" s="2"/>
      <c r="CYC118" s="2"/>
      <c r="CYD118" s="2"/>
      <c r="CYE118" s="2"/>
      <c r="CYF118" s="2"/>
      <c r="CYG118" s="2"/>
      <c r="CYH118" s="2"/>
      <c r="CYI118" s="2"/>
      <c r="CYJ118" s="2"/>
      <c r="CYK118" s="2"/>
      <c r="CYL118" s="2"/>
      <c r="CYM118" s="2"/>
      <c r="CYN118" s="2"/>
      <c r="CYO118" s="2"/>
      <c r="CYP118" s="2"/>
      <c r="CYQ118" s="2"/>
      <c r="CYR118" s="2"/>
      <c r="CYS118" s="2"/>
      <c r="CYT118" s="2"/>
      <c r="CYU118" s="2"/>
      <c r="CYV118" s="2"/>
      <c r="CYW118" s="2"/>
      <c r="CYX118" s="2"/>
      <c r="CYY118" s="2"/>
      <c r="CYZ118" s="2"/>
      <c r="CZA118" s="2"/>
      <c r="CZB118" s="2"/>
      <c r="CZC118" s="2"/>
      <c r="CZD118" s="2"/>
      <c r="CZE118" s="2"/>
      <c r="CZF118" s="2"/>
      <c r="CZG118" s="2"/>
      <c r="CZH118" s="2"/>
      <c r="CZI118" s="2"/>
      <c r="CZJ118" s="2"/>
      <c r="CZK118" s="2"/>
      <c r="CZL118" s="2"/>
      <c r="CZM118" s="2"/>
      <c r="CZN118" s="2"/>
      <c r="CZO118" s="2"/>
      <c r="CZP118" s="2"/>
      <c r="CZQ118" s="2"/>
      <c r="CZR118" s="2"/>
      <c r="CZS118" s="2"/>
      <c r="CZT118" s="2"/>
      <c r="CZU118" s="2"/>
      <c r="CZV118" s="2"/>
      <c r="CZW118" s="2"/>
      <c r="CZX118" s="2"/>
      <c r="CZY118" s="2"/>
      <c r="CZZ118" s="2"/>
      <c r="DAA118" s="2"/>
      <c r="DAB118" s="2"/>
      <c r="DAC118" s="2"/>
      <c r="DAD118" s="2"/>
      <c r="DAE118" s="2"/>
      <c r="DAF118" s="2"/>
      <c r="DAG118" s="2"/>
      <c r="DAH118" s="2"/>
      <c r="DAI118" s="2"/>
      <c r="DAJ118" s="2"/>
      <c r="DAK118" s="2"/>
      <c r="DAL118" s="2"/>
      <c r="DAM118" s="2"/>
      <c r="DAN118" s="2"/>
      <c r="DAO118" s="2"/>
      <c r="DAP118" s="2"/>
      <c r="DAQ118" s="2"/>
      <c r="DAR118" s="2"/>
      <c r="DAS118" s="2"/>
      <c r="DAT118" s="2"/>
      <c r="DAU118" s="2"/>
      <c r="DAV118" s="2"/>
      <c r="DAW118" s="2"/>
      <c r="DAX118" s="2"/>
      <c r="DAY118" s="2"/>
      <c r="DAZ118" s="2"/>
      <c r="DBA118" s="2"/>
      <c r="DBB118" s="2"/>
      <c r="DBC118" s="2"/>
      <c r="DBD118" s="2"/>
      <c r="DBE118" s="2"/>
      <c r="DBF118" s="2"/>
      <c r="DBG118" s="2"/>
      <c r="DBH118" s="2"/>
      <c r="DBI118" s="2"/>
      <c r="DBJ118" s="2"/>
      <c r="DBK118" s="2"/>
      <c r="DBL118" s="2"/>
      <c r="DBM118" s="2"/>
      <c r="DBN118" s="2"/>
      <c r="DBO118" s="2"/>
      <c r="DBP118" s="2"/>
      <c r="DBQ118" s="2"/>
      <c r="DBR118" s="2"/>
      <c r="DBS118" s="2"/>
      <c r="DBT118" s="2"/>
      <c r="DBU118" s="2"/>
      <c r="DBV118" s="2"/>
      <c r="DBW118" s="2"/>
      <c r="DBX118" s="2"/>
      <c r="DBY118" s="2"/>
      <c r="DBZ118" s="2"/>
      <c r="DCA118" s="2"/>
      <c r="DCB118" s="2"/>
      <c r="DCC118" s="2"/>
      <c r="DCD118" s="2"/>
      <c r="DCE118" s="2"/>
      <c r="DCF118" s="2"/>
      <c r="DCG118" s="2"/>
      <c r="DCH118" s="2"/>
      <c r="DCI118" s="2"/>
      <c r="DCJ118" s="2"/>
      <c r="DCK118" s="2"/>
      <c r="DCL118" s="2"/>
      <c r="DCM118" s="2"/>
      <c r="DCN118" s="2"/>
      <c r="DCO118" s="2"/>
      <c r="DCP118" s="2"/>
      <c r="DCQ118" s="2"/>
      <c r="DCR118" s="2"/>
      <c r="DCS118" s="2"/>
      <c r="DCT118" s="2"/>
      <c r="DCU118" s="2"/>
      <c r="DCV118" s="2"/>
      <c r="DCW118" s="2"/>
      <c r="DCX118" s="2"/>
      <c r="DCY118" s="2"/>
      <c r="DCZ118" s="2"/>
      <c r="DDA118" s="2"/>
      <c r="DDB118" s="2"/>
      <c r="DDC118" s="2"/>
      <c r="DDD118" s="2"/>
      <c r="DDE118" s="2"/>
      <c r="DDF118" s="2"/>
      <c r="DDG118" s="2"/>
      <c r="DDH118" s="2"/>
      <c r="DDI118" s="2"/>
      <c r="DDJ118" s="2"/>
      <c r="DDK118" s="2"/>
      <c r="DDL118" s="2"/>
      <c r="DDM118" s="2"/>
      <c r="DDN118" s="2"/>
      <c r="DDO118" s="2"/>
      <c r="DDP118" s="2"/>
      <c r="DDQ118" s="2"/>
      <c r="DDR118" s="2"/>
      <c r="DDS118" s="2"/>
      <c r="DDT118" s="2"/>
      <c r="DDU118" s="2"/>
      <c r="DDV118" s="2"/>
      <c r="DDW118" s="2"/>
      <c r="DDX118" s="2"/>
      <c r="DDY118" s="2"/>
      <c r="DDZ118" s="2"/>
      <c r="DEA118" s="2"/>
      <c r="DEB118" s="2"/>
      <c r="DEC118" s="2"/>
      <c r="DED118" s="2"/>
      <c r="DEE118" s="2"/>
      <c r="DEF118" s="2"/>
      <c r="DEG118" s="2"/>
      <c r="DEH118" s="2"/>
      <c r="DEI118" s="2"/>
      <c r="DEJ118" s="2"/>
      <c r="DEK118" s="2"/>
      <c r="DEL118" s="2"/>
      <c r="DEM118" s="2"/>
      <c r="DEN118" s="2"/>
      <c r="DEO118" s="2"/>
      <c r="DEP118" s="2"/>
      <c r="DEQ118" s="2"/>
      <c r="DER118" s="2"/>
      <c r="DES118" s="2"/>
      <c r="DET118" s="2"/>
      <c r="DEU118" s="2"/>
      <c r="DEV118" s="2"/>
      <c r="DEW118" s="2"/>
      <c r="DEX118" s="2"/>
      <c r="DEY118" s="2"/>
      <c r="DEZ118" s="2"/>
      <c r="DFA118" s="2"/>
      <c r="DFB118" s="2"/>
      <c r="DFC118" s="2"/>
      <c r="DFD118" s="2"/>
      <c r="DFE118" s="2"/>
      <c r="DFF118" s="2"/>
      <c r="DFG118" s="2"/>
      <c r="DFH118" s="2"/>
      <c r="DFI118" s="2"/>
      <c r="DFJ118" s="2"/>
      <c r="DFK118" s="2"/>
      <c r="DFL118" s="2"/>
      <c r="DFM118" s="2"/>
      <c r="DFN118" s="2"/>
      <c r="DFO118" s="2"/>
      <c r="DFP118" s="2"/>
      <c r="DFQ118" s="2"/>
      <c r="DFR118" s="2"/>
      <c r="DFS118" s="2"/>
      <c r="DFT118" s="2"/>
      <c r="DFU118" s="2"/>
      <c r="DFV118" s="2"/>
      <c r="DFW118" s="2"/>
      <c r="DFX118" s="2"/>
      <c r="DFY118" s="2"/>
      <c r="DFZ118" s="2"/>
      <c r="DGA118" s="2"/>
      <c r="DGB118" s="2"/>
      <c r="DGC118" s="2"/>
      <c r="DGD118" s="2"/>
      <c r="DGE118" s="2"/>
      <c r="DGF118" s="2"/>
      <c r="DGG118" s="2"/>
      <c r="DGH118" s="2"/>
      <c r="DGI118" s="2"/>
      <c r="DGJ118" s="2"/>
      <c r="DGK118" s="2"/>
      <c r="DGL118" s="2"/>
      <c r="DGM118" s="2"/>
      <c r="DGN118" s="2"/>
      <c r="DGO118" s="2"/>
      <c r="DGP118" s="2"/>
      <c r="DGQ118" s="2"/>
      <c r="DGR118" s="2"/>
      <c r="DGS118" s="2"/>
      <c r="DGT118" s="2"/>
      <c r="DGU118" s="2"/>
      <c r="DGV118" s="2"/>
      <c r="DGW118" s="2"/>
      <c r="DGX118" s="2"/>
      <c r="DGY118" s="2"/>
      <c r="DGZ118" s="2"/>
      <c r="DHA118" s="2"/>
      <c r="DHB118" s="2"/>
      <c r="DHC118" s="2"/>
      <c r="DHD118" s="2"/>
      <c r="DHE118" s="2"/>
      <c r="DHF118" s="2"/>
      <c r="DHG118" s="2"/>
      <c r="DHH118" s="2"/>
      <c r="DHI118" s="2"/>
      <c r="DHJ118" s="2"/>
      <c r="DHK118" s="2"/>
      <c r="DHL118" s="2"/>
      <c r="DHM118" s="2"/>
      <c r="DHN118" s="2"/>
      <c r="DHO118" s="2"/>
      <c r="DHP118" s="2"/>
      <c r="DHQ118" s="2"/>
      <c r="DHR118" s="2"/>
      <c r="DHS118" s="2"/>
      <c r="DHT118" s="2"/>
      <c r="DHU118" s="2"/>
      <c r="DHV118" s="2"/>
      <c r="DHW118" s="2"/>
      <c r="DHX118" s="2"/>
      <c r="DHY118" s="2"/>
      <c r="DHZ118" s="2"/>
      <c r="DIA118" s="2"/>
      <c r="DIB118" s="2"/>
      <c r="DIC118" s="2"/>
      <c r="DID118" s="2"/>
      <c r="DIE118" s="2"/>
      <c r="DIF118" s="2"/>
      <c r="DIG118" s="2"/>
      <c r="DIH118" s="2"/>
      <c r="DII118" s="2"/>
      <c r="DIJ118" s="2"/>
      <c r="DIK118" s="2"/>
      <c r="DIL118" s="2"/>
      <c r="DIM118" s="2"/>
      <c r="DIN118" s="2"/>
      <c r="DIO118" s="2"/>
      <c r="DIP118" s="2"/>
      <c r="DIQ118" s="2"/>
      <c r="DIR118" s="2"/>
      <c r="DIS118" s="2"/>
      <c r="DIT118" s="2"/>
      <c r="DIU118" s="2"/>
      <c r="DIV118" s="2"/>
      <c r="DIW118" s="2"/>
      <c r="DIX118" s="2"/>
      <c r="DIY118" s="2"/>
      <c r="DIZ118" s="2"/>
      <c r="DJA118" s="2"/>
      <c r="DJB118" s="2"/>
      <c r="DJC118" s="2"/>
      <c r="DJD118" s="2"/>
      <c r="DJE118" s="2"/>
      <c r="DJF118" s="2"/>
      <c r="DJG118" s="2"/>
      <c r="DJH118" s="2"/>
      <c r="DJI118" s="2"/>
      <c r="DJJ118" s="2"/>
      <c r="DJK118" s="2"/>
      <c r="DJL118" s="2"/>
      <c r="DJM118" s="2"/>
      <c r="DJN118" s="2"/>
      <c r="DJO118" s="2"/>
      <c r="DJP118" s="2"/>
      <c r="DJQ118" s="2"/>
      <c r="DJR118" s="2"/>
      <c r="DJS118" s="2"/>
      <c r="DJT118" s="2"/>
      <c r="DJU118" s="2"/>
      <c r="DJV118" s="2"/>
      <c r="DJW118" s="2"/>
      <c r="DJX118" s="2"/>
      <c r="DJY118" s="2"/>
      <c r="DJZ118" s="2"/>
      <c r="DKA118" s="2"/>
      <c r="DKB118" s="2"/>
      <c r="DKC118" s="2"/>
      <c r="DKD118" s="2"/>
      <c r="DKE118" s="2"/>
      <c r="DKF118" s="2"/>
      <c r="DKG118" s="2"/>
      <c r="DKH118" s="2"/>
      <c r="DKI118" s="2"/>
      <c r="DKJ118" s="2"/>
      <c r="DKK118" s="2"/>
      <c r="DKL118" s="2"/>
      <c r="DKM118" s="2"/>
      <c r="DKN118" s="2"/>
      <c r="DKO118" s="2"/>
      <c r="DKP118" s="2"/>
      <c r="DKQ118" s="2"/>
      <c r="DKR118" s="2"/>
      <c r="DKS118" s="2"/>
      <c r="DKT118" s="2"/>
      <c r="DKU118" s="2"/>
      <c r="DKV118" s="2"/>
      <c r="DKW118" s="2"/>
      <c r="DKX118" s="2"/>
      <c r="DKY118" s="2"/>
      <c r="DKZ118" s="2"/>
      <c r="DLA118" s="2"/>
      <c r="DLB118" s="2"/>
      <c r="DLC118" s="2"/>
      <c r="DLD118" s="2"/>
      <c r="DLE118" s="2"/>
      <c r="DLF118" s="2"/>
      <c r="DLG118" s="2"/>
      <c r="DLH118" s="2"/>
      <c r="DLI118" s="2"/>
      <c r="DLJ118" s="2"/>
      <c r="DLK118" s="2"/>
      <c r="DLL118" s="2"/>
      <c r="DLM118" s="2"/>
      <c r="DLN118" s="2"/>
      <c r="DLO118" s="2"/>
      <c r="DLP118" s="2"/>
      <c r="DLQ118" s="2"/>
      <c r="DLR118" s="2"/>
      <c r="DLS118" s="2"/>
      <c r="DLT118" s="2"/>
      <c r="DLU118" s="2"/>
      <c r="DLV118" s="2"/>
      <c r="DLW118" s="2"/>
      <c r="DLX118" s="2"/>
      <c r="DLY118" s="2"/>
      <c r="DLZ118" s="2"/>
      <c r="DMA118" s="2"/>
      <c r="DMB118" s="2"/>
      <c r="DMC118" s="2"/>
      <c r="DMD118" s="2"/>
      <c r="DME118" s="2"/>
      <c r="DMF118" s="2"/>
      <c r="DMG118" s="2"/>
      <c r="DMH118" s="2"/>
      <c r="DMI118" s="2"/>
      <c r="DMJ118" s="2"/>
      <c r="DMK118" s="2"/>
      <c r="DML118" s="2"/>
      <c r="DMM118" s="2"/>
      <c r="DMN118" s="2"/>
      <c r="DMO118" s="2"/>
      <c r="DMP118" s="2"/>
      <c r="DMQ118" s="2"/>
      <c r="DMR118" s="2"/>
      <c r="DMS118" s="2"/>
      <c r="DMT118" s="2"/>
      <c r="DMU118" s="2"/>
      <c r="DMV118" s="2"/>
      <c r="DMW118" s="2"/>
      <c r="DMX118" s="2"/>
      <c r="DMY118" s="2"/>
      <c r="DMZ118" s="2"/>
      <c r="DNA118" s="2"/>
      <c r="DNB118" s="2"/>
      <c r="DNC118" s="2"/>
      <c r="DND118" s="2"/>
      <c r="DNE118" s="2"/>
      <c r="DNF118" s="2"/>
      <c r="DNG118" s="2"/>
      <c r="DNH118" s="2"/>
      <c r="DNI118" s="2"/>
      <c r="DNJ118" s="2"/>
      <c r="DNK118" s="2"/>
      <c r="DNL118" s="2"/>
      <c r="DNM118" s="2"/>
      <c r="DNN118" s="2"/>
      <c r="DNO118" s="2"/>
      <c r="DNP118" s="2"/>
      <c r="DNQ118" s="2"/>
      <c r="DNR118" s="2"/>
      <c r="DNS118" s="2"/>
      <c r="DNT118" s="2"/>
      <c r="DNU118" s="2"/>
      <c r="DNV118" s="2"/>
      <c r="DNW118" s="2"/>
      <c r="DNX118" s="2"/>
      <c r="DNY118" s="2"/>
      <c r="DNZ118" s="2"/>
      <c r="DOA118" s="2"/>
      <c r="DOB118" s="2"/>
      <c r="DOC118" s="2"/>
      <c r="DOD118" s="2"/>
      <c r="DOE118" s="2"/>
      <c r="DOF118" s="2"/>
      <c r="DOG118" s="2"/>
      <c r="DOH118" s="2"/>
      <c r="DOI118" s="2"/>
      <c r="DOJ118" s="2"/>
      <c r="DOK118" s="2"/>
      <c r="DOL118" s="2"/>
      <c r="DOM118" s="2"/>
      <c r="DON118" s="2"/>
      <c r="DOO118" s="2"/>
      <c r="DOP118" s="2"/>
      <c r="DOQ118" s="2"/>
      <c r="DOR118" s="2"/>
      <c r="DOS118" s="2"/>
      <c r="DOT118" s="2"/>
      <c r="DOU118" s="2"/>
      <c r="DOV118" s="2"/>
      <c r="DOW118" s="2"/>
      <c r="DOX118" s="2"/>
      <c r="DOY118" s="2"/>
      <c r="DOZ118" s="2"/>
      <c r="DPA118" s="2"/>
      <c r="DPB118" s="2"/>
      <c r="DPC118" s="2"/>
      <c r="DPD118" s="2"/>
      <c r="DPE118" s="2"/>
      <c r="DPF118" s="2"/>
      <c r="DPG118" s="2"/>
      <c r="DPH118" s="2"/>
      <c r="DPI118" s="2"/>
      <c r="DPJ118" s="2"/>
      <c r="DPK118" s="2"/>
      <c r="DPL118" s="2"/>
      <c r="DPM118" s="2"/>
      <c r="DPN118" s="2"/>
      <c r="DPO118" s="2"/>
      <c r="DPP118" s="2"/>
      <c r="DPQ118" s="2"/>
      <c r="DPR118" s="2"/>
      <c r="DPS118" s="2"/>
      <c r="DPT118" s="2"/>
      <c r="DPU118" s="2"/>
      <c r="DPV118" s="2"/>
      <c r="DPW118" s="2"/>
      <c r="DPX118" s="2"/>
      <c r="DPY118" s="2"/>
      <c r="DPZ118" s="2"/>
      <c r="DQA118" s="2"/>
      <c r="DQB118" s="2"/>
      <c r="DQC118" s="2"/>
      <c r="DQD118" s="2"/>
      <c r="DQE118" s="2"/>
      <c r="DQF118" s="2"/>
      <c r="DQG118" s="2"/>
      <c r="DQH118" s="2"/>
      <c r="DQI118" s="2"/>
      <c r="DQJ118" s="2"/>
      <c r="DQK118" s="2"/>
      <c r="DQL118" s="2"/>
      <c r="DQM118" s="2"/>
      <c r="DQN118" s="2"/>
      <c r="DQO118" s="2"/>
      <c r="DQP118" s="2"/>
      <c r="DQQ118" s="2"/>
      <c r="DQR118" s="2"/>
      <c r="DQS118" s="2"/>
      <c r="DQT118" s="2"/>
      <c r="DQU118" s="2"/>
      <c r="DQV118" s="2"/>
      <c r="DQW118" s="2"/>
      <c r="DQX118" s="2"/>
      <c r="DQY118" s="2"/>
      <c r="DQZ118" s="2"/>
      <c r="DRA118" s="2"/>
      <c r="DRB118" s="2"/>
      <c r="DRC118" s="2"/>
      <c r="DRD118" s="2"/>
      <c r="DRE118" s="2"/>
      <c r="DRF118" s="2"/>
      <c r="DRG118" s="2"/>
      <c r="DRH118" s="2"/>
      <c r="DRI118" s="2"/>
      <c r="DRJ118" s="2"/>
      <c r="DRK118" s="2"/>
      <c r="DRL118" s="2"/>
      <c r="DRM118" s="2"/>
      <c r="DRN118" s="2"/>
      <c r="DRO118" s="2"/>
      <c r="DRP118" s="2"/>
      <c r="DRQ118" s="2"/>
      <c r="DRR118" s="2"/>
      <c r="DRS118" s="2"/>
      <c r="DRT118" s="2"/>
      <c r="DRU118" s="2"/>
      <c r="DRV118" s="2"/>
      <c r="DRW118" s="2"/>
      <c r="DRX118" s="2"/>
      <c r="DRY118" s="2"/>
      <c r="DRZ118" s="2"/>
      <c r="DSA118" s="2"/>
      <c r="DSB118" s="2"/>
      <c r="DSC118" s="2"/>
      <c r="DSD118" s="2"/>
      <c r="DSE118" s="2"/>
      <c r="DSF118" s="2"/>
      <c r="DSG118" s="2"/>
      <c r="DSH118" s="2"/>
      <c r="DSI118" s="2"/>
      <c r="DSJ118" s="2"/>
      <c r="DSK118" s="2"/>
      <c r="DSL118" s="2"/>
      <c r="DSM118" s="2"/>
      <c r="DSN118" s="2"/>
      <c r="DSO118" s="2"/>
      <c r="DSP118" s="2"/>
      <c r="DSQ118" s="2"/>
      <c r="DSR118" s="2"/>
      <c r="DSS118" s="2"/>
      <c r="DST118" s="2"/>
      <c r="DSU118" s="2"/>
      <c r="DSV118" s="2"/>
      <c r="DSW118" s="2"/>
      <c r="DSX118" s="2"/>
      <c r="DSY118" s="2"/>
      <c r="DSZ118" s="2"/>
      <c r="DTA118" s="2"/>
      <c r="DTB118" s="2"/>
      <c r="DTC118" s="2"/>
      <c r="DTD118" s="2"/>
      <c r="DTE118" s="2"/>
      <c r="DTF118" s="2"/>
      <c r="DTG118" s="2"/>
      <c r="DTH118" s="2"/>
      <c r="DTI118" s="2"/>
      <c r="DTJ118" s="2"/>
      <c r="DTK118" s="2"/>
      <c r="DTL118" s="2"/>
      <c r="DTM118" s="2"/>
      <c r="DTN118" s="2"/>
      <c r="DTO118" s="2"/>
      <c r="DTP118" s="2"/>
      <c r="DTQ118" s="2"/>
      <c r="DTR118" s="2"/>
      <c r="DTS118" s="2"/>
      <c r="DTT118" s="2"/>
      <c r="DTU118" s="2"/>
      <c r="DTV118" s="2"/>
      <c r="DTW118" s="2"/>
      <c r="DTX118" s="2"/>
      <c r="DTY118" s="2"/>
      <c r="DTZ118" s="2"/>
      <c r="DUA118" s="2"/>
      <c r="DUB118" s="2"/>
      <c r="DUC118" s="2"/>
      <c r="DUD118" s="2"/>
      <c r="DUE118" s="2"/>
      <c r="DUF118" s="2"/>
      <c r="DUG118" s="2"/>
      <c r="DUH118" s="2"/>
      <c r="DUI118" s="2"/>
      <c r="DUJ118" s="2"/>
      <c r="DUK118" s="2"/>
      <c r="DUL118" s="2"/>
      <c r="DUM118" s="2"/>
      <c r="DUN118" s="2"/>
      <c r="DUO118" s="2"/>
      <c r="DUP118" s="2"/>
      <c r="DUQ118" s="2"/>
      <c r="DUR118" s="2"/>
      <c r="DUS118" s="2"/>
      <c r="DUT118" s="2"/>
      <c r="DUU118" s="2"/>
      <c r="DUV118" s="2"/>
      <c r="DUW118" s="2"/>
      <c r="DUX118" s="2"/>
      <c r="DUY118" s="2"/>
      <c r="DUZ118" s="2"/>
      <c r="DVA118" s="2"/>
      <c r="DVB118" s="2"/>
      <c r="DVC118" s="2"/>
      <c r="DVD118" s="2"/>
      <c r="DVE118" s="2"/>
      <c r="DVF118" s="2"/>
      <c r="DVG118" s="2"/>
      <c r="DVH118" s="2"/>
      <c r="DVI118" s="2"/>
      <c r="DVJ118" s="2"/>
      <c r="DVK118" s="2"/>
      <c r="DVL118" s="2"/>
      <c r="DVM118" s="2"/>
      <c r="DVN118" s="2"/>
      <c r="DVO118" s="2"/>
      <c r="DVP118" s="2"/>
      <c r="DVQ118" s="2"/>
      <c r="DVR118" s="2"/>
      <c r="DVS118" s="2"/>
      <c r="DVT118" s="2"/>
      <c r="DVU118" s="2"/>
      <c r="DVV118" s="2"/>
      <c r="DVW118" s="2"/>
      <c r="DVX118" s="2"/>
      <c r="DVY118" s="2"/>
      <c r="DVZ118" s="2"/>
      <c r="DWA118" s="2"/>
      <c r="DWB118" s="2"/>
      <c r="DWC118" s="2"/>
      <c r="DWD118" s="2"/>
      <c r="DWE118" s="2"/>
      <c r="DWF118" s="2"/>
      <c r="DWG118" s="2"/>
      <c r="DWH118" s="2"/>
      <c r="DWI118" s="2"/>
      <c r="DWJ118" s="2"/>
      <c r="DWK118" s="2"/>
      <c r="DWL118" s="2"/>
      <c r="DWM118" s="2"/>
      <c r="DWN118" s="2"/>
      <c r="DWO118" s="2"/>
      <c r="DWP118" s="2"/>
      <c r="DWQ118" s="2"/>
      <c r="DWR118" s="2"/>
      <c r="DWS118" s="2"/>
      <c r="DWT118" s="2"/>
      <c r="DWU118" s="2"/>
      <c r="DWV118" s="2"/>
      <c r="DWW118" s="2"/>
      <c r="DWX118" s="2"/>
      <c r="DWY118" s="2"/>
      <c r="DWZ118" s="2"/>
      <c r="DXA118" s="2"/>
      <c r="DXB118" s="2"/>
      <c r="DXC118" s="2"/>
      <c r="DXD118" s="2"/>
      <c r="DXE118" s="2"/>
      <c r="DXF118" s="2"/>
      <c r="DXG118" s="2"/>
      <c r="DXH118" s="2"/>
      <c r="DXI118" s="2"/>
      <c r="DXJ118" s="2"/>
      <c r="DXK118" s="2"/>
      <c r="DXL118" s="2"/>
      <c r="DXM118" s="2"/>
      <c r="DXN118" s="2"/>
      <c r="DXO118" s="2"/>
      <c r="DXP118" s="2"/>
      <c r="DXQ118" s="2"/>
      <c r="DXR118" s="2"/>
      <c r="DXS118" s="2"/>
      <c r="DXT118" s="2"/>
      <c r="DXU118" s="2"/>
      <c r="DXV118" s="2"/>
      <c r="DXW118" s="2"/>
      <c r="DXX118" s="2"/>
      <c r="DXY118" s="2"/>
      <c r="DXZ118" s="2"/>
      <c r="DYA118" s="2"/>
      <c r="DYB118" s="2"/>
      <c r="DYC118" s="2"/>
      <c r="DYD118" s="2"/>
      <c r="DYE118" s="2"/>
      <c r="DYF118" s="2"/>
      <c r="DYG118" s="2"/>
      <c r="DYH118" s="2"/>
      <c r="DYI118" s="2"/>
      <c r="DYJ118" s="2"/>
      <c r="DYK118" s="2"/>
      <c r="DYL118" s="2"/>
      <c r="DYM118" s="2"/>
      <c r="DYN118" s="2"/>
      <c r="DYO118" s="2"/>
      <c r="DYP118" s="2"/>
      <c r="DYQ118" s="2"/>
      <c r="DYR118" s="2"/>
      <c r="DYS118" s="2"/>
      <c r="DYT118" s="2"/>
      <c r="DYU118" s="2"/>
      <c r="DYV118" s="2"/>
      <c r="DYW118" s="2"/>
      <c r="DYX118" s="2"/>
      <c r="DYY118" s="2"/>
      <c r="DYZ118" s="2"/>
      <c r="DZA118" s="2"/>
      <c r="DZB118" s="2"/>
      <c r="DZC118" s="2"/>
      <c r="DZD118" s="2"/>
      <c r="DZE118" s="2"/>
      <c r="DZF118" s="2"/>
      <c r="DZG118" s="2"/>
      <c r="DZH118" s="2"/>
      <c r="DZI118" s="2"/>
      <c r="DZJ118" s="2"/>
      <c r="DZK118" s="2"/>
      <c r="DZL118" s="2"/>
      <c r="DZM118" s="2"/>
      <c r="DZN118" s="2"/>
      <c r="DZO118" s="2"/>
      <c r="DZP118" s="2"/>
      <c r="DZQ118" s="2"/>
      <c r="DZR118" s="2"/>
      <c r="DZS118" s="2"/>
      <c r="DZT118" s="2"/>
      <c r="DZU118" s="2"/>
      <c r="DZV118" s="2"/>
      <c r="DZW118" s="2"/>
      <c r="DZX118" s="2"/>
      <c r="DZY118" s="2"/>
      <c r="DZZ118" s="2"/>
      <c r="EAA118" s="2"/>
      <c r="EAB118" s="2"/>
      <c r="EAC118" s="2"/>
      <c r="EAD118" s="2"/>
      <c r="EAE118" s="2"/>
      <c r="EAF118" s="2"/>
      <c r="EAG118" s="2"/>
      <c r="EAH118" s="2"/>
      <c r="EAI118" s="2"/>
      <c r="EAJ118" s="2"/>
      <c r="EAK118" s="2"/>
      <c r="EAL118" s="2"/>
      <c r="EAM118" s="2"/>
      <c r="EAN118" s="2"/>
      <c r="EAO118" s="2"/>
      <c r="EAP118" s="2"/>
      <c r="EAQ118" s="2"/>
      <c r="EAR118" s="2"/>
      <c r="EAS118" s="2"/>
      <c r="EAT118" s="2"/>
      <c r="EAU118" s="2"/>
      <c r="EAV118" s="2"/>
      <c r="EAW118" s="2"/>
      <c r="EAX118" s="2"/>
      <c r="EAY118" s="2"/>
      <c r="EAZ118" s="2"/>
      <c r="EBA118" s="2"/>
      <c r="EBB118" s="2"/>
      <c r="EBC118" s="2"/>
      <c r="EBD118" s="2"/>
      <c r="EBE118" s="2"/>
      <c r="EBF118" s="2"/>
      <c r="EBG118" s="2"/>
      <c r="EBH118" s="2"/>
      <c r="EBI118" s="2"/>
      <c r="EBJ118" s="2"/>
      <c r="EBK118" s="2"/>
      <c r="EBL118" s="2"/>
      <c r="EBM118" s="2"/>
      <c r="EBN118" s="2"/>
      <c r="EBO118" s="2"/>
      <c r="EBP118" s="2"/>
      <c r="EBQ118" s="2"/>
      <c r="EBR118" s="2"/>
      <c r="EBS118" s="2"/>
      <c r="EBT118" s="2"/>
      <c r="EBU118" s="2"/>
      <c r="EBV118" s="2"/>
      <c r="EBW118" s="2"/>
      <c r="EBX118" s="2"/>
      <c r="EBY118" s="2"/>
      <c r="EBZ118" s="2"/>
      <c r="ECA118" s="2"/>
      <c r="ECB118" s="2"/>
      <c r="ECC118" s="2"/>
      <c r="ECD118" s="2"/>
      <c r="ECE118" s="2"/>
      <c r="ECF118" s="2"/>
      <c r="ECG118" s="2"/>
      <c r="ECH118" s="2"/>
      <c r="ECI118" s="2"/>
      <c r="ECJ118" s="2"/>
      <c r="ECK118" s="2"/>
      <c r="ECL118" s="2"/>
      <c r="ECM118" s="2"/>
      <c r="ECN118" s="2"/>
      <c r="ECO118" s="2"/>
      <c r="ECP118" s="2"/>
      <c r="ECQ118" s="2"/>
      <c r="ECR118" s="2"/>
      <c r="ECS118" s="2"/>
      <c r="ECT118" s="2"/>
      <c r="ECU118" s="2"/>
      <c r="ECV118" s="2"/>
      <c r="ECW118" s="2"/>
      <c r="ECX118" s="2"/>
      <c r="ECY118" s="2"/>
      <c r="ECZ118" s="2"/>
      <c r="EDA118" s="2"/>
      <c r="EDB118" s="2"/>
      <c r="EDC118" s="2"/>
      <c r="EDD118" s="2"/>
      <c r="EDE118" s="2"/>
      <c r="EDF118" s="2"/>
      <c r="EDG118" s="2"/>
      <c r="EDH118" s="2"/>
      <c r="EDI118" s="2"/>
      <c r="EDJ118" s="2"/>
      <c r="EDK118" s="2"/>
      <c r="EDL118" s="2"/>
      <c r="EDM118" s="2"/>
      <c r="EDN118" s="2"/>
      <c r="EDO118" s="2"/>
      <c r="EDP118" s="2"/>
      <c r="EDQ118" s="2"/>
      <c r="EDR118" s="2"/>
      <c r="EDS118" s="2"/>
      <c r="EDT118" s="2"/>
      <c r="EDU118" s="2"/>
      <c r="EDV118" s="2"/>
      <c r="EDW118" s="2"/>
      <c r="EDX118" s="2"/>
      <c r="EDY118" s="2"/>
      <c r="EDZ118" s="2"/>
      <c r="EEA118" s="2"/>
      <c r="EEB118" s="2"/>
      <c r="EEC118" s="2"/>
      <c r="EED118" s="2"/>
      <c r="EEE118" s="2"/>
      <c r="EEF118" s="2"/>
      <c r="EEG118" s="2"/>
      <c r="EEH118" s="2"/>
      <c r="EEI118" s="2"/>
      <c r="EEJ118" s="2"/>
      <c r="EEK118" s="2"/>
      <c r="EEL118" s="2"/>
      <c r="EEM118" s="2"/>
      <c r="EEN118" s="2"/>
      <c r="EEO118" s="2"/>
      <c r="EEP118" s="2"/>
      <c r="EEQ118" s="2"/>
      <c r="EER118" s="2"/>
      <c r="EES118" s="2"/>
      <c r="EET118" s="2"/>
      <c r="EEU118" s="2"/>
      <c r="EEV118" s="2"/>
      <c r="EEW118" s="2"/>
      <c r="EEX118" s="2"/>
      <c r="EEY118" s="2"/>
      <c r="EEZ118" s="2"/>
      <c r="EFA118" s="2"/>
      <c r="EFB118" s="2"/>
      <c r="EFC118" s="2"/>
      <c r="EFD118" s="2"/>
      <c r="EFE118" s="2"/>
      <c r="EFF118" s="2"/>
      <c r="EFG118" s="2"/>
      <c r="EFH118" s="2"/>
      <c r="EFI118" s="2"/>
      <c r="EFJ118" s="2"/>
      <c r="EFK118" s="2"/>
      <c r="EFL118" s="2"/>
      <c r="EFM118" s="2"/>
      <c r="EFN118" s="2"/>
      <c r="EFO118" s="2"/>
      <c r="EFP118" s="2"/>
      <c r="EFQ118" s="2"/>
      <c r="EFR118" s="2"/>
      <c r="EFS118" s="2"/>
      <c r="EFT118" s="2"/>
      <c r="EFU118" s="2"/>
      <c r="EFV118" s="2"/>
      <c r="EFW118" s="2"/>
      <c r="EFX118" s="2"/>
      <c r="EFY118" s="2"/>
      <c r="EFZ118" s="2"/>
      <c r="EGA118" s="2"/>
      <c r="EGB118" s="2"/>
      <c r="EGC118" s="2"/>
      <c r="EGD118" s="2"/>
      <c r="EGE118" s="2"/>
      <c r="EGF118" s="2"/>
      <c r="EGG118" s="2"/>
      <c r="EGH118" s="2"/>
      <c r="EGI118" s="2"/>
      <c r="EGJ118" s="2"/>
      <c r="EGK118" s="2"/>
      <c r="EGL118" s="2"/>
      <c r="EGM118" s="2"/>
      <c r="EGN118" s="2"/>
      <c r="EGO118" s="2"/>
      <c r="EGP118" s="2"/>
      <c r="EGQ118" s="2"/>
      <c r="EGR118" s="2"/>
      <c r="EGS118" s="2"/>
      <c r="EGT118" s="2"/>
      <c r="EGU118" s="2"/>
      <c r="EGV118" s="2"/>
      <c r="EGW118" s="2"/>
      <c r="EGX118" s="2"/>
      <c r="EGY118" s="2"/>
      <c r="EGZ118" s="2"/>
      <c r="EHA118" s="2"/>
      <c r="EHB118" s="2"/>
      <c r="EHC118" s="2"/>
      <c r="EHD118" s="2"/>
      <c r="EHE118" s="2"/>
      <c r="EHF118" s="2"/>
      <c r="EHG118" s="2"/>
      <c r="EHH118" s="2"/>
      <c r="EHI118" s="2"/>
      <c r="EHJ118" s="2"/>
      <c r="EHK118" s="2"/>
      <c r="EHL118" s="2"/>
      <c r="EHM118" s="2"/>
      <c r="EHN118" s="2"/>
      <c r="EHO118" s="2"/>
      <c r="EHP118" s="2"/>
      <c r="EHQ118" s="2"/>
      <c r="EHR118" s="2"/>
      <c r="EHS118" s="2"/>
      <c r="EHT118" s="2"/>
      <c r="EHU118" s="2"/>
      <c r="EHV118" s="2"/>
      <c r="EHW118" s="2"/>
      <c r="EHX118" s="2"/>
      <c r="EHY118" s="2"/>
      <c r="EHZ118" s="2"/>
      <c r="EIA118" s="2"/>
      <c r="EIB118" s="2"/>
      <c r="EIC118" s="2"/>
      <c r="EID118" s="2"/>
      <c r="EIE118" s="2"/>
      <c r="EIF118" s="2"/>
      <c r="EIG118" s="2"/>
      <c r="EIH118" s="2"/>
      <c r="EII118" s="2"/>
      <c r="EIJ118" s="2"/>
      <c r="EIK118" s="2"/>
      <c r="EIL118" s="2"/>
      <c r="EIM118" s="2"/>
      <c r="EIN118" s="2"/>
      <c r="EIO118" s="2"/>
      <c r="EIP118" s="2"/>
      <c r="EIQ118" s="2"/>
      <c r="EIR118" s="2"/>
      <c r="EIS118" s="2"/>
      <c r="EIT118" s="2"/>
      <c r="EIU118" s="2"/>
      <c r="EIV118" s="2"/>
      <c r="EIW118" s="2"/>
      <c r="EIX118" s="2"/>
      <c r="EIY118" s="2"/>
      <c r="EIZ118" s="2"/>
      <c r="EJA118" s="2"/>
      <c r="EJB118" s="2"/>
      <c r="EJC118" s="2"/>
      <c r="EJD118" s="2"/>
      <c r="EJE118" s="2"/>
      <c r="EJF118" s="2"/>
      <c r="EJG118" s="2"/>
      <c r="EJH118" s="2"/>
      <c r="EJI118" s="2"/>
      <c r="EJJ118" s="2"/>
      <c r="EJK118" s="2"/>
      <c r="EJL118" s="2"/>
      <c r="EJM118" s="2"/>
      <c r="EJN118" s="2"/>
      <c r="EJO118" s="2"/>
      <c r="EJP118" s="2"/>
      <c r="EJQ118" s="2"/>
      <c r="EJR118" s="2"/>
      <c r="EJS118" s="2"/>
      <c r="EJT118" s="2"/>
      <c r="EJU118" s="2"/>
      <c r="EJV118" s="2"/>
      <c r="EJW118" s="2"/>
      <c r="EJX118" s="2"/>
      <c r="EJY118" s="2"/>
      <c r="EJZ118" s="2"/>
      <c r="EKA118" s="2"/>
      <c r="EKB118" s="2"/>
      <c r="EKC118" s="2"/>
      <c r="EKD118" s="2"/>
      <c r="EKE118" s="2"/>
      <c r="EKF118" s="2"/>
      <c r="EKG118" s="2"/>
      <c r="EKH118" s="2"/>
      <c r="EKI118" s="2"/>
      <c r="EKJ118" s="2"/>
      <c r="EKK118" s="2"/>
      <c r="EKL118" s="2"/>
      <c r="EKM118" s="2"/>
      <c r="EKN118" s="2"/>
      <c r="EKO118" s="2"/>
      <c r="EKP118" s="2"/>
      <c r="EKQ118" s="2"/>
      <c r="EKR118" s="2"/>
      <c r="EKS118" s="2"/>
      <c r="EKT118" s="2"/>
      <c r="EKU118" s="2"/>
      <c r="EKV118" s="2"/>
      <c r="EKW118" s="2"/>
      <c r="EKX118" s="2"/>
      <c r="EKY118" s="2"/>
      <c r="EKZ118" s="2"/>
      <c r="ELA118" s="2"/>
      <c r="ELB118" s="2"/>
      <c r="ELC118" s="2"/>
      <c r="ELD118" s="2"/>
      <c r="ELE118" s="2"/>
      <c r="ELF118" s="2"/>
      <c r="ELG118" s="2"/>
      <c r="ELH118" s="2"/>
      <c r="ELI118" s="2"/>
      <c r="ELJ118" s="2"/>
      <c r="ELK118" s="2"/>
      <c r="ELL118" s="2"/>
      <c r="ELM118" s="2"/>
      <c r="ELN118" s="2"/>
      <c r="ELO118" s="2"/>
      <c r="ELP118" s="2"/>
      <c r="ELQ118" s="2"/>
      <c r="ELR118" s="2"/>
      <c r="ELS118" s="2"/>
      <c r="ELT118" s="2"/>
      <c r="ELU118" s="2"/>
      <c r="ELV118" s="2"/>
      <c r="ELW118" s="2"/>
      <c r="ELX118" s="2"/>
      <c r="ELY118" s="2"/>
      <c r="ELZ118" s="2"/>
      <c r="EMA118" s="2"/>
      <c r="EMB118" s="2"/>
      <c r="EMC118" s="2"/>
      <c r="EMD118" s="2"/>
      <c r="EME118" s="2"/>
      <c r="EMF118" s="2"/>
      <c r="EMG118" s="2"/>
      <c r="EMH118" s="2"/>
      <c r="EMI118" s="2"/>
      <c r="EMJ118" s="2"/>
      <c r="EMK118" s="2"/>
      <c r="EML118" s="2"/>
      <c r="EMM118" s="2"/>
      <c r="EMN118" s="2"/>
      <c r="EMO118" s="2"/>
      <c r="EMP118" s="2"/>
      <c r="EMQ118" s="2"/>
      <c r="EMR118" s="2"/>
      <c r="EMS118" s="2"/>
      <c r="EMT118" s="2"/>
      <c r="EMU118" s="2"/>
      <c r="EMV118" s="2"/>
      <c r="EMW118" s="2"/>
      <c r="EMX118" s="2"/>
      <c r="EMY118" s="2"/>
      <c r="EMZ118" s="2"/>
      <c r="ENA118" s="2"/>
      <c r="ENB118" s="2"/>
      <c r="ENC118" s="2"/>
      <c r="END118" s="2"/>
      <c r="ENE118" s="2"/>
      <c r="ENF118" s="2"/>
      <c r="ENG118" s="2"/>
      <c r="ENH118" s="2"/>
      <c r="ENI118" s="2"/>
      <c r="ENJ118" s="2"/>
      <c r="ENK118" s="2"/>
      <c r="ENL118" s="2"/>
      <c r="ENM118" s="2"/>
      <c r="ENN118" s="2"/>
      <c r="ENO118" s="2"/>
      <c r="ENP118" s="2"/>
      <c r="ENQ118" s="2"/>
      <c r="ENR118" s="2"/>
      <c r="ENS118" s="2"/>
      <c r="ENT118" s="2"/>
      <c r="ENU118" s="2"/>
      <c r="ENV118" s="2"/>
      <c r="ENW118" s="2"/>
      <c r="ENX118" s="2"/>
      <c r="ENY118" s="2"/>
      <c r="ENZ118" s="2"/>
      <c r="EOA118" s="2"/>
      <c r="EOB118" s="2"/>
      <c r="EOC118" s="2"/>
      <c r="EOD118" s="2"/>
      <c r="EOE118" s="2"/>
      <c r="EOF118" s="2"/>
      <c r="EOG118" s="2"/>
      <c r="EOH118" s="2"/>
      <c r="EOI118" s="2"/>
      <c r="EOJ118" s="2"/>
      <c r="EOK118" s="2"/>
      <c r="EOL118" s="2"/>
      <c r="EOM118" s="2"/>
      <c r="EON118" s="2"/>
      <c r="EOO118" s="2"/>
      <c r="EOP118" s="2"/>
      <c r="EOQ118" s="2"/>
      <c r="EOR118" s="2"/>
      <c r="EOS118" s="2"/>
      <c r="EOT118" s="2"/>
      <c r="EOU118" s="2"/>
      <c r="EOV118" s="2"/>
      <c r="EOW118" s="2"/>
      <c r="EOX118" s="2"/>
      <c r="EOY118" s="2"/>
      <c r="EOZ118" s="2"/>
      <c r="EPA118" s="2"/>
      <c r="EPB118" s="2"/>
      <c r="EPC118" s="2"/>
      <c r="EPD118" s="2"/>
      <c r="EPE118" s="2"/>
      <c r="EPF118" s="2"/>
      <c r="EPG118" s="2"/>
      <c r="EPH118" s="2"/>
      <c r="EPI118" s="2"/>
      <c r="EPJ118" s="2"/>
      <c r="EPK118" s="2"/>
      <c r="EPL118" s="2"/>
      <c r="EPM118" s="2"/>
      <c r="EPN118" s="2"/>
      <c r="EPO118" s="2"/>
      <c r="EPP118" s="2"/>
      <c r="EPQ118" s="2"/>
      <c r="EPR118" s="2"/>
      <c r="EPS118" s="2"/>
      <c r="EPT118" s="2"/>
      <c r="EPU118" s="2"/>
      <c r="EPV118" s="2"/>
      <c r="EPW118" s="2"/>
      <c r="EPX118" s="2"/>
      <c r="EPY118" s="2"/>
      <c r="EPZ118" s="2"/>
      <c r="EQA118" s="2"/>
      <c r="EQB118" s="2"/>
      <c r="EQC118" s="2"/>
      <c r="EQD118" s="2"/>
      <c r="EQE118" s="2"/>
      <c r="EQF118" s="2"/>
      <c r="EQG118" s="2"/>
      <c r="EQH118" s="2"/>
      <c r="EQI118" s="2"/>
      <c r="EQJ118" s="2"/>
      <c r="EQK118" s="2"/>
      <c r="EQL118" s="2"/>
      <c r="EQM118" s="2"/>
      <c r="EQN118" s="2"/>
      <c r="EQO118" s="2"/>
      <c r="EQP118" s="2"/>
      <c r="EQQ118" s="2"/>
      <c r="EQR118" s="2"/>
      <c r="EQS118" s="2"/>
      <c r="EQT118" s="2"/>
      <c r="EQU118" s="2"/>
      <c r="EQV118" s="2"/>
      <c r="EQW118" s="2"/>
      <c r="EQX118" s="2"/>
      <c r="EQY118" s="2"/>
      <c r="EQZ118" s="2"/>
      <c r="ERA118" s="2"/>
      <c r="ERB118" s="2"/>
      <c r="ERC118" s="2"/>
      <c r="ERD118" s="2"/>
      <c r="ERE118" s="2"/>
      <c r="ERF118" s="2"/>
      <c r="ERG118" s="2"/>
      <c r="ERH118" s="2"/>
      <c r="ERI118" s="2"/>
      <c r="ERJ118" s="2"/>
      <c r="ERK118" s="2"/>
      <c r="ERL118" s="2"/>
      <c r="ERM118" s="2"/>
      <c r="ERN118" s="2"/>
      <c r="ERO118" s="2"/>
      <c r="ERP118" s="2"/>
      <c r="ERQ118" s="2"/>
      <c r="ERR118" s="2"/>
      <c r="ERS118" s="2"/>
      <c r="ERT118" s="2"/>
      <c r="ERU118" s="2"/>
      <c r="ERV118" s="2"/>
      <c r="ERW118" s="2"/>
      <c r="ERX118" s="2"/>
      <c r="ERY118" s="2"/>
      <c r="ERZ118" s="2"/>
      <c r="ESA118" s="2"/>
      <c r="ESB118" s="2"/>
      <c r="ESC118" s="2"/>
      <c r="ESD118" s="2"/>
      <c r="ESE118" s="2"/>
      <c r="ESF118" s="2"/>
      <c r="ESG118" s="2"/>
      <c r="ESH118" s="2"/>
      <c r="ESI118" s="2"/>
      <c r="ESJ118" s="2"/>
      <c r="ESK118" s="2"/>
      <c r="ESL118" s="2"/>
      <c r="ESM118" s="2"/>
      <c r="ESN118" s="2"/>
      <c r="ESO118" s="2"/>
      <c r="ESP118" s="2"/>
      <c r="ESQ118" s="2"/>
      <c r="ESR118" s="2"/>
      <c r="ESS118" s="2"/>
      <c r="EST118" s="2"/>
      <c r="ESU118" s="2"/>
      <c r="ESV118" s="2"/>
      <c r="ESW118" s="2"/>
      <c r="ESX118" s="2"/>
      <c r="ESY118" s="2"/>
      <c r="ESZ118" s="2"/>
      <c r="ETA118" s="2"/>
      <c r="ETB118" s="2"/>
      <c r="ETC118" s="2"/>
      <c r="ETD118" s="2"/>
      <c r="ETE118" s="2"/>
      <c r="ETF118" s="2"/>
      <c r="ETG118" s="2"/>
      <c r="ETH118" s="2"/>
      <c r="ETI118" s="2"/>
      <c r="ETJ118" s="2"/>
      <c r="ETK118" s="2"/>
      <c r="ETL118" s="2"/>
      <c r="ETM118" s="2"/>
      <c r="ETN118" s="2"/>
      <c r="ETO118" s="2"/>
      <c r="ETP118" s="2"/>
      <c r="ETQ118" s="2"/>
      <c r="ETR118" s="2"/>
      <c r="ETS118" s="2"/>
      <c r="ETT118" s="2"/>
      <c r="ETU118" s="2"/>
      <c r="ETV118" s="2"/>
      <c r="ETW118" s="2"/>
      <c r="ETX118" s="2"/>
      <c r="ETY118" s="2"/>
      <c r="ETZ118" s="2"/>
      <c r="EUA118" s="2"/>
      <c r="EUB118" s="2"/>
      <c r="EUC118" s="2"/>
      <c r="EUD118" s="2"/>
      <c r="EUE118" s="2"/>
      <c r="EUF118" s="2"/>
      <c r="EUG118" s="2"/>
      <c r="EUH118" s="2"/>
      <c r="EUI118" s="2"/>
      <c r="EUJ118" s="2"/>
      <c r="EUK118" s="2"/>
      <c r="EUL118" s="2"/>
      <c r="EUM118" s="2"/>
      <c r="EUN118" s="2"/>
      <c r="EUO118" s="2"/>
      <c r="EUP118" s="2"/>
      <c r="EUQ118" s="2"/>
      <c r="EUR118" s="2"/>
      <c r="EUS118" s="2"/>
      <c r="EUT118" s="2"/>
      <c r="EUU118" s="2"/>
      <c r="EUV118" s="2"/>
      <c r="EUW118" s="2"/>
      <c r="EUX118" s="2"/>
      <c r="EUY118" s="2"/>
      <c r="EUZ118" s="2"/>
      <c r="EVA118" s="2"/>
      <c r="EVB118" s="2"/>
      <c r="EVC118" s="2"/>
      <c r="EVD118" s="2"/>
      <c r="EVE118" s="2"/>
      <c r="EVF118" s="2"/>
      <c r="EVG118" s="2"/>
      <c r="EVH118" s="2"/>
      <c r="EVI118" s="2"/>
      <c r="EVJ118" s="2"/>
      <c r="EVK118" s="2"/>
      <c r="EVL118" s="2"/>
      <c r="EVM118" s="2"/>
      <c r="EVN118" s="2"/>
      <c r="EVO118" s="2"/>
      <c r="EVP118" s="2"/>
      <c r="EVQ118" s="2"/>
      <c r="EVR118" s="2"/>
      <c r="EVS118" s="2"/>
      <c r="EVT118" s="2"/>
      <c r="EVU118" s="2"/>
      <c r="EVV118" s="2"/>
      <c r="EVW118" s="2"/>
      <c r="EVX118" s="2"/>
      <c r="EVY118" s="2"/>
      <c r="EVZ118" s="2"/>
      <c r="EWA118" s="2"/>
      <c r="EWB118" s="2"/>
      <c r="EWC118" s="2"/>
      <c r="EWD118" s="2"/>
      <c r="EWE118" s="2"/>
      <c r="EWF118" s="2"/>
      <c r="EWG118" s="2"/>
      <c r="EWH118" s="2"/>
      <c r="EWI118" s="2"/>
      <c r="EWJ118" s="2"/>
      <c r="EWK118" s="2"/>
      <c r="EWL118" s="2"/>
      <c r="EWM118" s="2"/>
      <c r="EWN118" s="2"/>
      <c r="EWO118" s="2"/>
      <c r="EWP118" s="2"/>
      <c r="EWQ118" s="2"/>
      <c r="EWR118" s="2"/>
      <c r="EWS118" s="2"/>
      <c r="EWT118" s="2"/>
      <c r="EWU118" s="2"/>
      <c r="EWV118" s="2"/>
      <c r="EWW118" s="2"/>
      <c r="EWX118" s="2"/>
      <c r="EWY118" s="2"/>
      <c r="EWZ118" s="2"/>
      <c r="EXA118" s="2"/>
      <c r="EXB118" s="2"/>
      <c r="EXC118" s="2"/>
      <c r="EXD118" s="2"/>
      <c r="EXE118" s="2"/>
      <c r="EXF118" s="2"/>
      <c r="EXG118" s="2"/>
      <c r="EXH118" s="2"/>
      <c r="EXI118" s="2"/>
      <c r="EXJ118" s="2"/>
      <c r="EXK118" s="2"/>
      <c r="EXL118" s="2"/>
      <c r="EXM118" s="2"/>
      <c r="EXN118" s="2"/>
      <c r="EXO118" s="2"/>
      <c r="EXP118" s="2"/>
      <c r="EXQ118" s="2"/>
      <c r="EXR118" s="2"/>
      <c r="EXS118" s="2"/>
      <c r="EXT118" s="2"/>
      <c r="EXU118" s="2"/>
      <c r="EXV118" s="2"/>
      <c r="EXW118" s="2"/>
      <c r="EXX118" s="2"/>
      <c r="EXY118" s="2"/>
      <c r="EXZ118" s="2"/>
      <c r="EYA118" s="2"/>
      <c r="EYB118" s="2"/>
      <c r="EYC118" s="2"/>
      <c r="EYD118" s="2"/>
      <c r="EYE118" s="2"/>
      <c r="EYF118" s="2"/>
      <c r="EYG118" s="2"/>
      <c r="EYH118" s="2"/>
      <c r="EYI118" s="2"/>
      <c r="EYJ118" s="2"/>
      <c r="EYK118" s="2"/>
      <c r="EYL118" s="2"/>
      <c r="EYM118" s="2"/>
      <c r="EYN118" s="2"/>
      <c r="EYO118" s="2"/>
      <c r="EYP118" s="2"/>
      <c r="EYQ118" s="2"/>
      <c r="EYR118" s="2"/>
      <c r="EYS118" s="2"/>
      <c r="EYT118" s="2"/>
      <c r="EYU118" s="2"/>
      <c r="EYV118" s="2"/>
      <c r="EYW118" s="2"/>
      <c r="EYX118" s="2"/>
      <c r="EYY118" s="2"/>
      <c r="EYZ118" s="2"/>
      <c r="EZA118" s="2"/>
      <c r="EZB118" s="2"/>
      <c r="EZC118" s="2"/>
      <c r="EZD118" s="2"/>
      <c r="EZE118" s="2"/>
      <c r="EZF118" s="2"/>
      <c r="EZG118" s="2"/>
      <c r="EZH118" s="2"/>
      <c r="EZI118" s="2"/>
      <c r="EZJ118" s="2"/>
      <c r="EZK118" s="2"/>
      <c r="EZL118" s="2"/>
      <c r="EZM118" s="2"/>
      <c r="EZN118" s="2"/>
      <c r="EZO118" s="2"/>
      <c r="EZP118" s="2"/>
      <c r="EZQ118" s="2"/>
      <c r="EZR118" s="2"/>
      <c r="EZS118" s="2"/>
      <c r="EZT118" s="2"/>
      <c r="EZU118" s="2"/>
      <c r="EZV118" s="2"/>
      <c r="EZW118" s="2"/>
      <c r="EZX118" s="2"/>
      <c r="EZY118" s="2"/>
      <c r="EZZ118" s="2"/>
      <c r="FAA118" s="2"/>
      <c r="FAB118" s="2"/>
      <c r="FAC118" s="2"/>
      <c r="FAD118" s="2"/>
      <c r="FAE118" s="2"/>
      <c r="FAF118" s="2"/>
      <c r="FAG118" s="2"/>
      <c r="FAH118" s="2"/>
      <c r="FAI118" s="2"/>
      <c r="FAJ118" s="2"/>
      <c r="FAK118" s="2"/>
      <c r="FAL118" s="2"/>
      <c r="FAM118" s="2"/>
      <c r="FAN118" s="2"/>
      <c r="FAO118" s="2"/>
      <c r="FAP118" s="2"/>
      <c r="FAQ118" s="2"/>
      <c r="FAR118" s="2"/>
      <c r="FAS118" s="2"/>
      <c r="FAT118" s="2"/>
      <c r="FAU118" s="2"/>
      <c r="FAV118" s="2"/>
      <c r="FAW118" s="2"/>
      <c r="FAX118" s="2"/>
      <c r="FAY118" s="2"/>
      <c r="FAZ118" s="2"/>
      <c r="FBA118" s="2"/>
      <c r="FBB118" s="2"/>
      <c r="FBC118" s="2"/>
      <c r="FBD118" s="2"/>
      <c r="FBE118" s="2"/>
      <c r="FBF118" s="2"/>
      <c r="FBG118" s="2"/>
      <c r="FBH118" s="2"/>
      <c r="FBI118" s="2"/>
      <c r="FBJ118" s="2"/>
      <c r="FBK118" s="2"/>
      <c r="FBL118" s="2"/>
      <c r="FBM118" s="2"/>
      <c r="FBN118" s="2"/>
      <c r="FBO118" s="2"/>
      <c r="FBP118" s="2"/>
      <c r="FBQ118" s="2"/>
      <c r="FBR118" s="2"/>
      <c r="FBS118" s="2"/>
      <c r="FBT118" s="2"/>
      <c r="FBU118" s="2"/>
      <c r="FBV118" s="2"/>
      <c r="FBW118" s="2"/>
      <c r="FBX118" s="2"/>
      <c r="FBY118" s="2"/>
      <c r="FBZ118" s="2"/>
      <c r="FCA118" s="2"/>
      <c r="FCB118" s="2"/>
      <c r="FCC118" s="2"/>
      <c r="FCD118" s="2"/>
      <c r="FCE118" s="2"/>
      <c r="FCF118" s="2"/>
      <c r="FCG118" s="2"/>
      <c r="FCH118" s="2"/>
      <c r="FCI118" s="2"/>
      <c r="FCJ118" s="2"/>
      <c r="FCK118" s="2"/>
      <c r="FCL118" s="2"/>
      <c r="FCM118" s="2"/>
      <c r="FCN118" s="2"/>
      <c r="FCO118" s="2"/>
      <c r="FCP118" s="2"/>
      <c r="FCQ118" s="2"/>
      <c r="FCR118" s="2"/>
      <c r="FCS118" s="2"/>
      <c r="FCT118" s="2"/>
      <c r="FCU118" s="2"/>
      <c r="FCV118" s="2"/>
      <c r="FCW118" s="2"/>
      <c r="FCX118" s="2"/>
      <c r="FCY118" s="2"/>
      <c r="FCZ118" s="2"/>
      <c r="FDA118" s="2"/>
      <c r="FDB118" s="2"/>
      <c r="FDC118" s="2"/>
      <c r="FDD118" s="2"/>
      <c r="FDE118" s="2"/>
      <c r="FDF118" s="2"/>
      <c r="FDG118" s="2"/>
      <c r="FDH118" s="2"/>
      <c r="FDI118" s="2"/>
      <c r="FDJ118" s="2"/>
      <c r="FDK118" s="2"/>
      <c r="FDL118" s="2"/>
      <c r="FDM118" s="2"/>
      <c r="FDN118" s="2"/>
      <c r="FDO118" s="2"/>
      <c r="FDP118" s="2"/>
      <c r="FDQ118" s="2"/>
      <c r="FDR118" s="2"/>
      <c r="FDS118" s="2"/>
      <c r="FDT118" s="2"/>
      <c r="FDU118" s="2"/>
      <c r="FDV118" s="2"/>
      <c r="FDW118" s="2"/>
      <c r="FDX118" s="2"/>
      <c r="FDY118" s="2"/>
      <c r="FDZ118" s="2"/>
      <c r="FEA118" s="2"/>
      <c r="FEB118" s="2"/>
      <c r="FEC118" s="2"/>
      <c r="FED118" s="2"/>
      <c r="FEE118" s="2"/>
      <c r="FEF118" s="2"/>
      <c r="FEG118" s="2"/>
      <c r="FEH118" s="2"/>
      <c r="FEI118" s="2"/>
      <c r="FEJ118" s="2"/>
      <c r="FEK118" s="2"/>
      <c r="FEL118" s="2"/>
      <c r="FEM118" s="2"/>
      <c r="FEN118" s="2"/>
      <c r="FEO118" s="2"/>
      <c r="FEP118" s="2"/>
      <c r="FEQ118" s="2"/>
      <c r="FER118" s="2"/>
      <c r="FES118" s="2"/>
      <c r="FET118" s="2"/>
      <c r="FEU118" s="2"/>
      <c r="FEV118" s="2"/>
      <c r="FEW118" s="2"/>
      <c r="FEX118" s="2"/>
      <c r="FEY118" s="2"/>
      <c r="FEZ118" s="2"/>
      <c r="FFA118" s="2"/>
      <c r="FFB118" s="2"/>
      <c r="FFC118" s="2"/>
      <c r="FFD118" s="2"/>
      <c r="FFE118" s="2"/>
      <c r="FFF118" s="2"/>
      <c r="FFG118" s="2"/>
      <c r="FFH118" s="2"/>
      <c r="FFI118" s="2"/>
      <c r="FFJ118" s="2"/>
      <c r="FFK118" s="2"/>
      <c r="FFL118" s="2"/>
      <c r="FFM118" s="2"/>
      <c r="FFN118" s="2"/>
      <c r="FFO118" s="2"/>
      <c r="FFP118" s="2"/>
      <c r="FFQ118" s="2"/>
      <c r="FFR118" s="2"/>
      <c r="FFS118" s="2"/>
      <c r="FFT118" s="2"/>
      <c r="FFU118" s="2"/>
      <c r="FFV118" s="2"/>
      <c r="FFW118" s="2"/>
      <c r="FFX118" s="2"/>
      <c r="FFY118" s="2"/>
      <c r="FFZ118" s="2"/>
      <c r="FGA118" s="2"/>
      <c r="FGB118" s="2"/>
      <c r="FGC118" s="2"/>
      <c r="FGD118" s="2"/>
      <c r="FGE118" s="2"/>
      <c r="FGF118" s="2"/>
      <c r="FGG118" s="2"/>
      <c r="FGH118" s="2"/>
      <c r="FGI118" s="2"/>
      <c r="FGJ118" s="2"/>
      <c r="FGK118" s="2"/>
      <c r="FGL118" s="2"/>
      <c r="FGM118" s="2"/>
      <c r="FGN118" s="2"/>
      <c r="FGO118" s="2"/>
      <c r="FGP118" s="2"/>
      <c r="FGQ118" s="2"/>
      <c r="FGR118" s="2"/>
      <c r="FGS118" s="2"/>
      <c r="FGT118" s="2"/>
      <c r="FGU118" s="2"/>
      <c r="FGV118" s="2"/>
      <c r="FGW118" s="2"/>
      <c r="FGX118" s="2"/>
      <c r="FGY118" s="2"/>
      <c r="FGZ118" s="2"/>
      <c r="FHA118" s="2"/>
      <c r="FHB118" s="2"/>
      <c r="FHC118" s="2"/>
      <c r="FHD118" s="2"/>
      <c r="FHE118" s="2"/>
      <c r="FHF118" s="2"/>
      <c r="FHG118" s="2"/>
      <c r="FHH118" s="2"/>
      <c r="FHI118" s="2"/>
      <c r="FHJ118" s="2"/>
      <c r="FHK118" s="2"/>
      <c r="FHL118" s="2"/>
      <c r="FHM118" s="2"/>
      <c r="FHN118" s="2"/>
      <c r="FHO118" s="2"/>
      <c r="FHP118" s="2"/>
      <c r="FHQ118" s="2"/>
      <c r="FHR118" s="2"/>
      <c r="FHS118" s="2"/>
      <c r="FHT118" s="2"/>
      <c r="FHU118" s="2"/>
      <c r="FHV118" s="2"/>
      <c r="FHW118" s="2"/>
      <c r="FHX118" s="2"/>
      <c r="FHY118" s="2"/>
      <c r="FHZ118" s="2"/>
      <c r="FIA118" s="2"/>
      <c r="FIB118" s="2"/>
      <c r="FIC118" s="2"/>
      <c r="FID118" s="2"/>
      <c r="FIE118" s="2"/>
      <c r="FIF118" s="2"/>
      <c r="FIG118" s="2"/>
      <c r="FIH118" s="2"/>
      <c r="FII118" s="2"/>
      <c r="FIJ118" s="2"/>
      <c r="FIK118" s="2"/>
      <c r="FIL118" s="2"/>
      <c r="FIM118" s="2"/>
      <c r="FIN118" s="2"/>
      <c r="FIO118" s="2"/>
      <c r="FIP118" s="2"/>
      <c r="FIQ118" s="2"/>
      <c r="FIR118" s="2"/>
      <c r="FIS118" s="2"/>
      <c r="FIT118" s="2"/>
      <c r="FIU118" s="2"/>
      <c r="FIV118" s="2"/>
      <c r="FIW118" s="2"/>
      <c r="FIX118" s="2"/>
      <c r="FIY118" s="2"/>
      <c r="FIZ118" s="2"/>
      <c r="FJA118" s="2"/>
      <c r="FJB118" s="2"/>
      <c r="FJC118" s="2"/>
      <c r="FJD118" s="2"/>
      <c r="FJE118" s="2"/>
      <c r="FJF118" s="2"/>
      <c r="FJG118" s="2"/>
      <c r="FJH118" s="2"/>
      <c r="FJI118" s="2"/>
      <c r="FJJ118" s="2"/>
      <c r="FJK118" s="2"/>
      <c r="FJL118" s="2"/>
      <c r="FJM118" s="2"/>
      <c r="FJN118" s="2"/>
      <c r="FJO118" s="2"/>
      <c r="FJP118" s="2"/>
      <c r="FJQ118" s="2"/>
      <c r="FJR118" s="2"/>
      <c r="FJS118" s="2"/>
      <c r="FJT118" s="2"/>
      <c r="FJU118" s="2"/>
      <c r="FJV118" s="2"/>
      <c r="FJW118" s="2"/>
      <c r="FJX118" s="2"/>
      <c r="FJY118" s="2"/>
      <c r="FJZ118" s="2"/>
      <c r="FKA118" s="2"/>
      <c r="FKB118" s="2"/>
      <c r="FKC118" s="2"/>
      <c r="FKD118" s="2"/>
      <c r="FKE118" s="2"/>
      <c r="FKF118" s="2"/>
      <c r="FKG118" s="2"/>
      <c r="FKH118" s="2"/>
      <c r="FKI118" s="2"/>
      <c r="FKJ118" s="2"/>
      <c r="FKK118" s="2"/>
      <c r="FKL118" s="2"/>
      <c r="FKM118" s="2"/>
      <c r="FKN118" s="2"/>
      <c r="FKO118" s="2"/>
      <c r="FKP118" s="2"/>
      <c r="FKQ118" s="2"/>
      <c r="FKR118" s="2"/>
      <c r="FKS118" s="2"/>
      <c r="FKT118" s="2"/>
      <c r="FKU118" s="2"/>
      <c r="FKV118" s="2"/>
      <c r="FKW118" s="2"/>
      <c r="FKX118" s="2"/>
      <c r="FKY118" s="2"/>
      <c r="FKZ118" s="2"/>
      <c r="FLA118" s="2"/>
      <c r="FLB118" s="2"/>
      <c r="FLC118" s="2"/>
      <c r="FLD118" s="2"/>
      <c r="FLE118" s="2"/>
      <c r="FLF118" s="2"/>
      <c r="FLG118" s="2"/>
      <c r="FLH118" s="2"/>
      <c r="FLI118" s="2"/>
      <c r="FLJ118" s="2"/>
      <c r="FLK118" s="2"/>
      <c r="FLL118" s="2"/>
      <c r="FLM118" s="2"/>
      <c r="FLN118" s="2"/>
      <c r="FLO118" s="2"/>
      <c r="FLP118" s="2"/>
      <c r="FLQ118" s="2"/>
      <c r="FLR118" s="2"/>
      <c r="FLS118" s="2"/>
      <c r="FLT118" s="2"/>
      <c r="FLU118" s="2"/>
      <c r="FLV118" s="2"/>
      <c r="FLW118" s="2"/>
      <c r="FLX118" s="2"/>
      <c r="FLY118" s="2"/>
      <c r="FLZ118" s="2"/>
      <c r="FMA118" s="2"/>
      <c r="FMB118" s="2"/>
      <c r="FMC118" s="2"/>
      <c r="FMD118" s="2"/>
      <c r="FME118" s="2"/>
      <c r="FMF118" s="2"/>
      <c r="FMG118" s="2"/>
      <c r="FMH118" s="2"/>
      <c r="FMI118" s="2"/>
      <c r="FMJ118" s="2"/>
      <c r="FMK118" s="2"/>
      <c r="FML118" s="2"/>
      <c r="FMM118" s="2"/>
      <c r="FMN118" s="2"/>
      <c r="FMO118" s="2"/>
      <c r="FMP118" s="2"/>
      <c r="FMQ118" s="2"/>
      <c r="FMR118" s="2"/>
      <c r="FMS118" s="2"/>
      <c r="FMT118" s="2"/>
      <c r="FMU118" s="2"/>
      <c r="FMV118" s="2"/>
      <c r="FMW118" s="2"/>
      <c r="FMX118" s="2"/>
      <c r="FMY118" s="2"/>
      <c r="FMZ118" s="2"/>
      <c r="FNA118" s="2"/>
      <c r="FNB118" s="2"/>
      <c r="FNC118" s="2"/>
      <c r="FND118" s="2"/>
      <c r="FNE118" s="2"/>
      <c r="FNF118" s="2"/>
      <c r="FNG118" s="2"/>
      <c r="FNH118" s="2"/>
      <c r="FNI118" s="2"/>
      <c r="FNJ118" s="2"/>
      <c r="FNK118" s="2"/>
      <c r="FNL118" s="2"/>
      <c r="FNM118" s="2"/>
      <c r="FNN118" s="2"/>
      <c r="FNO118" s="2"/>
      <c r="FNP118" s="2"/>
      <c r="FNQ118" s="2"/>
      <c r="FNR118" s="2"/>
      <c r="FNS118" s="2"/>
      <c r="FNT118" s="2"/>
      <c r="FNU118" s="2"/>
      <c r="FNV118" s="2"/>
      <c r="FNW118" s="2"/>
      <c r="FNX118" s="2"/>
      <c r="FNY118" s="2"/>
      <c r="FNZ118" s="2"/>
      <c r="FOA118" s="2"/>
      <c r="FOB118" s="2"/>
      <c r="FOC118" s="2"/>
      <c r="FOD118" s="2"/>
      <c r="FOE118" s="2"/>
      <c r="FOF118" s="2"/>
      <c r="FOG118" s="2"/>
      <c r="FOH118" s="2"/>
      <c r="FOI118" s="2"/>
      <c r="FOJ118" s="2"/>
      <c r="FOK118" s="2"/>
      <c r="FOL118" s="2"/>
      <c r="FOM118" s="2"/>
      <c r="FON118" s="2"/>
      <c r="FOO118" s="2"/>
      <c r="FOP118" s="2"/>
      <c r="FOQ118" s="2"/>
      <c r="FOR118" s="2"/>
      <c r="FOS118" s="2"/>
      <c r="FOT118" s="2"/>
      <c r="FOU118" s="2"/>
      <c r="FOV118" s="2"/>
      <c r="FOW118" s="2"/>
      <c r="FOX118" s="2"/>
      <c r="FOY118" s="2"/>
      <c r="FOZ118" s="2"/>
      <c r="FPA118" s="2"/>
      <c r="FPB118" s="2"/>
      <c r="FPC118" s="2"/>
      <c r="FPD118" s="2"/>
      <c r="FPE118" s="2"/>
      <c r="FPF118" s="2"/>
      <c r="FPG118" s="2"/>
      <c r="FPH118" s="2"/>
      <c r="FPI118" s="2"/>
      <c r="FPJ118" s="2"/>
      <c r="FPK118" s="2"/>
      <c r="FPL118" s="2"/>
      <c r="FPM118" s="2"/>
      <c r="FPN118" s="2"/>
      <c r="FPO118" s="2"/>
      <c r="FPP118" s="2"/>
      <c r="FPQ118" s="2"/>
      <c r="FPR118" s="2"/>
      <c r="FPS118" s="2"/>
      <c r="FPT118" s="2"/>
      <c r="FPU118" s="2"/>
      <c r="FPV118" s="2"/>
      <c r="FPW118" s="2"/>
      <c r="FPX118" s="2"/>
      <c r="FPY118" s="2"/>
      <c r="FPZ118" s="2"/>
      <c r="FQA118" s="2"/>
      <c r="FQB118" s="2"/>
      <c r="FQC118" s="2"/>
      <c r="FQD118" s="2"/>
      <c r="FQE118" s="2"/>
      <c r="FQF118" s="2"/>
      <c r="FQG118" s="2"/>
      <c r="FQH118" s="2"/>
      <c r="FQI118" s="2"/>
      <c r="FQJ118" s="2"/>
      <c r="FQK118" s="2"/>
      <c r="FQL118" s="2"/>
      <c r="FQM118" s="2"/>
      <c r="FQN118" s="2"/>
      <c r="FQO118" s="2"/>
      <c r="FQP118" s="2"/>
      <c r="FQQ118" s="2"/>
      <c r="FQR118" s="2"/>
      <c r="FQS118" s="2"/>
      <c r="FQT118" s="2"/>
      <c r="FQU118" s="2"/>
      <c r="FQV118" s="2"/>
      <c r="FQW118" s="2"/>
      <c r="FQX118" s="2"/>
      <c r="FQY118" s="2"/>
      <c r="FQZ118" s="2"/>
      <c r="FRA118" s="2"/>
      <c r="FRB118" s="2"/>
      <c r="FRC118" s="2"/>
      <c r="FRD118" s="2"/>
      <c r="FRE118" s="2"/>
      <c r="FRF118" s="2"/>
      <c r="FRG118" s="2"/>
      <c r="FRH118" s="2"/>
      <c r="FRI118" s="2"/>
      <c r="FRJ118" s="2"/>
      <c r="FRK118" s="2"/>
      <c r="FRL118" s="2"/>
      <c r="FRM118" s="2"/>
      <c r="FRN118" s="2"/>
      <c r="FRO118" s="2"/>
      <c r="FRP118" s="2"/>
      <c r="FRQ118" s="2"/>
      <c r="FRR118" s="2"/>
      <c r="FRS118" s="2"/>
      <c r="FRT118" s="2"/>
      <c r="FRU118" s="2"/>
      <c r="FRV118" s="2"/>
      <c r="FRW118" s="2"/>
      <c r="FRX118" s="2"/>
      <c r="FRY118" s="2"/>
      <c r="FRZ118" s="2"/>
      <c r="FSA118" s="2"/>
      <c r="FSB118" s="2"/>
      <c r="FSC118" s="2"/>
      <c r="FSD118" s="2"/>
      <c r="FSE118" s="2"/>
      <c r="FSF118" s="2"/>
      <c r="FSG118" s="2"/>
      <c r="FSH118" s="2"/>
      <c r="FSI118" s="2"/>
      <c r="FSJ118" s="2"/>
      <c r="FSK118" s="2"/>
      <c r="FSL118" s="2"/>
      <c r="FSM118" s="2"/>
      <c r="FSN118" s="2"/>
      <c r="FSO118" s="2"/>
      <c r="FSP118" s="2"/>
      <c r="FSQ118" s="2"/>
      <c r="FSR118" s="2"/>
      <c r="FSS118" s="2"/>
      <c r="FST118" s="2"/>
      <c r="FSU118" s="2"/>
      <c r="FSV118" s="2"/>
      <c r="FSW118" s="2"/>
      <c r="FSX118" s="2"/>
      <c r="FSY118" s="2"/>
      <c r="FSZ118" s="2"/>
      <c r="FTA118" s="2"/>
      <c r="FTB118" s="2"/>
      <c r="FTC118" s="2"/>
      <c r="FTD118" s="2"/>
      <c r="FTE118" s="2"/>
      <c r="FTF118" s="2"/>
      <c r="FTG118" s="2"/>
      <c r="FTH118" s="2"/>
      <c r="FTI118" s="2"/>
      <c r="FTJ118" s="2"/>
      <c r="FTK118" s="2"/>
      <c r="FTL118" s="2"/>
      <c r="FTM118" s="2"/>
      <c r="FTN118" s="2"/>
      <c r="FTO118" s="2"/>
      <c r="FTP118" s="2"/>
      <c r="FTQ118" s="2"/>
      <c r="FTR118" s="2"/>
      <c r="FTS118" s="2"/>
      <c r="FTT118" s="2"/>
      <c r="FTU118" s="2"/>
      <c r="FTV118" s="2"/>
      <c r="FTW118" s="2"/>
      <c r="FTX118" s="2"/>
      <c r="FTY118" s="2"/>
      <c r="FTZ118" s="2"/>
      <c r="FUA118" s="2"/>
      <c r="FUB118" s="2"/>
      <c r="FUC118" s="2"/>
      <c r="FUD118" s="2"/>
      <c r="FUE118" s="2"/>
      <c r="FUF118" s="2"/>
      <c r="FUG118" s="2"/>
      <c r="FUH118" s="2"/>
      <c r="FUI118" s="2"/>
      <c r="FUJ118" s="2"/>
      <c r="FUK118" s="2"/>
      <c r="FUL118" s="2"/>
      <c r="FUM118" s="2"/>
      <c r="FUN118" s="2"/>
      <c r="FUO118" s="2"/>
      <c r="FUP118" s="2"/>
      <c r="FUQ118" s="2"/>
      <c r="FUR118" s="2"/>
      <c r="FUS118" s="2"/>
      <c r="FUT118" s="2"/>
      <c r="FUU118" s="2"/>
      <c r="FUV118" s="2"/>
      <c r="FUW118" s="2"/>
      <c r="FUX118" s="2"/>
      <c r="FUY118" s="2"/>
      <c r="FUZ118" s="2"/>
      <c r="FVA118" s="2"/>
      <c r="FVB118" s="2"/>
      <c r="FVC118" s="2"/>
      <c r="FVD118" s="2"/>
      <c r="FVE118" s="2"/>
      <c r="FVF118" s="2"/>
      <c r="FVG118" s="2"/>
      <c r="FVH118" s="2"/>
      <c r="FVI118" s="2"/>
      <c r="FVJ118" s="2"/>
      <c r="FVK118" s="2"/>
      <c r="FVL118" s="2"/>
      <c r="FVM118" s="2"/>
      <c r="FVN118" s="2"/>
      <c r="FVO118" s="2"/>
      <c r="FVP118" s="2"/>
      <c r="FVQ118" s="2"/>
      <c r="FVR118" s="2"/>
      <c r="FVS118" s="2"/>
      <c r="FVT118" s="2"/>
      <c r="FVU118" s="2"/>
      <c r="FVV118" s="2"/>
      <c r="FVW118" s="2"/>
      <c r="FVX118" s="2"/>
      <c r="FVY118" s="2"/>
      <c r="FVZ118" s="2"/>
      <c r="FWA118" s="2"/>
      <c r="FWB118" s="2"/>
      <c r="FWC118" s="2"/>
      <c r="FWD118" s="2"/>
      <c r="FWE118" s="2"/>
      <c r="FWF118" s="2"/>
      <c r="FWG118" s="2"/>
      <c r="FWH118" s="2"/>
      <c r="FWI118" s="2"/>
      <c r="FWJ118" s="2"/>
      <c r="FWK118" s="2"/>
      <c r="FWL118" s="2"/>
      <c r="FWM118" s="2"/>
      <c r="FWN118" s="2"/>
      <c r="FWO118" s="2"/>
      <c r="FWP118" s="2"/>
      <c r="FWQ118" s="2"/>
      <c r="FWR118" s="2"/>
      <c r="FWS118" s="2"/>
      <c r="FWT118" s="2"/>
      <c r="FWU118" s="2"/>
      <c r="FWV118" s="2"/>
      <c r="FWW118" s="2"/>
      <c r="FWX118" s="2"/>
      <c r="FWY118" s="2"/>
      <c r="FWZ118" s="2"/>
      <c r="FXA118" s="2"/>
      <c r="FXB118" s="2"/>
      <c r="FXC118" s="2"/>
      <c r="FXD118" s="2"/>
      <c r="FXE118" s="2"/>
      <c r="FXF118" s="2"/>
      <c r="FXG118" s="2"/>
      <c r="FXH118" s="2"/>
      <c r="FXI118" s="2"/>
      <c r="FXJ118" s="2"/>
      <c r="FXK118" s="2"/>
      <c r="FXL118" s="2"/>
      <c r="FXM118" s="2"/>
      <c r="FXN118" s="2"/>
      <c r="FXO118" s="2"/>
      <c r="FXP118" s="2"/>
      <c r="FXQ118" s="2"/>
      <c r="FXR118" s="2"/>
      <c r="FXS118" s="2"/>
      <c r="FXT118" s="2"/>
      <c r="FXU118" s="2"/>
      <c r="FXV118" s="2"/>
      <c r="FXW118" s="2"/>
      <c r="FXX118" s="2"/>
      <c r="FXY118" s="2"/>
      <c r="FXZ118" s="2"/>
      <c r="FYA118" s="2"/>
      <c r="FYB118" s="2"/>
      <c r="FYC118" s="2"/>
      <c r="FYD118" s="2"/>
      <c r="FYE118" s="2"/>
      <c r="FYF118" s="2"/>
      <c r="FYG118" s="2"/>
      <c r="FYH118" s="2"/>
      <c r="FYI118" s="2"/>
      <c r="FYJ118" s="2"/>
      <c r="FYK118" s="2"/>
      <c r="FYL118" s="2"/>
      <c r="FYM118" s="2"/>
      <c r="FYN118" s="2"/>
      <c r="FYO118" s="2"/>
      <c r="FYP118" s="2"/>
      <c r="FYQ118" s="2"/>
      <c r="FYR118" s="2"/>
      <c r="FYS118" s="2"/>
      <c r="FYT118" s="2"/>
      <c r="FYU118" s="2"/>
      <c r="FYV118" s="2"/>
      <c r="FYW118" s="2"/>
      <c r="FYX118" s="2"/>
      <c r="FYY118" s="2"/>
      <c r="FYZ118" s="2"/>
      <c r="FZA118" s="2"/>
      <c r="FZB118" s="2"/>
      <c r="FZC118" s="2"/>
      <c r="FZD118" s="2"/>
      <c r="FZE118" s="2"/>
      <c r="FZF118" s="2"/>
      <c r="FZG118" s="2"/>
      <c r="FZH118" s="2"/>
      <c r="FZI118" s="2"/>
      <c r="FZJ118" s="2"/>
      <c r="FZK118" s="2"/>
      <c r="FZL118" s="2"/>
      <c r="FZM118" s="2"/>
      <c r="FZN118" s="2"/>
      <c r="FZO118" s="2"/>
      <c r="FZP118" s="2"/>
      <c r="FZQ118" s="2"/>
      <c r="FZR118" s="2"/>
      <c r="FZS118" s="2"/>
      <c r="FZT118" s="2"/>
      <c r="FZU118" s="2"/>
      <c r="FZV118" s="2"/>
      <c r="FZW118" s="2"/>
      <c r="FZX118" s="2"/>
      <c r="FZY118" s="2"/>
      <c r="FZZ118" s="2"/>
      <c r="GAA118" s="2"/>
      <c r="GAB118" s="2"/>
      <c r="GAC118" s="2"/>
      <c r="GAD118" s="2"/>
      <c r="GAE118" s="2"/>
      <c r="GAF118" s="2"/>
      <c r="GAG118" s="2"/>
      <c r="GAH118" s="2"/>
      <c r="GAI118" s="2"/>
      <c r="GAJ118" s="2"/>
      <c r="GAK118" s="2"/>
      <c r="GAL118" s="2"/>
      <c r="GAM118" s="2"/>
      <c r="GAN118" s="2"/>
      <c r="GAO118" s="2"/>
      <c r="GAP118" s="2"/>
      <c r="GAQ118" s="2"/>
      <c r="GAR118" s="2"/>
      <c r="GAS118" s="2"/>
      <c r="GAT118" s="2"/>
      <c r="GAU118" s="2"/>
      <c r="GAV118" s="2"/>
      <c r="GAW118" s="2"/>
      <c r="GAX118" s="2"/>
      <c r="GAY118" s="2"/>
      <c r="GAZ118" s="2"/>
      <c r="GBA118" s="2"/>
      <c r="GBB118" s="2"/>
      <c r="GBC118" s="2"/>
      <c r="GBD118" s="2"/>
      <c r="GBE118" s="2"/>
      <c r="GBF118" s="2"/>
      <c r="GBG118" s="2"/>
      <c r="GBH118" s="2"/>
      <c r="GBI118" s="2"/>
      <c r="GBJ118" s="2"/>
      <c r="GBK118" s="2"/>
      <c r="GBL118" s="2"/>
      <c r="GBM118" s="2"/>
      <c r="GBN118" s="2"/>
      <c r="GBO118" s="2"/>
      <c r="GBP118" s="2"/>
      <c r="GBQ118" s="2"/>
      <c r="GBR118" s="2"/>
      <c r="GBS118" s="2"/>
      <c r="GBT118" s="2"/>
      <c r="GBU118" s="2"/>
      <c r="GBV118" s="2"/>
      <c r="GBW118" s="2"/>
      <c r="GBX118" s="2"/>
      <c r="GBY118" s="2"/>
      <c r="GBZ118" s="2"/>
      <c r="GCA118" s="2"/>
      <c r="GCB118" s="2"/>
      <c r="GCC118" s="2"/>
      <c r="GCD118" s="2"/>
      <c r="GCE118" s="2"/>
      <c r="GCF118" s="2"/>
      <c r="GCG118" s="2"/>
      <c r="GCH118" s="2"/>
      <c r="GCI118" s="2"/>
      <c r="GCJ118" s="2"/>
      <c r="GCK118" s="2"/>
      <c r="GCL118" s="2"/>
      <c r="GCM118" s="2"/>
      <c r="GCN118" s="2"/>
      <c r="GCO118" s="2"/>
      <c r="GCP118" s="2"/>
      <c r="GCQ118" s="2"/>
      <c r="GCR118" s="2"/>
      <c r="GCS118" s="2"/>
      <c r="GCT118" s="2"/>
      <c r="GCU118" s="2"/>
      <c r="GCV118" s="2"/>
      <c r="GCW118" s="2"/>
      <c r="GCX118" s="2"/>
      <c r="GCY118" s="2"/>
      <c r="GCZ118" s="2"/>
      <c r="GDA118" s="2"/>
      <c r="GDB118" s="2"/>
      <c r="GDC118" s="2"/>
      <c r="GDD118" s="2"/>
      <c r="GDE118" s="2"/>
      <c r="GDF118" s="2"/>
      <c r="GDG118" s="2"/>
      <c r="GDH118" s="2"/>
      <c r="GDI118" s="2"/>
      <c r="GDJ118" s="2"/>
      <c r="GDK118" s="2"/>
      <c r="GDL118" s="2"/>
      <c r="GDM118" s="2"/>
      <c r="GDN118" s="2"/>
      <c r="GDO118" s="2"/>
      <c r="GDP118" s="2"/>
      <c r="GDQ118" s="2"/>
      <c r="GDR118" s="2"/>
      <c r="GDS118" s="2"/>
      <c r="GDT118" s="2"/>
      <c r="GDU118" s="2"/>
      <c r="GDV118" s="2"/>
      <c r="GDW118" s="2"/>
      <c r="GDX118" s="2"/>
      <c r="GDY118" s="2"/>
      <c r="GDZ118" s="2"/>
      <c r="GEA118" s="2"/>
      <c r="GEB118" s="2"/>
      <c r="GEC118" s="2"/>
      <c r="GED118" s="2"/>
      <c r="GEE118" s="2"/>
      <c r="GEF118" s="2"/>
      <c r="GEG118" s="2"/>
      <c r="GEH118" s="2"/>
      <c r="GEI118" s="2"/>
      <c r="GEJ118" s="2"/>
      <c r="GEK118" s="2"/>
      <c r="GEL118" s="2"/>
      <c r="GEM118" s="2"/>
      <c r="GEN118" s="2"/>
      <c r="GEO118" s="2"/>
      <c r="GEP118" s="2"/>
      <c r="GEQ118" s="2"/>
      <c r="GER118" s="2"/>
      <c r="GES118" s="2"/>
      <c r="GET118" s="2"/>
      <c r="GEU118" s="2"/>
      <c r="GEV118" s="2"/>
      <c r="GEW118" s="2"/>
      <c r="GEX118" s="2"/>
      <c r="GEY118" s="2"/>
      <c r="GEZ118" s="2"/>
      <c r="GFA118" s="2"/>
      <c r="GFB118" s="2"/>
      <c r="GFC118" s="2"/>
      <c r="GFD118" s="2"/>
      <c r="GFE118" s="2"/>
      <c r="GFF118" s="2"/>
      <c r="GFG118" s="2"/>
      <c r="GFH118" s="2"/>
      <c r="GFI118" s="2"/>
      <c r="GFJ118" s="2"/>
      <c r="GFK118" s="2"/>
      <c r="GFL118" s="2"/>
      <c r="GFM118" s="2"/>
      <c r="GFN118" s="2"/>
      <c r="GFO118" s="2"/>
      <c r="GFP118" s="2"/>
      <c r="GFQ118" s="2"/>
      <c r="GFR118" s="2"/>
      <c r="GFS118" s="2"/>
      <c r="GFT118" s="2"/>
      <c r="GFU118" s="2"/>
      <c r="GFV118" s="2"/>
      <c r="GFW118" s="2"/>
      <c r="GFX118" s="2"/>
      <c r="GFY118" s="2"/>
      <c r="GFZ118" s="2"/>
      <c r="GGA118" s="2"/>
      <c r="GGB118" s="2"/>
      <c r="GGC118" s="2"/>
      <c r="GGD118" s="2"/>
      <c r="GGE118" s="2"/>
      <c r="GGF118" s="2"/>
      <c r="GGG118" s="2"/>
      <c r="GGH118" s="2"/>
      <c r="GGI118" s="2"/>
      <c r="GGJ118" s="2"/>
      <c r="GGK118" s="2"/>
      <c r="GGL118" s="2"/>
      <c r="GGM118" s="2"/>
      <c r="GGN118" s="2"/>
      <c r="GGO118" s="2"/>
      <c r="GGP118" s="2"/>
      <c r="GGQ118" s="2"/>
      <c r="GGR118" s="2"/>
      <c r="GGS118" s="2"/>
      <c r="GGT118" s="2"/>
      <c r="GGU118" s="2"/>
      <c r="GGV118" s="2"/>
      <c r="GGW118" s="2"/>
      <c r="GGX118" s="2"/>
      <c r="GGY118" s="2"/>
      <c r="GGZ118" s="2"/>
      <c r="GHA118" s="2"/>
      <c r="GHB118" s="2"/>
      <c r="GHC118" s="2"/>
      <c r="GHD118" s="2"/>
      <c r="GHE118" s="2"/>
      <c r="GHF118" s="2"/>
      <c r="GHG118" s="2"/>
      <c r="GHH118" s="2"/>
      <c r="GHI118" s="2"/>
      <c r="GHJ118" s="2"/>
      <c r="GHK118" s="2"/>
      <c r="GHL118" s="2"/>
      <c r="GHM118" s="2"/>
      <c r="GHN118" s="2"/>
      <c r="GHO118" s="2"/>
      <c r="GHP118" s="2"/>
      <c r="GHQ118" s="2"/>
      <c r="GHR118" s="2"/>
      <c r="GHS118" s="2"/>
      <c r="GHT118" s="2"/>
      <c r="GHU118" s="2"/>
      <c r="GHV118" s="2"/>
      <c r="GHW118" s="2"/>
      <c r="GHX118" s="2"/>
      <c r="GHY118" s="2"/>
      <c r="GHZ118" s="2"/>
      <c r="GIA118" s="2"/>
      <c r="GIB118" s="2"/>
      <c r="GIC118" s="2"/>
      <c r="GID118" s="2"/>
      <c r="GIE118" s="2"/>
      <c r="GIF118" s="2"/>
      <c r="GIG118" s="2"/>
      <c r="GIH118" s="2"/>
      <c r="GII118" s="2"/>
      <c r="GIJ118" s="2"/>
      <c r="GIK118" s="2"/>
      <c r="GIL118" s="2"/>
      <c r="GIM118" s="2"/>
      <c r="GIN118" s="2"/>
      <c r="GIO118" s="2"/>
      <c r="GIP118" s="2"/>
      <c r="GIQ118" s="2"/>
      <c r="GIR118" s="2"/>
      <c r="GIS118" s="2"/>
      <c r="GIT118" s="2"/>
      <c r="GIU118" s="2"/>
      <c r="GIV118" s="2"/>
      <c r="GIW118" s="2"/>
      <c r="GIX118" s="2"/>
      <c r="GIY118" s="2"/>
      <c r="GIZ118" s="2"/>
      <c r="GJA118" s="2"/>
      <c r="GJB118" s="2"/>
      <c r="GJC118" s="2"/>
      <c r="GJD118" s="2"/>
      <c r="GJE118" s="2"/>
      <c r="GJF118" s="2"/>
      <c r="GJG118" s="2"/>
      <c r="GJH118" s="2"/>
      <c r="GJI118" s="2"/>
      <c r="GJJ118" s="2"/>
      <c r="GJK118" s="2"/>
      <c r="GJL118" s="2"/>
      <c r="GJM118" s="2"/>
      <c r="GJN118" s="2"/>
      <c r="GJO118" s="2"/>
      <c r="GJP118" s="2"/>
      <c r="GJQ118" s="2"/>
      <c r="GJR118" s="2"/>
      <c r="GJS118" s="2"/>
      <c r="GJT118" s="2"/>
      <c r="GJU118" s="2"/>
      <c r="GJV118" s="2"/>
      <c r="GJW118" s="2"/>
      <c r="GJX118" s="2"/>
      <c r="GJY118" s="2"/>
      <c r="GJZ118" s="2"/>
      <c r="GKA118" s="2"/>
      <c r="GKB118" s="2"/>
      <c r="GKC118" s="2"/>
      <c r="GKD118" s="2"/>
      <c r="GKE118" s="2"/>
      <c r="GKF118" s="2"/>
      <c r="GKG118" s="2"/>
      <c r="GKH118" s="2"/>
      <c r="GKI118" s="2"/>
      <c r="GKJ118" s="2"/>
      <c r="GKK118" s="2"/>
      <c r="GKL118" s="2"/>
      <c r="GKM118" s="2"/>
      <c r="GKN118" s="2"/>
      <c r="GKO118" s="2"/>
      <c r="GKP118" s="2"/>
      <c r="GKQ118" s="2"/>
      <c r="GKR118" s="2"/>
      <c r="GKS118" s="2"/>
      <c r="GKT118" s="2"/>
      <c r="GKU118" s="2"/>
      <c r="GKV118" s="2"/>
      <c r="GKW118" s="2"/>
      <c r="GKX118" s="2"/>
      <c r="GKY118" s="2"/>
      <c r="GKZ118" s="2"/>
      <c r="GLA118" s="2"/>
      <c r="GLB118" s="2"/>
      <c r="GLC118" s="2"/>
      <c r="GLD118" s="2"/>
      <c r="GLE118" s="2"/>
      <c r="GLF118" s="2"/>
      <c r="GLG118" s="2"/>
      <c r="GLH118" s="2"/>
      <c r="GLI118" s="2"/>
      <c r="GLJ118" s="2"/>
      <c r="GLK118" s="2"/>
      <c r="GLL118" s="2"/>
      <c r="GLM118" s="2"/>
      <c r="GLN118" s="2"/>
      <c r="GLO118" s="2"/>
      <c r="GLP118" s="2"/>
      <c r="GLQ118" s="2"/>
      <c r="GLR118" s="2"/>
      <c r="GLS118" s="2"/>
      <c r="GLT118" s="2"/>
      <c r="GLU118" s="2"/>
      <c r="GLV118" s="2"/>
      <c r="GLW118" s="2"/>
      <c r="GLX118" s="2"/>
      <c r="GLY118" s="2"/>
      <c r="GLZ118" s="2"/>
      <c r="GMA118" s="2"/>
      <c r="GMB118" s="2"/>
      <c r="GMC118" s="2"/>
      <c r="GMD118" s="2"/>
      <c r="GME118" s="2"/>
      <c r="GMF118" s="2"/>
      <c r="GMG118" s="2"/>
      <c r="GMH118" s="2"/>
      <c r="GMI118" s="2"/>
      <c r="GMJ118" s="2"/>
      <c r="GMK118" s="2"/>
      <c r="GML118" s="2"/>
      <c r="GMM118" s="2"/>
      <c r="GMN118" s="2"/>
      <c r="GMO118" s="2"/>
      <c r="GMP118" s="2"/>
      <c r="GMQ118" s="2"/>
      <c r="GMR118" s="2"/>
      <c r="GMS118" s="2"/>
      <c r="GMT118" s="2"/>
      <c r="GMU118" s="2"/>
      <c r="GMV118" s="2"/>
      <c r="GMW118" s="2"/>
      <c r="GMX118" s="2"/>
      <c r="GMY118" s="2"/>
      <c r="GMZ118" s="2"/>
      <c r="GNA118" s="2"/>
      <c r="GNB118" s="2"/>
      <c r="GNC118" s="2"/>
      <c r="GND118" s="2"/>
      <c r="GNE118" s="2"/>
      <c r="GNF118" s="2"/>
      <c r="GNG118" s="2"/>
      <c r="GNH118" s="2"/>
      <c r="GNI118" s="2"/>
      <c r="GNJ118" s="2"/>
      <c r="GNK118" s="2"/>
      <c r="GNL118" s="2"/>
      <c r="GNM118" s="2"/>
      <c r="GNN118" s="2"/>
      <c r="GNO118" s="2"/>
      <c r="GNP118" s="2"/>
      <c r="GNQ118" s="2"/>
      <c r="GNR118" s="2"/>
      <c r="GNS118" s="2"/>
      <c r="GNT118" s="2"/>
      <c r="GNU118" s="2"/>
      <c r="GNV118" s="2"/>
      <c r="GNW118" s="2"/>
      <c r="GNX118" s="2"/>
      <c r="GNY118" s="2"/>
      <c r="GNZ118" s="2"/>
      <c r="GOA118" s="2"/>
      <c r="GOB118" s="2"/>
      <c r="GOC118" s="2"/>
      <c r="GOD118" s="2"/>
      <c r="GOE118" s="2"/>
      <c r="GOF118" s="2"/>
      <c r="GOG118" s="2"/>
      <c r="GOH118" s="2"/>
      <c r="GOI118" s="2"/>
      <c r="GOJ118" s="2"/>
      <c r="GOK118" s="2"/>
      <c r="GOL118" s="2"/>
      <c r="GOM118" s="2"/>
      <c r="GON118" s="2"/>
      <c r="GOO118" s="2"/>
      <c r="GOP118" s="2"/>
      <c r="GOQ118" s="2"/>
      <c r="GOR118" s="2"/>
      <c r="GOS118" s="2"/>
      <c r="GOT118" s="2"/>
      <c r="GOU118" s="2"/>
      <c r="GOV118" s="2"/>
      <c r="GOW118" s="2"/>
      <c r="GOX118" s="2"/>
      <c r="GOY118" s="2"/>
      <c r="GOZ118" s="2"/>
      <c r="GPA118" s="2"/>
      <c r="GPB118" s="2"/>
      <c r="GPC118" s="2"/>
      <c r="GPD118" s="2"/>
      <c r="GPE118" s="2"/>
      <c r="GPF118" s="2"/>
      <c r="GPG118" s="2"/>
      <c r="GPH118" s="2"/>
      <c r="GPI118" s="2"/>
      <c r="GPJ118" s="2"/>
      <c r="GPK118" s="2"/>
      <c r="GPL118" s="2"/>
      <c r="GPM118" s="2"/>
      <c r="GPN118" s="2"/>
      <c r="GPO118" s="2"/>
      <c r="GPP118" s="2"/>
      <c r="GPQ118" s="2"/>
      <c r="GPR118" s="2"/>
      <c r="GPS118" s="2"/>
      <c r="GPT118" s="2"/>
      <c r="GPU118" s="2"/>
      <c r="GPV118" s="2"/>
      <c r="GPW118" s="2"/>
      <c r="GPX118" s="2"/>
      <c r="GPY118" s="2"/>
      <c r="GPZ118" s="2"/>
      <c r="GQA118" s="2"/>
      <c r="GQB118" s="2"/>
      <c r="GQC118" s="2"/>
      <c r="GQD118" s="2"/>
      <c r="GQE118" s="2"/>
      <c r="GQF118" s="2"/>
      <c r="GQG118" s="2"/>
      <c r="GQH118" s="2"/>
      <c r="GQI118" s="2"/>
      <c r="GQJ118" s="2"/>
      <c r="GQK118" s="2"/>
      <c r="GQL118" s="2"/>
      <c r="GQM118" s="2"/>
      <c r="GQN118" s="2"/>
      <c r="GQO118" s="2"/>
      <c r="GQP118" s="2"/>
      <c r="GQQ118" s="2"/>
      <c r="GQR118" s="2"/>
      <c r="GQS118" s="2"/>
      <c r="GQT118" s="2"/>
      <c r="GQU118" s="2"/>
      <c r="GQV118" s="2"/>
      <c r="GQW118" s="2"/>
      <c r="GQX118" s="2"/>
      <c r="GQY118" s="2"/>
      <c r="GQZ118" s="2"/>
      <c r="GRA118" s="2"/>
      <c r="GRB118" s="2"/>
      <c r="GRC118" s="2"/>
      <c r="GRD118" s="2"/>
      <c r="GRE118" s="2"/>
      <c r="GRF118" s="2"/>
      <c r="GRG118" s="2"/>
      <c r="GRH118" s="2"/>
      <c r="GRI118" s="2"/>
      <c r="GRJ118" s="2"/>
      <c r="GRK118" s="2"/>
      <c r="GRL118" s="2"/>
      <c r="GRM118" s="2"/>
      <c r="GRN118" s="2"/>
      <c r="GRO118" s="2"/>
      <c r="GRP118" s="2"/>
      <c r="GRQ118" s="2"/>
      <c r="GRR118" s="2"/>
      <c r="GRS118" s="2"/>
      <c r="GRT118" s="2"/>
      <c r="GRU118" s="2"/>
      <c r="GRV118" s="2"/>
      <c r="GRW118" s="2"/>
      <c r="GRX118" s="2"/>
      <c r="GRY118" s="2"/>
      <c r="GRZ118" s="2"/>
      <c r="GSA118" s="2"/>
      <c r="GSB118" s="2"/>
      <c r="GSC118" s="2"/>
      <c r="GSD118" s="2"/>
      <c r="GSE118" s="2"/>
      <c r="GSF118" s="2"/>
      <c r="GSG118" s="2"/>
      <c r="GSH118" s="2"/>
      <c r="GSI118" s="2"/>
      <c r="GSJ118" s="2"/>
      <c r="GSK118" s="2"/>
      <c r="GSL118" s="2"/>
      <c r="GSM118" s="2"/>
      <c r="GSN118" s="2"/>
      <c r="GSO118" s="2"/>
      <c r="GSP118" s="2"/>
      <c r="GSQ118" s="2"/>
      <c r="GSR118" s="2"/>
      <c r="GSS118" s="2"/>
      <c r="GST118" s="2"/>
      <c r="GSU118" s="2"/>
      <c r="GSV118" s="2"/>
      <c r="GSW118" s="2"/>
      <c r="GSX118" s="2"/>
      <c r="GSY118" s="2"/>
      <c r="GSZ118" s="2"/>
      <c r="GTA118" s="2"/>
      <c r="GTB118" s="2"/>
      <c r="GTC118" s="2"/>
      <c r="GTD118" s="2"/>
      <c r="GTE118" s="2"/>
      <c r="GTF118" s="2"/>
      <c r="GTG118" s="2"/>
      <c r="GTH118" s="2"/>
      <c r="GTI118" s="2"/>
      <c r="GTJ118" s="2"/>
      <c r="GTK118" s="2"/>
      <c r="GTL118" s="2"/>
      <c r="GTM118" s="2"/>
      <c r="GTN118" s="2"/>
      <c r="GTO118" s="2"/>
      <c r="GTP118" s="2"/>
      <c r="GTQ118" s="2"/>
      <c r="GTR118" s="2"/>
      <c r="GTS118" s="2"/>
      <c r="GTT118" s="2"/>
      <c r="GTU118" s="2"/>
      <c r="GTV118" s="2"/>
      <c r="GTW118" s="2"/>
      <c r="GTX118" s="2"/>
      <c r="GTY118" s="2"/>
      <c r="GTZ118" s="2"/>
      <c r="GUA118" s="2"/>
      <c r="GUB118" s="2"/>
      <c r="GUC118" s="2"/>
      <c r="GUD118" s="2"/>
      <c r="GUE118" s="2"/>
      <c r="GUF118" s="2"/>
      <c r="GUG118" s="2"/>
      <c r="GUH118" s="2"/>
      <c r="GUI118" s="2"/>
      <c r="GUJ118" s="2"/>
      <c r="GUK118" s="2"/>
      <c r="GUL118" s="2"/>
      <c r="GUM118" s="2"/>
      <c r="GUN118" s="2"/>
      <c r="GUO118" s="2"/>
      <c r="GUP118" s="2"/>
      <c r="GUQ118" s="2"/>
      <c r="GUR118" s="2"/>
      <c r="GUS118" s="2"/>
      <c r="GUT118" s="2"/>
      <c r="GUU118" s="2"/>
      <c r="GUV118" s="2"/>
      <c r="GUW118" s="2"/>
      <c r="GUX118" s="2"/>
      <c r="GUY118" s="2"/>
      <c r="GUZ118" s="2"/>
      <c r="GVA118" s="2"/>
      <c r="GVB118" s="2"/>
      <c r="GVC118" s="2"/>
      <c r="GVD118" s="2"/>
      <c r="GVE118" s="2"/>
      <c r="GVF118" s="2"/>
      <c r="GVG118" s="2"/>
      <c r="GVH118" s="2"/>
      <c r="GVI118" s="2"/>
      <c r="GVJ118" s="2"/>
      <c r="GVK118" s="2"/>
      <c r="GVL118" s="2"/>
      <c r="GVM118" s="2"/>
      <c r="GVN118" s="2"/>
      <c r="GVO118" s="2"/>
      <c r="GVP118" s="2"/>
      <c r="GVQ118" s="2"/>
      <c r="GVR118" s="2"/>
      <c r="GVS118" s="2"/>
      <c r="GVT118" s="2"/>
      <c r="GVU118" s="2"/>
      <c r="GVV118" s="2"/>
      <c r="GVW118" s="2"/>
      <c r="GVX118" s="2"/>
      <c r="GVY118" s="2"/>
      <c r="GVZ118" s="2"/>
      <c r="GWA118" s="2"/>
      <c r="GWB118" s="2"/>
      <c r="GWC118" s="2"/>
      <c r="GWD118" s="2"/>
      <c r="GWE118" s="2"/>
      <c r="GWF118" s="2"/>
      <c r="GWG118" s="2"/>
      <c r="GWH118" s="2"/>
      <c r="GWI118" s="2"/>
      <c r="GWJ118" s="2"/>
      <c r="GWK118" s="2"/>
      <c r="GWL118" s="2"/>
      <c r="GWM118" s="2"/>
      <c r="GWN118" s="2"/>
      <c r="GWO118" s="2"/>
      <c r="GWP118" s="2"/>
      <c r="GWQ118" s="2"/>
      <c r="GWR118" s="2"/>
      <c r="GWS118" s="2"/>
      <c r="GWT118" s="2"/>
      <c r="GWU118" s="2"/>
      <c r="GWV118" s="2"/>
      <c r="GWW118" s="2"/>
      <c r="GWX118" s="2"/>
      <c r="GWY118" s="2"/>
      <c r="GWZ118" s="2"/>
      <c r="GXA118" s="2"/>
      <c r="GXB118" s="2"/>
      <c r="GXC118" s="2"/>
      <c r="GXD118" s="2"/>
      <c r="GXE118" s="2"/>
      <c r="GXF118" s="2"/>
      <c r="GXG118" s="2"/>
      <c r="GXH118" s="2"/>
      <c r="GXI118" s="2"/>
      <c r="GXJ118" s="2"/>
      <c r="GXK118" s="2"/>
      <c r="GXL118" s="2"/>
      <c r="GXM118" s="2"/>
      <c r="GXN118" s="2"/>
      <c r="GXO118" s="2"/>
      <c r="GXP118" s="2"/>
      <c r="GXQ118" s="2"/>
      <c r="GXR118" s="2"/>
      <c r="GXS118" s="2"/>
      <c r="GXT118" s="2"/>
      <c r="GXU118" s="2"/>
      <c r="GXV118" s="2"/>
      <c r="GXW118" s="2"/>
      <c r="GXX118" s="2"/>
      <c r="GXY118" s="2"/>
      <c r="GXZ118" s="2"/>
      <c r="GYA118" s="2"/>
      <c r="GYB118" s="2"/>
      <c r="GYC118" s="2"/>
      <c r="GYD118" s="2"/>
      <c r="GYE118" s="2"/>
      <c r="GYF118" s="2"/>
      <c r="GYG118" s="2"/>
      <c r="GYH118" s="2"/>
      <c r="GYI118" s="2"/>
      <c r="GYJ118" s="2"/>
      <c r="GYK118" s="2"/>
      <c r="GYL118" s="2"/>
      <c r="GYM118" s="2"/>
      <c r="GYN118" s="2"/>
      <c r="GYO118" s="2"/>
      <c r="GYP118" s="2"/>
      <c r="GYQ118" s="2"/>
      <c r="GYR118" s="2"/>
      <c r="GYS118" s="2"/>
      <c r="GYT118" s="2"/>
      <c r="GYU118" s="2"/>
      <c r="GYV118" s="2"/>
      <c r="GYW118" s="2"/>
      <c r="GYX118" s="2"/>
      <c r="GYY118" s="2"/>
      <c r="GYZ118" s="2"/>
      <c r="GZA118" s="2"/>
      <c r="GZB118" s="2"/>
      <c r="GZC118" s="2"/>
      <c r="GZD118" s="2"/>
      <c r="GZE118" s="2"/>
      <c r="GZF118" s="2"/>
      <c r="GZG118" s="2"/>
      <c r="GZH118" s="2"/>
      <c r="GZI118" s="2"/>
      <c r="GZJ118" s="2"/>
      <c r="GZK118" s="2"/>
      <c r="GZL118" s="2"/>
      <c r="GZM118" s="2"/>
      <c r="GZN118" s="2"/>
      <c r="GZO118" s="2"/>
      <c r="GZP118" s="2"/>
      <c r="GZQ118" s="2"/>
      <c r="GZR118" s="2"/>
      <c r="GZS118" s="2"/>
      <c r="GZT118" s="2"/>
      <c r="GZU118" s="2"/>
      <c r="GZV118" s="2"/>
      <c r="GZW118" s="2"/>
      <c r="GZX118" s="2"/>
      <c r="GZY118" s="2"/>
      <c r="GZZ118" s="2"/>
      <c r="HAA118" s="2"/>
      <c r="HAB118" s="2"/>
      <c r="HAC118" s="2"/>
      <c r="HAD118" s="2"/>
      <c r="HAE118" s="2"/>
      <c r="HAF118" s="2"/>
      <c r="HAG118" s="2"/>
      <c r="HAH118" s="2"/>
      <c r="HAI118" s="2"/>
      <c r="HAJ118" s="2"/>
      <c r="HAK118" s="2"/>
      <c r="HAL118" s="2"/>
      <c r="HAM118" s="2"/>
      <c r="HAN118" s="2"/>
      <c r="HAO118" s="2"/>
      <c r="HAP118" s="2"/>
      <c r="HAQ118" s="2"/>
      <c r="HAR118" s="2"/>
      <c r="HAS118" s="2"/>
      <c r="HAT118" s="2"/>
      <c r="HAU118" s="2"/>
      <c r="HAV118" s="2"/>
      <c r="HAW118" s="2"/>
      <c r="HAX118" s="2"/>
      <c r="HAY118" s="2"/>
      <c r="HAZ118" s="2"/>
      <c r="HBA118" s="2"/>
      <c r="HBB118" s="2"/>
      <c r="HBC118" s="2"/>
      <c r="HBD118" s="2"/>
      <c r="HBE118" s="2"/>
      <c r="HBF118" s="2"/>
      <c r="HBG118" s="2"/>
      <c r="HBH118" s="2"/>
      <c r="HBI118" s="2"/>
      <c r="HBJ118" s="2"/>
      <c r="HBK118" s="2"/>
      <c r="HBL118" s="2"/>
      <c r="HBM118" s="2"/>
      <c r="HBN118" s="2"/>
      <c r="HBO118" s="2"/>
      <c r="HBP118" s="2"/>
      <c r="HBQ118" s="2"/>
      <c r="HBR118" s="2"/>
      <c r="HBS118" s="2"/>
      <c r="HBT118" s="2"/>
      <c r="HBU118" s="2"/>
      <c r="HBV118" s="2"/>
      <c r="HBW118" s="2"/>
      <c r="HBX118" s="2"/>
      <c r="HBY118" s="2"/>
      <c r="HBZ118" s="2"/>
      <c r="HCA118" s="2"/>
      <c r="HCB118" s="2"/>
      <c r="HCC118" s="2"/>
      <c r="HCD118" s="2"/>
      <c r="HCE118" s="2"/>
      <c r="HCF118" s="2"/>
      <c r="HCG118" s="2"/>
      <c r="HCH118" s="2"/>
      <c r="HCI118" s="2"/>
      <c r="HCJ118" s="2"/>
      <c r="HCK118" s="2"/>
      <c r="HCL118" s="2"/>
      <c r="HCM118" s="2"/>
      <c r="HCN118" s="2"/>
      <c r="HCO118" s="2"/>
      <c r="HCP118" s="2"/>
      <c r="HCQ118" s="2"/>
      <c r="HCR118" s="2"/>
      <c r="HCS118" s="2"/>
      <c r="HCT118" s="2"/>
      <c r="HCU118" s="2"/>
      <c r="HCV118" s="2"/>
      <c r="HCW118" s="2"/>
      <c r="HCX118" s="2"/>
      <c r="HCY118" s="2"/>
      <c r="HCZ118" s="2"/>
      <c r="HDA118" s="2"/>
      <c r="HDB118" s="2"/>
      <c r="HDC118" s="2"/>
      <c r="HDD118" s="2"/>
      <c r="HDE118" s="2"/>
      <c r="HDF118" s="2"/>
      <c r="HDG118" s="2"/>
      <c r="HDH118" s="2"/>
      <c r="HDI118" s="2"/>
      <c r="HDJ118" s="2"/>
      <c r="HDK118" s="2"/>
      <c r="HDL118" s="2"/>
      <c r="HDM118" s="2"/>
      <c r="HDN118" s="2"/>
      <c r="HDO118" s="2"/>
      <c r="HDP118" s="2"/>
      <c r="HDQ118" s="2"/>
      <c r="HDR118" s="2"/>
      <c r="HDS118" s="2"/>
      <c r="HDT118" s="2"/>
      <c r="HDU118" s="2"/>
      <c r="HDV118" s="2"/>
      <c r="HDW118" s="2"/>
      <c r="HDX118" s="2"/>
      <c r="HDY118" s="2"/>
      <c r="HDZ118" s="2"/>
      <c r="HEA118" s="2"/>
      <c r="HEB118" s="2"/>
      <c r="HEC118" s="2"/>
      <c r="HED118" s="2"/>
      <c r="HEE118" s="2"/>
      <c r="HEF118" s="2"/>
      <c r="HEG118" s="2"/>
      <c r="HEH118" s="2"/>
      <c r="HEI118" s="2"/>
      <c r="HEJ118" s="2"/>
      <c r="HEK118" s="2"/>
      <c r="HEL118" s="2"/>
      <c r="HEM118" s="2"/>
      <c r="HEN118" s="2"/>
      <c r="HEO118" s="2"/>
      <c r="HEP118" s="2"/>
      <c r="HEQ118" s="2"/>
      <c r="HER118" s="2"/>
      <c r="HES118" s="2"/>
      <c r="HET118" s="2"/>
      <c r="HEU118" s="2"/>
      <c r="HEV118" s="2"/>
      <c r="HEW118" s="2"/>
      <c r="HEX118" s="2"/>
      <c r="HEY118" s="2"/>
      <c r="HEZ118" s="2"/>
      <c r="HFA118" s="2"/>
      <c r="HFB118" s="2"/>
      <c r="HFC118" s="2"/>
      <c r="HFD118" s="2"/>
      <c r="HFE118" s="2"/>
      <c r="HFF118" s="2"/>
      <c r="HFG118" s="2"/>
      <c r="HFH118" s="2"/>
      <c r="HFI118" s="2"/>
      <c r="HFJ118" s="2"/>
      <c r="HFK118" s="2"/>
      <c r="HFL118" s="2"/>
      <c r="HFM118" s="2"/>
      <c r="HFN118" s="2"/>
      <c r="HFO118" s="2"/>
      <c r="HFP118" s="2"/>
      <c r="HFQ118" s="2"/>
      <c r="HFR118" s="2"/>
      <c r="HFS118" s="2"/>
      <c r="HFT118" s="2"/>
      <c r="HFU118" s="2"/>
      <c r="HFV118" s="2"/>
      <c r="HFW118" s="2"/>
      <c r="HFX118" s="2"/>
      <c r="HFY118" s="2"/>
      <c r="HFZ118" s="2"/>
      <c r="HGA118" s="2"/>
      <c r="HGB118" s="2"/>
      <c r="HGC118" s="2"/>
      <c r="HGD118" s="2"/>
      <c r="HGE118" s="2"/>
      <c r="HGF118" s="2"/>
      <c r="HGG118" s="2"/>
      <c r="HGH118" s="2"/>
      <c r="HGI118" s="2"/>
      <c r="HGJ118" s="2"/>
      <c r="HGK118" s="2"/>
      <c r="HGL118" s="2"/>
      <c r="HGM118" s="2"/>
      <c r="HGN118" s="2"/>
      <c r="HGO118" s="2"/>
      <c r="HGP118" s="2"/>
      <c r="HGQ118" s="2"/>
      <c r="HGR118" s="2"/>
      <c r="HGS118" s="2"/>
      <c r="HGT118" s="2"/>
      <c r="HGU118" s="2"/>
      <c r="HGV118" s="2"/>
      <c r="HGW118" s="2"/>
      <c r="HGX118" s="2"/>
      <c r="HGY118" s="2"/>
      <c r="HGZ118" s="2"/>
      <c r="HHA118" s="2"/>
      <c r="HHB118" s="2"/>
      <c r="HHC118" s="2"/>
      <c r="HHD118" s="2"/>
      <c r="HHE118" s="2"/>
      <c r="HHF118" s="2"/>
      <c r="HHG118" s="2"/>
      <c r="HHH118" s="2"/>
      <c r="HHI118" s="2"/>
      <c r="HHJ118" s="2"/>
      <c r="HHK118" s="2"/>
      <c r="HHL118" s="2"/>
      <c r="HHM118" s="2"/>
      <c r="HHN118" s="2"/>
      <c r="HHO118" s="2"/>
      <c r="HHP118" s="2"/>
      <c r="HHQ118" s="2"/>
      <c r="HHR118" s="2"/>
      <c r="HHS118" s="2"/>
      <c r="HHT118" s="2"/>
      <c r="HHU118" s="2"/>
      <c r="HHV118" s="2"/>
      <c r="HHW118" s="2"/>
      <c r="HHX118" s="2"/>
      <c r="HHY118" s="2"/>
      <c r="HHZ118" s="2"/>
      <c r="HIA118" s="2"/>
      <c r="HIB118" s="2"/>
      <c r="HIC118" s="2"/>
      <c r="HID118" s="2"/>
      <c r="HIE118" s="2"/>
      <c r="HIF118" s="2"/>
      <c r="HIG118" s="2"/>
      <c r="HIH118" s="2"/>
      <c r="HII118" s="2"/>
      <c r="HIJ118" s="2"/>
      <c r="HIK118" s="2"/>
      <c r="HIL118" s="2"/>
      <c r="HIM118" s="2"/>
      <c r="HIN118" s="2"/>
      <c r="HIO118" s="2"/>
      <c r="HIP118" s="2"/>
      <c r="HIQ118" s="2"/>
      <c r="HIR118" s="2"/>
      <c r="HIS118" s="2"/>
      <c r="HIT118" s="2"/>
      <c r="HIU118" s="2"/>
      <c r="HIV118" s="2"/>
      <c r="HIW118" s="2"/>
      <c r="HIX118" s="2"/>
      <c r="HIY118" s="2"/>
      <c r="HIZ118" s="2"/>
      <c r="HJA118" s="2"/>
      <c r="HJB118" s="2"/>
      <c r="HJC118" s="2"/>
      <c r="HJD118" s="2"/>
      <c r="HJE118" s="2"/>
      <c r="HJF118" s="2"/>
      <c r="HJG118" s="2"/>
      <c r="HJH118" s="2"/>
      <c r="HJI118" s="2"/>
      <c r="HJJ118" s="2"/>
      <c r="HJK118" s="2"/>
      <c r="HJL118" s="2"/>
      <c r="HJM118" s="2"/>
      <c r="HJN118" s="2"/>
      <c r="HJO118" s="2"/>
      <c r="HJP118" s="2"/>
      <c r="HJQ118" s="2"/>
      <c r="HJR118" s="2"/>
      <c r="HJS118" s="2"/>
      <c r="HJT118" s="2"/>
      <c r="HJU118" s="2"/>
      <c r="HJV118" s="2"/>
      <c r="HJW118" s="2"/>
      <c r="HJX118" s="2"/>
      <c r="HJY118" s="2"/>
      <c r="HJZ118" s="2"/>
      <c r="HKA118" s="2"/>
      <c r="HKB118" s="2"/>
      <c r="HKC118" s="2"/>
      <c r="HKD118" s="2"/>
      <c r="HKE118" s="2"/>
      <c r="HKF118" s="2"/>
      <c r="HKG118" s="2"/>
      <c r="HKH118" s="2"/>
      <c r="HKI118" s="2"/>
      <c r="HKJ118" s="2"/>
      <c r="HKK118" s="2"/>
      <c r="HKL118" s="2"/>
      <c r="HKM118" s="2"/>
      <c r="HKN118" s="2"/>
      <c r="HKO118" s="2"/>
      <c r="HKP118" s="2"/>
      <c r="HKQ118" s="2"/>
      <c r="HKR118" s="2"/>
      <c r="HKS118" s="2"/>
      <c r="HKT118" s="2"/>
      <c r="HKU118" s="2"/>
      <c r="HKV118" s="2"/>
      <c r="HKW118" s="2"/>
      <c r="HKX118" s="2"/>
      <c r="HKY118" s="2"/>
      <c r="HKZ118" s="2"/>
      <c r="HLA118" s="2"/>
      <c r="HLB118" s="2"/>
      <c r="HLC118" s="2"/>
      <c r="HLD118" s="2"/>
      <c r="HLE118" s="2"/>
      <c r="HLF118" s="2"/>
      <c r="HLG118" s="2"/>
      <c r="HLH118" s="2"/>
      <c r="HLI118" s="2"/>
      <c r="HLJ118" s="2"/>
      <c r="HLK118" s="2"/>
      <c r="HLL118" s="2"/>
      <c r="HLM118" s="2"/>
      <c r="HLN118" s="2"/>
      <c r="HLO118" s="2"/>
      <c r="HLP118" s="2"/>
      <c r="HLQ118" s="2"/>
      <c r="HLR118" s="2"/>
      <c r="HLS118" s="2"/>
      <c r="HLT118" s="2"/>
      <c r="HLU118" s="2"/>
      <c r="HLV118" s="2"/>
      <c r="HLW118" s="2"/>
      <c r="HLX118" s="2"/>
      <c r="HLY118" s="2"/>
      <c r="HLZ118" s="2"/>
      <c r="HMA118" s="2"/>
      <c r="HMB118" s="2"/>
      <c r="HMC118" s="2"/>
      <c r="HMD118" s="2"/>
      <c r="HME118" s="2"/>
      <c r="HMF118" s="2"/>
      <c r="HMG118" s="2"/>
      <c r="HMH118" s="2"/>
      <c r="HMI118" s="2"/>
      <c r="HMJ118" s="2"/>
      <c r="HMK118" s="2"/>
      <c r="HML118" s="2"/>
      <c r="HMM118" s="2"/>
      <c r="HMN118" s="2"/>
      <c r="HMO118" s="2"/>
      <c r="HMP118" s="2"/>
      <c r="HMQ118" s="2"/>
      <c r="HMR118" s="2"/>
      <c r="HMS118" s="2"/>
      <c r="HMT118" s="2"/>
      <c r="HMU118" s="2"/>
      <c r="HMV118" s="2"/>
      <c r="HMW118" s="2"/>
      <c r="HMX118" s="2"/>
      <c r="HMY118" s="2"/>
      <c r="HMZ118" s="2"/>
      <c r="HNA118" s="2"/>
      <c r="HNB118" s="2"/>
      <c r="HNC118" s="2"/>
      <c r="HND118" s="2"/>
      <c r="HNE118" s="2"/>
      <c r="HNF118" s="2"/>
      <c r="HNG118" s="2"/>
      <c r="HNH118" s="2"/>
      <c r="HNI118" s="2"/>
      <c r="HNJ118" s="2"/>
      <c r="HNK118" s="2"/>
      <c r="HNL118" s="2"/>
      <c r="HNM118" s="2"/>
      <c r="HNN118" s="2"/>
      <c r="HNO118" s="2"/>
      <c r="HNP118" s="2"/>
      <c r="HNQ118" s="2"/>
      <c r="HNR118" s="2"/>
      <c r="HNS118" s="2"/>
      <c r="HNT118" s="2"/>
      <c r="HNU118" s="2"/>
      <c r="HNV118" s="2"/>
      <c r="HNW118" s="2"/>
      <c r="HNX118" s="2"/>
      <c r="HNY118" s="2"/>
      <c r="HNZ118" s="2"/>
      <c r="HOA118" s="2"/>
      <c r="HOB118" s="2"/>
      <c r="HOC118" s="2"/>
      <c r="HOD118" s="2"/>
      <c r="HOE118" s="2"/>
      <c r="HOF118" s="2"/>
      <c r="HOG118" s="2"/>
      <c r="HOH118" s="2"/>
      <c r="HOI118" s="2"/>
      <c r="HOJ118" s="2"/>
      <c r="HOK118" s="2"/>
      <c r="HOL118" s="2"/>
      <c r="HOM118" s="2"/>
      <c r="HON118" s="2"/>
      <c r="HOO118" s="2"/>
      <c r="HOP118" s="2"/>
      <c r="HOQ118" s="2"/>
      <c r="HOR118" s="2"/>
      <c r="HOS118" s="2"/>
      <c r="HOT118" s="2"/>
      <c r="HOU118" s="2"/>
      <c r="HOV118" s="2"/>
      <c r="HOW118" s="2"/>
      <c r="HOX118" s="2"/>
      <c r="HOY118" s="2"/>
      <c r="HOZ118" s="2"/>
      <c r="HPA118" s="2"/>
      <c r="HPB118" s="2"/>
      <c r="HPC118" s="2"/>
      <c r="HPD118" s="2"/>
      <c r="HPE118" s="2"/>
      <c r="HPF118" s="2"/>
      <c r="HPG118" s="2"/>
      <c r="HPH118" s="2"/>
      <c r="HPI118" s="2"/>
      <c r="HPJ118" s="2"/>
      <c r="HPK118" s="2"/>
      <c r="HPL118" s="2"/>
      <c r="HPM118" s="2"/>
      <c r="HPN118" s="2"/>
      <c r="HPO118" s="2"/>
      <c r="HPP118" s="2"/>
      <c r="HPQ118" s="2"/>
      <c r="HPR118" s="2"/>
      <c r="HPS118" s="2"/>
      <c r="HPT118" s="2"/>
      <c r="HPU118" s="2"/>
      <c r="HPV118" s="2"/>
      <c r="HPW118" s="2"/>
      <c r="HPX118" s="2"/>
      <c r="HPY118" s="2"/>
      <c r="HPZ118" s="2"/>
      <c r="HQA118" s="2"/>
      <c r="HQB118" s="2"/>
      <c r="HQC118" s="2"/>
      <c r="HQD118" s="2"/>
      <c r="HQE118" s="2"/>
      <c r="HQF118" s="2"/>
      <c r="HQG118" s="2"/>
      <c r="HQH118" s="2"/>
      <c r="HQI118" s="2"/>
      <c r="HQJ118" s="2"/>
      <c r="HQK118" s="2"/>
      <c r="HQL118" s="2"/>
      <c r="HQM118" s="2"/>
      <c r="HQN118" s="2"/>
      <c r="HQO118" s="2"/>
      <c r="HQP118" s="2"/>
      <c r="HQQ118" s="2"/>
      <c r="HQR118" s="2"/>
      <c r="HQS118" s="2"/>
      <c r="HQT118" s="2"/>
      <c r="HQU118" s="2"/>
      <c r="HQV118" s="2"/>
      <c r="HQW118" s="2"/>
      <c r="HQX118" s="2"/>
      <c r="HQY118" s="2"/>
      <c r="HQZ118" s="2"/>
      <c r="HRA118" s="2"/>
      <c r="HRB118" s="2"/>
      <c r="HRC118" s="2"/>
      <c r="HRD118" s="2"/>
      <c r="HRE118" s="2"/>
      <c r="HRF118" s="2"/>
      <c r="HRG118" s="2"/>
      <c r="HRH118" s="2"/>
      <c r="HRI118" s="2"/>
      <c r="HRJ118" s="2"/>
      <c r="HRK118" s="2"/>
      <c r="HRL118" s="2"/>
      <c r="HRM118" s="2"/>
      <c r="HRN118" s="2"/>
      <c r="HRO118" s="2"/>
      <c r="HRP118" s="2"/>
      <c r="HRQ118" s="2"/>
      <c r="HRR118" s="2"/>
      <c r="HRS118" s="2"/>
      <c r="HRT118" s="2"/>
      <c r="HRU118" s="2"/>
      <c r="HRV118" s="2"/>
      <c r="HRW118" s="2"/>
      <c r="HRX118" s="2"/>
      <c r="HRY118" s="2"/>
      <c r="HRZ118" s="2"/>
      <c r="HSA118" s="2"/>
      <c r="HSB118" s="2"/>
      <c r="HSC118" s="2"/>
      <c r="HSD118" s="2"/>
      <c r="HSE118" s="2"/>
      <c r="HSF118" s="2"/>
      <c r="HSG118" s="2"/>
      <c r="HSH118" s="2"/>
      <c r="HSI118" s="2"/>
      <c r="HSJ118" s="2"/>
      <c r="HSK118" s="2"/>
      <c r="HSL118" s="2"/>
      <c r="HSM118" s="2"/>
      <c r="HSN118" s="2"/>
      <c r="HSO118" s="2"/>
      <c r="HSP118" s="2"/>
      <c r="HSQ118" s="2"/>
      <c r="HSR118" s="2"/>
      <c r="HSS118" s="2"/>
      <c r="HST118" s="2"/>
      <c r="HSU118" s="2"/>
      <c r="HSV118" s="2"/>
      <c r="HSW118" s="2"/>
      <c r="HSX118" s="2"/>
      <c r="HSY118" s="2"/>
      <c r="HSZ118" s="2"/>
      <c r="HTA118" s="2"/>
      <c r="HTB118" s="2"/>
      <c r="HTC118" s="2"/>
      <c r="HTD118" s="2"/>
      <c r="HTE118" s="2"/>
      <c r="HTF118" s="2"/>
      <c r="HTG118" s="2"/>
      <c r="HTH118" s="2"/>
      <c r="HTI118" s="2"/>
      <c r="HTJ118" s="2"/>
      <c r="HTK118" s="2"/>
      <c r="HTL118" s="2"/>
      <c r="HTM118" s="2"/>
      <c r="HTN118" s="2"/>
      <c r="HTO118" s="2"/>
      <c r="HTP118" s="2"/>
      <c r="HTQ118" s="2"/>
      <c r="HTR118" s="2"/>
      <c r="HTS118" s="2"/>
      <c r="HTT118" s="2"/>
      <c r="HTU118" s="2"/>
      <c r="HTV118" s="2"/>
      <c r="HTW118" s="2"/>
      <c r="HTX118" s="2"/>
      <c r="HTY118" s="2"/>
      <c r="HTZ118" s="2"/>
      <c r="HUA118" s="2"/>
      <c r="HUB118" s="2"/>
      <c r="HUC118" s="2"/>
      <c r="HUD118" s="2"/>
      <c r="HUE118" s="2"/>
      <c r="HUF118" s="2"/>
      <c r="HUG118" s="2"/>
      <c r="HUH118" s="2"/>
      <c r="HUI118" s="2"/>
      <c r="HUJ118" s="2"/>
      <c r="HUK118" s="2"/>
      <c r="HUL118" s="2"/>
      <c r="HUM118" s="2"/>
      <c r="HUN118" s="2"/>
      <c r="HUO118" s="2"/>
      <c r="HUP118" s="2"/>
      <c r="HUQ118" s="2"/>
      <c r="HUR118" s="2"/>
      <c r="HUS118" s="2"/>
      <c r="HUT118" s="2"/>
      <c r="HUU118" s="2"/>
      <c r="HUV118" s="2"/>
      <c r="HUW118" s="2"/>
      <c r="HUX118" s="2"/>
      <c r="HUY118" s="2"/>
      <c r="HUZ118" s="2"/>
      <c r="HVA118" s="2"/>
      <c r="HVB118" s="2"/>
      <c r="HVC118" s="2"/>
      <c r="HVD118" s="2"/>
      <c r="HVE118" s="2"/>
      <c r="HVF118" s="2"/>
      <c r="HVG118" s="2"/>
      <c r="HVH118" s="2"/>
      <c r="HVI118" s="2"/>
      <c r="HVJ118" s="2"/>
      <c r="HVK118" s="2"/>
      <c r="HVL118" s="2"/>
      <c r="HVM118" s="2"/>
      <c r="HVN118" s="2"/>
      <c r="HVO118" s="2"/>
      <c r="HVP118" s="2"/>
      <c r="HVQ118" s="2"/>
      <c r="HVR118" s="2"/>
      <c r="HVS118" s="2"/>
      <c r="HVT118" s="2"/>
      <c r="HVU118" s="2"/>
      <c r="HVV118" s="2"/>
      <c r="HVW118" s="2"/>
      <c r="HVX118" s="2"/>
      <c r="HVY118" s="2"/>
      <c r="HVZ118" s="2"/>
      <c r="HWA118" s="2"/>
      <c r="HWB118" s="2"/>
      <c r="HWC118" s="2"/>
      <c r="HWD118" s="2"/>
      <c r="HWE118" s="2"/>
      <c r="HWF118" s="2"/>
      <c r="HWG118" s="2"/>
      <c r="HWH118" s="2"/>
      <c r="HWI118" s="2"/>
      <c r="HWJ118" s="2"/>
      <c r="HWK118" s="2"/>
      <c r="HWL118" s="2"/>
      <c r="HWM118" s="2"/>
      <c r="HWN118" s="2"/>
      <c r="HWO118" s="2"/>
      <c r="HWP118" s="2"/>
      <c r="HWQ118" s="2"/>
      <c r="HWR118" s="2"/>
      <c r="HWS118" s="2"/>
      <c r="HWT118" s="2"/>
      <c r="HWU118" s="2"/>
      <c r="HWV118" s="2"/>
      <c r="HWW118" s="2"/>
      <c r="HWX118" s="2"/>
      <c r="HWY118" s="2"/>
      <c r="HWZ118" s="2"/>
      <c r="HXA118" s="2"/>
      <c r="HXB118" s="2"/>
      <c r="HXC118" s="2"/>
      <c r="HXD118" s="2"/>
      <c r="HXE118" s="2"/>
      <c r="HXF118" s="2"/>
      <c r="HXG118" s="2"/>
      <c r="HXH118" s="2"/>
      <c r="HXI118" s="2"/>
      <c r="HXJ118" s="2"/>
      <c r="HXK118" s="2"/>
      <c r="HXL118" s="2"/>
      <c r="HXM118" s="2"/>
      <c r="HXN118" s="2"/>
      <c r="HXO118" s="2"/>
      <c r="HXP118" s="2"/>
      <c r="HXQ118" s="2"/>
      <c r="HXR118" s="2"/>
      <c r="HXS118" s="2"/>
      <c r="HXT118" s="2"/>
      <c r="HXU118" s="2"/>
      <c r="HXV118" s="2"/>
      <c r="HXW118" s="2"/>
      <c r="HXX118" s="2"/>
      <c r="HXY118" s="2"/>
      <c r="HXZ118" s="2"/>
      <c r="HYA118" s="2"/>
      <c r="HYB118" s="2"/>
      <c r="HYC118" s="2"/>
      <c r="HYD118" s="2"/>
      <c r="HYE118" s="2"/>
      <c r="HYF118" s="2"/>
      <c r="HYG118" s="2"/>
      <c r="HYH118" s="2"/>
      <c r="HYI118" s="2"/>
      <c r="HYJ118" s="2"/>
      <c r="HYK118" s="2"/>
      <c r="HYL118" s="2"/>
      <c r="HYM118" s="2"/>
      <c r="HYN118" s="2"/>
      <c r="HYO118" s="2"/>
      <c r="HYP118" s="2"/>
      <c r="HYQ118" s="2"/>
      <c r="HYR118" s="2"/>
      <c r="HYS118" s="2"/>
      <c r="HYT118" s="2"/>
      <c r="HYU118" s="2"/>
      <c r="HYV118" s="2"/>
      <c r="HYW118" s="2"/>
      <c r="HYX118" s="2"/>
      <c r="HYY118" s="2"/>
      <c r="HYZ118" s="2"/>
      <c r="HZA118" s="2"/>
      <c r="HZB118" s="2"/>
      <c r="HZC118" s="2"/>
      <c r="HZD118" s="2"/>
      <c r="HZE118" s="2"/>
      <c r="HZF118" s="2"/>
      <c r="HZG118" s="2"/>
      <c r="HZH118" s="2"/>
      <c r="HZI118" s="2"/>
      <c r="HZJ118" s="2"/>
      <c r="HZK118" s="2"/>
      <c r="HZL118" s="2"/>
      <c r="HZM118" s="2"/>
      <c r="HZN118" s="2"/>
      <c r="HZO118" s="2"/>
      <c r="HZP118" s="2"/>
      <c r="HZQ118" s="2"/>
      <c r="HZR118" s="2"/>
      <c r="HZS118" s="2"/>
      <c r="HZT118" s="2"/>
      <c r="HZU118" s="2"/>
      <c r="HZV118" s="2"/>
      <c r="HZW118" s="2"/>
      <c r="HZX118" s="2"/>
      <c r="HZY118" s="2"/>
      <c r="HZZ118" s="2"/>
      <c r="IAA118" s="2"/>
      <c r="IAB118" s="2"/>
      <c r="IAC118" s="2"/>
      <c r="IAD118" s="2"/>
      <c r="IAE118" s="2"/>
      <c r="IAF118" s="2"/>
      <c r="IAG118" s="2"/>
      <c r="IAH118" s="2"/>
      <c r="IAI118" s="2"/>
      <c r="IAJ118" s="2"/>
      <c r="IAK118" s="2"/>
      <c r="IAL118" s="2"/>
      <c r="IAM118" s="2"/>
      <c r="IAN118" s="2"/>
      <c r="IAO118" s="2"/>
      <c r="IAP118" s="2"/>
      <c r="IAQ118" s="2"/>
      <c r="IAR118" s="2"/>
      <c r="IAS118" s="2"/>
      <c r="IAT118" s="2"/>
      <c r="IAU118" s="2"/>
      <c r="IAV118" s="2"/>
      <c r="IAW118" s="2"/>
      <c r="IAX118" s="2"/>
      <c r="IAY118" s="2"/>
      <c r="IAZ118" s="2"/>
      <c r="IBA118" s="2"/>
      <c r="IBB118" s="2"/>
      <c r="IBC118" s="2"/>
      <c r="IBD118" s="2"/>
      <c r="IBE118" s="2"/>
      <c r="IBF118" s="2"/>
      <c r="IBG118" s="2"/>
      <c r="IBH118" s="2"/>
      <c r="IBI118" s="2"/>
      <c r="IBJ118" s="2"/>
      <c r="IBK118" s="2"/>
      <c r="IBL118" s="2"/>
      <c r="IBM118" s="2"/>
      <c r="IBN118" s="2"/>
      <c r="IBO118" s="2"/>
      <c r="IBP118" s="2"/>
      <c r="IBQ118" s="2"/>
      <c r="IBR118" s="2"/>
      <c r="IBS118" s="2"/>
      <c r="IBT118" s="2"/>
      <c r="IBU118" s="2"/>
      <c r="IBV118" s="2"/>
      <c r="IBW118" s="2"/>
      <c r="IBX118" s="2"/>
      <c r="IBY118" s="2"/>
      <c r="IBZ118" s="2"/>
      <c r="ICA118" s="2"/>
      <c r="ICB118" s="2"/>
      <c r="ICC118" s="2"/>
      <c r="ICD118" s="2"/>
      <c r="ICE118" s="2"/>
      <c r="ICF118" s="2"/>
      <c r="ICG118" s="2"/>
      <c r="ICH118" s="2"/>
      <c r="ICI118" s="2"/>
      <c r="ICJ118" s="2"/>
      <c r="ICK118" s="2"/>
      <c r="ICL118" s="2"/>
      <c r="ICM118" s="2"/>
      <c r="ICN118" s="2"/>
      <c r="ICO118" s="2"/>
      <c r="ICP118" s="2"/>
      <c r="ICQ118" s="2"/>
      <c r="ICR118" s="2"/>
      <c r="ICS118" s="2"/>
      <c r="ICT118" s="2"/>
      <c r="ICU118" s="2"/>
      <c r="ICV118" s="2"/>
      <c r="ICW118" s="2"/>
      <c r="ICX118" s="2"/>
      <c r="ICY118" s="2"/>
      <c r="ICZ118" s="2"/>
      <c r="IDA118" s="2"/>
      <c r="IDB118" s="2"/>
      <c r="IDC118" s="2"/>
      <c r="IDD118" s="2"/>
      <c r="IDE118" s="2"/>
      <c r="IDF118" s="2"/>
      <c r="IDG118" s="2"/>
      <c r="IDH118" s="2"/>
      <c r="IDI118" s="2"/>
      <c r="IDJ118" s="2"/>
      <c r="IDK118" s="2"/>
      <c r="IDL118" s="2"/>
      <c r="IDM118" s="2"/>
      <c r="IDN118" s="2"/>
      <c r="IDO118" s="2"/>
      <c r="IDP118" s="2"/>
      <c r="IDQ118" s="2"/>
      <c r="IDR118" s="2"/>
      <c r="IDS118" s="2"/>
      <c r="IDT118" s="2"/>
      <c r="IDU118" s="2"/>
      <c r="IDV118" s="2"/>
      <c r="IDW118" s="2"/>
      <c r="IDX118" s="2"/>
      <c r="IDY118" s="2"/>
      <c r="IDZ118" s="2"/>
      <c r="IEA118" s="2"/>
      <c r="IEB118" s="2"/>
      <c r="IEC118" s="2"/>
      <c r="IED118" s="2"/>
      <c r="IEE118" s="2"/>
      <c r="IEF118" s="2"/>
      <c r="IEG118" s="2"/>
      <c r="IEH118" s="2"/>
      <c r="IEI118" s="2"/>
      <c r="IEJ118" s="2"/>
      <c r="IEK118" s="2"/>
      <c r="IEL118" s="2"/>
      <c r="IEM118" s="2"/>
      <c r="IEN118" s="2"/>
      <c r="IEO118" s="2"/>
      <c r="IEP118" s="2"/>
      <c r="IEQ118" s="2"/>
      <c r="IER118" s="2"/>
      <c r="IES118" s="2"/>
      <c r="IET118" s="2"/>
      <c r="IEU118" s="2"/>
      <c r="IEV118" s="2"/>
      <c r="IEW118" s="2"/>
      <c r="IEX118" s="2"/>
      <c r="IEY118" s="2"/>
      <c r="IEZ118" s="2"/>
      <c r="IFA118" s="2"/>
      <c r="IFB118" s="2"/>
      <c r="IFC118" s="2"/>
      <c r="IFD118" s="2"/>
      <c r="IFE118" s="2"/>
      <c r="IFF118" s="2"/>
      <c r="IFG118" s="2"/>
      <c r="IFH118" s="2"/>
      <c r="IFI118" s="2"/>
      <c r="IFJ118" s="2"/>
      <c r="IFK118" s="2"/>
      <c r="IFL118" s="2"/>
      <c r="IFM118" s="2"/>
      <c r="IFN118" s="2"/>
      <c r="IFO118" s="2"/>
      <c r="IFP118" s="2"/>
      <c r="IFQ118" s="2"/>
      <c r="IFR118" s="2"/>
      <c r="IFS118" s="2"/>
      <c r="IFT118" s="2"/>
      <c r="IFU118" s="2"/>
      <c r="IFV118" s="2"/>
      <c r="IFW118" s="2"/>
      <c r="IFX118" s="2"/>
      <c r="IFY118" s="2"/>
      <c r="IFZ118" s="2"/>
      <c r="IGA118" s="2"/>
      <c r="IGB118" s="2"/>
      <c r="IGC118" s="2"/>
      <c r="IGD118" s="2"/>
      <c r="IGE118" s="2"/>
      <c r="IGF118" s="2"/>
      <c r="IGG118" s="2"/>
      <c r="IGH118" s="2"/>
      <c r="IGI118" s="2"/>
      <c r="IGJ118" s="2"/>
      <c r="IGK118" s="2"/>
      <c r="IGL118" s="2"/>
      <c r="IGM118" s="2"/>
      <c r="IGN118" s="2"/>
      <c r="IGO118" s="2"/>
      <c r="IGP118" s="2"/>
      <c r="IGQ118" s="2"/>
      <c r="IGR118" s="2"/>
      <c r="IGS118" s="2"/>
      <c r="IGT118" s="2"/>
      <c r="IGU118" s="2"/>
      <c r="IGV118" s="2"/>
      <c r="IGW118" s="2"/>
      <c r="IGX118" s="2"/>
      <c r="IGY118" s="2"/>
      <c r="IGZ118" s="2"/>
      <c r="IHA118" s="2"/>
      <c r="IHB118" s="2"/>
      <c r="IHC118" s="2"/>
      <c r="IHD118" s="2"/>
      <c r="IHE118" s="2"/>
      <c r="IHF118" s="2"/>
      <c r="IHG118" s="2"/>
      <c r="IHH118" s="2"/>
      <c r="IHI118" s="2"/>
      <c r="IHJ118" s="2"/>
      <c r="IHK118" s="2"/>
      <c r="IHL118" s="2"/>
      <c r="IHM118" s="2"/>
      <c r="IHN118" s="2"/>
      <c r="IHO118" s="2"/>
      <c r="IHP118" s="2"/>
      <c r="IHQ118" s="2"/>
      <c r="IHR118" s="2"/>
      <c r="IHS118" s="2"/>
      <c r="IHT118" s="2"/>
      <c r="IHU118" s="2"/>
      <c r="IHV118" s="2"/>
      <c r="IHW118" s="2"/>
      <c r="IHX118" s="2"/>
      <c r="IHY118" s="2"/>
      <c r="IHZ118" s="2"/>
      <c r="IIA118" s="2"/>
      <c r="IIB118" s="2"/>
      <c r="IIC118" s="2"/>
      <c r="IID118" s="2"/>
      <c r="IIE118" s="2"/>
      <c r="IIF118" s="2"/>
      <c r="IIG118" s="2"/>
      <c r="IIH118" s="2"/>
      <c r="III118" s="2"/>
      <c r="IIJ118" s="2"/>
      <c r="IIK118" s="2"/>
      <c r="IIL118" s="2"/>
      <c r="IIM118" s="2"/>
      <c r="IIN118" s="2"/>
      <c r="IIO118" s="2"/>
      <c r="IIP118" s="2"/>
      <c r="IIQ118" s="2"/>
      <c r="IIR118" s="2"/>
      <c r="IIS118" s="2"/>
      <c r="IIT118" s="2"/>
      <c r="IIU118" s="2"/>
      <c r="IIV118" s="2"/>
      <c r="IIW118" s="2"/>
      <c r="IIX118" s="2"/>
      <c r="IIY118" s="2"/>
      <c r="IIZ118" s="2"/>
      <c r="IJA118" s="2"/>
      <c r="IJB118" s="2"/>
      <c r="IJC118" s="2"/>
      <c r="IJD118" s="2"/>
      <c r="IJE118" s="2"/>
      <c r="IJF118" s="2"/>
      <c r="IJG118" s="2"/>
      <c r="IJH118" s="2"/>
      <c r="IJI118" s="2"/>
      <c r="IJJ118" s="2"/>
      <c r="IJK118" s="2"/>
      <c r="IJL118" s="2"/>
      <c r="IJM118" s="2"/>
      <c r="IJN118" s="2"/>
      <c r="IJO118" s="2"/>
      <c r="IJP118" s="2"/>
      <c r="IJQ118" s="2"/>
      <c r="IJR118" s="2"/>
      <c r="IJS118" s="2"/>
      <c r="IJT118" s="2"/>
      <c r="IJU118" s="2"/>
      <c r="IJV118" s="2"/>
      <c r="IJW118" s="2"/>
      <c r="IJX118" s="2"/>
      <c r="IJY118" s="2"/>
      <c r="IJZ118" s="2"/>
      <c r="IKA118" s="2"/>
      <c r="IKB118" s="2"/>
      <c r="IKC118" s="2"/>
      <c r="IKD118" s="2"/>
      <c r="IKE118" s="2"/>
      <c r="IKF118" s="2"/>
      <c r="IKG118" s="2"/>
      <c r="IKH118" s="2"/>
      <c r="IKI118" s="2"/>
      <c r="IKJ118" s="2"/>
      <c r="IKK118" s="2"/>
      <c r="IKL118" s="2"/>
      <c r="IKM118" s="2"/>
      <c r="IKN118" s="2"/>
      <c r="IKO118" s="2"/>
      <c r="IKP118" s="2"/>
      <c r="IKQ118" s="2"/>
      <c r="IKR118" s="2"/>
      <c r="IKS118" s="2"/>
      <c r="IKT118" s="2"/>
      <c r="IKU118" s="2"/>
      <c r="IKV118" s="2"/>
      <c r="IKW118" s="2"/>
      <c r="IKX118" s="2"/>
      <c r="IKY118" s="2"/>
      <c r="IKZ118" s="2"/>
      <c r="ILA118" s="2"/>
      <c r="ILB118" s="2"/>
      <c r="ILC118" s="2"/>
      <c r="ILD118" s="2"/>
      <c r="ILE118" s="2"/>
      <c r="ILF118" s="2"/>
      <c r="ILG118" s="2"/>
      <c r="ILH118" s="2"/>
      <c r="ILI118" s="2"/>
      <c r="ILJ118" s="2"/>
      <c r="ILK118" s="2"/>
      <c r="ILL118" s="2"/>
      <c r="ILM118" s="2"/>
      <c r="ILN118" s="2"/>
      <c r="ILO118" s="2"/>
      <c r="ILP118" s="2"/>
      <c r="ILQ118" s="2"/>
      <c r="ILR118" s="2"/>
      <c r="ILS118" s="2"/>
      <c r="ILT118" s="2"/>
      <c r="ILU118" s="2"/>
      <c r="ILV118" s="2"/>
      <c r="ILW118" s="2"/>
      <c r="ILX118" s="2"/>
      <c r="ILY118" s="2"/>
      <c r="ILZ118" s="2"/>
      <c r="IMA118" s="2"/>
      <c r="IMB118" s="2"/>
      <c r="IMC118" s="2"/>
      <c r="IMD118" s="2"/>
      <c r="IME118" s="2"/>
      <c r="IMF118" s="2"/>
      <c r="IMG118" s="2"/>
      <c r="IMH118" s="2"/>
      <c r="IMI118" s="2"/>
      <c r="IMJ118" s="2"/>
      <c r="IMK118" s="2"/>
      <c r="IML118" s="2"/>
      <c r="IMM118" s="2"/>
      <c r="IMN118" s="2"/>
      <c r="IMO118" s="2"/>
      <c r="IMP118" s="2"/>
      <c r="IMQ118" s="2"/>
      <c r="IMR118" s="2"/>
      <c r="IMS118" s="2"/>
      <c r="IMT118" s="2"/>
      <c r="IMU118" s="2"/>
      <c r="IMV118" s="2"/>
      <c r="IMW118" s="2"/>
      <c r="IMX118" s="2"/>
      <c r="IMY118" s="2"/>
      <c r="IMZ118" s="2"/>
      <c r="INA118" s="2"/>
      <c r="INB118" s="2"/>
      <c r="INC118" s="2"/>
      <c r="IND118" s="2"/>
      <c r="INE118" s="2"/>
      <c r="INF118" s="2"/>
      <c r="ING118" s="2"/>
      <c r="INH118" s="2"/>
      <c r="INI118" s="2"/>
      <c r="INJ118" s="2"/>
      <c r="INK118" s="2"/>
      <c r="INL118" s="2"/>
      <c r="INM118" s="2"/>
      <c r="INN118" s="2"/>
      <c r="INO118" s="2"/>
      <c r="INP118" s="2"/>
      <c r="INQ118" s="2"/>
      <c r="INR118" s="2"/>
      <c r="INS118" s="2"/>
      <c r="INT118" s="2"/>
      <c r="INU118" s="2"/>
      <c r="INV118" s="2"/>
      <c r="INW118" s="2"/>
      <c r="INX118" s="2"/>
      <c r="INY118" s="2"/>
      <c r="INZ118" s="2"/>
      <c r="IOA118" s="2"/>
      <c r="IOB118" s="2"/>
      <c r="IOC118" s="2"/>
      <c r="IOD118" s="2"/>
      <c r="IOE118" s="2"/>
      <c r="IOF118" s="2"/>
      <c r="IOG118" s="2"/>
      <c r="IOH118" s="2"/>
      <c r="IOI118" s="2"/>
      <c r="IOJ118" s="2"/>
      <c r="IOK118" s="2"/>
      <c r="IOL118" s="2"/>
      <c r="IOM118" s="2"/>
      <c r="ION118" s="2"/>
      <c r="IOO118" s="2"/>
      <c r="IOP118" s="2"/>
      <c r="IOQ118" s="2"/>
      <c r="IOR118" s="2"/>
      <c r="IOS118" s="2"/>
      <c r="IOT118" s="2"/>
      <c r="IOU118" s="2"/>
      <c r="IOV118" s="2"/>
      <c r="IOW118" s="2"/>
      <c r="IOX118" s="2"/>
      <c r="IOY118" s="2"/>
      <c r="IOZ118" s="2"/>
      <c r="IPA118" s="2"/>
      <c r="IPB118" s="2"/>
      <c r="IPC118" s="2"/>
      <c r="IPD118" s="2"/>
      <c r="IPE118" s="2"/>
      <c r="IPF118" s="2"/>
      <c r="IPG118" s="2"/>
      <c r="IPH118" s="2"/>
      <c r="IPI118" s="2"/>
      <c r="IPJ118" s="2"/>
      <c r="IPK118" s="2"/>
      <c r="IPL118" s="2"/>
      <c r="IPM118" s="2"/>
      <c r="IPN118" s="2"/>
      <c r="IPO118" s="2"/>
      <c r="IPP118" s="2"/>
      <c r="IPQ118" s="2"/>
      <c r="IPR118" s="2"/>
      <c r="IPS118" s="2"/>
      <c r="IPT118" s="2"/>
      <c r="IPU118" s="2"/>
      <c r="IPV118" s="2"/>
      <c r="IPW118" s="2"/>
      <c r="IPX118" s="2"/>
      <c r="IPY118" s="2"/>
      <c r="IPZ118" s="2"/>
      <c r="IQA118" s="2"/>
      <c r="IQB118" s="2"/>
      <c r="IQC118" s="2"/>
      <c r="IQD118" s="2"/>
      <c r="IQE118" s="2"/>
      <c r="IQF118" s="2"/>
      <c r="IQG118" s="2"/>
      <c r="IQH118" s="2"/>
      <c r="IQI118" s="2"/>
      <c r="IQJ118" s="2"/>
      <c r="IQK118" s="2"/>
      <c r="IQL118" s="2"/>
      <c r="IQM118" s="2"/>
      <c r="IQN118" s="2"/>
      <c r="IQO118" s="2"/>
      <c r="IQP118" s="2"/>
      <c r="IQQ118" s="2"/>
      <c r="IQR118" s="2"/>
      <c r="IQS118" s="2"/>
      <c r="IQT118" s="2"/>
      <c r="IQU118" s="2"/>
      <c r="IQV118" s="2"/>
      <c r="IQW118" s="2"/>
      <c r="IQX118" s="2"/>
      <c r="IQY118" s="2"/>
      <c r="IQZ118" s="2"/>
      <c r="IRA118" s="2"/>
      <c r="IRB118" s="2"/>
      <c r="IRC118" s="2"/>
      <c r="IRD118" s="2"/>
      <c r="IRE118" s="2"/>
      <c r="IRF118" s="2"/>
      <c r="IRG118" s="2"/>
      <c r="IRH118" s="2"/>
      <c r="IRI118" s="2"/>
      <c r="IRJ118" s="2"/>
      <c r="IRK118" s="2"/>
      <c r="IRL118" s="2"/>
      <c r="IRM118" s="2"/>
      <c r="IRN118" s="2"/>
      <c r="IRO118" s="2"/>
      <c r="IRP118" s="2"/>
      <c r="IRQ118" s="2"/>
      <c r="IRR118" s="2"/>
      <c r="IRS118" s="2"/>
      <c r="IRT118" s="2"/>
      <c r="IRU118" s="2"/>
      <c r="IRV118" s="2"/>
      <c r="IRW118" s="2"/>
      <c r="IRX118" s="2"/>
      <c r="IRY118" s="2"/>
      <c r="IRZ118" s="2"/>
      <c r="ISA118" s="2"/>
      <c r="ISB118" s="2"/>
      <c r="ISC118" s="2"/>
      <c r="ISD118" s="2"/>
      <c r="ISE118" s="2"/>
      <c r="ISF118" s="2"/>
      <c r="ISG118" s="2"/>
      <c r="ISH118" s="2"/>
      <c r="ISI118" s="2"/>
      <c r="ISJ118" s="2"/>
      <c r="ISK118" s="2"/>
      <c r="ISL118" s="2"/>
      <c r="ISM118" s="2"/>
      <c r="ISN118" s="2"/>
      <c r="ISO118" s="2"/>
      <c r="ISP118" s="2"/>
      <c r="ISQ118" s="2"/>
      <c r="ISR118" s="2"/>
      <c r="ISS118" s="2"/>
      <c r="IST118" s="2"/>
      <c r="ISU118" s="2"/>
      <c r="ISV118" s="2"/>
      <c r="ISW118" s="2"/>
      <c r="ISX118" s="2"/>
      <c r="ISY118" s="2"/>
      <c r="ISZ118" s="2"/>
      <c r="ITA118" s="2"/>
      <c r="ITB118" s="2"/>
      <c r="ITC118" s="2"/>
      <c r="ITD118" s="2"/>
      <c r="ITE118" s="2"/>
      <c r="ITF118" s="2"/>
      <c r="ITG118" s="2"/>
      <c r="ITH118" s="2"/>
      <c r="ITI118" s="2"/>
      <c r="ITJ118" s="2"/>
      <c r="ITK118" s="2"/>
      <c r="ITL118" s="2"/>
      <c r="ITM118" s="2"/>
      <c r="ITN118" s="2"/>
      <c r="ITO118" s="2"/>
      <c r="ITP118" s="2"/>
      <c r="ITQ118" s="2"/>
      <c r="ITR118" s="2"/>
      <c r="ITS118" s="2"/>
      <c r="ITT118" s="2"/>
      <c r="ITU118" s="2"/>
      <c r="ITV118" s="2"/>
      <c r="ITW118" s="2"/>
      <c r="ITX118" s="2"/>
      <c r="ITY118" s="2"/>
      <c r="ITZ118" s="2"/>
      <c r="IUA118" s="2"/>
      <c r="IUB118" s="2"/>
      <c r="IUC118" s="2"/>
      <c r="IUD118" s="2"/>
      <c r="IUE118" s="2"/>
      <c r="IUF118" s="2"/>
      <c r="IUG118" s="2"/>
      <c r="IUH118" s="2"/>
      <c r="IUI118" s="2"/>
      <c r="IUJ118" s="2"/>
      <c r="IUK118" s="2"/>
      <c r="IUL118" s="2"/>
      <c r="IUM118" s="2"/>
      <c r="IUN118" s="2"/>
      <c r="IUO118" s="2"/>
      <c r="IUP118" s="2"/>
      <c r="IUQ118" s="2"/>
      <c r="IUR118" s="2"/>
      <c r="IUS118" s="2"/>
      <c r="IUT118" s="2"/>
      <c r="IUU118" s="2"/>
      <c r="IUV118" s="2"/>
      <c r="IUW118" s="2"/>
      <c r="IUX118" s="2"/>
      <c r="IUY118" s="2"/>
      <c r="IUZ118" s="2"/>
      <c r="IVA118" s="2"/>
      <c r="IVB118" s="2"/>
      <c r="IVC118" s="2"/>
      <c r="IVD118" s="2"/>
      <c r="IVE118" s="2"/>
      <c r="IVF118" s="2"/>
      <c r="IVG118" s="2"/>
      <c r="IVH118" s="2"/>
      <c r="IVI118" s="2"/>
      <c r="IVJ118" s="2"/>
      <c r="IVK118" s="2"/>
      <c r="IVL118" s="2"/>
      <c r="IVM118" s="2"/>
      <c r="IVN118" s="2"/>
      <c r="IVO118" s="2"/>
      <c r="IVP118" s="2"/>
      <c r="IVQ118" s="2"/>
      <c r="IVR118" s="2"/>
      <c r="IVS118" s="2"/>
      <c r="IVT118" s="2"/>
      <c r="IVU118" s="2"/>
      <c r="IVV118" s="2"/>
      <c r="IVW118" s="2"/>
      <c r="IVX118" s="2"/>
      <c r="IVY118" s="2"/>
      <c r="IVZ118" s="2"/>
      <c r="IWA118" s="2"/>
      <c r="IWB118" s="2"/>
      <c r="IWC118" s="2"/>
      <c r="IWD118" s="2"/>
      <c r="IWE118" s="2"/>
      <c r="IWF118" s="2"/>
      <c r="IWG118" s="2"/>
      <c r="IWH118" s="2"/>
      <c r="IWI118" s="2"/>
      <c r="IWJ118" s="2"/>
      <c r="IWK118" s="2"/>
      <c r="IWL118" s="2"/>
      <c r="IWM118" s="2"/>
      <c r="IWN118" s="2"/>
      <c r="IWO118" s="2"/>
      <c r="IWP118" s="2"/>
      <c r="IWQ118" s="2"/>
      <c r="IWR118" s="2"/>
      <c r="IWS118" s="2"/>
      <c r="IWT118" s="2"/>
      <c r="IWU118" s="2"/>
      <c r="IWV118" s="2"/>
      <c r="IWW118" s="2"/>
      <c r="IWX118" s="2"/>
      <c r="IWY118" s="2"/>
      <c r="IWZ118" s="2"/>
      <c r="IXA118" s="2"/>
      <c r="IXB118" s="2"/>
      <c r="IXC118" s="2"/>
      <c r="IXD118" s="2"/>
      <c r="IXE118" s="2"/>
      <c r="IXF118" s="2"/>
      <c r="IXG118" s="2"/>
      <c r="IXH118" s="2"/>
      <c r="IXI118" s="2"/>
      <c r="IXJ118" s="2"/>
      <c r="IXK118" s="2"/>
      <c r="IXL118" s="2"/>
      <c r="IXM118" s="2"/>
      <c r="IXN118" s="2"/>
      <c r="IXO118" s="2"/>
      <c r="IXP118" s="2"/>
      <c r="IXQ118" s="2"/>
      <c r="IXR118" s="2"/>
      <c r="IXS118" s="2"/>
      <c r="IXT118" s="2"/>
      <c r="IXU118" s="2"/>
      <c r="IXV118" s="2"/>
      <c r="IXW118" s="2"/>
      <c r="IXX118" s="2"/>
      <c r="IXY118" s="2"/>
      <c r="IXZ118" s="2"/>
      <c r="IYA118" s="2"/>
      <c r="IYB118" s="2"/>
      <c r="IYC118" s="2"/>
      <c r="IYD118" s="2"/>
      <c r="IYE118" s="2"/>
      <c r="IYF118" s="2"/>
      <c r="IYG118" s="2"/>
      <c r="IYH118" s="2"/>
      <c r="IYI118" s="2"/>
      <c r="IYJ118" s="2"/>
      <c r="IYK118" s="2"/>
      <c r="IYL118" s="2"/>
      <c r="IYM118" s="2"/>
      <c r="IYN118" s="2"/>
      <c r="IYO118" s="2"/>
      <c r="IYP118" s="2"/>
      <c r="IYQ118" s="2"/>
      <c r="IYR118" s="2"/>
      <c r="IYS118" s="2"/>
      <c r="IYT118" s="2"/>
      <c r="IYU118" s="2"/>
      <c r="IYV118" s="2"/>
      <c r="IYW118" s="2"/>
      <c r="IYX118" s="2"/>
      <c r="IYY118" s="2"/>
      <c r="IYZ118" s="2"/>
      <c r="IZA118" s="2"/>
      <c r="IZB118" s="2"/>
      <c r="IZC118" s="2"/>
      <c r="IZD118" s="2"/>
      <c r="IZE118" s="2"/>
      <c r="IZF118" s="2"/>
      <c r="IZG118" s="2"/>
      <c r="IZH118" s="2"/>
      <c r="IZI118" s="2"/>
      <c r="IZJ118" s="2"/>
      <c r="IZK118" s="2"/>
      <c r="IZL118" s="2"/>
      <c r="IZM118" s="2"/>
      <c r="IZN118" s="2"/>
      <c r="IZO118" s="2"/>
      <c r="IZP118" s="2"/>
      <c r="IZQ118" s="2"/>
      <c r="IZR118" s="2"/>
      <c r="IZS118" s="2"/>
      <c r="IZT118" s="2"/>
      <c r="IZU118" s="2"/>
      <c r="IZV118" s="2"/>
      <c r="IZW118" s="2"/>
      <c r="IZX118" s="2"/>
      <c r="IZY118" s="2"/>
      <c r="IZZ118" s="2"/>
      <c r="JAA118" s="2"/>
      <c r="JAB118" s="2"/>
      <c r="JAC118" s="2"/>
      <c r="JAD118" s="2"/>
      <c r="JAE118" s="2"/>
      <c r="JAF118" s="2"/>
      <c r="JAG118" s="2"/>
      <c r="JAH118" s="2"/>
      <c r="JAI118" s="2"/>
      <c r="JAJ118" s="2"/>
      <c r="JAK118" s="2"/>
      <c r="JAL118" s="2"/>
      <c r="JAM118" s="2"/>
      <c r="JAN118" s="2"/>
      <c r="JAO118" s="2"/>
      <c r="JAP118" s="2"/>
      <c r="JAQ118" s="2"/>
      <c r="JAR118" s="2"/>
      <c r="JAS118" s="2"/>
      <c r="JAT118" s="2"/>
      <c r="JAU118" s="2"/>
      <c r="JAV118" s="2"/>
      <c r="JAW118" s="2"/>
      <c r="JAX118" s="2"/>
      <c r="JAY118" s="2"/>
      <c r="JAZ118" s="2"/>
      <c r="JBA118" s="2"/>
      <c r="JBB118" s="2"/>
      <c r="JBC118" s="2"/>
      <c r="JBD118" s="2"/>
      <c r="JBE118" s="2"/>
      <c r="JBF118" s="2"/>
      <c r="JBG118" s="2"/>
      <c r="JBH118" s="2"/>
      <c r="JBI118" s="2"/>
      <c r="JBJ118" s="2"/>
      <c r="JBK118" s="2"/>
      <c r="JBL118" s="2"/>
      <c r="JBM118" s="2"/>
      <c r="JBN118" s="2"/>
      <c r="JBO118" s="2"/>
      <c r="JBP118" s="2"/>
      <c r="JBQ118" s="2"/>
      <c r="JBR118" s="2"/>
      <c r="JBS118" s="2"/>
      <c r="JBT118" s="2"/>
      <c r="JBU118" s="2"/>
      <c r="JBV118" s="2"/>
      <c r="JBW118" s="2"/>
      <c r="JBX118" s="2"/>
      <c r="JBY118" s="2"/>
      <c r="JBZ118" s="2"/>
      <c r="JCA118" s="2"/>
      <c r="JCB118" s="2"/>
      <c r="JCC118" s="2"/>
      <c r="JCD118" s="2"/>
      <c r="JCE118" s="2"/>
      <c r="JCF118" s="2"/>
      <c r="JCG118" s="2"/>
      <c r="JCH118" s="2"/>
      <c r="JCI118" s="2"/>
      <c r="JCJ118" s="2"/>
      <c r="JCK118" s="2"/>
      <c r="JCL118" s="2"/>
      <c r="JCM118" s="2"/>
      <c r="JCN118" s="2"/>
      <c r="JCO118" s="2"/>
      <c r="JCP118" s="2"/>
      <c r="JCQ118" s="2"/>
      <c r="JCR118" s="2"/>
      <c r="JCS118" s="2"/>
      <c r="JCT118" s="2"/>
      <c r="JCU118" s="2"/>
      <c r="JCV118" s="2"/>
      <c r="JCW118" s="2"/>
      <c r="JCX118" s="2"/>
      <c r="JCY118" s="2"/>
      <c r="JCZ118" s="2"/>
      <c r="JDA118" s="2"/>
      <c r="JDB118" s="2"/>
      <c r="JDC118" s="2"/>
      <c r="JDD118" s="2"/>
      <c r="JDE118" s="2"/>
      <c r="JDF118" s="2"/>
      <c r="JDG118" s="2"/>
      <c r="JDH118" s="2"/>
      <c r="JDI118" s="2"/>
      <c r="JDJ118" s="2"/>
      <c r="JDK118" s="2"/>
      <c r="JDL118" s="2"/>
      <c r="JDM118" s="2"/>
      <c r="JDN118" s="2"/>
      <c r="JDO118" s="2"/>
      <c r="JDP118" s="2"/>
      <c r="JDQ118" s="2"/>
      <c r="JDR118" s="2"/>
      <c r="JDS118" s="2"/>
      <c r="JDT118" s="2"/>
      <c r="JDU118" s="2"/>
      <c r="JDV118" s="2"/>
      <c r="JDW118" s="2"/>
      <c r="JDX118" s="2"/>
      <c r="JDY118" s="2"/>
      <c r="JDZ118" s="2"/>
      <c r="JEA118" s="2"/>
      <c r="JEB118" s="2"/>
      <c r="JEC118" s="2"/>
      <c r="JED118" s="2"/>
      <c r="JEE118" s="2"/>
      <c r="JEF118" s="2"/>
      <c r="JEG118" s="2"/>
      <c r="JEH118" s="2"/>
      <c r="JEI118" s="2"/>
      <c r="JEJ118" s="2"/>
      <c r="JEK118" s="2"/>
      <c r="JEL118" s="2"/>
      <c r="JEM118" s="2"/>
      <c r="JEN118" s="2"/>
      <c r="JEO118" s="2"/>
      <c r="JEP118" s="2"/>
      <c r="JEQ118" s="2"/>
      <c r="JER118" s="2"/>
      <c r="JES118" s="2"/>
      <c r="JET118" s="2"/>
      <c r="JEU118" s="2"/>
      <c r="JEV118" s="2"/>
      <c r="JEW118" s="2"/>
      <c r="JEX118" s="2"/>
      <c r="JEY118" s="2"/>
      <c r="JEZ118" s="2"/>
      <c r="JFA118" s="2"/>
      <c r="JFB118" s="2"/>
      <c r="JFC118" s="2"/>
      <c r="JFD118" s="2"/>
      <c r="JFE118" s="2"/>
      <c r="JFF118" s="2"/>
      <c r="JFG118" s="2"/>
      <c r="JFH118" s="2"/>
      <c r="JFI118" s="2"/>
      <c r="JFJ118" s="2"/>
      <c r="JFK118" s="2"/>
      <c r="JFL118" s="2"/>
      <c r="JFM118" s="2"/>
      <c r="JFN118" s="2"/>
      <c r="JFO118" s="2"/>
      <c r="JFP118" s="2"/>
      <c r="JFQ118" s="2"/>
      <c r="JFR118" s="2"/>
      <c r="JFS118" s="2"/>
      <c r="JFT118" s="2"/>
      <c r="JFU118" s="2"/>
      <c r="JFV118" s="2"/>
      <c r="JFW118" s="2"/>
      <c r="JFX118" s="2"/>
      <c r="JFY118" s="2"/>
      <c r="JFZ118" s="2"/>
      <c r="JGA118" s="2"/>
      <c r="JGB118" s="2"/>
      <c r="JGC118" s="2"/>
      <c r="JGD118" s="2"/>
      <c r="JGE118" s="2"/>
      <c r="JGF118" s="2"/>
      <c r="JGG118" s="2"/>
      <c r="JGH118" s="2"/>
      <c r="JGI118" s="2"/>
      <c r="JGJ118" s="2"/>
      <c r="JGK118" s="2"/>
      <c r="JGL118" s="2"/>
      <c r="JGM118" s="2"/>
      <c r="JGN118" s="2"/>
      <c r="JGO118" s="2"/>
      <c r="JGP118" s="2"/>
      <c r="JGQ118" s="2"/>
      <c r="JGR118" s="2"/>
      <c r="JGS118" s="2"/>
      <c r="JGT118" s="2"/>
      <c r="JGU118" s="2"/>
      <c r="JGV118" s="2"/>
      <c r="JGW118" s="2"/>
      <c r="JGX118" s="2"/>
      <c r="JGY118" s="2"/>
      <c r="JGZ118" s="2"/>
      <c r="JHA118" s="2"/>
      <c r="JHB118" s="2"/>
      <c r="JHC118" s="2"/>
      <c r="JHD118" s="2"/>
      <c r="JHE118" s="2"/>
      <c r="JHF118" s="2"/>
      <c r="JHG118" s="2"/>
      <c r="JHH118" s="2"/>
      <c r="JHI118" s="2"/>
      <c r="JHJ118" s="2"/>
      <c r="JHK118" s="2"/>
      <c r="JHL118" s="2"/>
      <c r="JHM118" s="2"/>
      <c r="JHN118" s="2"/>
      <c r="JHO118" s="2"/>
      <c r="JHP118" s="2"/>
      <c r="JHQ118" s="2"/>
      <c r="JHR118" s="2"/>
      <c r="JHS118" s="2"/>
      <c r="JHT118" s="2"/>
      <c r="JHU118" s="2"/>
      <c r="JHV118" s="2"/>
      <c r="JHW118" s="2"/>
      <c r="JHX118" s="2"/>
      <c r="JHY118" s="2"/>
      <c r="JHZ118" s="2"/>
      <c r="JIA118" s="2"/>
      <c r="JIB118" s="2"/>
      <c r="JIC118" s="2"/>
      <c r="JID118" s="2"/>
      <c r="JIE118" s="2"/>
      <c r="JIF118" s="2"/>
      <c r="JIG118" s="2"/>
      <c r="JIH118" s="2"/>
      <c r="JII118" s="2"/>
      <c r="JIJ118" s="2"/>
      <c r="JIK118" s="2"/>
      <c r="JIL118" s="2"/>
      <c r="JIM118" s="2"/>
      <c r="JIN118" s="2"/>
      <c r="JIO118" s="2"/>
      <c r="JIP118" s="2"/>
      <c r="JIQ118" s="2"/>
      <c r="JIR118" s="2"/>
      <c r="JIS118" s="2"/>
      <c r="JIT118" s="2"/>
      <c r="JIU118" s="2"/>
      <c r="JIV118" s="2"/>
      <c r="JIW118" s="2"/>
      <c r="JIX118" s="2"/>
      <c r="JIY118" s="2"/>
      <c r="JIZ118" s="2"/>
      <c r="JJA118" s="2"/>
      <c r="JJB118" s="2"/>
      <c r="JJC118" s="2"/>
      <c r="JJD118" s="2"/>
      <c r="JJE118" s="2"/>
      <c r="JJF118" s="2"/>
      <c r="JJG118" s="2"/>
      <c r="JJH118" s="2"/>
      <c r="JJI118" s="2"/>
      <c r="JJJ118" s="2"/>
      <c r="JJK118" s="2"/>
      <c r="JJL118" s="2"/>
      <c r="JJM118" s="2"/>
      <c r="JJN118" s="2"/>
      <c r="JJO118" s="2"/>
      <c r="JJP118" s="2"/>
      <c r="JJQ118" s="2"/>
      <c r="JJR118" s="2"/>
      <c r="JJS118" s="2"/>
      <c r="JJT118" s="2"/>
      <c r="JJU118" s="2"/>
      <c r="JJV118" s="2"/>
      <c r="JJW118" s="2"/>
      <c r="JJX118" s="2"/>
      <c r="JJY118" s="2"/>
      <c r="JJZ118" s="2"/>
      <c r="JKA118" s="2"/>
      <c r="JKB118" s="2"/>
      <c r="JKC118" s="2"/>
      <c r="JKD118" s="2"/>
      <c r="JKE118" s="2"/>
      <c r="JKF118" s="2"/>
      <c r="JKG118" s="2"/>
      <c r="JKH118" s="2"/>
      <c r="JKI118" s="2"/>
      <c r="JKJ118" s="2"/>
      <c r="JKK118" s="2"/>
      <c r="JKL118" s="2"/>
      <c r="JKM118" s="2"/>
      <c r="JKN118" s="2"/>
      <c r="JKO118" s="2"/>
      <c r="JKP118" s="2"/>
      <c r="JKQ118" s="2"/>
      <c r="JKR118" s="2"/>
      <c r="JKS118" s="2"/>
      <c r="JKT118" s="2"/>
      <c r="JKU118" s="2"/>
      <c r="JKV118" s="2"/>
      <c r="JKW118" s="2"/>
      <c r="JKX118" s="2"/>
      <c r="JKY118" s="2"/>
      <c r="JKZ118" s="2"/>
      <c r="JLA118" s="2"/>
      <c r="JLB118" s="2"/>
      <c r="JLC118" s="2"/>
      <c r="JLD118" s="2"/>
      <c r="JLE118" s="2"/>
      <c r="JLF118" s="2"/>
      <c r="JLG118" s="2"/>
      <c r="JLH118" s="2"/>
      <c r="JLI118" s="2"/>
      <c r="JLJ118" s="2"/>
      <c r="JLK118" s="2"/>
      <c r="JLL118" s="2"/>
      <c r="JLM118" s="2"/>
      <c r="JLN118" s="2"/>
      <c r="JLO118" s="2"/>
      <c r="JLP118" s="2"/>
      <c r="JLQ118" s="2"/>
      <c r="JLR118" s="2"/>
      <c r="JLS118" s="2"/>
      <c r="JLT118" s="2"/>
      <c r="JLU118" s="2"/>
      <c r="JLV118" s="2"/>
      <c r="JLW118" s="2"/>
      <c r="JLX118" s="2"/>
      <c r="JLY118" s="2"/>
      <c r="JLZ118" s="2"/>
      <c r="JMA118" s="2"/>
      <c r="JMB118" s="2"/>
      <c r="JMC118" s="2"/>
      <c r="JMD118" s="2"/>
      <c r="JME118" s="2"/>
      <c r="JMF118" s="2"/>
      <c r="JMG118" s="2"/>
      <c r="JMH118" s="2"/>
      <c r="JMI118" s="2"/>
      <c r="JMJ118" s="2"/>
      <c r="JMK118" s="2"/>
      <c r="JML118" s="2"/>
      <c r="JMM118" s="2"/>
      <c r="JMN118" s="2"/>
      <c r="JMO118" s="2"/>
      <c r="JMP118" s="2"/>
      <c r="JMQ118" s="2"/>
      <c r="JMR118" s="2"/>
      <c r="JMS118" s="2"/>
      <c r="JMT118" s="2"/>
      <c r="JMU118" s="2"/>
      <c r="JMV118" s="2"/>
      <c r="JMW118" s="2"/>
      <c r="JMX118" s="2"/>
      <c r="JMY118" s="2"/>
      <c r="JMZ118" s="2"/>
      <c r="JNA118" s="2"/>
      <c r="JNB118" s="2"/>
      <c r="JNC118" s="2"/>
      <c r="JND118" s="2"/>
      <c r="JNE118" s="2"/>
      <c r="JNF118" s="2"/>
      <c r="JNG118" s="2"/>
      <c r="JNH118" s="2"/>
      <c r="JNI118" s="2"/>
      <c r="JNJ118" s="2"/>
      <c r="JNK118" s="2"/>
      <c r="JNL118" s="2"/>
      <c r="JNM118" s="2"/>
      <c r="JNN118" s="2"/>
      <c r="JNO118" s="2"/>
      <c r="JNP118" s="2"/>
      <c r="JNQ118" s="2"/>
      <c r="JNR118" s="2"/>
      <c r="JNS118" s="2"/>
      <c r="JNT118" s="2"/>
      <c r="JNU118" s="2"/>
      <c r="JNV118" s="2"/>
      <c r="JNW118" s="2"/>
      <c r="JNX118" s="2"/>
      <c r="JNY118" s="2"/>
      <c r="JNZ118" s="2"/>
      <c r="JOA118" s="2"/>
      <c r="JOB118" s="2"/>
      <c r="JOC118" s="2"/>
      <c r="JOD118" s="2"/>
      <c r="JOE118" s="2"/>
      <c r="JOF118" s="2"/>
      <c r="JOG118" s="2"/>
      <c r="JOH118" s="2"/>
      <c r="JOI118" s="2"/>
      <c r="JOJ118" s="2"/>
      <c r="JOK118" s="2"/>
      <c r="JOL118" s="2"/>
      <c r="JOM118" s="2"/>
      <c r="JON118" s="2"/>
      <c r="JOO118" s="2"/>
      <c r="JOP118" s="2"/>
      <c r="JOQ118" s="2"/>
      <c r="JOR118" s="2"/>
      <c r="JOS118" s="2"/>
      <c r="JOT118" s="2"/>
      <c r="JOU118" s="2"/>
      <c r="JOV118" s="2"/>
      <c r="JOW118" s="2"/>
      <c r="JOX118" s="2"/>
      <c r="JOY118" s="2"/>
      <c r="JOZ118" s="2"/>
      <c r="JPA118" s="2"/>
      <c r="JPB118" s="2"/>
      <c r="JPC118" s="2"/>
      <c r="JPD118" s="2"/>
      <c r="JPE118" s="2"/>
      <c r="JPF118" s="2"/>
      <c r="JPG118" s="2"/>
      <c r="JPH118" s="2"/>
      <c r="JPI118" s="2"/>
      <c r="JPJ118" s="2"/>
      <c r="JPK118" s="2"/>
      <c r="JPL118" s="2"/>
      <c r="JPM118" s="2"/>
      <c r="JPN118" s="2"/>
      <c r="JPO118" s="2"/>
      <c r="JPP118" s="2"/>
      <c r="JPQ118" s="2"/>
      <c r="JPR118" s="2"/>
      <c r="JPS118" s="2"/>
      <c r="JPT118" s="2"/>
      <c r="JPU118" s="2"/>
      <c r="JPV118" s="2"/>
      <c r="JPW118" s="2"/>
      <c r="JPX118" s="2"/>
      <c r="JPY118" s="2"/>
      <c r="JPZ118" s="2"/>
      <c r="JQA118" s="2"/>
      <c r="JQB118" s="2"/>
      <c r="JQC118" s="2"/>
      <c r="JQD118" s="2"/>
      <c r="JQE118" s="2"/>
      <c r="JQF118" s="2"/>
      <c r="JQG118" s="2"/>
      <c r="JQH118" s="2"/>
      <c r="JQI118" s="2"/>
      <c r="JQJ118" s="2"/>
      <c r="JQK118" s="2"/>
      <c r="JQL118" s="2"/>
      <c r="JQM118" s="2"/>
      <c r="JQN118" s="2"/>
      <c r="JQO118" s="2"/>
      <c r="JQP118" s="2"/>
      <c r="JQQ118" s="2"/>
      <c r="JQR118" s="2"/>
      <c r="JQS118" s="2"/>
      <c r="JQT118" s="2"/>
      <c r="JQU118" s="2"/>
      <c r="JQV118" s="2"/>
      <c r="JQW118" s="2"/>
      <c r="JQX118" s="2"/>
      <c r="JQY118" s="2"/>
      <c r="JQZ118" s="2"/>
      <c r="JRA118" s="2"/>
      <c r="JRB118" s="2"/>
      <c r="JRC118" s="2"/>
      <c r="JRD118" s="2"/>
      <c r="JRE118" s="2"/>
      <c r="JRF118" s="2"/>
      <c r="JRG118" s="2"/>
      <c r="JRH118" s="2"/>
      <c r="JRI118" s="2"/>
      <c r="JRJ118" s="2"/>
      <c r="JRK118" s="2"/>
      <c r="JRL118" s="2"/>
      <c r="JRM118" s="2"/>
      <c r="JRN118" s="2"/>
      <c r="JRO118" s="2"/>
      <c r="JRP118" s="2"/>
      <c r="JRQ118" s="2"/>
      <c r="JRR118" s="2"/>
      <c r="JRS118" s="2"/>
      <c r="JRT118" s="2"/>
      <c r="JRU118" s="2"/>
      <c r="JRV118" s="2"/>
      <c r="JRW118" s="2"/>
      <c r="JRX118" s="2"/>
      <c r="JRY118" s="2"/>
      <c r="JRZ118" s="2"/>
      <c r="JSA118" s="2"/>
      <c r="JSB118" s="2"/>
      <c r="JSC118" s="2"/>
      <c r="JSD118" s="2"/>
      <c r="JSE118" s="2"/>
      <c r="JSF118" s="2"/>
      <c r="JSG118" s="2"/>
      <c r="JSH118" s="2"/>
      <c r="JSI118" s="2"/>
      <c r="JSJ118" s="2"/>
      <c r="JSK118" s="2"/>
      <c r="JSL118" s="2"/>
      <c r="JSM118" s="2"/>
      <c r="JSN118" s="2"/>
      <c r="JSO118" s="2"/>
      <c r="JSP118" s="2"/>
      <c r="JSQ118" s="2"/>
      <c r="JSR118" s="2"/>
      <c r="JSS118" s="2"/>
      <c r="JST118" s="2"/>
      <c r="JSU118" s="2"/>
      <c r="JSV118" s="2"/>
      <c r="JSW118" s="2"/>
      <c r="JSX118" s="2"/>
      <c r="JSY118" s="2"/>
      <c r="JSZ118" s="2"/>
      <c r="JTA118" s="2"/>
      <c r="JTB118" s="2"/>
      <c r="JTC118" s="2"/>
      <c r="JTD118" s="2"/>
      <c r="JTE118" s="2"/>
      <c r="JTF118" s="2"/>
      <c r="JTG118" s="2"/>
      <c r="JTH118" s="2"/>
      <c r="JTI118" s="2"/>
      <c r="JTJ118" s="2"/>
      <c r="JTK118" s="2"/>
      <c r="JTL118" s="2"/>
      <c r="JTM118" s="2"/>
      <c r="JTN118" s="2"/>
      <c r="JTO118" s="2"/>
      <c r="JTP118" s="2"/>
      <c r="JTQ118" s="2"/>
      <c r="JTR118" s="2"/>
      <c r="JTS118" s="2"/>
      <c r="JTT118" s="2"/>
      <c r="JTU118" s="2"/>
      <c r="JTV118" s="2"/>
      <c r="JTW118" s="2"/>
      <c r="JTX118" s="2"/>
      <c r="JTY118" s="2"/>
      <c r="JTZ118" s="2"/>
      <c r="JUA118" s="2"/>
      <c r="JUB118" s="2"/>
      <c r="JUC118" s="2"/>
      <c r="JUD118" s="2"/>
      <c r="JUE118" s="2"/>
      <c r="JUF118" s="2"/>
      <c r="JUG118" s="2"/>
      <c r="JUH118" s="2"/>
      <c r="JUI118" s="2"/>
      <c r="JUJ118" s="2"/>
      <c r="JUK118" s="2"/>
      <c r="JUL118" s="2"/>
      <c r="JUM118" s="2"/>
      <c r="JUN118" s="2"/>
      <c r="JUO118" s="2"/>
      <c r="JUP118" s="2"/>
      <c r="JUQ118" s="2"/>
      <c r="JUR118" s="2"/>
      <c r="JUS118" s="2"/>
      <c r="JUT118" s="2"/>
      <c r="JUU118" s="2"/>
      <c r="JUV118" s="2"/>
      <c r="JUW118" s="2"/>
      <c r="JUX118" s="2"/>
      <c r="JUY118" s="2"/>
      <c r="JUZ118" s="2"/>
      <c r="JVA118" s="2"/>
      <c r="JVB118" s="2"/>
      <c r="JVC118" s="2"/>
      <c r="JVD118" s="2"/>
      <c r="JVE118" s="2"/>
      <c r="JVF118" s="2"/>
      <c r="JVG118" s="2"/>
      <c r="JVH118" s="2"/>
      <c r="JVI118" s="2"/>
      <c r="JVJ118" s="2"/>
      <c r="JVK118" s="2"/>
      <c r="JVL118" s="2"/>
      <c r="JVM118" s="2"/>
      <c r="JVN118" s="2"/>
      <c r="JVO118" s="2"/>
      <c r="JVP118" s="2"/>
      <c r="JVQ118" s="2"/>
      <c r="JVR118" s="2"/>
      <c r="JVS118" s="2"/>
      <c r="JVT118" s="2"/>
      <c r="JVU118" s="2"/>
      <c r="JVV118" s="2"/>
      <c r="JVW118" s="2"/>
      <c r="JVX118" s="2"/>
      <c r="JVY118" s="2"/>
      <c r="JVZ118" s="2"/>
      <c r="JWA118" s="2"/>
      <c r="JWB118" s="2"/>
      <c r="JWC118" s="2"/>
      <c r="JWD118" s="2"/>
      <c r="JWE118" s="2"/>
      <c r="JWF118" s="2"/>
      <c r="JWG118" s="2"/>
      <c r="JWH118" s="2"/>
      <c r="JWI118" s="2"/>
      <c r="JWJ118" s="2"/>
      <c r="JWK118" s="2"/>
      <c r="JWL118" s="2"/>
      <c r="JWM118" s="2"/>
      <c r="JWN118" s="2"/>
      <c r="JWO118" s="2"/>
      <c r="JWP118" s="2"/>
      <c r="JWQ118" s="2"/>
      <c r="JWR118" s="2"/>
      <c r="JWS118" s="2"/>
      <c r="JWT118" s="2"/>
      <c r="JWU118" s="2"/>
      <c r="JWV118" s="2"/>
      <c r="JWW118" s="2"/>
      <c r="JWX118" s="2"/>
      <c r="JWY118" s="2"/>
      <c r="JWZ118" s="2"/>
      <c r="JXA118" s="2"/>
      <c r="JXB118" s="2"/>
      <c r="JXC118" s="2"/>
      <c r="JXD118" s="2"/>
      <c r="JXE118" s="2"/>
      <c r="JXF118" s="2"/>
      <c r="JXG118" s="2"/>
      <c r="JXH118" s="2"/>
      <c r="JXI118" s="2"/>
      <c r="JXJ118" s="2"/>
      <c r="JXK118" s="2"/>
      <c r="JXL118" s="2"/>
      <c r="JXM118" s="2"/>
      <c r="JXN118" s="2"/>
      <c r="JXO118" s="2"/>
      <c r="JXP118" s="2"/>
      <c r="JXQ118" s="2"/>
      <c r="JXR118" s="2"/>
      <c r="JXS118" s="2"/>
      <c r="JXT118" s="2"/>
      <c r="JXU118" s="2"/>
      <c r="JXV118" s="2"/>
      <c r="JXW118" s="2"/>
      <c r="JXX118" s="2"/>
      <c r="JXY118" s="2"/>
      <c r="JXZ118" s="2"/>
      <c r="JYA118" s="2"/>
      <c r="JYB118" s="2"/>
      <c r="JYC118" s="2"/>
      <c r="JYD118" s="2"/>
      <c r="JYE118" s="2"/>
      <c r="JYF118" s="2"/>
      <c r="JYG118" s="2"/>
      <c r="JYH118" s="2"/>
      <c r="JYI118" s="2"/>
      <c r="JYJ118" s="2"/>
      <c r="JYK118" s="2"/>
      <c r="JYL118" s="2"/>
      <c r="JYM118" s="2"/>
      <c r="JYN118" s="2"/>
      <c r="JYO118" s="2"/>
      <c r="JYP118" s="2"/>
      <c r="JYQ118" s="2"/>
      <c r="JYR118" s="2"/>
      <c r="JYS118" s="2"/>
      <c r="JYT118" s="2"/>
      <c r="JYU118" s="2"/>
      <c r="JYV118" s="2"/>
      <c r="JYW118" s="2"/>
      <c r="JYX118" s="2"/>
      <c r="JYY118" s="2"/>
      <c r="JYZ118" s="2"/>
      <c r="JZA118" s="2"/>
      <c r="JZB118" s="2"/>
      <c r="JZC118" s="2"/>
      <c r="JZD118" s="2"/>
      <c r="JZE118" s="2"/>
      <c r="JZF118" s="2"/>
      <c r="JZG118" s="2"/>
      <c r="JZH118" s="2"/>
      <c r="JZI118" s="2"/>
      <c r="JZJ118" s="2"/>
      <c r="JZK118" s="2"/>
      <c r="JZL118" s="2"/>
      <c r="JZM118" s="2"/>
      <c r="JZN118" s="2"/>
      <c r="JZO118" s="2"/>
      <c r="JZP118" s="2"/>
      <c r="JZQ118" s="2"/>
      <c r="JZR118" s="2"/>
      <c r="JZS118" s="2"/>
      <c r="JZT118" s="2"/>
      <c r="JZU118" s="2"/>
      <c r="JZV118" s="2"/>
      <c r="JZW118" s="2"/>
      <c r="JZX118" s="2"/>
      <c r="JZY118" s="2"/>
      <c r="JZZ118" s="2"/>
      <c r="KAA118" s="2"/>
      <c r="KAB118" s="2"/>
      <c r="KAC118" s="2"/>
      <c r="KAD118" s="2"/>
      <c r="KAE118" s="2"/>
      <c r="KAF118" s="2"/>
      <c r="KAG118" s="2"/>
      <c r="KAH118" s="2"/>
      <c r="KAI118" s="2"/>
      <c r="KAJ118" s="2"/>
      <c r="KAK118" s="2"/>
      <c r="KAL118" s="2"/>
      <c r="KAM118" s="2"/>
      <c r="KAN118" s="2"/>
      <c r="KAO118" s="2"/>
      <c r="KAP118" s="2"/>
      <c r="KAQ118" s="2"/>
      <c r="KAR118" s="2"/>
      <c r="KAS118" s="2"/>
      <c r="KAT118" s="2"/>
      <c r="KAU118" s="2"/>
      <c r="KAV118" s="2"/>
      <c r="KAW118" s="2"/>
      <c r="KAX118" s="2"/>
      <c r="KAY118" s="2"/>
      <c r="KAZ118" s="2"/>
      <c r="KBA118" s="2"/>
      <c r="KBB118" s="2"/>
      <c r="KBC118" s="2"/>
      <c r="KBD118" s="2"/>
      <c r="KBE118" s="2"/>
      <c r="KBF118" s="2"/>
      <c r="KBG118" s="2"/>
      <c r="KBH118" s="2"/>
      <c r="KBI118" s="2"/>
      <c r="KBJ118" s="2"/>
      <c r="KBK118" s="2"/>
      <c r="KBL118" s="2"/>
      <c r="KBM118" s="2"/>
      <c r="KBN118" s="2"/>
      <c r="KBO118" s="2"/>
      <c r="KBP118" s="2"/>
      <c r="KBQ118" s="2"/>
      <c r="KBR118" s="2"/>
      <c r="KBS118" s="2"/>
      <c r="KBT118" s="2"/>
      <c r="KBU118" s="2"/>
      <c r="KBV118" s="2"/>
      <c r="KBW118" s="2"/>
      <c r="KBX118" s="2"/>
      <c r="KBY118" s="2"/>
      <c r="KBZ118" s="2"/>
      <c r="KCA118" s="2"/>
      <c r="KCB118" s="2"/>
      <c r="KCC118" s="2"/>
      <c r="KCD118" s="2"/>
      <c r="KCE118" s="2"/>
      <c r="KCF118" s="2"/>
      <c r="KCG118" s="2"/>
      <c r="KCH118" s="2"/>
      <c r="KCI118" s="2"/>
      <c r="KCJ118" s="2"/>
      <c r="KCK118" s="2"/>
      <c r="KCL118" s="2"/>
      <c r="KCM118" s="2"/>
      <c r="KCN118" s="2"/>
      <c r="KCO118" s="2"/>
      <c r="KCP118" s="2"/>
      <c r="KCQ118" s="2"/>
      <c r="KCR118" s="2"/>
      <c r="KCS118" s="2"/>
      <c r="KCT118" s="2"/>
      <c r="KCU118" s="2"/>
      <c r="KCV118" s="2"/>
      <c r="KCW118" s="2"/>
      <c r="KCX118" s="2"/>
      <c r="KCY118" s="2"/>
      <c r="KCZ118" s="2"/>
      <c r="KDA118" s="2"/>
      <c r="KDB118" s="2"/>
      <c r="KDC118" s="2"/>
      <c r="KDD118" s="2"/>
      <c r="KDE118" s="2"/>
      <c r="KDF118" s="2"/>
      <c r="KDG118" s="2"/>
      <c r="KDH118" s="2"/>
      <c r="KDI118" s="2"/>
      <c r="KDJ118" s="2"/>
      <c r="KDK118" s="2"/>
      <c r="KDL118" s="2"/>
      <c r="KDM118" s="2"/>
      <c r="KDN118" s="2"/>
      <c r="KDO118" s="2"/>
      <c r="KDP118" s="2"/>
      <c r="KDQ118" s="2"/>
      <c r="KDR118" s="2"/>
      <c r="KDS118" s="2"/>
      <c r="KDT118" s="2"/>
      <c r="KDU118" s="2"/>
      <c r="KDV118" s="2"/>
      <c r="KDW118" s="2"/>
      <c r="KDX118" s="2"/>
      <c r="KDY118" s="2"/>
      <c r="KDZ118" s="2"/>
      <c r="KEA118" s="2"/>
      <c r="KEB118" s="2"/>
      <c r="KEC118" s="2"/>
      <c r="KED118" s="2"/>
      <c r="KEE118" s="2"/>
      <c r="KEF118" s="2"/>
      <c r="KEG118" s="2"/>
      <c r="KEH118" s="2"/>
      <c r="KEI118" s="2"/>
      <c r="KEJ118" s="2"/>
      <c r="KEK118" s="2"/>
      <c r="KEL118" s="2"/>
      <c r="KEM118" s="2"/>
      <c r="KEN118" s="2"/>
      <c r="KEO118" s="2"/>
      <c r="KEP118" s="2"/>
      <c r="KEQ118" s="2"/>
      <c r="KER118" s="2"/>
      <c r="KES118" s="2"/>
      <c r="KET118" s="2"/>
      <c r="KEU118" s="2"/>
      <c r="KEV118" s="2"/>
      <c r="KEW118" s="2"/>
      <c r="KEX118" s="2"/>
      <c r="KEY118" s="2"/>
      <c r="KEZ118" s="2"/>
      <c r="KFA118" s="2"/>
      <c r="KFB118" s="2"/>
      <c r="KFC118" s="2"/>
      <c r="KFD118" s="2"/>
      <c r="KFE118" s="2"/>
      <c r="KFF118" s="2"/>
      <c r="KFG118" s="2"/>
      <c r="KFH118" s="2"/>
      <c r="KFI118" s="2"/>
      <c r="KFJ118" s="2"/>
      <c r="KFK118" s="2"/>
      <c r="KFL118" s="2"/>
      <c r="KFM118" s="2"/>
      <c r="KFN118" s="2"/>
      <c r="KFO118" s="2"/>
      <c r="KFP118" s="2"/>
      <c r="KFQ118" s="2"/>
      <c r="KFR118" s="2"/>
      <c r="KFS118" s="2"/>
      <c r="KFT118" s="2"/>
      <c r="KFU118" s="2"/>
      <c r="KFV118" s="2"/>
      <c r="KFW118" s="2"/>
      <c r="KFX118" s="2"/>
      <c r="KFY118" s="2"/>
      <c r="KFZ118" s="2"/>
      <c r="KGA118" s="2"/>
      <c r="KGB118" s="2"/>
      <c r="KGC118" s="2"/>
      <c r="KGD118" s="2"/>
      <c r="KGE118" s="2"/>
      <c r="KGF118" s="2"/>
      <c r="KGG118" s="2"/>
      <c r="KGH118" s="2"/>
      <c r="KGI118" s="2"/>
      <c r="KGJ118" s="2"/>
      <c r="KGK118" s="2"/>
      <c r="KGL118" s="2"/>
      <c r="KGM118" s="2"/>
      <c r="KGN118" s="2"/>
      <c r="KGO118" s="2"/>
      <c r="KGP118" s="2"/>
      <c r="KGQ118" s="2"/>
      <c r="KGR118" s="2"/>
      <c r="KGS118" s="2"/>
      <c r="KGT118" s="2"/>
      <c r="KGU118" s="2"/>
      <c r="KGV118" s="2"/>
      <c r="KGW118" s="2"/>
      <c r="KGX118" s="2"/>
      <c r="KGY118" s="2"/>
      <c r="KGZ118" s="2"/>
      <c r="KHA118" s="2"/>
      <c r="KHB118" s="2"/>
      <c r="KHC118" s="2"/>
      <c r="KHD118" s="2"/>
      <c r="KHE118" s="2"/>
      <c r="KHF118" s="2"/>
      <c r="KHG118" s="2"/>
      <c r="KHH118" s="2"/>
      <c r="KHI118" s="2"/>
      <c r="KHJ118" s="2"/>
      <c r="KHK118" s="2"/>
      <c r="KHL118" s="2"/>
      <c r="KHM118" s="2"/>
      <c r="KHN118" s="2"/>
      <c r="KHO118" s="2"/>
      <c r="KHP118" s="2"/>
      <c r="KHQ118" s="2"/>
      <c r="KHR118" s="2"/>
      <c r="KHS118" s="2"/>
      <c r="KHT118" s="2"/>
      <c r="KHU118" s="2"/>
      <c r="KHV118" s="2"/>
      <c r="KHW118" s="2"/>
      <c r="KHX118" s="2"/>
      <c r="KHY118" s="2"/>
      <c r="KHZ118" s="2"/>
      <c r="KIA118" s="2"/>
      <c r="KIB118" s="2"/>
      <c r="KIC118" s="2"/>
      <c r="KID118" s="2"/>
      <c r="KIE118" s="2"/>
      <c r="KIF118" s="2"/>
      <c r="KIG118" s="2"/>
      <c r="KIH118" s="2"/>
      <c r="KII118" s="2"/>
      <c r="KIJ118" s="2"/>
      <c r="KIK118" s="2"/>
      <c r="KIL118" s="2"/>
      <c r="KIM118" s="2"/>
      <c r="KIN118" s="2"/>
      <c r="KIO118" s="2"/>
      <c r="KIP118" s="2"/>
      <c r="KIQ118" s="2"/>
      <c r="KIR118" s="2"/>
      <c r="KIS118" s="2"/>
      <c r="KIT118" s="2"/>
      <c r="KIU118" s="2"/>
      <c r="KIV118" s="2"/>
      <c r="KIW118" s="2"/>
      <c r="KIX118" s="2"/>
      <c r="KIY118" s="2"/>
      <c r="KIZ118" s="2"/>
      <c r="KJA118" s="2"/>
      <c r="KJB118" s="2"/>
      <c r="KJC118" s="2"/>
      <c r="KJD118" s="2"/>
      <c r="KJE118" s="2"/>
      <c r="KJF118" s="2"/>
      <c r="KJG118" s="2"/>
      <c r="KJH118" s="2"/>
      <c r="KJI118" s="2"/>
      <c r="KJJ118" s="2"/>
      <c r="KJK118" s="2"/>
      <c r="KJL118" s="2"/>
      <c r="KJM118" s="2"/>
      <c r="KJN118" s="2"/>
      <c r="KJO118" s="2"/>
      <c r="KJP118" s="2"/>
      <c r="KJQ118" s="2"/>
      <c r="KJR118" s="2"/>
      <c r="KJS118" s="2"/>
      <c r="KJT118" s="2"/>
      <c r="KJU118" s="2"/>
      <c r="KJV118" s="2"/>
      <c r="KJW118" s="2"/>
      <c r="KJX118" s="2"/>
      <c r="KJY118" s="2"/>
      <c r="KJZ118" s="2"/>
      <c r="KKA118" s="2"/>
      <c r="KKB118" s="2"/>
      <c r="KKC118" s="2"/>
      <c r="KKD118" s="2"/>
      <c r="KKE118" s="2"/>
      <c r="KKF118" s="2"/>
      <c r="KKG118" s="2"/>
      <c r="KKH118" s="2"/>
      <c r="KKI118" s="2"/>
      <c r="KKJ118" s="2"/>
      <c r="KKK118" s="2"/>
      <c r="KKL118" s="2"/>
      <c r="KKM118" s="2"/>
      <c r="KKN118" s="2"/>
      <c r="KKO118" s="2"/>
      <c r="KKP118" s="2"/>
      <c r="KKQ118" s="2"/>
      <c r="KKR118" s="2"/>
      <c r="KKS118" s="2"/>
      <c r="KKT118" s="2"/>
      <c r="KKU118" s="2"/>
      <c r="KKV118" s="2"/>
      <c r="KKW118" s="2"/>
      <c r="KKX118" s="2"/>
      <c r="KKY118" s="2"/>
      <c r="KKZ118" s="2"/>
      <c r="KLA118" s="2"/>
      <c r="KLB118" s="2"/>
      <c r="KLC118" s="2"/>
      <c r="KLD118" s="2"/>
      <c r="KLE118" s="2"/>
      <c r="KLF118" s="2"/>
      <c r="KLG118" s="2"/>
      <c r="KLH118" s="2"/>
      <c r="KLI118" s="2"/>
      <c r="KLJ118" s="2"/>
      <c r="KLK118" s="2"/>
      <c r="KLL118" s="2"/>
      <c r="KLM118" s="2"/>
      <c r="KLN118" s="2"/>
      <c r="KLO118" s="2"/>
      <c r="KLP118" s="2"/>
      <c r="KLQ118" s="2"/>
      <c r="KLR118" s="2"/>
      <c r="KLS118" s="2"/>
      <c r="KLT118" s="2"/>
      <c r="KLU118" s="2"/>
      <c r="KLV118" s="2"/>
      <c r="KLW118" s="2"/>
      <c r="KLX118" s="2"/>
      <c r="KLY118" s="2"/>
      <c r="KLZ118" s="2"/>
      <c r="KMA118" s="2"/>
      <c r="KMB118" s="2"/>
      <c r="KMC118" s="2"/>
      <c r="KMD118" s="2"/>
      <c r="KME118" s="2"/>
      <c r="KMF118" s="2"/>
      <c r="KMG118" s="2"/>
      <c r="KMH118" s="2"/>
      <c r="KMI118" s="2"/>
      <c r="KMJ118" s="2"/>
      <c r="KMK118" s="2"/>
      <c r="KML118" s="2"/>
      <c r="KMM118" s="2"/>
      <c r="KMN118" s="2"/>
      <c r="KMO118" s="2"/>
      <c r="KMP118" s="2"/>
      <c r="KMQ118" s="2"/>
      <c r="KMR118" s="2"/>
      <c r="KMS118" s="2"/>
      <c r="KMT118" s="2"/>
      <c r="KMU118" s="2"/>
      <c r="KMV118" s="2"/>
      <c r="KMW118" s="2"/>
      <c r="KMX118" s="2"/>
      <c r="KMY118" s="2"/>
      <c r="KMZ118" s="2"/>
      <c r="KNA118" s="2"/>
      <c r="KNB118" s="2"/>
      <c r="KNC118" s="2"/>
      <c r="KND118" s="2"/>
      <c r="KNE118" s="2"/>
      <c r="KNF118" s="2"/>
      <c r="KNG118" s="2"/>
      <c r="KNH118" s="2"/>
      <c r="KNI118" s="2"/>
      <c r="KNJ118" s="2"/>
      <c r="KNK118" s="2"/>
      <c r="KNL118" s="2"/>
      <c r="KNM118" s="2"/>
      <c r="KNN118" s="2"/>
      <c r="KNO118" s="2"/>
      <c r="KNP118" s="2"/>
      <c r="KNQ118" s="2"/>
      <c r="KNR118" s="2"/>
      <c r="KNS118" s="2"/>
      <c r="KNT118" s="2"/>
      <c r="KNU118" s="2"/>
      <c r="KNV118" s="2"/>
      <c r="KNW118" s="2"/>
      <c r="KNX118" s="2"/>
      <c r="KNY118" s="2"/>
      <c r="KNZ118" s="2"/>
      <c r="KOA118" s="2"/>
      <c r="KOB118" s="2"/>
      <c r="KOC118" s="2"/>
      <c r="KOD118" s="2"/>
      <c r="KOE118" s="2"/>
      <c r="KOF118" s="2"/>
      <c r="KOG118" s="2"/>
      <c r="KOH118" s="2"/>
      <c r="KOI118" s="2"/>
      <c r="KOJ118" s="2"/>
      <c r="KOK118" s="2"/>
      <c r="KOL118" s="2"/>
      <c r="KOM118" s="2"/>
      <c r="KON118" s="2"/>
      <c r="KOO118" s="2"/>
      <c r="KOP118" s="2"/>
      <c r="KOQ118" s="2"/>
      <c r="KOR118" s="2"/>
      <c r="KOS118" s="2"/>
      <c r="KOT118" s="2"/>
      <c r="KOU118" s="2"/>
      <c r="KOV118" s="2"/>
      <c r="KOW118" s="2"/>
      <c r="KOX118" s="2"/>
      <c r="KOY118" s="2"/>
      <c r="KOZ118" s="2"/>
      <c r="KPA118" s="2"/>
      <c r="KPB118" s="2"/>
      <c r="KPC118" s="2"/>
      <c r="KPD118" s="2"/>
      <c r="KPE118" s="2"/>
      <c r="KPF118" s="2"/>
      <c r="KPG118" s="2"/>
      <c r="KPH118" s="2"/>
      <c r="KPI118" s="2"/>
      <c r="KPJ118" s="2"/>
      <c r="KPK118" s="2"/>
      <c r="KPL118" s="2"/>
      <c r="KPM118" s="2"/>
      <c r="KPN118" s="2"/>
      <c r="KPO118" s="2"/>
      <c r="KPP118" s="2"/>
      <c r="KPQ118" s="2"/>
      <c r="KPR118" s="2"/>
      <c r="KPS118" s="2"/>
      <c r="KPT118" s="2"/>
      <c r="KPU118" s="2"/>
      <c r="KPV118" s="2"/>
      <c r="KPW118" s="2"/>
      <c r="KPX118" s="2"/>
      <c r="KPY118" s="2"/>
      <c r="KPZ118" s="2"/>
      <c r="KQA118" s="2"/>
      <c r="KQB118" s="2"/>
      <c r="KQC118" s="2"/>
      <c r="KQD118" s="2"/>
      <c r="KQE118" s="2"/>
      <c r="KQF118" s="2"/>
      <c r="KQG118" s="2"/>
      <c r="KQH118" s="2"/>
      <c r="KQI118" s="2"/>
      <c r="KQJ118" s="2"/>
      <c r="KQK118" s="2"/>
      <c r="KQL118" s="2"/>
      <c r="KQM118" s="2"/>
      <c r="KQN118" s="2"/>
      <c r="KQO118" s="2"/>
      <c r="KQP118" s="2"/>
      <c r="KQQ118" s="2"/>
      <c r="KQR118" s="2"/>
      <c r="KQS118" s="2"/>
      <c r="KQT118" s="2"/>
      <c r="KQU118" s="2"/>
      <c r="KQV118" s="2"/>
      <c r="KQW118" s="2"/>
      <c r="KQX118" s="2"/>
      <c r="KQY118" s="2"/>
      <c r="KQZ118" s="2"/>
      <c r="KRA118" s="2"/>
      <c r="KRB118" s="2"/>
      <c r="KRC118" s="2"/>
      <c r="KRD118" s="2"/>
      <c r="KRE118" s="2"/>
      <c r="KRF118" s="2"/>
      <c r="KRG118" s="2"/>
      <c r="KRH118" s="2"/>
      <c r="KRI118" s="2"/>
      <c r="KRJ118" s="2"/>
      <c r="KRK118" s="2"/>
      <c r="KRL118" s="2"/>
      <c r="KRM118" s="2"/>
      <c r="KRN118" s="2"/>
      <c r="KRO118" s="2"/>
      <c r="KRP118" s="2"/>
      <c r="KRQ118" s="2"/>
      <c r="KRR118" s="2"/>
      <c r="KRS118" s="2"/>
      <c r="KRT118" s="2"/>
      <c r="KRU118" s="2"/>
      <c r="KRV118" s="2"/>
      <c r="KRW118" s="2"/>
      <c r="KRX118" s="2"/>
      <c r="KRY118" s="2"/>
      <c r="KRZ118" s="2"/>
      <c r="KSA118" s="2"/>
      <c r="KSB118" s="2"/>
      <c r="KSC118" s="2"/>
      <c r="KSD118" s="2"/>
      <c r="KSE118" s="2"/>
      <c r="KSF118" s="2"/>
      <c r="KSG118" s="2"/>
      <c r="KSH118" s="2"/>
      <c r="KSI118" s="2"/>
      <c r="KSJ118" s="2"/>
      <c r="KSK118" s="2"/>
      <c r="KSL118" s="2"/>
      <c r="KSM118" s="2"/>
      <c r="KSN118" s="2"/>
      <c r="KSO118" s="2"/>
      <c r="KSP118" s="2"/>
      <c r="KSQ118" s="2"/>
      <c r="KSR118" s="2"/>
      <c r="KSS118" s="2"/>
      <c r="KST118" s="2"/>
      <c r="KSU118" s="2"/>
      <c r="KSV118" s="2"/>
      <c r="KSW118" s="2"/>
      <c r="KSX118" s="2"/>
      <c r="KSY118" s="2"/>
      <c r="KSZ118" s="2"/>
      <c r="KTA118" s="2"/>
      <c r="KTB118" s="2"/>
      <c r="KTC118" s="2"/>
      <c r="KTD118" s="2"/>
      <c r="KTE118" s="2"/>
      <c r="KTF118" s="2"/>
      <c r="KTG118" s="2"/>
      <c r="KTH118" s="2"/>
      <c r="KTI118" s="2"/>
      <c r="KTJ118" s="2"/>
      <c r="KTK118" s="2"/>
      <c r="KTL118" s="2"/>
      <c r="KTM118" s="2"/>
      <c r="KTN118" s="2"/>
      <c r="KTO118" s="2"/>
      <c r="KTP118" s="2"/>
      <c r="KTQ118" s="2"/>
      <c r="KTR118" s="2"/>
      <c r="KTS118" s="2"/>
      <c r="KTT118" s="2"/>
      <c r="KTU118" s="2"/>
      <c r="KTV118" s="2"/>
      <c r="KTW118" s="2"/>
      <c r="KTX118" s="2"/>
      <c r="KTY118" s="2"/>
      <c r="KTZ118" s="2"/>
      <c r="KUA118" s="2"/>
      <c r="KUB118" s="2"/>
      <c r="KUC118" s="2"/>
      <c r="KUD118" s="2"/>
      <c r="KUE118" s="2"/>
      <c r="KUF118" s="2"/>
      <c r="KUG118" s="2"/>
      <c r="KUH118" s="2"/>
      <c r="KUI118" s="2"/>
      <c r="KUJ118" s="2"/>
      <c r="KUK118" s="2"/>
      <c r="KUL118" s="2"/>
      <c r="KUM118" s="2"/>
      <c r="KUN118" s="2"/>
      <c r="KUO118" s="2"/>
      <c r="KUP118" s="2"/>
      <c r="KUQ118" s="2"/>
      <c r="KUR118" s="2"/>
      <c r="KUS118" s="2"/>
      <c r="KUT118" s="2"/>
      <c r="KUU118" s="2"/>
      <c r="KUV118" s="2"/>
      <c r="KUW118" s="2"/>
      <c r="KUX118" s="2"/>
      <c r="KUY118" s="2"/>
      <c r="KUZ118" s="2"/>
      <c r="KVA118" s="2"/>
      <c r="KVB118" s="2"/>
      <c r="KVC118" s="2"/>
      <c r="KVD118" s="2"/>
      <c r="KVE118" s="2"/>
      <c r="KVF118" s="2"/>
      <c r="KVG118" s="2"/>
      <c r="KVH118" s="2"/>
      <c r="KVI118" s="2"/>
      <c r="KVJ118" s="2"/>
      <c r="KVK118" s="2"/>
      <c r="KVL118" s="2"/>
      <c r="KVM118" s="2"/>
      <c r="KVN118" s="2"/>
      <c r="KVO118" s="2"/>
      <c r="KVP118" s="2"/>
      <c r="KVQ118" s="2"/>
      <c r="KVR118" s="2"/>
      <c r="KVS118" s="2"/>
      <c r="KVT118" s="2"/>
      <c r="KVU118" s="2"/>
      <c r="KVV118" s="2"/>
      <c r="KVW118" s="2"/>
      <c r="KVX118" s="2"/>
      <c r="KVY118" s="2"/>
      <c r="KVZ118" s="2"/>
      <c r="KWA118" s="2"/>
      <c r="KWB118" s="2"/>
      <c r="KWC118" s="2"/>
      <c r="KWD118" s="2"/>
      <c r="KWE118" s="2"/>
      <c r="KWF118" s="2"/>
      <c r="KWG118" s="2"/>
      <c r="KWH118" s="2"/>
      <c r="KWI118" s="2"/>
      <c r="KWJ118" s="2"/>
      <c r="KWK118" s="2"/>
      <c r="KWL118" s="2"/>
      <c r="KWM118" s="2"/>
      <c r="KWN118" s="2"/>
      <c r="KWO118" s="2"/>
      <c r="KWP118" s="2"/>
      <c r="KWQ118" s="2"/>
      <c r="KWR118" s="2"/>
      <c r="KWS118" s="2"/>
      <c r="KWT118" s="2"/>
      <c r="KWU118" s="2"/>
      <c r="KWV118" s="2"/>
      <c r="KWW118" s="2"/>
      <c r="KWX118" s="2"/>
      <c r="KWY118" s="2"/>
      <c r="KWZ118" s="2"/>
      <c r="KXA118" s="2"/>
      <c r="KXB118" s="2"/>
      <c r="KXC118" s="2"/>
      <c r="KXD118" s="2"/>
      <c r="KXE118" s="2"/>
      <c r="KXF118" s="2"/>
      <c r="KXG118" s="2"/>
      <c r="KXH118" s="2"/>
      <c r="KXI118" s="2"/>
      <c r="KXJ118" s="2"/>
      <c r="KXK118" s="2"/>
      <c r="KXL118" s="2"/>
      <c r="KXM118" s="2"/>
      <c r="KXN118" s="2"/>
      <c r="KXO118" s="2"/>
      <c r="KXP118" s="2"/>
      <c r="KXQ118" s="2"/>
      <c r="KXR118" s="2"/>
      <c r="KXS118" s="2"/>
      <c r="KXT118" s="2"/>
      <c r="KXU118" s="2"/>
      <c r="KXV118" s="2"/>
      <c r="KXW118" s="2"/>
      <c r="KXX118" s="2"/>
      <c r="KXY118" s="2"/>
      <c r="KXZ118" s="2"/>
      <c r="KYA118" s="2"/>
      <c r="KYB118" s="2"/>
      <c r="KYC118" s="2"/>
      <c r="KYD118" s="2"/>
      <c r="KYE118" s="2"/>
      <c r="KYF118" s="2"/>
      <c r="KYG118" s="2"/>
      <c r="KYH118" s="2"/>
      <c r="KYI118" s="2"/>
      <c r="KYJ118" s="2"/>
      <c r="KYK118" s="2"/>
      <c r="KYL118" s="2"/>
      <c r="KYM118" s="2"/>
      <c r="KYN118" s="2"/>
      <c r="KYO118" s="2"/>
      <c r="KYP118" s="2"/>
      <c r="KYQ118" s="2"/>
      <c r="KYR118" s="2"/>
      <c r="KYS118" s="2"/>
      <c r="KYT118" s="2"/>
      <c r="KYU118" s="2"/>
      <c r="KYV118" s="2"/>
      <c r="KYW118" s="2"/>
      <c r="KYX118" s="2"/>
      <c r="KYY118" s="2"/>
      <c r="KYZ118" s="2"/>
      <c r="KZA118" s="2"/>
      <c r="KZB118" s="2"/>
      <c r="KZC118" s="2"/>
      <c r="KZD118" s="2"/>
      <c r="KZE118" s="2"/>
      <c r="KZF118" s="2"/>
      <c r="KZG118" s="2"/>
      <c r="KZH118" s="2"/>
      <c r="KZI118" s="2"/>
      <c r="KZJ118" s="2"/>
      <c r="KZK118" s="2"/>
      <c r="KZL118" s="2"/>
      <c r="KZM118" s="2"/>
      <c r="KZN118" s="2"/>
      <c r="KZO118" s="2"/>
      <c r="KZP118" s="2"/>
      <c r="KZQ118" s="2"/>
      <c r="KZR118" s="2"/>
      <c r="KZS118" s="2"/>
      <c r="KZT118" s="2"/>
      <c r="KZU118" s="2"/>
      <c r="KZV118" s="2"/>
      <c r="KZW118" s="2"/>
      <c r="KZX118" s="2"/>
      <c r="KZY118" s="2"/>
      <c r="KZZ118" s="2"/>
      <c r="LAA118" s="2"/>
      <c r="LAB118" s="2"/>
      <c r="LAC118" s="2"/>
      <c r="LAD118" s="2"/>
      <c r="LAE118" s="2"/>
      <c r="LAF118" s="2"/>
      <c r="LAG118" s="2"/>
      <c r="LAH118" s="2"/>
      <c r="LAI118" s="2"/>
      <c r="LAJ118" s="2"/>
      <c r="LAK118" s="2"/>
      <c r="LAL118" s="2"/>
      <c r="LAM118" s="2"/>
      <c r="LAN118" s="2"/>
      <c r="LAO118" s="2"/>
      <c r="LAP118" s="2"/>
      <c r="LAQ118" s="2"/>
      <c r="LAR118" s="2"/>
      <c r="LAS118" s="2"/>
      <c r="LAT118" s="2"/>
      <c r="LAU118" s="2"/>
      <c r="LAV118" s="2"/>
      <c r="LAW118" s="2"/>
      <c r="LAX118" s="2"/>
      <c r="LAY118" s="2"/>
      <c r="LAZ118" s="2"/>
      <c r="LBA118" s="2"/>
      <c r="LBB118" s="2"/>
      <c r="LBC118" s="2"/>
      <c r="LBD118" s="2"/>
      <c r="LBE118" s="2"/>
      <c r="LBF118" s="2"/>
      <c r="LBG118" s="2"/>
      <c r="LBH118" s="2"/>
      <c r="LBI118" s="2"/>
      <c r="LBJ118" s="2"/>
      <c r="LBK118" s="2"/>
      <c r="LBL118" s="2"/>
      <c r="LBM118" s="2"/>
      <c r="LBN118" s="2"/>
      <c r="LBO118" s="2"/>
      <c r="LBP118" s="2"/>
      <c r="LBQ118" s="2"/>
      <c r="LBR118" s="2"/>
      <c r="LBS118" s="2"/>
      <c r="LBT118" s="2"/>
      <c r="LBU118" s="2"/>
      <c r="LBV118" s="2"/>
      <c r="LBW118" s="2"/>
      <c r="LBX118" s="2"/>
      <c r="LBY118" s="2"/>
      <c r="LBZ118" s="2"/>
      <c r="LCA118" s="2"/>
      <c r="LCB118" s="2"/>
      <c r="LCC118" s="2"/>
      <c r="LCD118" s="2"/>
      <c r="LCE118" s="2"/>
      <c r="LCF118" s="2"/>
      <c r="LCG118" s="2"/>
      <c r="LCH118" s="2"/>
      <c r="LCI118" s="2"/>
      <c r="LCJ118" s="2"/>
      <c r="LCK118" s="2"/>
      <c r="LCL118" s="2"/>
      <c r="LCM118" s="2"/>
      <c r="LCN118" s="2"/>
      <c r="LCO118" s="2"/>
      <c r="LCP118" s="2"/>
      <c r="LCQ118" s="2"/>
      <c r="LCR118" s="2"/>
      <c r="LCS118" s="2"/>
      <c r="LCT118" s="2"/>
      <c r="LCU118" s="2"/>
      <c r="LCV118" s="2"/>
      <c r="LCW118" s="2"/>
      <c r="LCX118" s="2"/>
      <c r="LCY118" s="2"/>
      <c r="LCZ118" s="2"/>
      <c r="LDA118" s="2"/>
      <c r="LDB118" s="2"/>
      <c r="LDC118" s="2"/>
      <c r="LDD118" s="2"/>
      <c r="LDE118" s="2"/>
      <c r="LDF118" s="2"/>
      <c r="LDG118" s="2"/>
      <c r="LDH118" s="2"/>
      <c r="LDI118" s="2"/>
      <c r="LDJ118" s="2"/>
      <c r="LDK118" s="2"/>
      <c r="LDL118" s="2"/>
      <c r="LDM118" s="2"/>
      <c r="LDN118" s="2"/>
      <c r="LDO118" s="2"/>
      <c r="LDP118" s="2"/>
      <c r="LDQ118" s="2"/>
      <c r="LDR118" s="2"/>
      <c r="LDS118" s="2"/>
      <c r="LDT118" s="2"/>
      <c r="LDU118" s="2"/>
      <c r="LDV118" s="2"/>
      <c r="LDW118" s="2"/>
      <c r="LDX118" s="2"/>
      <c r="LDY118" s="2"/>
      <c r="LDZ118" s="2"/>
      <c r="LEA118" s="2"/>
      <c r="LEB118" s="2"/>
      <c r="LEC118" s="2"/>
      <c r="LED118" s="2"/>
      <c r="LEE118" s="2"/>
      <c r="LEF118" s="2"/>
      <c r="LEG118" s="2"/>
      <c r="LEH118" s="2"/>
      <c r="LEI118" s="2"/>
      <c r="LEJ118" s="2"/>
      <c r="LEK118" s="2"/>
      <c r="LEL118" s="2"/>
      <c r="LEM118" s="2"/>
      <c r="LEN118" s="2"/>
      <c r="LEO118" s="2"/>
      <c r="LEP118" s="2"/>
      <c r="LEQ118" s="2"/>
      <c r="LER118" s="2"/>
      <c r="LES118" s="2"/>
      <c r="LET118" s="2"/>
      <c r="LEU118" s="2"/>
      <c r="LEV118" s="2"/>
      <c r="LEW118" s="2"/>
      <c r="LEX118" s="2"/>
      <c r="LEY118" s="2"/>
      <c r="LEZ118" s="2"/>
      <c r="LFA118" s="2"/>
      <c r="LFB118" s="2"/>
      <c r="LFC118" s="2"/>
      <c r="LFD118" s="2"/>
      <c r="LFE118" s="2"/>
      <c r="LFF118" s="2"/>
      <c r="LFG118" s="2"/>
      <c r="LFH118" s="2"/>
      <c r="LFI118" s="2"/>
      <c r="LFJ118" s="2"/>
      <c r="LFK118" s="2"/>
      <c r="LFL118" s="2"/>
      <c r="LFM118" s="2"/>
      <c r="LFN118" s="2"/>
      <c r="LFO118" s="2"/>
      <c r="LFP118" s="2"/>
      <c r="LFQ118" s="2"/>
      <c r="LFR118" s="2"/>
      <c r="LFS118" s="2"/>
      <c r="LFT118" s="2"/>
      <c r="LFU118" s="2"/>
      <c r="LFV118" s="2"/>
      <c r="LFW118" s="2"/>
      <c r="LFX118" s="2"/>
      <c r="LFY118" s="2"/>
      <c r="LFZ118" s="2"/>
      <c r="LGA118" s="2"/>
      <c r="LGB118" s="2"/>
      <c r="LGC118" s="2"/>
      <c r="LGD118" s="2"/>
      <c r="LGE118" s="2"/>
      <c r="LGF118" s="2"/>
      <c r="LGG118" s="2"/>
      <c r="LGH118" s="2"/>
      <c r="LGI118" s="2"/>
      <c r="LGJ118" s="2"/>
      <c r="LGK118" s="2"/>
      <c r="LGL118" s="2"/>
      <c r="LGM118" s="2"/>
      <c r="LGN118" s="2"/>
      <c r="LGO118" s="2"/>
      <c r="LGP118" s="2"/>
      <c r="LGQ118" s="2"/>
      <c r="LGR118" s="2"/>
      <c r="LGS118" s="2"/>
      <c r="LGT118" s="2"/>
      <c r="LGU118" s="2"/>
      <c r="LGV118" s="2"/>
      <c r="LGW118" s="2"/>
      <c r="LGX118" s="2"/>
      <c r="LGY118" s="2"/>
      <c r="LGZ118" s="2"/>
      <c r="LHA118" s="2"/>
      <c r="LHB118" s="2"/>
      <c r="LHC118" s="2"/>
      <c r="LHD118" s="2"/>
      <c r="LHE118" s="2"/>
      <c r="LHF118" s="2"/>
      <c r="LHG118" s="2"/>
      <c r="LHH118" s="2"/>
      <c r="LHI118" s="2"/>
      <c r="LHJ118" s="2"/>
      <c r="LHK118" s="2"/>
      <c r="LHL118" s="2"/>
      <c r="LHM118" s="2"/>
      <c r="LHN118" s="2"/>
      <c r="LHO118" s="2"/>
      <c r="LHP118" s="2"/>
      <c r="LHQ118" s="2"/>
      <c r="LHR118" s="2"/>
      <c r="LHS118" s="2"/>
      <c r="LHT118" s="2"/>
      <c r="LHU118" s="2"/>
      <c r="LHV118" s="2"/>
      <c r="LHW118" s="2"/>
      <c r="LHX118" s="2"/>
      <c r="LHY118" s="2"/>
      <c r="LHZ118" s="2"/>
      <c r="LIA118" s="2"/>
      <c r="LIB118" s="2"/>
      <c r="LIC118" s="2"/>
      <c r="LID118" s="2"/>
      <c r="LIE118" s="2"/>
      <c r="LIF118" s="2"/>
      <c r="LIG118" s="2"/>
      <c r="LIH118" s="2"/>
      <c r="LII118" s="2"/>
      <c r="LIJ118" s="2"/>
      <c r="LIK118" s="2"/>
      <c r="LIL118" s="2"/>
      <c r="LIM118" s="2"/>
      <c r="LIN118" s="2"/>
      <c r="LIO118" s="2"/>
      <c r="LIP118" s="2"/>
      <c r="LIQ118" s="2"/>
      <c r="LIR118" s="2"/>
      <c r="LIS118" s="2"/>
      <c r="LIT118" s="2"/>
      <c r="LIU118" s="2"/>
      <c r="LIV118" s="2"/>
      <c r="LIW118" s="2"/>
      <c r="LIX118" s="2"/>
      <c r="LIY118" s="2"/>
      <c r="LIZ118" s="2"/>
      <c r="LJA118" s="2"/>
      <c r="LJB118" s="2"/>
      <c r="LJC118" s="2"/>
      <c r="LJD118" s="2"/>
      <c r="LJE118" s="2"/>
      <c r="LJF118" s="2"/>
      <c r="LJG118" s="2"/>
      <c r="LJH118" s="2"/>
      <c r="LJI118" s="2"/>
      <c r="LJJ118" s="2"/>
      <c r="LJK118" s="2"/>
      <c r="LJL118" s="2"/>
      <c r="LJM118" s="2"/>
      <c r="LJN118" s="2"/>
      <c r="LJO118" s="2"/>
      <c r="LJP118" s="2"/>
      <c r="LJQ118" s="2"/>
      <c r="LJR118" s="2"/>
      <c r="LJS118" s="2"/>
      <c r="LJT118" s="2"/>
      <c r="LJU118" s="2"/>
      <c r="LJV118" s="2"/>
      <c r="LJW118" s="2"/>
      <c r="LJX118" s="2"/>
      <c r="LJY118" s="2"/>
      <c r="LJZ118" s="2"/>
      <c r="LKA118" s="2"/>
      <c r="LKB118" s="2"/>
      <c r="LKC118" s="2"/>
      <c r="LKD118" s="2"/>
      <c r="LKE118" s="2"/>
      <c r="LKF118" s="2"/>
      <c r="LKG118" s="2"/>
      <c r="LKH118" s="2"/>
      <c r="LKI118" s="2"/>
      <c r="LKJ118" s="2"/>
      <c r="LKK118" s="2"/>
      <c r="LKL118" s="2"/>
      <c r="LKM118" s="2"/>
      <c r="LKN118" s="2"/>
      <c r="LKO118" s="2"/>
      <c r="LKP118" s="2"/>
      <c r="LKQ118" s="2"/>
      <c r="LKR118" s="2"/>
      <c r="LKS118" s="2"/>
      <c r="LKT118" s="2"/>
      <c r="LKU118" s="2"/>
      <c r="LKV118" s="2"/>
      <c r="LKW118" s="2"/>
      <c r="LKX118" s="2"/>
      <c r="LKY118" s="2"/>
      <c r="LKZ118" s="2"/>
      <c r="LLA118" s="2"/>
      <c r="LLB118" s="2"/>
      <c r="LLC118" s="2"/>
      <c r="LLD118" s="2"/>
      <c r="LLE118" s="2"/>
      <c r="LLF118" s="2"/>
      <c r="LLG118" s="2"/>
      <c r="LLH118" s="2"/>
      <c r="LLI118" s="2"/>
      <c r="LLJ118" s="2"/>
      <c r="LLK118" s="2"/>
      <c r="LLL118" s="2"/>
      <c r="LLM118" s="2"/>
      <c r="LLN118" s="2"/>
      <c r="LLO118" s="2"/>
      <c r="LLP118" s="2"/>
      <c r="LLQ118" s="2"/>
      <c r="LLR118" s="2"/>
      <c r="LLS118" s="2"/>
      <c r="LLT118" s="2"/>
      <c r="LLU118" s="2"/>
      <c r="LLV118" s="2"/>
      <c r="LLW118" s="2"/>
      <c r="LLX118" s="2"/>
      <c r="LLY118" s="2"/>
      <c r="LLZ118" s="2"/>
      <c r="LMA118" s="2"/>
      <c r="LMB118" s="2"/>
      <c r="LMC118" s="2"/>
      <c r="LMD118" s="2"/>
      <c r="LME118" s="2"/>
      <c r="LMF118" s="2"/>
      <c r="LMG118" s="2"/>
      <c r="LMH118" s="2"/>
      <c r="LMI118" s="2"/>
      <c r="LMJ118" s="2"/>
      <c r="LMK118" s="2"/>
      <c r="LML118" s="2"/>
      <c r="LMM118" s="2"/>
      <c r="LMN118" s="2"/>
      <c r="LMO118" s="2"/>
      <c r="LMP118" s="2"/>
      <c r="LMQ118" s="2"/>
      <c r="LMR118" s="2"/>
      <c r="LMS118" s="2"/>
      <c r="LMT118" s="2"/>
      <c r="LMU118" s="2"/>
      <c r="LMV118" s="2"/>
      <c r="LMW118" s="2"/>
      <c r="LMX118" s="2"/>
      <c r="LMY118" s="2"/>
      <c r="LMZ118" s="2"/>
      <c r="LNA118" s="2"/>
      <c r="LNB118" s="2"/>
      <c r="LNC118" s="2"/>
      <c r="LND118" s="2"/>
      <c r="LNE118" s="2"/>
      <c r="LNF118" s="2"/>
      <c r="LNG118" s="2"/>
      <c r="LNH118" s="2"/>
      <c r="LNI118" s="2"/>
      <c r="LNJ118" s="2"/>
      <c r="LNK118" s="2"/>
      <c r="LNL118" s="2"/>
      <c r="LNM118" s="2"/>
      <c r="LNN118" s="2"/>
      <c r="LNO118" s="2"/>
      <c r="LNP118" s="2"/>
      <c r="LNQ118" s="2"/>
      <c r="LNR118" s="2"/>
      <c r="LNS118" s="2"/>
      <c r="LNT118" s="2"/>
      <c r="LNU118" s="2"/>
      <c r="LNV118" s="2"/>
      <c r="LNW118" s="2"/>
      <c r="LNX118" s="2"/>
      <c r="LNY118" s="2"/>
      <c r="LNZ118" s="2"/>
      <c r="LOA118" s="2"/>
      <c r="LOB118" s="2"/>
      <c r="LOC118" s="2"/>
      <c r="LOD118" s="2"/>
      <c r="LOE118" s="2"/>
      <c r="LOF118" s="2"/>
      <c r="LOG118" s="2"/>
      <c r="LOH118" s="2"/>
      <c r="LOI118" s="2"/>
      <c r="LOJ118" s="2"/>
      <c r="LOK118" s="2"/>
      <c r="LOL118" s="2"/>
      <c r="LOM118" s="2"/>
      <c r="LON118" s="2"/>
      <c r="LOO118" s="2"/>
      <c r="LOP118" s="2"/>
      <c r="LOQ118" s="2"/>
      <c r="LOR118" s="2"/>
      <c r="LOS118" s="2"/>
      <c r="LOT118" s="2"/>
      <c r="LOU118" s="2"/>
      <c r="LOV118" s="2"/>
      <c r="LOW118" s="2"/>
      <c r="LOX118" s="2"/>
      <c r="LOY118" s="2"/>
      <c r="LOZ118" s="2"/>
      <c r="LPA118" s="2"/>
      <c r="LPB118" s="2"/>
      <c r="LPC118" s="2"/>
      <c r="LPD118" s="2"/>
      <c r="LPE118" s="2"/>
      <c r="LPF118" s="2"/>
      <c r="LPG118" s="2"/>
      <c r="LPH118" s="2"/>
      <c r="LPI118" s="2"/>
      <c r="LPJ118" s="2"/>
      <c r="LPK118" s="2"/>
      <c r="LPL118" s="2"/>
      <c r="LPM118" s="2"/>
      <c r="LPN118" s="2"/>
      <c r="LPO118" s="2"/>
      <c r="LPP118" s="2"/>
      <c r="LPQ118" s="2"/>
      <c r="LPR118" s="2"/>
      <c r="LPS118" s="2"/>
      <c r="LPT118" s="2"/>
      <c r="LPU118" s="2"/>
      <c r="LPV118" s="2"/>
      <c r="LPW118" s="2"/>
      <c r="LPX118" s="2"/>
      <c r="LPY118" s="2"/>
      <c r="LPZ118" s="2"/>
      <c r="LQA118" s="2"/>
      <c r="LQB118" s="2"/>
      <c r="LQC118" s="2"/>
      <c r="LQD118" s="2"/>
      <c r="LQE118" s="2"/>
      <c r="LQF118" s="2"/>
      <c r="LQG118" s="2"/>
      <c r="LQH118" s="2"/>
      <c r="LQI118" s="2"/>
      <c r="LQJ118" s="2"/>
      <c r="LQK118" s="2"/>
      <c r="LQL118" s="2"/>
      <c r="LQM118" s="2"/>
      <c r="LQN118" s="2"/>
      <c r="LQO118" s="2"/>
      <c r="LQP118" s="2"/>
      <c r="LQQ118" s="2"/>
      <c r="LQR118" s="2"/>
      <c r="LQS118" s="2"/>
      <c r="LQT118" s="2"/>
      <c r="LQU118" s="2"/>
      <c r="LQV118" s="2"/>
      <c r="LQW118" s="2"/>
      <c r="LQX118" s="2"/>
      <c r="LQY118" s="2"/>
      <c r="LQZ118" s="2"/>
      <c r="LRA118" s="2"/>
      <c r="LRB118" s="2"/>
      <c r="LRC118" s="2"/>
      <c r="LRD118" s="2"/>
      <c r="LRE118" s="2"/>
      <c r="LRF118" s="2"/>
      <c r="LRG118" s="2"/>
      <c r="LRH118" s="2"/>
      <c r="LRI118" s="2"/>
      <c r="LRJ118" s="2"/>
      <c r="LRK118" s="2"/>
      <c r="LRL118" s="2"/>
      <c r="LRM118" s="2"/>
      <c r="LRN118" s="2"/>
      <c r="LRO118" s="2"/>
      <c r="LRP118" s="2"/>
      <c r="LRQ118" s="2"/>
      <c r="LRR118" s="2"/>
      <c r="LRS118" s="2"/>
      <c r="LRT118" s="2"/>
      <c r="LRU118" s="2"/>
      <c r="LRV118" s="2"/>
      <c r="LRW118" s="2"/>
      <c r="LRX118" s="2"/>
      <c r="LRY118" s="2"/>
      <c r="LRZ118" s="2"/>
      <c r="LSA118" s="2"/>
      <c r="LSB118" s="2"/>
      <c r="LSC118" s="2"/>
      <c r="LSD118" s="2"/>
      <c r="LSE118" s="2"/>
      <c r="LSF118" s="2"/>
      <c r="LSG118" s="2"/>
      <c r="LSH118" s="2"/>
      <c r="LSI118" s="2"/>
      <c r="LSJ118" s="2"/>
      <c r="LSK118" s="2"/>
      <c r="LSL118" s="2"/>
      <c r="LSM118" s="2"/>
      <c r="LSN118" s="2"/>
      <c r="LSO118" s="2"/>
      <c r="LSP118" s="2"/>
      <c r="LSQ118" s="2"/>
      <c r="LSR118" s="2"/>
      <c r="LSS118" s="2"/>
      <c r="LST118" s="2"/>
      <c r="LSU118" s="2"/>
      <c r="LSV118" s="2"/>
      <c r="LSW118" s="2"/>
      <c r="LSX118" s="2"/>
      <c r="LSY118" s="2"/>
      <c r="LSZ118" s="2"/>
      <c r="LTA118" s="2"/>
      <c r="LTB118" s="2"/>
      <c r="LTC118" s="2"/>
      <c r="LTD118" s="2"/>
      <c r="LTE118" s="2"/>
      <c r="LTF118" s="2"/>
      <c r="LTG118" s="2"/>
      <c r="LTH118" s="2"/>
      <c r="LTI118" s="2"/>
      <c r="LTJ118" s="2"/>
      <c r="LTK118" s="2"/>
      <c r="LTL118" s="2"/>
      <c r="LTM118" s="2"/>
      <c r="LTN118" s="2"/>
      <c r="LTO118" s="2"/>
      <c r="LTP118" s="2"/>
      <c r="LTQ118" s="2"/>
      <c r="LTR118" s="2"/>
      <c r="LTS118" s="2"/>
      <c r="LTT118" s="2"/>
      <c r="LTU118" s="2"/>
      <c r="LTV118" s="2"/>
      <c r="LTW118" s="2"/>
      <c r="LTX118" s="2"/>
      <c r="LTY118" s="2"/>
      <c r="LTZ118" s="2"/>
      <c r="LUA118" s="2"/>
      <c r="LUB118" s="2"/>
      <c r="LUC118" s="2"/>
      <c r="LUD118" s="2"/>
      <c r="LUE118" s="2"/>
      <c r="LUF118" s="2"/>
      <c r="LUG118" s="2"/>
      <c r="LUH118" s="2"/>
      <c r="LUI118" s="2"/>
      <c r="LUJ118" s="2"/>
      <c r="LUK118" s="2"/>
      <c r="LUL118" s="2"/>
      <c r="LUM118" s="2"/>
      <c r="LUN118" s="2"/>
      <c r="LUO118" s="2"/>
      <c r="LUP118" s="2"/>
      <c r="LUQ118" s="2"/>
      <c r="LUR118" s="2"/>
      <c r="LUS118" s="2"/>
      <c r="LUT118" s="2"/>
      <c r="LUU118" s="2"/>
      <c r="LUV118" s="2"/>
      <c r="LUW118" s="2"/>
      <c r="LUX118" s="2"/>
      <c r="LUY118" s="2"/>
      <c r="LUZ118" s="2"/>
      <c r="LVA118" s="2"/>
      <c r="LVB118" s="2"/>
      <c r="LVC118" s="2"/>
      <c r="LVD118" s="2"/>
      <c r="LVE118" s="2"/>
      <c r="LVF118" s="2"/>
      <c r="LVG118" s="2"/>
      <c r="LVH118" s="2"/>
      <c r="LVI118" s="2"/>
      <c r="LVJ118" s="2"/>
      <c r="LVK118" s="2"/>
      <c r="LVL118" s="2"/>
      <c r="LVM118" s="2"/>
      <c r="LVN118" s="2"/>
      <c r="LVO118" s="2"/>
      <c r="LVP118" s="2"/>
      <c r="LVQ118" s="2"/>
      <c r="LVR118" s="2"/>
      <c r="LVS118" s="2"/>
      <c r="LVT118" s="2"/>
      <c r="LVU118" s="2"/>
      <c r="LVV118" s="2"/>
      <c r="LVW118" s="2"/>
      <c r="LVX118" s="2"/>
      <c r="LVY118" s="2"/>
      <c r="LVZ118" s="2"/>
      <c r="LWA118" s="2"/>
      <c r="LWB118" s="2"/>
      <c r="LWC118" s="2"/>
      <c r="LWD118" s="2"/>
      <c r="LWE118" s="2"/>
      <c r="LWF118" s="2"/>
      <c r="LWG118" s="2"/>
      <c r="LWH118" s="2"/>
      <c r="LWI118" s="2"/>
      <c r="LWJ118" s="2"/>
      <c r="LWK118" s="2"/>
      <c r="LWL118" s="2"/>
      <c r="LWM118" s="2"/>
      <c r="LWN118" s="2"/>
      <c r="LWO118" s="2"/>
      <c r="LWP118" s="2"/>
      <c r="LWQ118" s="2"/>
      <c r="LWR118" s="2"/>
      <c r="LWS118" s="2"/>
      <c r="LWT118" s="2"/>
      <c r="LWU118" s="2"/>
      <c r="LWV118" s="2"/>
      <c r="LWW118" s="2"/>
      <c r="LWX118" s="2"/>
      <c r="LWY118" s="2"/>
      <c r="LWZ118" s="2"/>
      <c r="LXA118" s="2"/>
      <c r="LXB118" s="2"/>
      <c r="LXC118" s="2"/>
      <c r="LXD118" s="2"/>
      <c r="LXE118" s="2"/>
      <c r="LXF118" s="2"/>
      <c r="LXG118" s="2"/>
      <c r="LXH118" s="2"/>
      <c r="LXI118" s="2"/>
      <c r="LXJ118" s="2"/>
      <c r="LXK118" s="2"/>
      <c r="LXL118" s="2"/>
      <c r="LXM118" s="2"/>
      <c r="LXN118" s="2"/>
      <c r="LXO118" s="2"/>
      <c r="LXP118" s="2"/>
      <c r="LXQ118" s="2"/>
      <c r="LXR118" s="2"/>
      <c r="LXS118" s="2"/>
      <c r="LXT118" s="2"/>
      <c r="LXU118" s="2"/>
      <c r="LXV118" s="2"/>
      <c r="LXW118" s="2"/>
      <c r="LXX118" s="2"/>
      <c r="LXY118" s="2"/>
      <c r="LXZ118" s="2"/>
      <c r="LYA118" s="2"/>
      <c r="LYB118" s="2"/>
      <c r="LYC118" s="2"/>
      <c r="LYD118" s="2"/>
      <c r="LYE118" s="2"/>
      <c r="LYF118" s="2"/>
      <c r="LYG118" s="2"/>
      <c r="LYH118" s="2"/>
      <c r="LYI118" s="2"/>
      <c r="LYJ118" s="2"/>
      <c r="LYK118" s="2"/>
      <c r="LYL118" s="2"/>
      <c r="LYM118" s="2"/>
      <c r="LYN118" s="2"/>
      <c r="LYO118" s="2"/>
      <c r="LYP118" s="2"/>
      <c r="LYQ118" s="2"/>
      <c r="LYR118" s="2"/>
      <c r="LYS118" s="2"/>
      <c r="LYT118" s="2"/>
      <c r="LYU118" s="2"/>
      <c r="LYV118" s="2"/>
      <c r="LYW118" s="2"/>
      <c r="LYX118" s="2"/>
      <c r="LYY118" s="2"/>
      <c r="LYZ118" s="2"/>
      <c r="LZA118" s="2"/>
      <c r="LZB118" s="2"/>
      <c r="LZC118" s="2"/>
      <c r="LZD118" s="2"/>
      <c r="LZE118" s="2"/>
      <c r="LZF118" s="2"/>
      <c r="LZG118" s="2"/>
      <c r="LZH118" s="2"/>
      <c r="LZI118" s="2"/>
      <c r="LZJ118" s="2"/>
      <c r="LZK118" s="2"/>
      <c r="LZL118" s="2"/>
      <c r="LZM118" s="2"/>
      <c r="LZN118" s="2"/>
      <c r="LZO118" s="2"/>
      <c r="LZP118" s="2"/>
      <c r="LZQ118" s="2"/>
      <c r="LZR118" s="2"/>
      <c r="LZS118" s="2"/>
      <c r="LZT118" s="2"/>
      <c r="LZU118" s="2"/>
      <c r="LZV118" s="2"/>
      <c r="LZW118" s="2"/>
      <c r="LZX118" s="2"/>
      <c r="LZY118" s="2"/>
      <c r="LZZ118" s="2"/>
      <c r="MAA118" s="2"/>
      <c r="MAB118" s="2"/>
      <c r="MAC118" s="2"/>
      <c r="MAD118" s="2"/>
      <c r="MAE118" s="2"/>
      <c r="MAF118" s="2"/>
      <c r="MAG118" s="2"/>
      <c r="MAH118" s="2"/>
      <c r="MAI118" s="2"/>
      <c r="MAJ118" s="2"/>
      <c r="MAK118" s="2"/>
      <c r="MAL118" s="2"/>
      <c r="MAM118" s="2"/>
      <c r="MAN118" s="2"/>
      <c r="MAO118" s="2"/>
      <c r="MAP118" s="2"/>
      <c r="MAQ118" s="2"/>
      <c r="MAR118" s="2"/>
      <c r="MAS118" s="2"/>
      <c r="MAT118" s="2"/>
      <c r="MAU118" s="2"/>
      <c r="MAV118" s="2"/>
      <c r="MAW118" s="2"/>
      <c r="MAX118" s="2"/>
      <c r="MAY118" s="2"/>
      <c r="MAZ118" s="2"/>
      <c r="MBA118" s="2"/>
      <c r="MBB118" s="2"/>
      <c r="MBC118" s="2"/>
      <c r="MBD118" s="2"/>
      <c r="MBE118" s="2"/>
      <c r="MBF118" s="2"/>
      <c r="MBG118" s="2"/>
      <c r="MBH118" s="2"/>
      <c r="MBI118" s="2"/>
      <c r="MBJ118" s="2"/>
      <c r="MBK118" s="2"/>
      <c r="MBL118" s="2"/>
      <c r="MBM118" s="2"/>
      <c r="MBN118" s="2"/>
      <c r="MBO118" s="2"/>
      <c r="MBP118" s="2"/>
      <c r="MBQ118" s="2"/>
      <c r="MBR118" s="2"/>
      <c r="MBS118" s="2"/>
      <c r="MBT118" s="2"/>
      <c r="MBU118" s="2"/>
      <c r="MBV118" s="2"/>
      <c r="MBW118" s="2"/>
      <c r="MBX118" s="2"/>
      <c r="MBY118" s="2"/>
      <c r="MBZ118" s="2"/>
      <c r="MCA118" s="2"/>
      <c r="MCB118" s="2"/>
      <c r="MCC118" s="2"/>
      <c r="MCD118" s="2"/>
      <c r="MCE118" s="2"/>
      <c r="MCF118" s="2"/>
      <c r="MCG118" s="2"/>
      <c r="MCH118" s="2"/>
      <c r="MCI118" s="2"/>
      <c r="MCJ118" s="2"/>
      <c r="MCK118" s="2"/>
      <c r="MCL118" s="2"/>
      <c r="MCM118" s="2"/>
      <c r="MCN118" s="2"/>
      <c r="MCO118" s="2"/>
      <c r="MCP118" s="2"/>
      <c r="MCQ118" s="2"/>
      <c r="MCR118" s="2"/>
      <c r="MCS118" s="2"/>
      <c r="MCT118" s="2"/>
      <c r="MCU118" s="2"/>
      <c r="MCV118" s="2"/>
      <c r="MCW118" s="2"/>
      <c r="MCX118" s="2"/>
      <c r="MCY118" s="2"/>
      <c r="MCZ118" s="2"/>
      <c r="MDA118" s="2"/>
      <c r="MDB118" s="2"/>
      <c r="MDC118" s="2"/>
      <c r="MDD118" s="2"/>
      <c r="MDE118" s="2"/>
      <c r="MDF118" s="2"/>
      <c r="MDG118" s="2"/>
      <c r="MDH118" s="2"/>
      <c r="MDI118" s="2"/>
      <c r="MDJ118" s="2"/>
      <c r="MDK118" s="2"/>
      <c r="MDL118" s="2"/>
      <c r="MDM118" s="2"/>
      <c r="MDN118" s="2"/>
      <c r="MDO118" s="2"/>
      <c r="MDP118" s="2"/>
      <c r="MDQ118" s="2"/>
      <c r="MDR118" s="2"/>
      <c r="MDS118" s="2"/>
      <c r="MDT118" s="2"/>
      <c r="MDU118" s="2"/>
      <c r="MDV118" s="2"/>
      <c r="MDW118" s="2"/>
      <c r="MDX118" s="2"/>
      <c r="MDY118" s="2"/>
      <c r="MDZ118" s="2"/>
      <c r="MEA118" s="2"/>
      <c r="MEB118" s="2"/>
      <c r="MEC118" s="2"/>
      <c r="MED118" s="2"/>
      <c r="MEE118" s="2"/>
      <c r="MEF118" s="2"/>
      <c r="MEG118" s="2"/>
      <c r="MEH118" s="2"/>
      <c r="MEI118" s="2"/>
      <c r="MEJ118" s="2"/>
      <c r="MEK118" s="2"/>
      <c r="MEL118" s="2"/>
      <c r="MEM118" s="2"/>
      <c r="MEN118" s="2"/>
      <c r="MEO118" s="2"/>
      <c r="MEP118" s="2"/>
      <c r="MEQ118" s="2"/>
      <c r="MER118" s="2"/>
      <c r="MES118" s="2"/>
      <c r="MET118" s="2"/>
      <c r="MEU118" s="2"/>
      <c r="MEV118" s="2"/>
      <c r="MEW118" s="2"/>
      <c r="MEX118" s="2"/>
      <c r="MEY118" s="2"/>
      <c r="MEZ118" s="2"/>
      <c r="MFA118" s="2"/>
      <c r="MFB118" s="2"/>
      <c r="MFC118" s="2"/>
      <c r="MFD118" s="2"/>
      <c r="MFE118" s="2"/>
      <c r="MFF118" s="2"/>
      <c r="MFG118" s="2"/>
      <c r="MFH118" s="2"/>
      <c r="MFI118" s="2"/>
      <c r="MFJ118" s="2"/>
      <c r="MFK118" s="2"/>
      <c r="MFL118" s="2"/>
      <c r="MFM118" s="2"/>
      <c r="MFN118" s="2"/>
      <c r="MFO118" s="2"/>
      <c r="MFP118" s="2"/>
      <c r="MFQ118" s="2"/>
      <c r="MFR118" s="2"/>
      <c r="MFS118" s="2"/>
      <c r="MFT118" s="2"/>
      <c r="MFU118" s="2"/>
      <c r="MFV118" s="2"/>
      <c r="MFW118" s="2"/>
      <c r="MFX118" s="2"/>
      <c r="MFY118" s="2"/>
      <c r="MFZ118" s="2"/>
      <c r="MGA118" s="2"/>
      <c r="MGB118" s="2"/>
      <c r="MGC118" s="2"/>
      <c r="MGD118" s="2"/>
      <c r="MGE118" s="2"/>
      <c r="MGF118" s="2"/>
      <c r="MGG118" s="2"/>
      <c r="MGH118" s="2"/>
      <c r="MGI118" s="2"/>
      <c r="MGJ118" s="2"/>
      <c r="MGK118" s="2"/>
      <c r="MGL118" s="2"/>
      <c r="MGM118" s="2"/>
      <c r="MGN118" s="2"/>
      <c r="MGO118" s="2"/>
      <c r="MGP118" s="2"/>
      <c r="MGQ118" s="2"/>
      <c r="MGR118" s="2"/>
      <c r="MGS118" s="2"/>
      <c r="MGT118" s="2"/>
      <c r="MGU118" s="2"/>
      <c r="MGV118" s="2"/>
      <c r="MGW118" s="2"/>
      <c r="MGX118" s="2"/>
      <c r="MGY118" s="2"/>
      <c r="MGZ118" s="2"/>
      <c r="MHA118" s="2"/>
      <c r="MHB118" s="2"/>
      <c r="MHC118" s="2"/>
      <c r="MHD118" s="2"/>
      <c r="MHE118" s="2"/>
      <c r="MHF118" s="2"/>
      <c r="MHG118" s="2"/>
      <c r="MHH118" s="2"/>
      <c r="MHI118" s="2"/>
      <c r="MHJ118" s="2"/>
      <c r="MHK118" s="2"/>
      <c r="MHL118" s="2"/>
      <c r="MHM118" s="2"/>
      <c r="MHN118" s="2"/>
      <c r="MHO118" s="2"/>
      <c r="MHP118" s="2"/>
      <c r="MHQ118" s="2"/>
      <c r="MHR118" s="2"/>
      <c r="MHS118" s="2"/>
      <c r="MHT118" s="2"/>
      <c r="MHU118" s="2"/>
      <c r="MHV118" s="2"/>
      <c r="MHW118" s="2"/>
      <c r="MHX118" s="2"/>
      <c r="MHY118" s="2"/>
      <c r="MHZ118" s="2"/>
      <c r="MIA118" s="2"/>
      <c r="MIB118" s="2"/>
      <c r="MIC118" s="2"/>
      <c r="MID118" s="2"/>
      <c r="MIE118" s="2"/>
      <c r="MIF118" s="2"/>
      <c r="MIG118" s="2"/>
      <c r="MIH118" s="2"/>
      <c r="MII118" s="2"/>
      <c r="MIJ118" s="2"/>
      <c r="MIK118" s="2"/>
      <c r="MIL118" s="2"/>
      <c r="MIM118" s="2"/>
      <c r="MIN118" s="2"/>
      <c r="MIO118" s="2"/>
      <c r="MIP118" s="2"/>
      <c r="MIQ118" s="2"/>
      <c r="MIR118" s="2"/>
      <c r="MIS118" s="2"/>
      <c r="MIT118" s="2"/>
      <c r="MIU118" s="2"/>
      <c r="MIV118" s="2"/>
      <c r="MIW118" s="2"/>
      <c r="MIX118" s="2"/>
      <c r="MIY118" s="2"/>
      <c r="MIZ118" s="2"/>
      <c r="MJA118" s="2"/>
      <c r="MJB118" s="2"/>
      <c r="MJC118" s="2"/>
      <c r="MJD118" s="2"/>
      <c r="MJE118" s="2"/>
      <c r="MJF118" s="2"/>
      <c r="MJG118" s="2"/>
      <c r="MJH118" s="2"/>
      <c r="MJI118" s="2"/>
      <c r="MJJ118" s="2"/>
      <c r="MJK118" s="2"/>
      <c r="MJL118" s="2"/>
      <c r="MJM118" s="2"/>
      <c r="MJN118" s="2"/>
      <c r="MJO118" s="2"/>
      <c r="MJP118" s="2"/>
      <c r="MJQ118" s="2"/>
      <c r="MJR118" s="2"/>
      <c r="MJS118" s="2"/>
      <c r="MJT118" s="2"/>
      <c r="MJU118" s="2"/>
      <c r="MJV118" s="2"/>
      <c r="MJW118" s="2"/>
      <c r="MJX118" s="2"/>
      <c r="MJY118" s="2"/>
      <c r="MJZ118" s="2"/>
      <c r="MKA118" s="2"/>
      <c r="MKB118" s="2"/>
      <c r="MKC118" s="2"/>
      <c r="MKD118" s="2"/>
      <c r="MKE118" s="2"/>
      <c r="MKF118" s="2"/>
      <c r="MKG118" s="2"/>
      <c r="MKH118" s="2"/>
      <c r="MKI118" s="2"/>
      <c r="MKJ118" s="2"/>
      <c r="MKK118" s="2"/>
      <c r="MKL118" s="2"/>
      <c r="MKM118" s="2"/>
      <c r="MKN118" s="2"/>
      <c r="MKO118" s="2"/>
      <c r="MKP118" s="2"/>
      <c r="MKQ118" s="2"/>
      <c r="MKR118" s="2"/>
      <c r="MKS118" s="2"/>
      <c r="MKT118" s="2"/>
      <c r="MKU118" s="2"/>
      <c r="MKV118" s="2"/>
      <c r="MKW118" s="2"/>
      <c r="MKX118" s="2"/>
      <c r="MKY118" s="2"/>
      <c r="MKZ118" s="2"/>
      <c r="MLA118" s="2"/>
      <c r="MLB118" s="2"/>
      <c r="MLC118" s="2"/>
      <c r="MLD118" s="2"/>
      <c r="MLE118" s="2"/>
      <c r="MLF118" s="2"/>
      <c r="MLG118" s="2"/>
      <c r="MLH118" s="2"/>
      <c r="MLI118" s="2"/>
      <c r="MLJ118" s="2"/>
      <c r="MLK118" s="2"/>
      <c r="MLL118" s="2"/>
      <c r="MLM118" s="2"/>
      <c r="MLN118" s="2"/>
      <c r="MLO118" s="2"/>
      <c r="MLP118" s="2"/>
      <c r="MLQ118" s="2"/>
      <c r="MLR118" s="2"/>
      <c r="MLS118" s="2"/>
      <c r="MLT118" s="2"/>
      <c r="MLU118" s="2"/>
      <c r="MLV118" s="2"/>
      <c r="MLW118" s="2"/>
      <c r="MLX118" s="2"/>
      <c r="MLY118" s="2"/>
      <c r="MLZ118" s="2"/>
      <c r="MMA118" s="2"/>
      <c r="MMB118" s="2"/>
      <c r="MMC118" s="2"/>
      <c r="MMD118" s="2"/>
      <c r="MME118" s="2"/>
      <c r="MMF118" s="2"/>
      <c r="MMG118" s="2"/>
      <c r="MMH118" s="2"/>
      <c r="MMI118" s="2"/>
      <c r="MMJ118" s="2"/>
      <c r="MMK118" s="2"/>
      <c r="MML118" s="2"/>
      <c r="MMM118" s="2"/>
      <c r="MMN118" s="2"/>
      <c r="MMO118" s="2"/>
      <c r="MMP118" s="2"/>
      <c r="MMQ118" s="2"/>
      <c r="MMR118" s="2"/>
      <c r="MMS118" s="2"/>
      <c r="MMT118" s="2"/>
      <c r="MMU118" s="2"/>
      <c r="MMV118" s="2"/>
      <c r="MMW118" s="2"/>
      <c r="MMX118" s="2"/>
      <c r="MMY118" s="2"/>
      <c r="MMZ118" s="2"/>
      <c r="MNA118" s="2"/>
      <c r="MNB118" s="2"/>
      <c r="MNC118" s="2"/>
      <c r="MND118" s="2"/>
      <c r="MNE118" s="2"/>
      <c r="MNF118" s="2"/>
      <c r="MNG118" s="2"/>
      <c r="MNH118" s="2"/>
      <c r="MNI118" s="2"/>
      <c r="MNJ118" s="2"/>
      <c r="MNK118" s="2"/>
      <c r="MNL118" s="2"/>
      <c r="MNM118" s="2"/>
      <c r="MNN118" s="2"/>
      <c r="MNO118" s="2"/>
      <c r="MNP118" s="2"/>
      <c r="MNQ118" s="2"/>
      <c r="MNR118" s="2"/>
      <c r="MNS118" s="2"/>
      <c r="MNT118" s="2"/>
      <c r="MNU118" s="2"/>
      <c r="MNV118" s="2"/>
      <c r="MNW118" s="2"/>
      <c r="MNX118" s="2"/>
      <c r="MNY118" s="2"/>
      <c r="MNZ118" s="2"/>
      <c r="MOA118" s="2"/>
      <c r="MOB118" s="2"/>
      <c r="MOC118" s="2"/>
      <c r="MOD118" s="2"/>
      <c r="MOE118" s="2"/>
      <c r="MOF118" s="2"/>
      <c r="MOG118" s="2"/>
      <c r="MOH118" s="2"/>
      <c r="MOI118" s="2"/>
      <c r="MOJ118" s="2"/>
      <c r="MOK118" s="2"/>
      <c r="MOL118" s="2"/>
      <c r="MOM118" s="2"/>
      <c r="MON118" s="2"/>
      <c r="MOO118" s="2"/>
      <c r="MOP118" s="2"/>
      <c r="MOQ118" s="2"/>
      <c r="MOR118" s="2"/>
      <c r="MOS118" s="2"/>
      <c r="MOT118" s="2"/>
      <c r="MOU118" s="2"/>
      <c r="MOV118" s="2"/>
      <c r="MOW118" s="2"/>
      <c r="MOX118" s="2"/>
      <c r="MOY118" s="2"/>
      <c r="MOZ118" s="2"/>
      <c r="MPA118" s="2"/>
      <c r="MPB118" s="2"/>
      <c r="MPC118" s="2"/>
      <c r="MPD118" s="2"/>
      <c r="MPE118" s="2"/>
      <c r="MPF118" s="2"/>
      <c r="MPG118" s="2"/>
      <c r="MPH118" s="2"/>
      <c r="MPI118" s="2"/>
      <c r="MPJ118" s="2"/>
      <c r="MPK118" s="2"/>
      <c r="MPL118" s="2"/>
      <c r="MPM118" s="2"/>
      <c r="MPN118" s="2"/>
      <c r="MPO118" s="2"/>
      <c r="MPP118" s="2"/>
      <c r="MPQ118" s="2"/>
      <c r="MPR118" s="2"/>
      <c r="MPS118" s="2"/>
      <c r="MPT118" s="2"/>
      <c r="MPU118" s="2"/>
      <c r="MPV118" s="2"/>
      <c r="MPW118" s="2"/>
      <c r="MPX118" s="2"/>
      <c r="MPY118" s="2"/>
      <c r="MPZ118" s="2"/>
      <c r="MQA118" s="2"/>
      <c r="MQB118" s="2"/>
      <c r="MQC118" s="2"/>
      <c r="MQD118" s="2"/>
      <c r="MQE118" s="2"/>
      <c r="MQF118" s="2"/>
      <c r="MQG118" s="2"/>
      <c r="MQH118" s="2"/>
      <c r="MQI118" s="2"/>
      <c r="MQJ118" s="2"/>
      <c r="MQK118" s="2"/>
      <c r="MQL118" s="2"/>
      <c r="MQM118" s="2"/>
      <c r="MQN118" s="2"/>
      <c r="MQO118" s="2"/>
      <c r="MQP118" s="2"/>
      <c r="MQQ118" s="2"/>
      <c r="MQR118" s="2"/>
      <c r="MQS118" s="2"/>
      <c r="MQT118" s="2"/>
      <c r="MQU118" s="2"/>
      <c r="MQV118" s="2"/>
      <c r="MQW118" s="2"/>
      <c r="MQX118" s="2"/>
      <c r="MQY118" s="2"/>
      <c r="MQZ118" s="2"/>
      <c r="MRA118" s="2"/>
      <c r="MRB118" s="2"/>
      <c r="MRC118" s="2"/>
      <c r="MRD118" s="2"/>
      <c r="MRE118" s="2"/>
      <c r="MRF118" s="2"/>
      <c r="MRG118" s="2"/>
      <c r="MRH118" s="2"/>
      <c r="MRI118" s="2"/>
      <c r="MRJ118" s="2"/>
      <c r="MRK118" s="2"/>
      <c r="MRL118" s="2"/>
      <c r="MRM118" s="2"/>
      <c r="MRN118" s="2"/>
      <c r="MRO118" s="2"/>
      <c r="MRP118" s="2"/>
      <c r="MRQ118" s="2"/>
      <c r="MRR118" s="2"/>
      <c r="MRS118" s="2"/>
      <c r="MRT118" s="2"/>
      <c r="MRU118" s="2"/>
      <c r="MRV118" s="2"/>
      <c r="MRW118" s="2"/>
      <c r="MRX118" s="2"/>
      <c r="MRY118" s="2"/>
      <c r="MRZ118" s="2"/>
      <c r="MSA118" s="2"/>
      <c r="MSB118" s="2"/>
      <c r="MSC118" s="2"/>
      <c r="MSD118" s="2"/>
      <c r="MSE118" s="2"/>
      <c r="MSF118" s="2"/>
      <c r="MSG118" s="2"/>
      <c r="MSH118" s="2"/>
      <c r="MSI118" s="2"/>
      <c r="MSJ118" s="2"/>
      <c r="MSK118" s="2"/>
      <c r="MSL118" s="2"/>
      <c r="MSM118" s="2"/>
      <c r="MSN118" s="2"/>
      <c r="MSO118" s="2"/>
      <c r="MSP118" s="2"/>
      <c r="MSQ118" s="2"/>
      <c r="MSR118" s="2"/>
      <c r="MSS118" s="2"/>
      <c r="MST118" s="2"/>
      <c r="MSU118" s="2"/>
      <c r="MSV118" s="2"/>
      <c r="MSW118" s="2"/>
      <c r="MSX118" s="2"/>
      <c r="MSY118" s="2"/>
      <c r="MSZ118" s="2"/>
      <c r="MTA118" s="2"/>
      <c r="MTB118" s="2"/>
      <c r="MTC118" s="2"/>
      <c r="MTD118" s="2"/>
      <c r="MTE118" s="2"/>
      <c r="MTF118" s="2"/>
      <c r="MTG118" s="2"/>
      <c r="MTH118" s="2"/>
      <c r="MTI118" s="2"/>
      <c r="MTJ118" s="2"/>
      <c r="MTK118" s="2"/>
      <c r="MTL118" s="2"/>
      <c r="MTM118" s="2"/>
      <c r="MTN118" s="2"/>
      <c r="MTO118" s="2"/>
      <c r="MTP118" s="2"/>
      <c r="MTQ118" s="2"/>
      <c r="MTR118" s="2"/>
      <c r="MTS118" s="2"/>
      <c r="MTT118" s="2"/>
      <c r="MTU118" s="2"/>
      <c r="MTV118" s="2"/>
      <c r="MTW118" s="2"/>
      <c r="MTX118" s="2"/>
      <c r="MTY118" s="2"/>
      <c r="MTZ118" s="2"/>
      <c r="MUA118" s="2"/>
      <c r="MUB118" s="2"/>
      <c r="MUC118" s="2"/>
      <c r="MUD118" s="2"/>
      <c r="MUE118" s="2"/>
      <c r="MUF118" s="2"/>
      <c r="MUG118" s="2"/>
      <c r="MUH118" s="2"/>
      <c r="MUI118" s="2"/>
      <c r="MUJ118" s="2"/>
      <c r="MUK118" s="2"/>
      <c r="MUL118" s="2"/>
      <c r="MUM118" s="2"/>
      <c r="MUN118" s="2"/>
      <c r="MUO118" s="2"/>
      <c r="MUP118" s="2"/>
      <c r="MUQ118" s="2"/>
      <c r="MUR118" s="2"/>
      <c r="MUS118" s="2"/>
      <c r="MUT118" s="2"/>
      <c r="MUU118" s="2"/>
      <c r="MUV118" s="2"/>
      <c r="MUW118" s="2"/>
      <c r="MUX118" s="2"/>
      <c r="MUY118" s="2"/>
      <c r="MUZ118" s="2"/>
      <c r="MVA118" s="2"/>
      <c r="MVB118" s="2"/>
      <c r="MVC118" s="2"/>
      <c r="MVD118" s="2"/>
      <c r="MVE118" s="2"/>
      <c r="MVF118" s="2"/>
      <c r="MVG118" s="2"/>
      <c r="MVH118" s="2"/>
      <c r="MVI118" s="2"/>
      <c r="MVJ118" s="2"/>
      <c r="MVK118" s="2"/>
      <c r="MVL118" s="2"/>
      <c r="MVM118" s="2"/>
      <c r="MVN118" s="2"/>
      <c r="MVO118" s="2"/>
      <c r="MVP118" s="2"/>
      <c r="MVQ118" s="2"/>
      <c r="MVR118" s="2"/>
      <c r="MVS118" s="2"/>
      <c r="MVT118" s="2"/>
      <c r="MVU118" s="2"/>
      <c r="MVV118" s="2"/>
      <c r="MVW118" s="2"/>
      <c r="MVX118" s="2"/>
      <c r="MVY118" s="2"/>
      <c r="MVZ118" s="2"/>
      <c r="MWA118" s="2"/>
      <c r="MWB118" s="2"/>
      <c r="MWC118" s="2"/>
      <c r="MWD118" s="2"/>
      <c r="MWE118" s="2"/>
      <c r="MWF118" s="2"/>
      <c r="MWG118" s="2"/>
      <c r="MWH118" s="2"/>
      <c r="MWI118" s="2"/>
      <c r="MWJ118" s="2"/>
      <c r="MWK118" s="2"/>
      <c r="MWL118" s="2"/>
      <c r="MWM118" s="2"/>
      <c r="MWN118" s="2"/>
      <c r="MWO118" s="2"/>
      <c r="MWP118" s="2"/>
      <c r="MWQ118" s="2"/>
      <c r="MWR118" s="2"/>
      <c r="MWS118" s="2"/>
      <c r="MWT118" s="2"/>
      <c r="MWU118" s="2"/>
      <c r="MWV118" s="2"/>
      <c r="MWW118" s="2"/>
      <c r="MWX118" s="2"/>
      <c r="MWY118" s="2"/>
      <c r="MWZ118" s="2"/>
      <c r="MXA118" s="2"/>
      <c r="MXB118" s="2"/>
      <c r="MXC118" s="2"/>
      <c r="MXD118" s="2"/>
      <c r="MXE118" s="2"/>
      <c r="MXF118" s="2"/>
      <c r="MXG118" s="2"/>
      <c r="MXH118" s="2"/>
      <c r="MXI118" s="2"/>
      <c r="MXJ118" s="2"/>
      <c r="MXK118" s="2"/>
      <c r="MXL118" s="2"/>
      <c r="MXM118" s="2"/>
      <c r="MXN118" s="2"/>
      <c r="MXO118" s="2"/>
      <c r="MXP118" s="2"/>
      <c r="MXQ118" s="2"/>
      <c r="MXR118" s="2"/>
      <c r="MXS118" s="2"/>
      <c r="MXT118" s="2"/>
      <c r="MXU118" s="2"/>
      <c r="MXV118" s="2"/>
      <c r="MXW118" s="2"/>
      <c r="MXX118" s="2"/>
      <c r="MXY118" s="2"/>
      <c r="MXZ118" s="2"/>
      <c r="MYA118" s="2"/>
      <c r="MYB118" s="2"/>
      <c r="MYC118" s="2"/>
      <c r="MYD118" s="2"/>
      <c r="MYE118" s="2"/>
      <c r="MYF118" s="2"/>
      <c r="MYG118" s="2"/>
      <c r="MYH118" s="2"/>
      <c r="MYI118" s="2"/>
      <c r="MYJ118" s="2"/>
      <c r="MYK118" s="2"/>
      <c r="MYL118" s="2"/>
      <c r="MYM118" s="2"/>
      <c r="MYN118" s="2"/>
      <c r="MYO118" s="2"/>
      <c r="MYP118" s="2"/>
      <c r="MYQ118" s="2"/>
      <c r="MYR118" s="2"/>
      <c r="MYS118" s="2"/>
      <c r="MYT118" s="2"/>
      <c r="MYU118" s="2"/>
      <c r="MYV118" s="2"/>
      <c r="MYW118" s="2"/>
      <c r="MYX118" s="2"/>
      <c r="MYY118" s="2"/>
      <c r="MYZ118" s="2"/>
      <c r="MZA118" s="2"/>
      <c r="MZB118" s="2"/>
      <c r="MZC118" s="2"/>
      <c r="MZD118" s="2"/>
      <c r="MZE118" s="2"/>
      <c r="MZF118" s="2"/>
      <c r="MZG118" s="2"/>
      <c r="MZH118" s="2"/>
      <c r="MZI118" s="2"/>
      <c r="MZJ118" s="2"/>
      <c r="MZK118" s="2"/>
      <c r="MZL118" s="2"/>
      <c r="MZM118" s="2"/>
      <c r="MZN118" s="2"/>
      <c r="MZO118" s="2"/>
      <c r="MZP118" s="2"/>
      <c r="MZQ118" s="2"/>
      <c r="MZR118" s="2"/>
      <c r="MZS118" s="2"/>
      <c r="MZT118" s="2"/>
      <c r="MZU118" s="2"/>
      <c r="MZV118" s="2"/>
      <c r="MZW118" s="2"/>
      <c r="MZX118" s="2"/>
      <c r="MZY118" s="2"/>
      <c r="MZZ118" s="2"/>
      <c r="NAA118" s="2"/>
      <c r="NAB118" s="2"/>
      <c r="NAC118" s="2"/>
      <c r="NAD118" s="2"/>
      <c r="NAE118" s="2"/>
      <c r="NAF118" s="2"/>
      <c r="NAG118" s="2"/>
      <c r="NAH118" s="2"/>
      <c r="NAI118" s="2"/>
      <c r="NAJ118" s="2"/>
      <c r="NAK118" s="2"/>
      <c r="NAL118" s="2"/>
      <c r="NAM118" s="2"/>
      <c r="NAN118" s="2"/>
      <c r="NAO118" s="2"/>
      <c r="NAP118" s="2"/>
      <c r="NAQ118" s="2"/>
      <c r="NAR118" s="2"/>
      <c r="NAS118" s="2"/>
      <c r="NAT118" s="2"/>
      <c r="NAU118" s="2"/>
      <c r="NAV118" s="2"/>
      <c r="NAW118" s="2"/>
      <c r="NAX118" s="2"/>
      <c r="NAY118" s="2"/>
      <c r="NAZ118" s="2"/>
      <c r="NBA118" s="2"/>
      <c r="NBB118" s="2"/>
      <c r="NBC118" s="2"/>
      <c r="NBD118" s="2"/>
      <c r="NBE118" s="2"/>
      <c r="NBF118" s="2"/>
      <c r="NBG118" s="2"/>
      <c r="NBH118" s="2"/>
      <c r="NBI118" s="2"/>
      <c r="NBJ118" s="2"/>
      <c r="NBK118" s="2"/>
      <c r="NBL118" s="2"/>
      <c r="NBM118" s="2"/>
      <c r="NBN118" s="2"/>
      <c r="NBO118" s="2"/>
      <c r="NBP118" s="2"/>
      <c r="NBQ118" s="2"/>
      <c r="NBR118" s="2"/>
      <c r="NBS118" s="2"/>
      <c r="NBT118" s="2"/>
      <c r="NBU118" s="2"/>
      <c r="NBV118" s="2"/>
      <c r="NBW118" s="2"/>
      <c r="NBX118" s="2"/>
      <c r="NBY118" s="2"/>
      <c r="NBZ118" s="2"/>
      <c r="NCA118" s="2"/>
      <c r="NCB118" s="2"/>
      <c r="NCC118" s="2"/>
      <c r="NCD118" s="2"/>
      <c r="NCE118" s="2"/>
      <c r="NCF118" s="2"/>
      <c r="NCG118" s="2"/>
      <c r="NCH118" s="2"/>
      <c r="NCI118" s="2"/>
      <c r="NCJ118" s="2"/>
      <c r="NCK118" s="2"/>
      <c r="NCL118" s="2"/>
      <c r="NCM118" s="2"/>
      <c r="NCN118" s="2"/>
      <c r="NCO118" s="2"/>
      <c r="NCP118" s="2"/>
      <c r="NCQ118" s="2"/>
      <c r="NCR118" s="2"/>
      <c r="NCS118" s="2"/>
      <c r="NCT118" s="2"/>
      <c r="NCU118" s="2"/>
      <c r="NCV118" s="2"/>
      <c r="NCW118" s="2"/>
      <c r="NCX118" s="2"/>
      <c r="NCY118" s="2"/>
      <c r="NCZ118" s="2"/>
      <c r="NDA118" s="2"/>
      <c r="NDB118" s="2"/>
      <c r="NDC118" s="2"/>
      <c r="NDD118" s="2"/>
      <c r="NDE118" s="2"/>
      <c r="NDF118" s="2"/>
      <c r="NDG118" s="2"/>
      <c r="NDH118" s="2"/>
      <c r="NDI118" s="2"/>
      <c r="NDJ118" s="2"/>
      <c r="NDK118" s="2"/>
      <c r="NDL118" s="2"/>
      <c r="NDM118" s="2"/>
      <c r="NDN118" s="2"/>
      <c r="NDO118" s="2"/>
      <c r="NDP118" s="2"/>
      <c r="NDQ118" s="2"/>
      <c r="NDR118" s="2"/>
      <c r="NDS118" s="2"/>
      <c r="NDT118" s="2"/>
      <c r="NDU118" s="2"/>
      <c r="NDV118" s="2"/>
      <c r="NDW118" s="2"/>
      <c r="NDX118" s="2"/>
      <c r="NDY118" s="2"/>
      <c r="NDZ118" s="2"/>
      <c r="NEA118" s="2"/>
      <c r="NEB118" s="2"/>
      <c r="NEC118" s="2"/>
      <c r="NED118" s="2"/>
      <c r="NEE118" s="2"/>
      <c r="NEF118" s="2"/>
      <c r="NEG118" s="2"/>
      <c r="NEH118" s="2"/>
      <c r="NEI118" s="2"/>
      <c r="NEJ118" s="2"/>
      <c r="NEK118" s="2"/>
      <c r="NEL118" s="2"/>
      <c r="NEM118" s="2"/>
      <c r="NEN118" s="2"/>
      <c r="NEO118" s="2"/>
      <c r="NEP118" s="2"/>
      <c r="NEQ118" s="2"/>
      <c r="NER118" s="2"/>
      <c r="NES118" s="2"/>
      <c r="NET118" s="2"/>
      <c r="NEU118" s="2"/>
      <c r="NEV118" s="2"/>
      <c r="NEW118" s="2"/>
      <c r="NEX118" s="2"/>
      <c r="NEY118" s="2"/>
      <c r="NEZ118" s="2"/>
      <c r="NFA118" s="2"/>
      <c r="NFB118" s="2"/>
      <c r="NFC118" s="2"/>
      <c r="NFD118" s="2"/>
      <c r="NFE118" s="2"/>
      <c r="NFF118" s="2"/>
      <c r="NFG118" s="2"/>
      <c r="NFH118" s="2"/>
      <c r="NFI118" s="2"/>
      <c r="NFJ118" s="2"/>
      <c r="NFK118" s="2"/>
      <c r="NFL118" s="2"/>
      <c r="NFM118" s="2"/>
      <c r="NFN118" s="2"/>
      <c r="NFO118" s="2"/>
      <c r="NFP118" s="2"/>
      <c r="NFQ118" s="2"/>
      <c r="NFR118" s="2"/>
      <c r="NFS118" s="2"/>
      <c r="NFT118" s="2"/>
      <c r="NFU118" s="2"/>
      <c r="NFV118" s="2"/>
      <c r="NFW118" s="2"/>
      <c r="NFX118" s="2"/>
      <c r="NFY118" s="2"/>
      <c r="NFZ118" s="2"/>
      <c r="NGA118" s="2"/>
      <c r="NGB118" s="2"/>
      <c r="NGC118" s="2"/>
      <c r="NGD118" s="2"/>
      <c r="NGE118" s="2"/>
      <c r="NGF118" s="2"/>
      <c r="NGG118" s="2"/>
      <c r="NGH118" s="2"/>
      <c r="NGI118" s="2"/>
      <c r="NGJ118" s="2"/>
      <c r="NGK118" s="2"/>
      <c r="NGL118" s="2"/>
      <c r="NGM118" s="2"/>
      <c r="NGN118" s="2"/>
      <c r="NGO118" s="2"/>
      <c r="NGP118" s="2"/>
      <c r="NGQ118" s="2"/>
      <c r="NGR118" s="2"/>
      <c r="NGS118" s="2"/>
      <c r="NGT118" s="2"/>
      <c r="NGU118" s="2"/>
      <c r="NGV118" s="2"/>
      <c r="NGW118" s="2"/>
      <c r="NGX118" s="2"/>
      <c r="NGY118" s="2"/>
      <c r="NGZ118" s="2"/>
      <c r="NHA118" s="2"/>
      <c r="NHB118" s="2"/>
      <c r="NHC118" s="2"/>
      <c r="NHD118" s="2"/>
      <c r="NHE118" s="2"/>
      <c r="NHF118" s="2"/>
      <c r="NHG118" s="2"/>
      <c r="NHH118" s="2"/>
      <c r="NHI118" s="2"/>
      <c r="NHJ118" s="2"/>
      <c r="NHK118" s="2"/>
      <c r="NHL118" s="2"/>
      <c r="NHM118" s="2"/>
      <c r="NHN118" s="2"/>
      <c r="NHO118" s="2"/>
      <c r="NHP118" s="2"/>
      <c r="NHQ118" s="2"/>
      <c r="NHR118" s="2"/>
      <c r="NHS118" s="2"/>
      <c r="NHT118" s="2"/>
      <c r="NHU118" s="2"/>
      <c r="NHV118" s="2"/>
      <c r="NHW118" s="2"/>
      <c r="NHX118" s="2"/>
      <c r="NHY118" s="2"/>
      <c r="NHZ118" s="2"/>
      <c r="NIA118" s="2"/>
      <c r="NIB118" s="2"/>
      <c r="NIC118" s="2"/>
      <c r="NID118" s="2"/>
      <c r="NIE118" s="2"/>
      <c r="NIF118" s="2"/>
      <c r="NIG118" s="2"/>
      <c r="NIH118" s="2"/>
      <c r="NII118" s="2"/>
      <c r="NIJ118" s="2"/>
      <c r="NIK118" s="2"/>
      <c r="NIL118" s="2"/>
      <c r="NIM118" s="2"/>
      <c r="NIN118" s="2"/>
      <c r="NIO118" s="2"/>
      <c r="NIP118" s="2"/>
      <c r="NIQ118" s="2"/>
      <c r="NIR118" s="2"/>
      <c r="NIS118" s="2"/>
      <c r="NIT118" s="2"/>
      <c r="NIU118" s="2"/>
      <c r="NIV118" s="2"/>
      <c r="NIW118" s="2"/>
      <c r="NIX118" s="2"/>
      <c r="NIY118" s="2"/>
      <c r="NIZ118" s="2"/>
      <c r="NJA118" s="2"/>
      <c r="NJB118" s="2"/>
      <c r="NJC118" s="2"/>
      <c r="NJD118" s="2"/>
      <c r="NJE118" s="2"/>
      <c r="NJF118" s="2"/>
      <c r="NJG118" s="2"/>
      <c r="NJH118" s="2"/>
      <c r="NJI118" s="2"/>
      <c r="NJJ118" s="2"/>
      <c r="NJK118" s="2"/>
      <c r="NJL118" s="2"/>
      <c r="NJM118" s="2"/>
      <c r="NJN118" s="2"/>
      <c r="NJO118" s="2"/>
      <c r="NJP118" s="2"/>
      <c r="NJQ118" s="2"/>
      <c r="NJR118" s="2"/>
      <c r="NJS118" s="2"/>
      <c r="NJT118" s="2"/>
      <c r="NJU118" s="2"/>
      <c r="NJV118" s="2"/>
      <c r="NJW118" s="2"/>
      <c r="NJX118" s="2"/>
      <c r="NJY118" s="2"/>
      <c r="NJZ118" s="2"/>
      <c r="NKA118" s="2"/>
      <c r="NKB118" s="2"/>
      <c r="NKC118" s="2"/>
      <c r="NKD118" s="2"/>
      <c r="NKE118" s="2"/>
      <c r="NKF118" s="2"/>
      <c r="NKG118" s="2"/>
      <c r="NKH118" s="2"/>
      <c r="NKI118" s="2"/>
      <c r="NKJ118" s="2"/>
      <c r="NKK118" s="2"/>
      <c r="NKL118" s="2"/>
      <c r="NKM118" s="2"/>
      <c r="NKN118" s="2"/>
      <c r="NKO118" s="2"/>
      <c r="NKP118" s="2"/>
      <c r="NKQ118" s="2"/>
      <c r="NKR118" s="2"/>
      <c r="NKS118" s="2"/>
      <c r="NKT118" s="2"/>
      <c r="NKU118" s="2"/>
      <c r="NKV118" s="2"/>
      <c r="NKW118" s="2"/>
      <c r="NKX118" s="2"/>
      <c r="NKY118" s="2"/>
      <c r="NKZ118" s="2"/>
      <c r="NLA118" s="2"/>
      <c r="NLB118" s="2"/>
      <c r="NLC118" s="2"/>
      <c r="NLD118" s="2"/>
      <c r="NLE118" s="2"/>
      <c r="NLF118" s="2"/>
      <c r="NLG118" s="2"/>
      <c r="NLH118" s="2"/>
      <c r="NLI118" s="2"/>
      <c r="NLJ118" s="2"/>
      <c r="NLK118" s="2"/>
      <c r="NLL118" s="2"/>
      <c r="NLM118" s="2"/>
      <c r="NLN118" s="2"/>
      <c r="NLO118" s="2"/>
      <c r="NLP118" s="2"/>
      <c r="NLQ118" s="2"/>
      <c r="NLR118" s="2"/>
      <c r="NLS118" s="2"/>
      <c r="NLT118" s="2"/>
      <c r="NLU118" s="2"/>
      <c r="NLV118" s="2"/>
      <c r="NLW118" s="2"/>
      <c r="NLX118" s="2"/>
      <c r="NLY118" s="2"/>
      <c r="NLZ118" s="2"/>
      <c r="NMA118" s="2"/>
      <c r="NMB118" s="2"/>
      <c r="NMC118" s="2"/>
      <c r="NMD118" s="2"/>
      <c r="NME118" s="2"/>
      <c r="NMF118" s="2"/>
      <c r="NMG118" s="2"/>
      <c r="NMH118" s="2"/>
      <c r="NMI118" s="2"/>
      <c r="NMJ118" s="2"/>
      <c r="NMK118" s="2"/>
      <c r="NML118" s="2"/>
      <c r="NMM118" s="2"/>
      <c r="NMN118" s="2"/>
      <c r="NMO118" s="2"/>
      <c r="NMP118" s="2"/>
      <c r="NMQ118" s="2"/>
      <c r="NMR118" s="2"/>
      <c r="NMS118" s="2"/>
      <c r="NMT118" s="2"/>
      <c r="NMU118" s="2"/>
      <c r="NMV118" s="2"/>
      <c r="NMW118" s="2"/>
      <c r="NMX118" s="2"/>
      <c r="NMY118" s="2"/>
      <c r="NMZ118" s="2"/>
      <c r="NNA118" s="2"/>
      <c r="NNB118" s="2"/>
      <c r="NNC118" s="2"/>
      <c r="NND118" s="2"/>
      <c r="NNE118" s="2"/>
      <c r="NNF118" s="2"/>
      <c r="NNG118" s="2"/>
      <c r="NNH118" s="2"/>
      <c r="NNI118" s="2"/>
      <c r="NNJ118" s="2"/>
      <c r="NNK118" s="2"/>
      <c r="NNL118" s="2"/>
      <c r="NNM118" s="2"/>
      <c r="NNN118" s="2"/>
      <c r="NNO118" s="2"/>
      <c r="NNP118" s="2"/>
      <c r="NNQ118" s="2"/>
      <c r="NNR118" s="2"/>
      <c r="NNS118" s="2"/>
      <c r="NNT118" s="2"/>
      <c r="NNU118" s="2"/>
      <c r="NNV118" s="2"/>
      <c r="NNW118" s="2"/>
      <c r="NNX118" s="2"/>
      <c r="NNY118" s="2"/>
      <c r="NNZ118" s="2"/>
      <c r="NOA118" s="2"/>
      <c r="NOB118" s="2"/>
      <c r="NOC118" s="2"/>
      <c r="NOD118" s="2"/>
      <c r="NOE118" s="2"/>
      <c r="NOF118" s="2"/>
      <c r="NOG118" s="2"/>
      <c r="NOH118" s="2"/>
      <c r="NOI118" s="2"/>
      <c r="NOJ118" s="2"/>
      <c r="NOK118" s="2"/>
      <c r="NOL118" s="2"/>
      <c r="NOM118" s="2"/>
      <c r="NON118" s="2"/>
      <c r="NOO118" s="2"/>
      <c r="NOP118" s="2"/>
      <c r="NOQ118" s="2"/>
      <c r="NOR118" s="2"/>
      <c r="NOS118" s="2"/>
      <c r="NOT118" s="2"/>
      <c r="NOU118" s="2"/>
      <c r="NOV118" s="2"/>
      <c r="NOW118" s="2"/>
      <c r="NOX118" s="2"/>
      <c r="NOY118" s="2"/>
      <c r="NOZ118" s="2"/>
      <c r="NPA118" s="2"/>
      <c r="NPB118" s="2"/>
      <c r="NPC118" s="2"/>
      <c r="NPD118" s="2"/>
      <c r="NPE118" s="2"/>
      <c r="NPF118" s="2"/>
      <c r="NPG118" s="2"/>
      <c r="NPH118" s="2"/>
      <c r="NPI118" s="2"/>
      <c r="NPJ118" s="2"/>
      <c r="NPK118" s="2"/>
      <c r="NPL118" s="2"/>
      <c r="NPM118" s="2"/>
      <c r="NPN118" s="2"/>
      <c r="NPO118" s="2"/>
      <c r="NPP118" s="2"/>
      <c r="NPQ118" s="2"/>
      <c r="NPR118" s="2"/>
      <c r="NPS118" s="2"/>
      <c r="NPT118" s="2"/>
      <c r="NPU118" s="2"/>
      <c r="NPV118" s="2"/>
      <c r="NPW118" s="2"/>
      <c r="NPX118" s="2"/>
      <c r="NPY118" s="2"/>
      <c r="NPZ118" s="2"/>
      <c r="NQA118" s="2"/>
      <c r="NQB118" s="2"/>
      <c r="NQC118" s="2"/>
      <c r="NQD118" s="2"/>
      <c r="NQE118" s="2"/>
      <c r="NQF118" s="2"/>
      <c r="NQG118" s="2"/>
      <c r="NQH118" s="2"/>
      <c r="NQI118" s="2"/>
      <c r="NQJ118" s="2"/>
      <c r="NQK118" s="2"/>
      <c r="NQL118" s="2"/>
      <c r="NQM118" s="2"/>
      <c r="NQN118" s="2"/>
      <c r="NQO118" s="2"/>
      <c r="NQP118" s="2"/>
      <c r="NQQ118" s="2"/>
      <c r="NQR118" s="2"/>
      <c r="NQS118" s="2"/>
      <c r="NQT118" s="2"/>
      <c r="NQU118" s="2"/>
      <c r="NQV118" s="2"/>
      <c r="NQW118" s="2"/>
      <c r="NQX118" s="2"/>
      <c r="NQY118" s="2"/>
      <c r="NQZ118" s="2"/>
      <c r="NRA118" s="2"/>
      <c r="NRB118" s="2"/>
      <c r="NRC118" s="2"/>
      <c r="NRD118" s="2"/>
      <c r="NRE118" s="2"/>
      <c r="NRF118" s="2"/>
      <c r="NRG118" s="2"/>
      <c r="NRH118" s="2"/>
      <c r="NRI118" s="2"/>
      <c r="NRJ118" s="2"/>
      <c r="NRK118" s="2"/>
      <c r="NRL118" s="2"/>
      <c r="NRM118" s="2"/>
      <c r="NRN118" s="2"/>
      <c r="NRO118" s="2"/>
      <c r="NRP118" s="2"/>
      <c r="NRQ118" s="2"/>
      <c r="NRR118" s="2"/>
      <c r="NRS118" s="2"/>
      <c r="NRT118" s="2"/>
      <c r="NRU118" s="2"/>
      <c r="NRV118" s="2"/>
      <c r="NRW118" s="2"/>
      <c r="NRX118" s="2"/>
      <c r="NRY118" s="2"/>
      <c r="NRZ118" s="2"/>
      <c r="NSA118" s="2"/>
      <c r="NSB118" s="2"/>
      <c r="NSC118" s="2"/>
      <c r="NSD118" s="2"/>
      <c r="NSE118" s="2"/>
      <c r="NSF118" s="2"/>
      <c r="NSG118" s="2"/>
      <c r="NSH118" s="2"/>
      <c r="NSI118" s="2"/>
      <c r="NSJ118" s="2"/>
      <c r="NSK118" s="2"/>
      <c r="NSL118" s="2"/>
      <c r="NSM118" s="2"/>
      <c r="NSN118" s="2"/>
      <c r="NSO118" s="2"/>
      <c r="NSP118" s="2"/>
      <c r="NSQ118" s="2"/>
      <c r="NSR118" s="2"/>
      <c r="NSS118" s="2"/>
      <c r="NST118" s="2"/>
      <c r="NSU118" s="2"/>
      <c r="NSV118" s="2"/>
      <c r="NSW118" s="2"/>
      <c r="NSX118" s="2"/>
      <c r="NSY118" s="2"/>
      <c r="NSZ118" s="2"/>
      <c r="NTA118" s="2"/>
      <c r="NTB118" s="2"/>
      <c r="NTC118" s="2"/>
      <c r="NTD118" s="2"/>
      <c r="NTE118" s="2"/>
      <c r="NTF118" s="2"/>
      <c r="NTG118" s="2"/>
      <c r="NTH118" s="2"/>
      <c r="NTI118" s="2"/>
      <c r="NTJ118" s="2"/>
      <c r="NTK118" s="2"/>
      <c r="NTL118" s="2"/>
      <c r="NTM118" s="2"/>
      <c r="NTN118" s="2"/>
      <c r="NTO118" s="2"/>
      <c r="NTP118" s="2"/>
      <c r="NTQ118" s="2"/>
      <c r="NTR118" s="2"/>
      <c r="NTS118" s="2"/>
      <c r="NTT118" s="2"/>
      <c r="NTU118" s="2"/>
      <c r="NTV118" s="2"/>
      <c r="NTW118" s="2"/>
      <c r="NTX118" s="2"/>
      <c r="NTY118" s="2"/>
      <c r="NTZ118" s="2"/>
      <c r="NUA118" s="2"/>
      <c r="NUB118" s="2"/>
      <c r="NUC118" s="2"/>
      <c r="NUD118" s="2"/>
      <c r="NUE118" s="2"/>
      <c r="NUF118" s="2"/>
      <c r="NUG118" s="2"/>
      <c r="NUH118" s="2"/>
      <c r="NUI118" s="2"/>
      <c r="NUJ118" s="2"/>
      <c r="NUK118" s="2"/>
      <c r="NUL118" s="2"/>
      <c r="NUM118" s="2"/>
      <c r="NUN118" s="2"/>
      <c r="NUO118" s="2"/>
      <c r="NUP118" s="2"/>
      <c r="NUQ118" s="2"/>
      <c r="NUR118" s="2"/>
      <c r="NUS118" s="2"/>
      <c r="NUT118" s="2"/>
      <c r="NUU118" s="2"/>
      <c r="NUV118" s="2"/>
      <c r="NUW118" s="2"/>
      <c r="NUX118" s="2"/>
      <c r="NUY118" s="2"/>
      <c r="NUZ118" s="2"/>
      <c r="NVA118" s="2"/>
      <c r="NVB118" s="2"/>
      <c r="NVC118" s="2"/>
      <c r="NVD118" s="2"/>
      <c r="NVE118" s="2"/>
      <c r="NVF118" s="2"/>
      <c r="NVG118" s="2"/>
      <c r="NVH118" s="2"/>
      <c r="NVI118" s="2"/>
      <c r="NVJ118" s="2"/>
      <c r="NVK118" s="2"/>
      <c r="NVL118" s="2"/>
      <c r="NVM118" s="2"/>
      <c r="NVN118" s="2"/>
      <c r="NVO118" s="2"/>
      <c r="NVP118" s="2"/>
      <c r="NVQ118" s="2"/>
      <c r="NVR118" s="2"/>
      <c r="NVS118" s="2"/>
      <c r="NVT118" s="2"/>
      <c r="NVU118" s="2"/>
      <c r="NVV118" s="2"/>
      <c r="NVW118" s="2"/>
      <c r="NVX118" s="2"/>
      <c r="NVY118" s="2"/>
      <c r="NVZ118" s="2"/>
      <c r="NWA118" s="2"/>
      <c r="NWB118" s="2"/>
      <c r="NWC118" s="2"/>
      <c r="NWD118" s="2"/>
      <c r="NWE118" s="2"/>
      <c r="NWF118" s="2"/>
      <c r="NWG118" s="2"/>
      <c r="NWH118" s="2"/>
      <c r="NWI118" s="2"/>
      <c r="NWJ118" s="2"/>
      <c r="NWK118" s="2"/>
      <c r="NWL118" s="2"/>
      <c r="NWM118" s="2"/>
      <c r="NWN118" s="2"/>
      <c r="NWO118" s="2"/>
      <c r="NWP118" s="2"/>
      <c r="NWQ118" s="2"/>
      <c r="NWR118" s="2"/>
      <c r="NWS118" s="2"/>
      <c r="NWT118" s="2"/>
      <c r="NWU118" s="2"/>
      <c r="NWV118" s="2"/>
      <c r="NWW118" s="2"/>
      <c r="NWX118" s="2"/>
      <c r="NWY118" s="2"/>
      <c r="NWZ118" s="2"/>
      <c r="NXA118" s="2"/>
      <c r="NXB118" s="2"/>
      <c r="NXC118" s="2"/>
      <c r="NXD118" s="2"/>
      <c r="NXE118" s="2"/>
      <c r="NXF118" s="2"/>
      <c r="NXG118" s="2"/>
      <c r="NXH118" s="2"/>
      <c r="NXI118" s="2"/>
      <c r="NXJ118" s="2"/>
      <c r="NXK118" s="2"/>
      <c r="NXL118" s="2"/>
      <c r="NXM118" s="2"/>
      <c r="NXN118" s="2"/>
      <c r="NXO118" s="2"/>
      <c r="NXP118" s="2"/>
      <c r="NXQ118" s="2"/>
      <c r="NXR118" s="2"/>
      <c r="NXS118" s="2"/>
      <c r="NXT118" s="2"/>
      <c r="NXU118" s="2"/>
      <c r="NXV118" s="2"/>
      <c r="NXW118" s="2"/>
      <c r="NXX118" s="2"/>
      <c r="NXY118" s="2"/>
      <c r="NXZ118" s="2"/>
      <c r="NYA118" s="2"/>
      <c r="NYB118" s="2"/>
      <c r="NYC118" s="2"/>
      <c r="NYD118" s="2"/>
      <c r="NYE118" s="2"/>
      <c r="NYF118" s="2"/>
      <c r="NYG118" s="2"/>
      <c r="NYH118" s="2"/>
      <c r="NYI118" s="2"/>
      <c r="NYJ118" s="2"/>
      <c r="NYK118" s="2"/>
      <c r="NYL118" s="2"/>
      <c r="NYM118" s="2"/>
      <c r="NYN118" s="2"/>
      <c r="NYO118" s="2"/>
      <c r="NYP118" s="2"/>
      <c r="NYQ118" s="2"/>
      <c r="NYR118" s="2"/>
      <c r="NYS118" s="2"/>
      <c r="NYT118" s="2"/>
      <c r="NYU118" s="2"/>
      <c r="NYV118" s="2"/>
      <c r="NYW118" s="2"/>
      <c r="NYX118" s="2"/>
      <c r="NYY118" s="2"/>
      <c r="NYZ118" s="2"/>
      <c r="NZA118" s="2"/>
      <c r="NZB118" s="2"/>
      <c r="NZC118" s="2"/>
      <c r="NZD118" s="2"/>
      <c r="NZE118" s="2"/>
      <c r="NZF118" s="2"/>
      <c r="NZG118" s="2"/>
      <c r="NZH118" s="2"/>
      <c r="NZI118" s="2"/>
      <c r="NZJ118" s="2"/>
      <c r="NZK118" s="2"/>
      <c r="NZL118" s="2"/>
      <c r="NZM118" s="2"/>
      <c r="NZN118" s="2"/>
      <c r="NZO118" s="2"/>
      <c r="NZP118" s="2"/>
      <c r="NZQ118" s="2"/>
      <c r="NZR118" s="2"/>
      <c r="NZS118" s="2"/>
      <c r="NZT118" s="2"/>
      <c r="NZU118" s="2"/>
      <c r="NZV118" s="2"/>
      <c r="NZW118" s="2"/>
      <c r="NZX118" s="2"/>
      <c r="NZY118" s="2"/>
      <c r="NZZ118" s="2"/>
      <c r="OAA118" s="2"/>
      <c r="OAB118" s="2"/>
      <c r="OAC118" s="2"/>
      <c r="OAD118" s="2"/>
      <c r="OAE118" s="2"/>
      <c r="OAF118" s="2"/>
      <c r="OAG118" s="2"/>
      <c r="OAH118" s="2"/>
      <c r="OAI118" s="2"/>
      <c r="OAJ118" s="2"/>
      <c r="OAK118" s="2"/>
      <c r="OAL118" s="2"/>
      <c r="OAM118" s="2"/>
      <c r="OAN118" s="2"/>
      <c r="OAO118" s="2"/>
      <c r="OAP118" s="2"/>
      <c r="OAQ118" s="2"/>
      <c r="OAR118" s="2"/>
      <c r="OAS118" s="2"/>
      <c r="OAT118" s="2"/>
      <c r="OAU118" s="2"/>
      <c r="OAV118" s="2"/>
      <c r="OAW118" s="2"/>
      <c r="OAX118" s="2"/>
      <c r="OAY118" s="2"/>
      <c r="OAZ118" s="2"/>
      <c r="OBA118" s="2"/>
      <c r="OBB118" s="2"/>
      <c r="OBC118" s="2"/>
      <c r="OBD118" s="2"/>
      <c r="OBE118" s="2"/>
      <c r="OBF118" s="2"/>
      <c r="OBG118" s="2"/>
      <c r="OBH118" s="2"/>
      <c r="OBI118" s="2"/>
      <c r="OBJ118" s="2"/>
      <c r="OBK118" s="2"/>
      <c r="OBL118" s="2"/>
      <c r="OBM118" s="2"/>
      <c r="OBN118" s="2"/>
      <c r="OBO118" s="2"/>
      <c r="OBP118" s="2"/>
      <c r="OBQ118" s="2"/>
      <c r="OBR118" s="2"/>
      <c r="OBS118" s="2"/>
      <c r="OBT118" s="2"/>
      <c r="OBU118" s="2"/>
      <c r="OBV118" s="2"/>
      <c r="OBW118" s="2"/>
      <c r="OBX118" s="2"/>
      <c r="OBY118" s="2"/>
      <c r="OBZ118" s="2"/>
      <c r="OCA118" s="2"/>
      <c r="OCB118" s="2"/>
      <c r="OCC118" s="2"/>
      <c r="OCD118" s="2"/>
      <c r="OCE118" s="2"/>
      <c r="OCF118" s="2"/>
      <c r="OCG118" s="2"/>
      <c r="OCH118" s="2"/>
      <c r="OCI118" s="2"/>
      <c r="OCJ118" s="2"/>
      <c r="OCK118" s="2"/>
      <c r="OCL118" s="2"/>
      <c r="OCM118" s="2"/>
      <c r="OCN118" s="2"/>
      <c r="OCO118" s="2"/>
      <c r="OCP118" s="2"/>
      <c r="OCQ118" s="2"/>
      <c r="OCR118" s="2"/>
      <c r="OCS118" s="2"/>
      <c r="OCT118" s="2"/>
      <c r="OCU118" s="2"/>
      <c r="OCV118" s="2"/>
      <c r="OCW118" s="2"/>
      <c r="OCX118" s="2"/>
      <c r="OCY118" s="2"/>
      <c r="OCZ118" s="2"/>
      <c r="ODA118" s="2"/>
      <c r="ODB118" s="2"/>
      <c r="ODC118" s="2"/>
      <c r="ODD118" s="2"/>
      <c r="ODE118" s="2"/>
      <c r="ODF118" s="2"/>
      <c r="ODG118" s="2"/>
      <c r="ODH118" s="2"/>
      <c r="ODI118" s="2"/>
      <c r="ODJ118" s="2"/>
      <c r="ODK118" s="2"/>
      <c r="ODL118" s="2"/>
      <c r="ODM118" s="2"/>
      <c r="ODN118" s="2"/>
      <c r="ODO118" s="2"/>
      <c r="ODP118" s="2"/>
      <c r="ODQ118" s="2"/>
      <c r="ODR118" s="2"/>
      <c r="ODS118" s="2"/>
      <c r="ODT118" s="2"/>
      <c r="ODU118" s="2"/>
      <c r="ODV118" s="2"/>
      <c r="ODW118" s="2"/>
      <c r="ODX118" s="2"/>
      <c r="ODY118" s="2"/>
      <c r="ODZ118" s="2"/>
      <c r="OEA118" s="2"/>
      <c r="OEB118" s="2"/>
      <c r="OEC118" s="2"/>
      <c r="OED118" s="2"/>
      <c r="OEE118" s="2"/>
      <c r="OEF118" s="2"/>
      <c r="OEG118" s="2"/>
      <c r="OEH118" s="2"/>
      <c r="OEI118" s="2"/>
      <c r="OEJ118" s="2"/>
      <c r="OEK118" s="2"/>
      <c r="OEL118" s="2"/>
      <c r="OEM118" s="2"/>
      <c r="OEN118" s="2"/>
      <c r="OEO118" s="2"/>
      <c r="OEP118" s="2"/>
      <c r="OEQ118" s="2"/>
      <c r="OER118" s="2"/>
      <c r="OES118" s="2"/>
      <c r="OET118" s="2"/>
      <c r="OEU118" s="2"/>
      <c r="OEV118" s="2"/>
      <c r="OEW118" s="2"/>
      <c r="OEX118" s="2"/>
      <c r="OEY118" s="2"/>
      <c r="OEZ118" s="2"/>
      <c r="OFA118" s="2"/>
      <c r="OFB118" s="2"/>
      <c r="OFC118" s="2"/>
      <c r="OFD118" s="2"/>
      <c r="OFE118" s="2"/>
      <c r="OFF118" s="2"/>
      <c r="OFG118" s="2"/>
      <c r="OFH118" s="2"/>
      <c r="OFI118" s="2"/>
      <c r="OFJ118" s="2"/>
      <c r="OFK118" s="2"/>
      <c r="OFL118" s="2"/>
      <c r="OFM118" s="2"/>
      <c r="OFN118" s="2"/>
      <c r="OFO118" s="2"/>
      <c r="OFP118" s="2"/>
      <c r="OFQ118" s="2"/>
      <c r="OFR118" s="2"/>
      <c r="OFS118" s="2"/>
      <c r="OFT118" s="2"/>
      <c r="OFU118" s="2"/>
      <c r="OFV118" s="2"/>
      <c r="OFW118" s="2"/>
      <c r="OFX118" s="2"/>
      <c r="OFY118" s="2"/>
      <c r="OFZ118" s="2"/>
      <c r="OGA118" s="2"/>
      <c r="OGB118" s="2"/>
      <c r="OGC118" s="2"/>
      <c r="OGD118" s="2"/>
      <c r="OGE118" s="2"/>
      <c r="OGF118" s="2"/>
      <c r="OGG118" s="2"/>
      <c r="OGH118" s="2"/>
      <c r="OGI118" s="2"/>
      <c r="OGJ118" s="2"/>
      <c r="OGK118" s="2"/>
      <c r="OGL118" s="2"/>
      <c r="OGM118" s="2"/>
      <c r="OGN118" s="2"/>
      <c r="OGO118" s="2"/>
      <c r="OGP118" s="2"/>
      <c r="OGQ118" s="2"/>
      <c r="OGR118" s="2"/>
      <c r="OGS118" s="2"/>
      <c r="OGT118" s="2"/>
      <c r="OGU118" s="2"/>
      <c r="OGV118" s="2"/>
      <c r="OGW118" s="2"/>
      <c r="OGX118" s="2"/>
      <c r="OGY118" s="2"/>
      <c r="OGZ118" s="2"/>
      <c r="OHA118" s="2"/>
      <c r="OHB118" s="2"/>
      <c r="OHC118" s="2"/>
      <c r="OHD118" s="2"/>
      <c r="OHE118" s="2"/>
      <c r="OHF118" s="2"/>
      <c r="OHG118" s="2"/>
      <c r="OHH118" s="2"/>
      <c r="OHI118" s="2"/>
      <c r="OHJ118" s="2"/>
      <c r="OHK118" s="2"/>
      <c r="OHL118" s="2"/>
      <c r="OHM118" s="2"/>
      <c r="OHN118" s="2"/>
      <c r="OHO118" s="2"/>
      <c r="OHP118" s="2"/>
      <c r="OHQ118" s="2"/>
      <c r="OHR118" s="2"/>
      <c r="OHS118" s="2"/>
      <c r="OHT118" s="2"/>
      <c r="OHU118" s="2"/>
      <c r="OHV118" s="2"/>
      <c r="OHW118" s="2"/>
      <c r="OHX118" s="2"/>
      <c r="OHY118" s="2"/>
      <c r="OHZ118" s="2"/>
      <c r="OIA118" s="2"/>
      <c r="OIB118" s="2"/>
      <c r="OIC118" s="2"/>
      <c r="OID118" s="2"/>
      <c r="OIE118" s="2"/>
      <c r="OIF118" s="2"/>
      <c r="OIG118" s="2"/>
      <c r="OIH118" s="2"/>
      <c r="OII118" s="2"/>
      <c r="OIJ118" s="2"/>
      <c r="OIK118" s="2"/>
      <c r="OIL118" s="2"/>
      <c r="OIM118" s="2"/>
      <c r="OIN118" s="2"/>
      <c r="OIO118" s="2"/>
      <c r="OIP118" s="2"/>
      <c r="OIQ118" s="2"/>
      <c r="OIR118" s="2"/>
      <c r="OIS118" s="2"/>
      <c r="OIT118" s="2"/>
      <c r="OIU118" s="2"/>
      <c r="OIV118" s="2"/>
      <c r="OIW118" s="2"/>
      <c r="OIX118" s="2"/>
      <c r="OIY118" s="2"/>
      <c r="OIZ118" s="2"/>
      <c r="OJA118" s="2"/>
      <c r="OJB118" s="2"/>
      <c r="OJC118" s="2"/>
      <c r="OJD118" s="2"/>
      <c r="OJE118" s="2"/>
      <c r="OJF118" s="2"/>
      <c r="OJG118" s="2"/>
      <c r="OJH118" s="2"/>
      <c r="OJI118" s="2"/>
      <c r="OJJ118" s="2"/>
      <c r="OJK118" s="2"/>
      <c r="OJL118" s="2"/>
      <c r="OJM118" s="2"/>
      <c r="OJN118" s="2"/>
      <c r="OJO118" s="2"/>
      <c r="OJP118" s="2"/>
      <c r="OJQ118" s="2"/>
      <c r="OJR118" s="2"/>
      <c r="OJS118" s="2"/>
      <c r="OJT118" s="2"/>
      <c r="OJU118" s="2"/>
      <c r="OJV118" s="2"/>
      <c r="OJW118" s="2"/>
      <c r="OJX118" s="2"/>
      <c r="OJY118" s="2"/>
      <c r="OJZ118" s="2"/>
      <c r="OKA118" s="2"/>
      <c r="OKB118" s="2"/>
      <c r="OKC118" s="2"/>
      <c r="OKD118" s="2"/>
      <c r="OKE118" s="2"/>
      <c r="OKF118" s="2"/>
      <c r="OKG118" s="2"/>
      <c r="OKH118" s="2"/>
      <c r="OKI118" s="2"/>
      <c r="OKJ118" s="2"/>
      <c r="OKK118" s="2"/>
      <c r="OKL118" s="2"/>
      <c r="OKM118" s="2"/>
      <c r="OKN118" s="2"/>
      <c r="OKO118" s="2"/>
      <c r="OKP118" s="2"/>
      <c r="OKQ118" s="2"/>
      <c r="OKR118" s="2"/>
      <c r="OKS118" s="2"/>
      <c r="OKT118" s="2"/>
      <c r="OKU118" s="2"/>
      <c r="OKV118" s="2"/>
      <c r="OKW118" s="2"/>
      <c r="OKX118" s="2"/>
      <c r="OKY118" s="2"/>
      <c r="OKZ118" s="2"/>
      <c r="OLA118" s="2"/>
      <c r="OLB118" s="2"/>
      <c r="OLC118" s="2"/>
      <c r="OLD118" s="2"/>
      <c r="OLE118" s="2"/>
      <c r="OLF118" s="2"/>
      <c r="OLG118" s="2"/>
      <c r="OLH118" s="2"/>
      <c r="OLI118" s="2"/>
      <c r="OLJ118" s="2"/>
      <c r="OLK118" s="2"/>
      <c r="OLL118" s="2"/>
      <c r="OLM118" s="2"/>
      <c r="OLN118" s="2"/>
      <c r="OLO118" s="2"/>
      <c r="OLP118" s="2"/>
      <c r="OLQ118" s="2"/>
      <c r="OLR118" s="2"/>
      <c r="OLS118" s="2"/>
      <c r="OLT118" s="2"/>
      <c r="OLU118" s="2"/>
      <c r="OLV118" s="2"/>
      <c r="OLW118" s="2"/>
      <c r="OLX118" s="2"/>
      <c r="OLY118" s="2"/>
      <c r="OLZ118" s="2"/>
      <c r="OMA118" s="2"/>
      <c r="OMB118" s="2"/>
      <c r="OMC118" s="2"/>
      <c r="OMD118" s="2"/>
      <c r="OME118" s="2"/>
      <c r="OMF118" s="2"/>
      <c r="OMG118" s="2"/>
      <c r="OMH118" s="2"/>
      <c r="OMI118" s="2"/>
      <c r="OMJ118" s="2"/>
      <c r="OMK118" s="2"/>
      <c r="OML118" s="2"/>
      <c r="OMM118" s="2"/>
      <c r="OMN118" s="2"/>
      <c r="OMO118" s="2"/>
      <c r="OMP118" s="2"/>
      <c r="OMQ118" s="2"/>
      <c r="OMR118" s="2"/>
      <c r="OMS118" s="2"/>
      <c r="OMT118" s="2"/>
      <c r="OMU118" s="2"/>
      <c r="OMV118" s="2"/>
      <c r="OMW118" s="2"/>
      <c r="OMX118" s="2"/>
      <c r="OMY118" s="2"/>
      <c r="OMZ118" s="2"/>
      <c r="ONA118" s="2"/>
      <c r="ONB118" s="2"/>
      <c r="ONC118" s="2"/>
      <c r="OND118" s="2"/>
      <c r="ONE118" s="2"/>
      <c r="ONF118" s="2"/>
      <c r="ONG118" s="2"/>
      <c r="ONH118" s="2"/>
      <c r="ONI118" s="2"/>
      <c r="ONJ118" s="2"/>
      <c r="ONK118" s="2"/>
      <c r="ONL118" s="2"/>
      <c r="ONM118" s="2"/>
      <c r="ONN118" s="2"/>
      <c r="ONO118" s="2"/>
      <c r="ONP118" s="2"/>
      <c r="ONQ118" s="2"/>
      <c r="ONR118" s="2"/>
      <c r="ONS118" s="2"/>
      <c r="ONT118" s="2"/>
      <c r="ONU118" s="2"/>
      <c r="ONV118" s="2"/>
      <c r="ONW118" s="2"/>
      <c r="ONX118" s="2"/>
      <c r="ONY118" s="2"/>
      <c r="ONZ118" s="2"/>
      <c r="OOA118" s="2"/>
      <c r="OOB118" s="2"/>
      <c r="OOC118" s="2"/>
      <c r="OOD118" s="2"/>
      <c r="OOE118" s="2"/>
      <c r="OOF118" s="2"/>
      <c r="OOG118" s="2"/>
      <c r="OOH118" s="2"/>
      <c r="OOI118" s="2"/>
      <c r="OOJ118" s="2"/>
      <c r="OOK118" s="2"/>
      <c r="OOL118" s="2"/>
      <c r="OOM118" s="2"/>
      <c r="OON118" s="2"/>
      <c r="OOO118" s="2"/>
      <c r="OOP118" s="2"/>
      <c r="OOQ118" s="2"/>
      <c r="OOR118" s="2"/>
      <c r="OOS118" s="2"/>
      <c r="OOT118" s="2"/>
      <c r="OOU118" s="2"/>
      <c r="OOV118" s="2"/>
      <c r="OOW118" s="2"/>
      <c r="OOX118" s="2"/>
      <c r="OOY118" s="2"/>
      <c r="OOZ118" s="2"/>
      <c r="OPA118" s="2"/>
      <c r="OPB118" s="2"/>
      <c r="OPC118" s="2"/>
      <c r="OPD118" s="2"/>
      <c r="OPE118" s="2"/>
      <c r="OPF118" s="2"/>
      <c r="OPG118" s="2"/>
      <c r="OPH118" s="2"/>
      <c r="OPI118" s="2"/>
      <c r="OPJ118" s="2"/>
      <c r="OPK118" s="2"/>
      <c r="OPL118" s="2"/>
      <c r="OPM118" s="2"/>
      <c r="OPN118" s="2"/>
      <c r="OPO118" s="2"/>
      <c r="OPP118" s="2"/>
      <c r="OPQ118" s="2"/>
      <c r="OPR118" s="2"/>
      <c r="OPS118" s="2"/>
      <c r="OPT118" s="2"/>
      <c r="OPU118" s="2"/>
      <c r="OPV118" s="2"/>
      <c r="OPW118" s="2"/>
      <c r="OPX118" s="2"/>
      <c r="OPY118" s="2"/>
      <c r="OPZ118" s="2"/>
      <c r="OQA118" s="2"/>
      <c r="OQB118" s="2"/>
      <c r="OQC118" s="2"/>
      <c r="OQD118" s="2"/>
      <c r="OQE118" s="2"/>
      <c r="OQF118" s="2"/>
      <c r="OQG118" s="2"/>
      <c r="OQH118" s="2"/>
      <c r="OQI118" s="2"/>
      <c r="OQJ118" s="2"/>
      <c r="OQK118" s="2"/>
      <c r="OQL118" s="2"/>
      <c r="OQM118" s="2"/>
      <c r="OQN118" s="2"/>
      <c r="OQO118" s="2"/>
      <c r="OQP118" s="2"/>
      <c r="OQQ118" s="2"/>
      <c r="OQR118" s="2"/>
      <c r="OQS118" s="2"/>
      <c r="OQT118" s="2"/>
      <c r="OQU118" s="2"/>
      <c r="OQV118" s="2"/>
      <c r="OQW118" s="2"/>
      <c r="OQX118" s="2"/>
      <c r="OQY118" s="2"/>
      <c r="OQZ118" s="2"/>
      <c r="ORA118" s="2"/>
      <c r="ORB118" s="2"/>
      <c r="ORC118" s="2"/>
      <c r="ORD118" s="2"/>
      <c r="ORE118" s="2"/>
      <c r="ORF118" s="2"/>
      <c r="ORG118" s="2"/>
      <c r="ORH118" s="2"/>
      <c r="ORI118" s="2"/>
      <c r="ORJ118" s="2"/>
      <c r="ORK118" s="2"/>
      <c r="ORL118" s="2"/>
      <c r="ORM118" s="2"/>
      <c r="ORN118" s="2"/>
      <c r="ORO118" s="2"/>
      <c r="ORP118" s="2"/>
      <c r="ORQ118" s="2"/>
      <c r="ORR118" s="2"/>
      <c r="ORS118" s="2"/>
      <c r="ORT118" s="2"/>
      <c r="ORU118" s="2"/>
      <c r="ORV118" s="2"/>
      <c r="ORW118" s="2"/>
      <c r="ORX118" s="2"/>
      <c r="ORY118" s="2"/>
      <c r="ORZ118" s="2"/>
      <c r="OSA118" s="2"/>
      <c r="OSB118" s="2"/>
      <c r="OSC118" s="2"/>
      <c r="OSD118" s="2"/>
      <c r="OSE118" s="2"/>
      <c r="OSF118" s="2"/>
      <c r="OSG118" s="2"/>
      <c r="OSH118" s="2"/>
      <c r="OSI118" s="2"/>
      <c r="OSJ118" s="2"/>
      <c r="OSK118" s="2"/>
      <c r="OSL118" s="2"/>
      <c r="OSM118" s="2"/>
      <c r="OSN118" s="2"/>
      <c r="OSO118" s="2"/>
      <c r="OSP118" s="2"/>
      <c r="OSQ118" s="2"/>
      <c r="OSR118" s="2"/>
      <c r="OSS118" s="2"/>
      <c r="OST118" s="2"/>
      <c r="OSU118" s="2"/>
      <c r="OSV118" s="2"/>
      <c r="OSW118" s="2"/>
      <c r="OSX118" s="2"/>
      <c r="OSY118" s="2"/>
      <c r="OSZ118" s="2"/>
      <c r="OTA118" s="2"/>
      <c r="OTB118" s="2"/>
      <c r="OTC118" s="2"/>
      <c r="OTD118" s="2"/>
      <c r="OTE118" s="2"/>
      <c r="OTF118" s="2"/>
      <c r="OTG118" s="2"/>
      <c r="OTH118" s="2"/>
      <c r="OTI118" s="2"/>
      <c r="OTJ118" s="2"/>
      <c r="OTK118" s="2"/>
      <c r="OTL118" s="2"/>
      <c r="OTM118" s="2"/>
      <c r="OTN118" s="2"/>
      <c r="OTO118" s="2"/>
      <c r="OTP118" s="2"/>
      <c r="OTQ118" s="2"/>
      <c r="OTR118" s="2"/>
      <c r="OTS118" s="2"/>
      <c r="OTT118" s="2"/>
      <c r="OTU118" s="2"/>
      <c r="OTV118" s="2"/>
      <c r="OTW118" s="2"/>
      <c r="OTX118" s="2"/>
      <c r="OTY118" s="2"/>
      <c r="OTZ118" s="2"/>
      <c r="OUA118" s="2"/>
      <c r="OUB118" s="2"/>
      <c r="OUC118" s="2"/>
      <c r="OUD118" s="2"/>
      <c r="OUE118" s="2"/>
      <c r="OUF118" s="2"/>
      <c r="OUG118" s="2"/>
      <c r="OUH118" s="2"/>
      <c r="OUI118" s="2"/>
      <c r="OUJ118" s="2"/>
      <c r="OUK118" s="2"/>
      <c r="OUL118" s="2"/>
      <c r="OUM118" s="2"/>
      <c r="OUN118" s="2"/>
      <c r="OUO118" s="2"/>
      <c r="OUP118" s="2"/>
      <c r="OUQ118" s="2"/>
      <c r="OUR118" s="2"/>
      <c r="OUS118" s="2"/>
      <c r="OUT118" s="2"/>
      <c r="OUU118" s="2"/>
      <c r="OUV118" s="2"/>
      <c r="OUW118" s="2"/>
      <c r="OUX118" s="2"/>
      <c r="OUY118" s="2"/>
      <c r="OUZ118" s="2"/>
      <c r="OVA118" s="2"/>
      <c r="OVB118" s="2"/>
      <c r="OVC118" s="2"/>
      <c r="OVD118" s="2"/>
      <c r="OVE118" s="2"/>
      <c r="OVF118" s="2"/>
      <c r="OVG118" s="2"/>
      <c r="OVH118" s="2"/>
      <c r="OVI118" s="2"/>
      <c r="OVJ118" s="2"/>
      <c r="OVK118" s="2"/>
      <c r="OVL118" s="2"/>
      <c r="OVM118" s="2"/>
      <c r="OVN118" s="2"/>
      <c r="OVO118" s="2"/>
      <c r="OVP118" s="2"/>
      <c r="OVQ118" s="2"/>
      <c r="OVR118" s="2"/>
      <c r="OVS118" s="2"/>
      <c r="OVT118" s="2"/>
      <c r="OVU118" s="2"/>
      <c r="OVV118" s="2"/>
      <c r="OVW118" s="2"/>
      <c r="OVX118" s="2"/>
      <c r="OVY118" s="2"/>
      <c r="OVZ118" s="2"/>
      <c r="OWA118" s="2"/>
      <c r="OWB118" s="2"/>
      <c r="OWC118" s="2"/>
      <c r="OWD118" s="2"/>
      <c r="OWE118" s="2"/>
      <c r="OWF118" s="2"/>
      <c r="OWG118" s="2"/>
      <c r="OWH118" s="2"/>
      <c r="OWI118" s="2"/>
      <c r="OWJ118" s="2"/>
      <c r="OWK118" s="2"/>
      <c r="OWL118" s="2"/>
      <c r="OWM118" s="2"/>
      <c r="OWN118" s="2"/>
      <c r="OWO118" s="2"/>
      <c r="OWP118" s="2"/>
      <c r="OWQ118" s="2"/>
      <c r="OWR118" s="2"/>
      <c r="OWS118" s="2"/>
      <c r="OWT118" s="2"/>
      <c r="OWU118" s="2"/>
      <c r="OWV118" s="2"/>
      <c r="OWW118" s="2"/>
      <c r="OWX118" s="2"/>
      <c r="OWY118" s="2"/>
      <c r="OWZ118" s="2"/>
      <c r="OXA118" s="2"/>
      <c r="OXB118" s="2"/>
      <c r="OXC118" s="2"/>
      <c r="OXD118" s="2"/>
      <c r="OXE118" s="2"/>
      <c r="OXF118" s="2"/>
      <c r="OXG118" s="2"/>
      <c r="OXH118" s="2"/>
      <c r="OXI118" s="2"/>
      <c r="OXJ118" s="2"/>
      <c r="OXK118" s="2"/>
      <c r="OXL118" s="2"/>
      <c r="OXM118" s="2"/>
      <c r="OXN118" s="2"/>
      <c r="OXO118" s="2"/>
      <c r="OXP118" s="2"/>
      <c r="OXQ118" s="2"/>
      <c r="OXR118" s="2"/>
      <c r="OXS118" s="2"/>
      <c r="OXT118" s="2"/>
      <c r="OXU118" s="2"/>
      <c r="OXV118" s="2"/>
      <c r="OXW118" s="2"/>
      <c r="OXX118" s="2"/>
      <c r="OXY118" s="2"/>
      <c r="OXZ118" s="2"/>
      <c r="OYA118" s="2"/>
      <c r="OYB118" s="2"/>
      <c r="OYC118" s="2"/>
      <c r="OYD118" s="2"/>
      <c r="OYE118" s="2"/>
      <c r="OYF118" s="2"/>
      <c r="OYG118" s="2"/>
      <c r="OYH118" s="2"/>
      <c r="OYI118" s="2"/>
      <c r="OYJ118" s="2"/>
      <c r="OYK118" s="2"/>
      <c r="OYL118" s="2"/>
      <c r="OYM118" s="2"/>
      <c r="OYN118" s="2"/>
      <c r="OYO118" s="2"/>
      <c r="OYP118" s="2"/>
      <c r="OYQ118" s="2"/>
      <c r="OYR118" s="2"/>
      <c r="OYS118" s="2"/>
      <c r="OYT118" s="2"/>
      <c r="OYU118" s="2"/>
      <c r="OYV118" s="2"/>
      <c r="OYW118" s="2"/>
      <c r="OYX118" s="2"/>
      <c r="OYY118" s="2"/>
      <c r="OYZ118" s="2"/>
      <c r="OZA118" s="2"/>
      <c r="OZB118" s="2"/>
      <c r="OZC118" s="2"/>
      <c r="OZD118" s="2"/>
      <c r="OZE118" s="2"/>
      <c r="OZF118" s="2"/>
      <c r="OZG118" s="2"/>
      <c r="OZH118" s="2"/>
      <c r="OZI118" s="2"/>
      <c r="OZJ118" s="2"/>
      <c r="OZK118" s="2"/>
      <c r="OZL118" s="2"/>
      <c r="OZM118" s="2"/>
      <c r="OZN118" s="2"/>
      <c r="OZO118" s="2"/>
      <c r="OZP118" s="2"/>
      <c r="OZQ118" s="2"/>
      <c r="OZR118" s="2"/>
      <c r="OZS118" s="2"/>
      <c r="OZT118" s="2"/>
      <c r="OZU118" s="2"/>
      <c r="OZV118" s="2"/>
      <c r="OZW118" s="2"/>
      <c r="OZX118" s="2"/>
      <c r="OZY118" s="2"/>
      <c r="OZZ118" s="2"/>
      <c r="PAA118" s="2"/>
      <c r="PAB118" s="2"/>
      <c r="PAC118" s="2"/>
      <c r="PAD118" s="2"/>
      <c r="PAE118" s="2"/>
      <c r="PAF118" s="2"/>
      <c r="PAG118" s="2"/>
      <c r="PAH118" s="2"/>
      <c r="PAI118" s="2"/>
      <c r="PAJ118" s="2"/>
      <c r="PAK118" s="2"/>
      <c r="PAL118" s="2"/>
      <c r="PAM118" s="2"/>
      <c r="PAN118" s="2"/>
      <c r="PAO118" s="2"/>
      <c r="PAP118" s="2"/>
      <c r="PAQ118" s="2"/>
      <c r="PAR118" s="2"/>
      <c r="PAS118" s="2"/>
      <c r="PAT118" s="2"/>
      <c r="PAU118" s="2"/>
      <c r="PAV118" s="2"/>
      <c r="PAW118" s="2"/>
      <c r="PAX118" s="2"/>
      <c r="PAY118" s="2"/>
      <c r="PAZ118" s="2"/>
      <c r="PBA118" s="2"/>
      <c r="PBB118" s="2"/>
      <c r="PBC118" s="2"/>
      <c r="PBD118" s="2"/>
      <c r="PBE118" s="2"/>
      <c r="PBF118" s="2"/>
      <c r="PBG118" s="2"/>
      <c r="PBH118" s="2"/>
      <c r="PBI118" s="2"/>
      <c r="PBJ118" s="2"/>
      <c r="PBK118" s="2"/>
      <c r="PBL118" s="2"/>
      <c r="PBM118" s="2"/>
      <c r="PBN118" s="2"/>
      <c r="PBO118" s="2"/>
      <c r="PBP118" s="2"/>
      <c r="PBQ118" s="2"/>
      <c r="PBR118" s="2"/>
      <c r="PBS118" s="2"/>
      <c r="PBT118" s="2"/>
      <c r="PBU118" s="2"/>
      <c r="PBV118" s="2"/>
      <c r="PBW118" s="2"/>
      <c r="PBX118" s="2"/>
      <c r="PBY118" s="2"/>
      <c r="PBZ118" s="2"/>
      <c r="PCA118" s="2"/>
      <c r="PCB118" s="2"/>
      <c r="PCC118" s="2"/>
      <c r="PCD118" s="2"/>
      <c r="PCE118" s="2"/>
      <c r="PCF118" s="2"/>
      <c r="PCG118" s="2"/>
      <c r="PCH118" s="2"/>
      <c r="PCI118" s="2"/>
      <c r="PCJ118" s="2"/>
      <c r="PCK118" s="2"/>
      <c r="PCL118" s="2"/>
      <c r="PCM118" s="2"/>
      <c r="PCN118" s="2"/>
      <c r="PCO118" s="2"/>
      <c r="PCP118" s="2"/>
      <c r="PCQ118" s="2"/>
      <c r="PCR118" s="2"/>
      <c r="PCS118" s="2"/>
      <c r="PCT118" s="2"/>
      <c r="PCU118" s="2"/>
      <c r="PCV118" s="2"/>
      <c r="PCW118" s="2"/>
      <c r="PCX118" s="2"/>
      <c r="PCY118" s="2"/>
      <c r="PCZ118" s="2"/>
      <c r="PDA118" s="2"/>
      <c r="PDB118" s="2"/>
      <c r="PDC118" s="2"/>
      <c r="PDD118" s="2"/>
      <c r="PDE118" s="2"/>
      <c r="PDF118" s="2"/>
      <c r="PDG118" s="2"/>
      <c r="PDH118" s="2"/>
      <c r="PDI118" s="2"/>
      <c r="PDJ118" s="2"/>
      <c r="PDK118" s="2"/>
      <c r="PDL118" s="2"/>
      <c r="PDM118" s="2"/>
      <c r="PDN118" s="2"/>
      <c r="PDO118" s="2"/>
      <c r="PDP118" s="2"/>
      <c r="PDQ118" s="2"/>
      <c r="PDR118" s="2"/>
      <c r="PDS118" s="2"/>
      <c r="PDT118" s="2"/>
      <c r="PDU118" s="2"/>
      <c r="PDV118" s="2"/>
      <c r="PDW118" s="2"/>
      <c r="PDX118" s="2"/>
      <c r="PDY118" s="2"/>
      <c r="PDZ118" s="2"/>
      <c r="PEA118" s="2"/>
      <c r="PEB118" s="2"/>
      <c r="PEC118" s="2"/>
      <c r="PED118" s="2"/>
      <c r="PEE118" s="2"/>
      <c r="PEF118" s="2"/>
      <c r="PEG118" s="2"/>
      <c r="PEH118" s="2"/>
      <c r="PEI118" s="2"/>
      <c r="PEJ118" s="2"/>
      <c r="PEK118" s="2"/>
      <c r="PEL118" s="2"/>
      <c r="PEM118" s="2"/>
      <c r="PEN118" s="2"/>
      <c r="PEO118" s="2"/>
      <c r="PEP118" s="2"/>
      <c r="PEQ118" s="2"/>
      <c r="PER118" s="2"/>
      <c r="PES118" s="2"/>
      <c r="PET118" s="2"/>
      <c r="PEU118" s="2"/>
      <c r="PEV118" s="2"/>
      <c r="PEW118" s="2"/>
      <c r="PEX118" s="2"/>
      <c r="PEY118" s="2"/>
      <c r="PEZ118" s="2"/>
      <c r="PFA118" s="2"/>
      <c r="PFB118" s="2"/>
      <c r="PFC118" s="2"/>
      <c r="PFD118" s="2"/>
      <c r="PFE118" s="2"/>
      <c r="PFF118" s="2"/>
      <c r="PFG118" s="2"/>
      <c r="PFH118" s="2"/>
      <c r="PFI118" s="2"/>
      <c r="PFJ118" s="2"/>
      <c r="PFK118" s="2"/>
      <c r="PFL118" s="2"/>
      <c r="PFM118" s="2"/>
      <c r="PFN118" s="2"/>
      <c r="PFO118" s="2"/>
      <c r="PFP118" s="2"/>
      <c r="PFQ118" s="2"/>
      <c r="PFR118" s="2"/>
      <c r="PFS118" s="2"/>
      <c r="PFT118" s="2"/>
      <c r="PFU118" s="2"/>
      <c r="PFV118" s="2"/>
      <c r="PFW118" s="2"/>
      <c r="PFX118" s="2"/>
      <c r="PFY118" s="2"/>
      <c r="PFZ118" s="2"/>
      <c r="PGA118" s="2"/>
      <c r="PGB118" s="2"/>
      <c r="PGC118" s="2"/>
      <c r="PGD118" s="2"/>
      <c r="PGE118" s="2"/>
      <c r="PGF118" s="2"/>
      <c r="PGG118" s="2"/>
      <c r="PGH118" s="2"/>
      <c r="PGI118" s="2"/>
      <c r="PGJ118" s="2"/>
      <c r="PGK118" s="2"/>
      <c r="PGL118" s="2"/>
      <c r="PGM118" s="2"/>
      <c r="PGN118" s="2"/>
      <c r="PGO118" s="2"/>
      <c r="PGP118" s="2"/>
      <c r="PGQ118" s="2"/>
      <c r="PGR118" s="2"/>
      <c r="PGS118" s="2"/>
      <c r="PGT118" s="2"/>
      <c r="PGU118" s="2"/>
      <c r="PGV118" s="2"/>
      <c r="PGW118" s="2"/>
      <c r="PGX118" s="2"/>
      <c r="PGY118" s="2"/>
      <c r="PGZ118" s="2"/>
      <c r="PHA118" s="2"/>
      <c r="PHB118" s="2"/>
      <c r="PHC118" s="2"/>
      <c r="PHD118" s="2"/>
      <c r="PHE118" s="2"/>
      <c r="PHF118" s="2"/>
      <c r="PHG118" s="2"/>
      <c r="PHH118" s="2"/>
      <c r="PHI118" s="2"/>
      <c r="PHJ118" s="2"/>
      <c r="PHK118" s="2"/>
      <c r="PHL118" s="2"/>
      <c r="PHM118" s="2"/>
      <c r="PHN118" s="2"/>
      <c r="PHO118" s="2"/>
      <c r="PHP118" s="2"/>
      <c r="PHQ118" s="2"/>
      <c r="PHR118" s="2"/>
      <c r="PHS118" s="2"/>
      <c r="PHT118" s="2"/>
      <c r="PHU118" s="2"/>
      <c r="PHV118" s="2"/>
      <c r="PHW118" s="2"/>
      <c r="PHX118" s="2"/>
      <c r="PHY118" s="2"/>
      <c r="PHZ118" s="2"/>
      <c r="PIA118" s="2"/>
      <c r="PIB118" s="2"/>
      <c r="PIC118" s="2"/>
      <c r="PID118" s="2"/>
      <c r="PIE118" s="2"/>
      <c r="PIF118" s="2"/>
      <c r="PIG118" s="2"/>
      <c r="PIH118" s="2"/>
      <c r="PII118" s="2"/>
      <c r="PIJ118" s="2"/>
      <c r="PIK118" s="2"/>
      <c r="PIL118" s="2"/>
      <c r="PIM118" s="2"/>
      <c r="PIN118" s="2"/>
      <c r="PIO118" s="2"/>
      <c r="PIP118" s="2"/>
      <c r="PIQ118" s="2"/>
      <c r="PIR118" s="2"/>
      <c r="PIS118" s="2"/>
      <c r="PIT118" s="2"/>
      <c r="PIU118" s="2"/>
      <c r="PIV118" s="2"/>
      <c r="PIW118" s="2"/>
      <c r="PIX118" s="2"/>
      <c r="PIY118" s="2"/>
      <c r="PIZ118" s="2"/>
      <c r="PJA118" s="2"/>
      <c r="PJB118" s="2"/>
      <c r="PJC118" s="2"/>
      <c r="PJD118" s="2"/>
      <c r="PJE118" s="2"/>
      <c r="PJF118" s="2"/>
      <c r="PJG118" s="2"/>
      <c r="PJH118" s="2"/>
      <c r="PJI118" s="2"/>
      <c r="PJJ118" s="2"/>
      <c r="PJK118" s="2"/>
      <c r="PJL118" s="2"/>
      <c r="PJM118" s="2"/>
      <c r="PJN118" s="2"/>
      <c r="PJO118" s="2"/>
      <c r="PJP118" s="2"/>
      <c r="PJQ118" s="2"/>
      <c r="PJR118" s="2"/>
      <c r="PJS118" s="2"/>
      <c r="PJT118" s="2"/>
      <c r="PJU118" s="2"/>
      <c r="PJV118" s="2"/>
      <c r="PJW118" s="2"/>
      <c r="PJX118" s="2"/>
      <c r="PJY118" s="2"/>
      <c r="PJZ118" s="2"/>
      <c r="PKA118" s="2"/>
      <c r="PKB118" s="2"/>
      <c r="PKC118" s="2"/>
      <c r="PKD118" s="2"/>
      <c r="PKE118" s="2"/>
      <c r="PKF118" s="2"/>
      <c r="PKG118" s="2"/>
      <c r="PKH118" s="2"/>
      <c r="PKI118" s="2"/>
      <c r="PKJ118" s="2"/>
      <c r="PKK118" s="2"/>
      <c r="PKL118" s="2"/>
      <c r="PKM118" s="2"/>
      <c r="PKN118" s="2"/>
      <c r="PKO118" s="2"/>
      <c r="PKP118" s="2"/>
      <c r="PKQ118" s="2"/>
      <c r="PKR118" s="2"/>
      <c r="PKS118" s="2"/>
      <c r="PKT118" s="2"/>
      <c r="PKU118" s="2"/>
      <c r="PKV118" s="2"/>
      <c r="PKW118" s="2"/>
      <c r="PKX118" s="2"/>
      <c r="PKY118" s="2"/>
      <c r="PKZ118" s="2"/>
      <c r="PLA118" s="2"/>
      <c r="PLB118" s="2"/>
      <c r="PLC118" s="2"/>
      <c r="PLD118" s="2"/>
      <c r="PLE118" s="2"/>
      <c r="PLF118" s="2"/>
      <c r="PLG118" s="2"/>
      <c r="PLH118" s="2"/>
      <c r="PLI118" s="2"/>
      <c r="PLJ118" s="2"/>
      <c r="PLK118" s="2"/>
      <c r="PLL118" s="2"/>
      <c r="PLM118" s="2"/>
      <c r="PLN118" s="2"/>
      <c r="PLO118" s="2"/>
      <c r="PLP118" s="2"/>
      <c r="PLQ118" s="2"/>
      <c r="PLR118" s="2"/>
      <c r="PLS118" s="2"/>
      <c r="PLT118" s="2"/>
      <c r="PLU118" s="2"/>
      <c r="PLV118" s="2"/>
      <c r="PLW118" s="2"/>
      <c r="PLX118" s="2"/>
      <c r="PLY118" s="2"/>
      <c r="PLZ118" s="2"/>
      <c r="PMA118" s="2"/>
      <c r="PMB118" s="2"/>
      <c r="PMC118" s="2"/>
      <c r="PMD118" s="2"/>
      <c r="PME118" s="2"/>
      <c r="PMF118" s="2"/>
      <c r="PMG118" s="2"/>
      <c r="PMH118" s="2"/>
      <c r="PMI118" s="2"/>
      <c r="PMJ118" s="2"/>
      <c r="PMK118" s="2"/>
      <c r="PML118" s="2"/>
      <c r="PMM118" s="2"/>
      <c r="PMN118" s="2"/>
      <c r="PMO118" s="2"/>
      <c r="PMP118" s="2"/>
      <c r="PMQ118" s="2"/>
      <c r="PMR118" s="2"/>
      <c r="PMS118" s="2"/>
      <c r="PMT118" s="2"/>
      <c r="PMU118" s="2"/>
      <c r="PMV118" s="2"/>
      <c r="PMW118" s="2"/>
      <c r="PMX118" s="2"/>
      <c r="PMY118" s="2"/>
      <c r="PMZ118" s="2"/>
      <c r="PNA118" s="2"/>
      <c r="PNB118" s="2"/>
      <c r="PNC118" s="2"/>
      <c r="PND118" s="2"/>
      <c r="PNE118" s="2"/>
      <c r="PNF118" s="2"/>
      <c r="PNG118" s="2"/>
      <c r="PNH118" s="2"/>
      <c r="PNI118" s="2"/>
      <c r="PNJ118" s="2"/>
      <c r="PNK118" s="2"/>
      <c r="PNL118" s="2"/>
      <c r="PNM118" s="2"/>
      <c r="PNN118" s="2"/>
      <c r="PNO118" s="2"/>
      <c r="PNP118" s="2"/>
      <c r="PNQ118" s="2"/>
      <c r="PNR118" s="2"/>
      <c r="PNS118" s="2"/>
      <c r="PNT118" s="2"/>
      <c r="PNU118" s="2"/>
      <c r="PNV118" s="2"/>
      <c r="PNW118" s="2"/>
      <c r="PNX118" s="2"/>
      <c r="PNY118" s="2"/>
      <c r="PNZ118" s="2"/>
      <c r="POA118" s="2"/>
      <c r="POB118" s="2"/>
      <c r="POC118" s="2"/>
      <c r="POD118" s="2"/>
      <c r="POE118" s="2"/>
      <c r="POF118" s="2"/>
      <c r="POG118" s="2"/>
      <c r="POH118" s="2"/>
      <c r="POI118" s="2"/>
      <c r="POJ118" s="2"/>
      <c r="POK118" s="2"/>
      <c r="POL118" s="2"/>
      <c r="POM118" s="2"/>
      <c r="PON118" s="2"/>
      <c r="POO118" s="2"/>
      <c r="POP118" s="2"/>
      <c r="POQ118" s="2"/>
      <c r="POR118" s="2"/>
      <c r="POS118" s="2"/>
      <c r="POT118" s="2"/>
      <c r="POU118" s="2"/>
      <c r="POV118" s="2"/>
      <c r="POW118" s="2"/>
      <c r="POX118" s="2"/>
      <c r="POY118" s="2"/>
      <c r="POZ118" s="2"/>
      <c r="PPA118" s="2"/>
      <c r="PPB118" s="2"/>
      <c r="PPC118" s="2"/>
      <c r="PPD118" s="2"/>
      <c r="PPE118" s="2"/>
      <c r="PPF118" s="2"/>
      <c r="PPG118" s="2"/>
      <c r="PPH118" s="2"/>
      <c r="PPI118" s="2"/>
      <c r="PPJ118" s="2"/>
      <c r="PPK118" s="2"/>
      <c r="PPL118" s="2"/>
      <c r="PPM118" s="2"/>
      <c r="PPN118" s="2"/>
      <c r="PPO118" s="2"/>
      <c r="PPP118" s="2"/>
      <c r="PPQ118" s="2"/>
      <c r="PPR118" s="2"/>
      <c r="PPS118" s="2"/>
      <c r="PPT118" s="2"/>
      <c r="PPU118" s="2"/>
      <c r="PPV118" s="2"/>
      <c r="PPW118" s="2"/>
      <c r="PPX118" s="2"/>
      <c r="PPY118" s="2"/>
      <c r="PPZ118" s="2"/>
      <c r="PQA118" s="2"/>
      <c r="PQB118" s="2"/>
      <c r="PQC118" s="2"/>
      <c r="PQD118" s="2"/>
      <c r="PQE118" s="2"/>
      <c r="PQF118" s="2"/>
      <c r="PQG118" s="2"/>
      <c r="PQH118" s="2"/>
      <c r="PQI118" s="2"/>
      <c r="PQJ118" s="2"/>
      <c r="PQK118" s="2"/>
      <c r="PQL118" s="2"/>
      <c r="PQM118" s="2"/>
      <c r="PQN118" s="2"/>
      <c r="PQO118" s="2"/>
      <c r="PQP118" s="2"/>
      <c r="PQQ118" s="2"/>
      <c r="PQR118" s="2"/>
      <c r="PQS118" s="2"/>
      <c r="PQT118" s="2"/>
      <c r="PQU118" s="2"/>
      <c r="PQV118" s="2"/>
      <c r="PQW118" s="2"/>
      <c r="PQX118" s="2"/>
      <c r="PQY118" s="2"/>
      <c r="PQZ118" s="2"/>
      <c r="PRA118" s="2"/>
      <c r="PRB118" s="2"/>
      <c r="PRC118" s="2"/>
      <c r="PRD118" s="2"/>
      <c r="PRE118" s="2"/>
      <c r="PRF118" s="2"/>
      <c r="PRG118" s="2"/>
      <c r="PRH118" s="2"/>
      <c r="PRI118" s="2"/>
      <c r="PRJ118" s="2"/>
      <c r="PRK118" s="2"/>
      <c r="PRL118" s="2"/>
      <c r="PRM118" s="2"/>
      <c r="PRN118" s="2"/>
      <c r="PRO118" s="2"/>
      <c r="PRP118" s="2"/>
      <c r="PRQ118" s="2"/>
      <c r="PRR118" s="2"/>
      <c r="PRS118" s="2"/>
      <c r="PRT118" s="2"/>
      <c r="PRU118" s="2"/>
      <c r="PRV118" s="2"/>
      <c r="PRW118" s="2"/>
      <c r="PRX118" s="2"/>
      <c r="PRY118" s="2"/>
      <c r="PRZ118" s="2"/>
      <c r="PSA118" s="2"/>
      <c r="PSB118" s="2"/>
      <c r="PSC118" s="2"/>
      <c r="PSD118" s="2"/>
      <c r="PSE118" s="2"/>
      <c r="PSF118" s="2"/>
      <c r="PSG118" s="2"/>
      <c r="PSH118" s="2"/>
      <c r="PSI118" s="2"/>
      <c r="PSJ118" s="2"/>
      <c r="PSK118" s="2"/>
      <c r="PSL118" s="2"/>
      <c r="PSM118" s="2"/>
      <c r="PSN118" s="2"/>
      <c r="PSO118" s="2"/>
      <c r="PSP118" s="2"/>
      <c r="PSQ118" s="2"/>
      <c r="PSR118" s="2"/>
      <c r="PSS118" s="2"/>
      <c r="PST118" s="2"/>
      <c r="PSU118" s="2"/>
      <c r="PSV118" s="2"/>
      <c r="PSW118" s="2"/>
      <c r="PSX118" s="2"/>
      <c r="PSY118" s="2"/>
      <c r="PSZ118" s="2"/>
      <c r="PTA118" s="2"/>
      <c r="PTB118" s="2"/>
      <c r="PTC118" s="2"/>
      <c r="PTD118" s="2"/>
      <c r="PTE118" s="2"/>
      <c r="PTF118" s="2"/>
      <c r="PTG118" s="2"/>
      <c r="PTH118" s="2"/>
      <c r="PTI118" s="2"/>
      <c r="PTJ118" s="2"/>
      <c r="PTK118" s="2"/>
      <c r="PTL118" s="2"/>
      <c r="PTM118" s="2"/>
      <c r="PTN118" s="2"/>
      <c r="PTO118" s="2"/>
      <c r="PTP118" s="2"/>
      <c r="PTQ118" s="2"/>
      <c r="PTR118" s="2"/>
      <c r="PTS118" s="2"/>
      <c r="PTT118" s="2"/>
      <c r="PTU118" s="2"/>
      <c r="PTV118" s="2"/>
      <c r="PTW118" s="2"/>
      <c r="PTX118" s="2"/>
      <c r="PTY118" s="2"/>
      <c r="PTZ118" s="2"/>
      <c r="PUA118" s="2"/>
      <c r="PUB118" s="2"/>
      <c r="PUC118" s="2"/>
      <c r="PUD118" s="2"/>
      <c r="PUE118" s="2"/>
      <c r="PUF118" s="2"/>
      <c r="PUG118" s="2"/>
      <c r="PUH118" s="2"/>
      <c r="PUI118" s="2"/>
      <c r="PUJ118" s="2"/>
      <c r="PUK118" s="2"/>
      <c r="PUL118" s="2"/>
      <c r="PUM118" s="2"/>
      <c r="PUN118" s="2"/>
      <c r="PUO118" s="2"/>
      <c r="PUP118" s="2"/>
      <c r="PUQ118" s="2"/>
      <c r="PUR118" s="2"/>
      <c r="PUS118" s="2"/>
      <c r="PUT118" s="2"/>
      <c r="PUU118" s="2"/>
      <c r="PUV118" s="2"/>
      <c r="PUW118" s="2"/>
      <c r="PUX118" s="2"/>
      <c r="PUY118" s="2"/>
      <c r="PUZ118" s="2"/>
      <c r="PVA118" s="2"/>
      <c r="PVB118" s="2"/>
      <c r="PVC118" s="2"/>
      <c r="PVD118" s="2"/>
      <c r="PVE118" s="2"/>
      <c r="PVF118" s="2"/>
      <c r="PVG118" s="2"/>
      <c r="PVH118" s="2"/>
      <c r="PVI118" s="2"/>
      <c r="PVJ118" s="2"/>
      <c r="PVK118" s="2"/>
      <c r="PVL118" s="2"/>
      <c r="PVM118" s="2"/>
      <c r="PVN118" s="2"/>
      <c r="PVO118" s="2"/>
      <c r="PVP118" s="2"/>
      <c r="PVQ118" s="2"/>
      <c r="PVR118" s="2"/>
      <c r="PVS118" s="2"/>
      <c r="PVT118" s="2"/>
      <c r="PVU118" s="2"/>
      <c r="PVV118" s="2"/>
      <c r="PVW118" s="2"/>
      <c r="PVX118" s="2"/>
      <c r="PVY118" s="2"/>
      <c r="PVZ118" s="2"/>
      <c r="PWA118" s="2"/>
      <c r="PWB118" s="2"/>
      <c r="PWC118" s="2"/>
      <c r="PWD118" s="2"/>
      <c r="PWE118" s="2"/>
      <c r="PWF118" s="2"/>
      <c r="PWG118" s="2"/>
      <c r="PWH118" s="2"/>
      <c r="PWI118" s="2"/>
      <c r="PWJ118" s="2"/>
      <c r="PWK118" s="2"/>
      <c r="PWL118" s="2"/>
      <c r="PWM118" s="2"/>
      <c r="PWN118" s="2"/>
      <c r="PWO118" s="2"/>
      <c r="PWP118" s="2"/>
      <c r="PWQ118" s="2"/>
      <c r="PWR118" s="2"/>
      <c r="PWS118" s="2"/>
      <c r="PWT118" s="2"/>
      <c r="PWU118" s="2"/>
      <c r="PWV118" s="2"/>
      <c r="PWW118" s="2"/>
      <c r="PWX118" s="2"/>
      <c r="PWY118" s="2"/>
      <c r="PWZ118" s="2"/>
      <c r="PXA118" s="2"/>
      <c r="PXB118" s="2"/>
      <c r="PXC118" s="2"/>
      <c r="PXD118" s="2"/>
      <c r="PXE118" s="2"/>
      <c r="PXF118" s="2"/>
      <c r="PXG118" s="2"/>
      <c r="PXH118" s="2"/>
      <c r="PXI118" s="2"/>
      <c r="PXJ118" s="2"/>
      <c r="PXK118" s="2"/>
      <c r="PXL118" s="2"/>
      <c r="PXM118" s="2"/>
      <c r="PXN118" s="2"/>
      <c r="PXO118" s="2"/>
      <c r="PXP118" s="2"/>
      <c r="PXQ118" s="2"/>
      <c r="PXR118" s="2"/>
      <c r="PXS118" s="2"/>
      <c r="PXT118" s="2"/>
      <c r="PXU118" s="2"/>
      <c r="PXV118" s="2"/>
      <c r="PXW118" s="2"/>
      <c r="PXX118" s="2"/>
      <c r="PXY118" s="2"/>
      <c r="PXZ118" s="2"/>
      <c r="PYA118" s="2"/>
      <c r="PYB118" s="2"/>
      <c r="PYC118" s="2"/>
      <c r="PYD118" s="2"/>
      <c r="PYE118" s="2"/>
      <c r="PYF118" s="2"/>
      <c r="PYG118" s="2"/>
      <c r="PYH118" s="2"/>
      <c r="PYI118" s="2"/>
      <c r="PYJ118" s="2"/>
      <c r="PYK118" s="2"/>
      <c r="PYL118" s="2"/>
      <c r="PYM118" s="2"/>
      <c r="PYN118" s="2"/>
      <c r="PYO118" s="2"/>
      <c r="PYP118" s="2"/>
      <c r="PYQ118" s="2"/>
      <c r="PYR118" s="2"/>
      <c r="PYS118" s="2"/>
      <c r="PYT118" s="2"/>
      <c r="PYU118" s="2"/>
      <c r="PYV118" s="2"/>
      <c r="PYW118" s="2"/>
      <c r="PYX118" s="2"/>
      <c r="PYY118" s="2"/>
      <c r="PYZ118" s="2"/>
      <c r="PZA118" s="2"/>
      <c r="PZB118" s="2"/>
      <c r="PZC118" s="2"/>
      <c r="PZD118" s="2"/>
      <c r="PZE118" s="2"/>
      <c r="PZF118" s="2"/>
      <c r="PZG118" s="2"/>
      <c r="PZH118" s="2"/>
      <c r="PZI118" s="2"/>
      <c r="PZJ118" s="2"/>
      <c r="PZK118" s="2"/>
      <c r="PZL118" s="2"/>
      <c r="PZM118" s="2"/>
      <c r="PZN118" s="2"/>
      <c r="PZO118" s="2"/>
      <c r="PZP118" s="2"/>
      <c r="PZQ118" s="2"/>
      <c r="PZR118" s="2"/>
      <c r="PZS118" s="2"/>
      <c r="PZT118" s="2"/>
      <c r="PZU118" s="2"/>
      <c r="PZV118" s="2"/>
      <c r="PZW118" s="2"/>
      <c r="PZX118" s="2"/>
      <c r="PZY118" s="2"/>
      <c r="PZZ118" s="2"/>
      <c r="QAA118" s="2"/>
      <c r="QAB118" s="2"/>
      <c r="QAC118" s="2"/>
      <c r="QAD118" s="2"/>
      <c r="QAE118" s="2"/>
      <c r="QAF118" s="2"/>
      <c r="QAG118" s="2"/>
      <c r="QAH118" s="2"/>
      <c r="QAI118" s="2"/>
      <c r="QAJ118" s="2"/>
      <c r="QAK118" s="2"/>
      <c r="QAL118" s="2"/>
      <c r="QAM118" s="2"/>
      <c r="QAN118" s="2"/>
      <c r="QAO118" s="2"/>
      <c r="QAP118" s="2"/>
      <c r="QAQ118" s="2"/>
      <c r="QAR118" s="2"/>
      <c r="QAS118" s="2"/>
      <c r="QAT118" s="2"/>
      <c r="QAU118" s="2"/>
      <c r="QAV118" s="2"/>
      <c r="QAW118" s="2"/>
      <c r="QAX118" s="2"/>
      <c r="QAY118" s="2"/>
      <c r="QAZ118" s="2"/>
      <c r="QBA118" s="2"/>
      <c r="QBB118" s="2"/>
      <c r="QBC118" s="2"/>
      <c r="QBD118" s="2"/>
      <c r="QBE118" s="2"/>
      <c r="QBF118" s="2"/>
      <c r="QBG118" s="2"/>
      <c r="QBH118" s="2"/>
      <c r="QBI118" s="2"/>
      <c r="QBJ118" s="2"/>
      <c r="QBK118" s="2"/>
      <c r="QBL118" s="2"/>
      <c r="QBM118" s="2"/>
      <c r="QBN118" s="2"/>
      <c r="QBO118" s="2"/>
      <c r="QBP118" s="2"/>
      <c r="QBQ118" s="2"/>
      <c r="QBR118" s="2"/>
      <c r="QBS118" s="2"/>
      <c r="QBT118" s="2"/>
      <c r="QBU118" s="2"/>
      <c r="QBV118" s="2"/>
      <c r="QBW118" s="2"/>
      <c r="QBX118" s="2"/>
      <c r="QBY118" s="2"/>
      <c r="QBZ118" s="2"/>
      <c r="QCA118" s="2"/>
      <c r="QCB118" s="2"/>
      <c r="QCC118" s="2"/>
      <c r="QCD118" s="2"/>
      <c r="QCE118" s="2"/>
      <c r="QCF118" s="2"/>
      <c r="QCG118" s="2"/>
      <c r="QCH118" s="2"/>
      <c r="QCI118" s="2"/>
      <c r="QCJ118" s="2"/>
      <c r="QCK118" s="2"/>
      <c r="QCL118" s="2"/>
      <c r="QCM118" s="2"/>
      <c r="QCN118" s="2"/>
      <c r="QCO118" s="2"/>
      <c r="QCP118" s="2"/>
      <c r="QCQ118" s="2"/>
      <c r="QCR118" s="2"/>
      <c r="QCS118" s="2"/>
      <c r="QCT118" s="2"/>
      <c r="QCU118" s="2"/>
      <c r="QCV118" s="2"/>
      <c r="QCW118" s="2"/>
      <c r="QCX118" s="2"/>
      <c r="QCY118" s="2"/>
      <c r="QCZ118" s="2"/>
      <c r="QDA118" s="2"/>
      <c r="QDB118" s="2"/>
      <c r="QDC118" s="2"/>
      <c r="QDD118" s="2"/>
      <c r="QDE118" s="2"/>
      <c r="QDF118" s="2"/>
      <c r="QDG118" s="2"/>
      <c r="QDH118" s="2"/>
      <c r="QDI118" s="2"/>
      <c r="QDJ118" s="2"/>
      <c r="QDK118" s="2"/>
      <c r="QDL118" s="2"/>
      <c r="QDM118" s="2"/>
      <c r="QDN118" s="2"/>
      <c r="QDO118" s="2"/>
      <c r="QDP118" s="2"/>
      <c r="QDQ118" s="2"/>
      <c r="QDR118" s="2"/>
      <c r="QDS118" s="2"/>
      <c r="QDT118" s="2"/>
      <c r="QDU118" s="2"/>
      <c r="QDV118" s="2"/>
      <c r="QDW118" s="2"/>
      <c r="QDX118" s="2"/>
      <c r="QDY118" s="2"/>
      <c r="QDZ118" s="2"/>
      <c r="QEA118" s="2"/>
      <c r="QEB118" s="2"/>
      <c r="QEC118" s="2"/>
      <c r="QED118" s="2"/>
      <c r="QEE118" s="2"/>
      <c r="QEF118" s="2"/>
      <c r="QEG118" s="2"/>
      <c r="QEH118" s="2"/>
      <c r="QEI118" s="2"/>
      <c r="QEJ118" s="2"/>
      <c r="QEK118" s="2"/>
      <c r="QEL118" s="2"/>
      <c r="QEM118" s="2"/>
      <c r="QEN118" s="2"/>
      <c r="QEO118" s="2"/>
      <c r="QEP118" s="2"/>
      <c r="QEQ118" s="2"/>
      <c r="QER118" s="2"/>
      <c r="QES118" s="2"/>
      <c r="QET118" s="2"/>
      <c r="QEU118" s="2"/>
      <c r="QEV118" s="2"/>
      <c r="QEW118" s="2"/>
      <c r="QEX118" s="2"/>
      <c r="QEY118" s="2"/>
      <c r="QEZ118" s="2"/>
      <c r="QFA118" s="2"/>
      <c r="QFB118" s="2"/>
      <c r="QFC118" s="2"/>
      <c r="QFD118" s="2"/>
      <c r="QFE118" s="2"/>
      <c r="QFF118" s="2"/>
      <c r="QFG118" s="2"/>
      <c r="QFH118" s="2"/>
      <c r="QFI118" s="2"/>
      <c r="QFJ118" s="2"/>
      <c r="QFK118" s="2"/>
      <c r="QFL118" s="2"/>
      <c r="QFM118" s="2"/>
      <c r="QFN118" s="2"/>
      <c r="QFO118" s="2"/>
      <c r="QFP118" s="2"/>
      <c r="QFQ118" s="2"/>
      <c r="QFR118" s="2"/>
      <c r="QFS118" s="2"/>
      <c r="QFT118" s="2"/>
      <c r="QFU118" s="2"/>
      <c r="QFV118" s="2"/>
      <c r="QFW118" s="2"/>
      <c r="QFX118" s="2"/>
      <c r="QFY118" s="2"/>
      <c r="QFZ118" s="2"/>
      <c r="QGA118" s="2"/>
      <c r="QGB118" s="2"/>
      <c r="QGC118" s="2"/>
      <c r="QGD118" s="2"/>
      <c r="QGE118" s="2"/>
      <c r="QGF118" s="2"/>
      <c r="QGG118" s="2"/>
      <c r="QGH118" s="2"/>
      <c r="QGI118" s="2"/>
      <c r="QGJ118" s="2"/>
      <c r="QGK118" s="2"/>
      <c r="QGL118" s="2"/>
      <c r="QGM118" s="2"/>
      <c r="QGN118" s="2"/>
      <c r="QGO118" s="2"/>
      <c r="QGP118" s="2"/>
      <c r="QGQ118" s="2"/>
      <c r="QGR118" s="2"/>
      <c r="QGS118" s="2"/>
      <c r="QGT118" s="2"/>
      <c r="QGU118" s="2"/>
      <c r="QGV118" s="2"/>
      <c r="QGW118" s="2"/>
      <c r="QGX118" s="2"/>
      <c r="QGY118" s="2"/>
      <c r="QGZ118" s="2"/>
      <c r="QHA118" s="2"/>
      <c r="QHB118" s="2"/>
      <c r="QHC118" s="2"/>
      <c r="QHD118" s="2"/>
      <c r="QHE118" s="2"/>
      <c r="QHF118" s="2"/>
      <c r="QHG118" s="2"/>
      <c r="QHH118" s="2"/>
      <c r="QHI118" s="2"/>
      <c r="QHJ118" s="2"/>
      <c r="QHK118" s="2"/>
      <c r="QHL118" s="2"/>
      <c r="QHM118" s="2"/>
      <c r="QHN118" s="2"/>
      <c r="QHO118" s="2"/>
      <c r="QHP118" s="2"/>
      <c r="QHQ118" s="2"/>
      <c r="QHR118" s="2"/>
      <c r="QHS118" s="2"/>
      <c r="QHT118" s="2"/>
      <c r="QHU118" s="2"/>
      <c r="QHV118" s="2"/>
      <c r="QHW118" s="2"/>
      <c r="QHX118" s="2"/>
      <c r="QHY118" s="2"/>
      <c r="QHZ118" s="2"/>
      <c r="QIA118" s="2"/>
      <c r="QIB118" s="2"/>
      <c r="QIC118" s="2"/>
      <c r="QID118" s="2"/>
      <c r="QIE118" s="2"/>
      <c r="QIF118" s="2"/>
      <c r="QIG118" s="2"/>
      <c r="QIH118" s="2"/>
      <c r="QII118" s="2"/>
      <c r="QIJ118" s="2"/>
      <c r="QIK118" s="2"/>
      <c r="QIL118" s="2"/>
      <c r="QIM118" s="2"/>
      <c r="QIN118" s="2"/>
      <c r="QIO118" s="2"/>
      <c r="QIP118" s="2"/>
      <c r="QIQ118" s="2"/>
      <c r="QIR118" s="2"/>
      <c r="QIS118" s="2"/>
      <c r="QIT118" s="2"/>
      <c r="QIU118" s="2"/>
      <c r="QIV118" s="2"/>
      <c r="QIW118" s="2"/>
      <c r="QIX118" s="2"/>
      <c r="QIY118" s="2"/>
      <c r="QIZ118" s="2"/>
      <c r="QJA118" s="2"/>
      <c r="QJB118" s="2"/>
      <c r="QJC118" s="2"/>
      <c r="QJD118" s="2"/>
      <c r="QJE118" s="2"/>
      <c r="QJF118" s="2"/>
      <c r="QJG118" s="2"/>
      <c r="QJH118" s="2"/>
      <c r="QJI118" s="2"/>
      <c r="QJJ118" s="2"/>
      <c r="QJK118" s="2"/>
      <c r="QJL118" s="2"/>
      <c r="QJM118" s="2"/>
      <c r="QJN118" s="2"/>
      <c r="QJO118" s="2"/>
      <c r="QJP118" s="2"/>
      <c r="QJQ118" s="2"/>
      <c r="QJR118" s="2"/>
      <c r="QJS118" s="2"/>
      <c r="QJT118" s="2"/>
      <c r="QJU118" s="2"/>
      <c r="QJV118" s="2"/>
      <c r="QJW118" s="2"/>
      <c r="QJX118" s="2"/>
      <c r="QJY118" s="2"/>
      <c r="QJZ118" s="2"/>
      <c r="QKA118" s="2"/>
      <c r="QKB118" s="2"/>
      <c r="QKC118" s="2"/>
      <c r="QKD118" s="2"/>
      <c r="QKE118" s="2"/>
      <c r="QKF118" s="2"/>
      <c r="QKG118" s="2"/>
      <c r="QKH118" s="2"/>
      <c r="QKI118" s="2"/>
      <c r="QKJ118" s="2"/>
      <c r="QKK118" s="2"/>
      <c r="QKL118" s="2"/>
      <c r="QKM118" s="2"/>
      <c r="QKN118" s="2"/>
      <c r="QKO118" s="2"/>
      <c r="QKP118" s="2"/>
      <c r="QKQ118" s="2"/>
      <c r="QKR118" s="2"/>
      <c r="QKS118" s="2"/>
      <c r="QKT118" s="2"/>
      <c r="QKU118" s="2"/>
      <c r="QKV118" s="2"/>
      <c r="QKW118" s="2"/>
      <c r="QKX118" s="2"/>
      <c r="QKY118" s="2"/>
      <c r="QKZ118" s="2"/>
      <c r="QLA118" s="2"/>
      <c r="QLB118" s="2"/>
      <c r="QLC118" s="2"/>
      <c r="QLD118" s="2"/>
      <c r="QLE118" s="2"/>
      <c r="QLF118" s="2"/>
      <c r="QLG118" s="2"/>
      <c r="QLH118" s="2"/>
      <c r="QLI118" s="2"/>
      <c r="QLJ118" s="2"/>
      <c r="QLK118" s="2"/>
      <c r="QLL118" s="2"/>
      <c r="QLM118" s="2"/>
      <c r="QLN118" s="2"/>
      <c r="QLO118" s="2"/>
      <c r="QLP118" s="2"/>
      <c r="QLQ118" s="2"/>
      <c r="QLR118" s="2"/>
      <c r="QLS118" s="2"/>
      <c r="QLT118" s="2"/>
      <c r="QLU118" s="2"/>
      <c r="QLV118" s="2"/>
      <c r="QLW118" s="2"/>
      <c r="QLX118" s="2"/>
      <c r="QLY118" s="2"/>
      <c r="QLZ118" s="2"/>
      <c r="QMA118" s="2"/>
      <c r="QMB118" s="2"/>
      <c r="QMC118" s="2"/>
      <c r="QMD118" s="2"/>
      <c r="QME118" s="2"/>
      <c r="QMF118" s="2"/>
      <c r="QMG118" s="2"/>
      <c r="QMH118" s="2"/>
      <c r="QMI118" s="2"/>
      <c r="QMJ118" s="2"/>
      <c r="QMK118" s="2"/>
      <c r="QML118" s="2"/>
      <c r="QMM118" s="2"/>
      <c r="QMN118" s="2"/>
      <c r="QMO118" s="2"/>
      <c r="QMP118" s="2"/>
      <c r="QMQ118" s="2"/>
      <c r="QMR118" s="2"/>
      <c r="QMS118" s="2"/>
      <c r="QMT118" s="2"/>
      <c r="QMU118" s="2"/>
      <c r="QMV118" s="2"/>
      <c r="QMW118" s="2"/>
      <c r="QMX118" s="2"/>
      <c r="QMY118" s="2"/>
      <c r="QMZ118" s="2"/>
      <c r="QNA118" s="2"/>
      <c r="QNB118" s="2"/>
      <c r="QNC118" s="2"/>
      <c r="QND118" s="2"/>
      <c r="QNE118" s="2"/>
      <c r="QNF118" s="2"/>
      <c r="QNG118" s="2"/>
      <c r="QNH118" s="2"/>
      <c r="QNI118" s="2"/>
      <c r="QNJ118" s="2"/>
      <c r="QNK118" s="2"/>
      <c r="QNL118" s="2"/>
      <c r="QNM118" s="2"/>
      <c r="QNN118" s="2"/>
      <c r="QNO118" s="2"/>
      <c r="QNP118" s="2"/>
      <c r="QNQ118" s="2"/>
      <c r="QNR118" s="2"/>
      <c r="QNS118" s="2"/>
      <c r="QNT118" s="2"/>
      <c r="QNU118" s="2"/>
      <c r="QNV118" s="2"/>
      <c r="QNW118" s="2"/>
      <c r="QNX118" s="2"/>
      <c r="QNY118" s="2"/>
      <c r="QNZ118" s="2"/>
      <c r="QOA118" s="2"/>
      <c r="QOB118" s="2"/>
      <c r="QOC118" s="2"/>
      <c r="QOD118" s="2"/>
      <c r="QOE118" s="2"/>
      <c r="QOF118" s="2"/>
      <c r="QOG118" s="2"/>
      <c r="QOH118" s="2"/>
      <c r="QOI118" s="2"/>
      <c r="QOJ118" s="2"/>
      <c r="QOK118" s="2"/>
      <c r="QOL118" s="2"/>
      <c r="QOM118" s="2"/>
      <c r="QON118" s="2"/>
      <c r="QOO118" s="2"/>
      <c r="QOP118" s="2"/>
      <c r="QOQ118" s="2"/>
      <c r="QOR118" s="2"/>
      <c r="QOS118" s="2"/>
      <c r="QOT118" s="2"/>
      <c r="QOU118" s="2"/>
      <c r="QOV118" s="2"/>
      <c r="QOW118" s="2"/>
      <c r="QOX118" s="2"/>
      <c r="QOY118" s="2"/>
      <c r="QOZ118" s="2"/>
      <c r="QPA118" s="2"/>
      <c r="QPB118" s="2"/>
      <c r="QPC118" s="2"/>
      <c r="QPD118" s="2"/>
      <c r="QPE118" s="2"/>
      <c r="QPF118" s="2"/>
      <c r="QPG118" s="2"/>
      <c r="QPH118" s="2"/>
      <c r="QPI118" s="2"/>
      <c r="QPJ118" s="2"/>
      <c r="QPK118" s="2"/>
      <c r="QPL118" s="2"/>
      <c r="QPM118" s="2"/>
      <c r="QPN118" s="2"/>
      <c r="QPO118" s="2"/>
      <c r="QPP118" s="2"/>
      <c r="QPQ118" s="2"/>
      <c r="QPR118" s="2"/>
      <c r="QPS118" s="2"/>
      <c r="QPT118" s="2"/>
      <c r="QPU118" s="2"/>
      <c r="QPV118" s="2"/>
      <c r="QPW118" s="2"/>
      <c r="QPX118" s="2"/>
      <c r="QPY118" s="2"/>
      <c r="QPZ118" s="2"/>
      <c r="QQA118" s="2"/>
      <c r="QQB118" s="2"/>
      <c r="QQC118" s="2"/>
      <c r="QQD118" s="2"/>
      <c r="QQE118" s="2"/>
      <c r="QQF118" s="2"/>
      <c r="QQG118" s="2"/>
      <c r="QQH118" s="2"/>
      <c r="QQI118" s="2"/>
      <c r="QQJ118" s="2"/>
      <c r="QQK118" s="2"/>
      <c r="QQL118" s="2"/>
      <c r="QQM118" s="2"/>
      <c r="QQN118" s="2"/>
      <c r="QQO118" s="2"/>
      <c r="QQP118" s="2"/>
      <c r="QQQ118" s="2"/>
      <c r="QQR118" s="2"/>
      <c r="QQS118" s="2"/>
      <c r="QQT118" s="2"/>
      <c r="QQU118" s="2"/>
      <c r="QQV118" s="2"/>
      <c r="QQW118" s="2"/>
      <c r="QQX118" s="2"/>
      <c r="QQY118" s="2"/>
      <c r="QQZ118" s="2"/>
      <c r="QRA118" s="2"/>
      <c r="QRB118" s="2"/>
      <c r="QRC118" s="2"/>
      <c r="QRD118" s="2"/>
      <c r="QRE118" s="2"/>
      <c r="QRF118" s="2"/>
      <c r="QRG118" s="2"/>
      <c r="QRH118" s="2"/>
      <c r="QRI118" s="2"/>
      <c r="QRJ118" s="2"/>
      <c r="QRK118" s="2"/>
      <c r="QRL118" s="2"/>
      <c r="QRM118" s="2"/>
      <c r="QRN118" s="2"/>
      <c r="QRO118" s="2"/>
      <c r="QRP118" s="2"/>
      <c r="QRQ118" s="2"/>
      <c r="QRR118" s="2"/>
      <c r="QRS118" s="2"/>
      <c r="QRT118" s="2"/>
      <c r="QRU118" s="2"/>
      <c r="QRV118" s="2"/>
      <c r="QRW118" s="2"/>
      <c r="QRX118" s="2"/>
      <c r="QRY118" s="2"/>
      <c r="QRZ118" s="2"/>
      <c r="QSA118" s="2"/>
      <c r="QSB118" s="2"/>
      <c r="QSC118" s="2"/>
      <c r="QSD118" s="2"/>
      <c r="QSE118" s="2"/>
      <c r="QSF118" s="2"/>
      <c r="QSG118" s="2"/>
      <c r="QSH118" s="2"/>
      <c r="QSI118" s="2"/>
      <c r="QSJ118" s="2"/>
      <c r="QSK118" s="2"/>
      <c r="QSL118" s="2"/>
      <c r="QSM118" s="2"/>
      <c r="QSN118" s="2"/>
      <c r="QSO118" s="2"/>
      <c r="QSP118" s="2"/>
      <c r="QSQ118" s="2"/>
      <c r="QSR118" s="2"/>
      <c r="QSS118" s="2"/>
      <c r="QST118" s="2"/>
      <c r="QSU118" s="2"/>
      <c r="QSV118" s="2"/>
      <c r="QSW118" s="2"/>
      <c r="QSX118" s="2"/>
      <c r="QSY118" s="2"/>
      <c r="QSZ118" s="2"/>
      <c r="QTA118" s="2"/>
      <c r="QTB118" s="2"/>
      <c r="QTC118" s="2"/>
      <c r="QTD118" s="2"/>
      <c r="QTE118" s="2"/>
      <c r="QTF118" s="2"/>
      <c r="QTG118" s="2"/>
      <c r="QTH118" s="2"/>
      <c r="QTI118" s="2"/>
      <c r="QTJ118" s="2"/>
      <c r="QTK118" s="2"/>
      <c r="QTL118" s="2"/>
      <c r="QTM118" s="2"/>
      <c r="QTN118" s="2"/>
      <c r="QTO118" s="2"/>
      <c r="QTP118" s="2"/>
      <c r="QTQ118" s="2"/>
      <c r="QTR118" s="2"/>
      <c r="QTS118" s="2"/>
      <c r="QTT118" s="2"/>
      <c r="QTU118" s="2"/>
      <c r="QTV118" s="2"/>
      <c r="QTW118" s="2"/>
      <c r="QTX118" s="2"/>
      <c r="QTY118" s="2"/>
      <c r="QTZ118" s="2"/>
      <c r="QUA118" s="2"/>
      <c r="QUB118" s="2"/>
      <c r="QUC118" s="2"/>
      <c r="QUD118" s="2"/>
      <c r="QUE118" s="2"/>
      <c r="QUF118" s="2"/>
      <c r="QUG118" s="2"/>
      <c r="QUH118" s="2"/>
      <c r="QUI118" s="2"/>
      <c r="QUJ118" s="2"/>
      <c r="QUK118" s="2"/>
      <c r="QUL118" s="2"/>
      <c r="QUM118" s="2"/>
      <c r="QUN118" s="2"/>
      <c r="QUO118" s="2"/>
      <c r="QUP118" s="2"/>
      <c r="QUQ118" s="2"/>
      <c r="QUR118" s="2"/>
      <c r="QUS118" s="2"/>
      <c r="QUT118" s="2"/>
      <c r="QUU118" s="2"/>
      <c r="QUV118" s="2"/>
      <c r="QUW118" s="2"/>
      <c r="QUX118" s="2"/>
      <c r="QUY118" s="2"/>
      <c r="QUZ118" s="2"/>
      <c r="QVA118" s="2"/>
      <c r="QVB118" s="2"/>
      <c r="QVC118" s="2"/>
      <c r="QVD118" s="2"/>
      <c r="QVE118" s="2"/>
      <c r="QVF118" s="2"/>
      <c r="QVG118" s="2"/>
      <c r="QVH118" s="2"/>
      <c r="QVI118" s="2"/>
      <c r="QVJ118" s="2"/>
      <c r="QVK118" s="2"/>
      <c r="QVL118" s="2"/>
      <c r="QVM118" s="2"/>
      <c r="QVN118" s="2"/>
      <c r="QVO118" s="2"/>
      <c r="QVP118" s="2"/>
      <c r="QVQ118" s="2"/>
      <c r="QVR118" s="2"/>
      <c r="QVS118" s="2"/>
      <c r="QVT118" s="2"/>
      <c r="QVU118" s="2"/>
      <c r="QVV118" s="2"/>
      <c r="QVW118" s="2"/>
      <c r="QVX118" s="2"/>
      <c r="QVY118" s="2"/>
      <c r="QVZ118" s="2"/>
      <c r="QWA118" s="2"/>
      <c r="QWB118" s="2"/>
      <c r="QWC118" s="2"/>
      <c r="QWD118" s="2"/>
      <c r="QWE118" s="2"/>
      <c r="QWF118" s="2"/>
      <c r="QWG118" s="2"/>
      <c r="QWH118" s="2"/>
      <c r="QWI118" s="2"/>
      <c r="QWJ118" s="2"/>
      <c r="QWK118" s="2"/>
      <c r="QWL118" s="2"/>
      <c r="QWM118" s="2"/>
      <c r="QWN118" s="2"/>
      <c r="QWO118" s="2"/>
      <c r="QWP118" s="2"/>
      <c r="QWQ118" s="2"/>
      <c r="QWR118" s="2"/>
      <c r="QWS118" s="2"/>
      <c r="QWT118" s="2"/>
      <c r="QWU118" s="2"/>
      <c r="QWV118" s="2"/>
      <c r="QWW118" s="2"/>
      <c r="QWX118" s="2"/>
      <c r="QWY118" s="2"/>
      <c r="QWZ118" s="2"/>
      <c r="QXA118" s="2"/>
      <c r="QXB118" s="2"/>
      <c r="QXC118" s="2"/>
      <c r="QXD118" s="2"/>
      <c r="QXE118" s="2"/>
      <c r="QXF118" s="2"/>
      <c r="QXG118" s="2"/>
      <c r="QXH118" s="2"/>
      <c r="QXI118" s="2"/>
      <c r="QXJ118" s="2"/>
      <c r="QXK118" s="2"/>
      <c r="QXL118" s="2"/>
      <c r="QXM118" s="2"/>
      <c r="QXN118" s="2"/>
      <c r="QXO118" s="2"/>
      <c r="QXP118" s="2"/>
      <c r="QXQ118" s="2"/>
      <c r="QXR118" s="2"/>
      <c r="QXS118" s="2"/>
      <c r="QXT118" s="2"/>
      <c r="QXU118" s="2"/>
      <c r="QXV118" s="2"/>
      <c r="QXW118" s="2"/>
      <c r="QXX118" s="2"/>
      <c r="QXY118" s="2"/>
      <c r="QXZ118" s="2"/>
      <c r="QYA118" s="2"/>
      <c r="QYB118" s="2"/>
      <c r="QYC118" s="2"/>
      <c r="QYD118" s="2"/>
      <c r="QYE118" s="2"/>
      <c r="QYF118" s="2"/>
      <c r="QYG118" s="2"/>
      <c r="QYH118" s="2"/>
      <c r="QYI118" s="2"/>
      <c r="QYJ118" s="2"/>
      <c r="QYK118" s="2"/>
      <c r="QYL118" s="2"/>
      <c r="QYM118" s="2"/>
      <c r="QYN118" s="2"/>
      <c r="QYO118" s="2"/>
      <c r="QYP118" s="2"/>
      <c r="QYQ118" s="2"/>
      <c r="QYR118" s="2"/>
      <c r="QYS118" s="2"/>
      <c r="QYT118" s="2"/>
      <c r="QYU118" s="2"/>
      <c r="QYV118" s="2"/>
      <c r="QYW118" s="2"/>
      <c r="QYX118" s="2"/>
      <c r="QYY118" s="2"/>
      <c r="QYZ118" s="2"/>
      <c r="QZA118" s="2"/>
      <c r="QZB118" s="2"/>
      <c r="QZC118" s="2"/>
      <c r="QZD118" s="2"/>
      <c r="QZE118" s="2"/>
      <c r="QZF118" s="2"/>
      <c r="QZG118" s="2"/>
      <c r="QZH118" s="2"/>
      <c r="QZI118" s="2"/>
      <c r="QZJ118" s="2"/>
      <c r="QZK118" s="2"/>
      <c r="QZL118" s="2"/>
      <c r="QZM118" s="2"/>
      <c r="QZN118" s="2"/>
      <c r="QZO118" s="2"/>
      <c r="QZP118" s="2"/>
      <c r="QZQ118" s="2"/>
      <c r="QZR118" s="2"/>
      <c r="QZS118" s="2"/>
      <c r="QZT118" s="2"/>
      <c r="QZU118" s="2"/>
      <c r="QZV118" s="2"/>
      <c r="QZW118" s="2"/>
      <c r="QZX118" s="2"/>
      <c r="QZY118" s="2"/>
      <c r="QZZ118" s="2"/>
      <c r="RAA118" s="2"/>
      <c r="RAB118" s="2"/>
      <c r="RAC118" s="2"/>
      <c r="RAD118" s="2"/>
      <c r="RAE118" s="2"/>
      <c r="RAF118" s="2"/>
      <c r="RAG118" s="2"/>
      <c r="RAH118" s="2"/>
      <c r="RAI118" s="2"/>
      <c r="RAJ118" s="2"/>
      <c r="RAK118" s="2"/>
      <c r="RAL118" s="2"/>
      <c r="RAM118" s="2"/>
      <c r="RAN118" s="2"/>
      <c r="RAO118" s="2"/>
      <c r="RAP118" s="2"/>
      <c r="RAQ118" s="2"/>
      <c r="RAR118" s="2"/>
      <c r="RAS118" s="2"/>
      <c r="RAT118" s="2"/>
      <c r="RAU118" s="2"/>
      <c r="RAV118" s="2"/>
      <c r="RAW118" s="2"/>
      <c r="RAX118" s="2"/>
      <c r="RAY118" s="2"/>
      <c r="RAZ118" s="2"/>
      <c r="RBA118" s="2"/>
      <c r="RBB118" s="2"/>
      <c r="RBC118" s="2"/>
      <c r="RBD118" s="2"/>
      <c r="RBE118" s="2"/>
      <c r="RBF118" s="2"/>
      <c r="RBG118" s="2"/>
      <c r="RBH118" s="2"/>
      <c r="RBI118" s="2"/>
      <c r="RBJ118" s="2"/>
      <c r="RBK118" s="2"/>
      <c r="RBL118" s="2"/>
      <c r="RBM118" s="2"/>
      <c r="RBN118" s="2"/>
      <c r="RBO118" s="2"/>
      <c r="RBP118" s="2"/>
      <c r="RBQ118" s="2"/>
      <c r="RBR118" s="2"/>
      <c r="RBS118" s="2"/>
      <c r="RBT118" s="2"/>
      <c r="RBU118" s="2"/>
      <c r="RBV118" s="2"/>
      <c r="RBW118" s="2"/>
      <c r="RBX118" s="2"/>
      <c r="RBY118" s="2"/>
      <c r="RBZ118" s="2"/>
      <c r="RCA118" s="2"/>
      <c r="RCB118" s="2"/>
      <c r="RCC118" s="2"/>
      <c r="RCD118" s="2"/>
      <c r="RCE118" s="2"/>
      <c r="RCF118" s="2"/>
      <c r="RCG118" s="2"/>
      <c r="RCH118" s="2"/>
      <c r="RCI118" s="2"/>
      <c r="RCJ118" s="2"/>
      <c r="RCK118" s="2"/>
      <c r="RCL118" s="2"/>
      <c r="RCM118" s="2"/>
      <c r="RCN118" s="2"/>
      <c r="RCO118" s="2"/>
      <c r="RCP118" s="2"/>
      <c r="RCQ118" s="2"/>
      <c r="RCR118" s="2"/>
      <c r="RCS118" s="2"/>
      <c r="RCT118" s="2"/>
      <c r="RCU118" s="2"/>
      <c r="RCV118" s="2"/>
      <c r="RCW118" s="2"/>
      <c r="RCX118" s="2"/>
      <c r="RCY118" s="2"/>
      <c r="RCZ118" s="2"/>
      <c r="RDA118" s="2"/>
      <c r="RDB118" s="2"/>
      <c r="RDC118" s="2"/>
      <c r="RDD118" s="2"/>
      <c r="RDE118" s="2"/>
      <c r="RDF118" s="2"/>
      <c r="RDG118" s="2"/>
      <c r="RDH118" s="2"/>
      <c r="RDI118" s="2"/>
      <c r="RDJ118" s="2"/>
      <c r="RDK118" s="2"/>
      <c r="RDL118" s="2"/>
      <c r="RDM118" s="2"/>
      <c r="RDN118" s="2"/>
      <c r="RDO118" s="2"/>
      <c r="RDP118" s="2"/>
      <c r="RDQ118" s="2"/>
      <c r="RDR118" s="2"/>
      <c r="RDS118" s="2"/>
      <c r="RDT118" s="2"/>
      <c r="RDU118" s="2"/>
      <c r="RDV118" s="2"/>
      <c r="RDW118" s="2"/>
      <c r="RDX118" s="2"/>
      <c r="RDY118" s="2"/>
      <c r="RDZ118" s="2"/>
      <c r="REA118" s="2"/>
      <c r="REB118" s="2"/>
      <c r="REC118" s="2"/>
      <c r="RED118" s="2"/>
      <c r="REE118" s="2"/>
      <c r="REF118" s="2"/>
      <c r="REG118" s="2"/>
      <c r="REH118" s="2"/>
      <c r="REI118" s="2"/>
      <c r="REJ118" s="2"/>
      <c r="REK118" s="2"/>
      <c r="REL118" s="2"/>
      <c r="REM118" s="2"/>
      <c r="REN118" s="2"/>
      <c r="REO118" s="2"/>
      <c r="REP118" s="2"/>
      <c r="REQ118" s="2"/>
      <c r="RER118" s="2"/>
      <c r="RES118" s="2"/>
      <c r="RET118" s="2"/>
      <c r="REU118" s="2"/>
      <c r="REV118" s="2"/>
      <c r="REW118" s="2"/>
      <c r="REX118" s="2"/>
      <c r="REY118" s="2"/>
      <c r="REZ118" s="2"/>
      <c r="RFA118" s="2"/>
      <c r="RFB118" s="2"/>
      <c r="RFC118" s="2"/>
      <c r="RFD118" s="2"/>
      <c r="RFE118" s="2"/>
      <c r="RFF118" s="2"/>
      <c r="RFG118" s="2"/>
      <c r="RFH118" s="2"/>
      <c r="RFI118" s="2"/>
      <c r="RFJ118" s="2"/>
      <c r="RFK118" s="2"/>
      <c r="RFL118" s="2"/>
      <c r="RFM118" s="2"/>
      <c r="RFN118" s="2"/>
      <c r="RFO118" s="2"/>
      <c r="RFP118" s="2"/>
      <c r="RFQ118" s="2"/>
      <c r="RFR118" s="2"/>
      <c r="RFS118" s="2"/>
      <c r="RFT118" s="2"/>
      <c r="RFU118" s="2"/>
      <c r="RFV118" s="2"/>
      <c r="RFW118" s="2"/>
      <c r="RFX118" s="2"/>
      <c r="RFY118" s="2"/>
      <c r="RFZ118" s="2"/>
      <c r="RGA118" s="2"/>
      <c r="RGB118" s="2"/>
      <c r="RGC118" s="2"/>
      <c r="RGD118" s="2"/>
      <c r="RGE118" s="2"/>
      <c r="RGF118" s="2"/>
      <c r="RGG118" s="2"/>
      <c r="RGH118" s="2"/>
      <c r="RGI118" s="2"/>
      <c r="RGJ118" s="2"/>
      <c r="RGK118" s="2"/>
      <c r="RGL118" s="2"/>
      <c r="RGM118" s="2"/>
      <c r="RGN118" s="2"/>
      <c r="RGO118" s="2"/>
      <c r="RGP118" s="2"/>
      <c r="RGQ118" s="2"/>
      <c r="RGR118" s="2"/>
      <c r="RGS118" s="2"/>
      <c r="RGT118" s="2"/>
      <c r="RGU118" s="2"/>
      <c r="RGV118" s="2"/>
      <c r="RGW118" s="2"/>
      <c r="RGX118" s="2"/>
      <c r="RGY118" s="2"/>
      <c r="RGZ118" s="2"/>
      <c r="RHA118" s="2"/>
      <c r="RHB118" s="2"/>
      <c r="RHC118" s="2"/>
      <c r="RHD118" s="2"/>
      <c r="RHE118" s="2"/>
      <c r="RHF118" s="2"/>
      <c r="RHG118" s="2"/>
      <c r="RHH118" s="2"/>
      <c r="RHI118" s="2"/>
      <c r="RHJ118" s="2"/>
      <c r="RHK118" s="2"/>
      <c r="RHL118" s="2"/>
      <c r="RHM118" s="2"/>
      <c r="RHN118" s="2"/>
      <c r="RHO118" s="2"/>
      <c r="RHP118" s="2"/>
      <c r="RHQ118" s="2"/>
      <c r="RHR118" s="2"/>
      <c r="RHS118" s="2"/>
      <c r="RHT118" s="2"/>
      <c r="RHU118" s="2"/>
      <c r="RHV118" s="2"/>
      <c r="RHW118" s="2"/>
      <c r="RHX118" s="2"/>
      <c r="RHY118" s="2"/>
      <c r="RHZ118" s="2"/>
      <c r="RIA118" s="2"/>
      <c r="RIB118" s="2"/>
      <c r="RIC118" s="2"/>
      <c r="RID118" s="2"/>
      <c r="RIE118" s="2"/>
      <c r="RIF118" s="2"/>
      <c r="RIG118" s="2"/>
      <c r="RIH118" s="2"/>
      <c r="RII118" s="2"/>
      <c r="RIJ118" s="2"/>
      <c r="RIK118" s="2"/>
      <c r="RIL118" s="2"/>
      <c r="RIM118" s="2"/>
      <c r="RIN118" s="2"/>
      <c r="RIO118" s="2"/>
      <c r="RIP118" s="2"/>
      <c r="RIQ118" s="2"/>
      <c r="RIR118" s="2"/>
      <c r="RIS118" s="2"/>
      <c r="RIT118" s="2"/>
      <c r="RIU118" s="2"/>
      <c r="RIV118" s="2"/>
      <c r="RIW118" s="2"/>
      <c r="RIX118" s="2"/>
      <c r="RIY118" s="2"/>
      <c r="RIZ118" s="2"/>
      <c r="RJA118" s="2"/>
      <c r="RJB118" s="2"/>
      <c r="RJC118" s="2"/>
      <c r="RJD118" s="2"/>
      <c r="RJE118" s="2"/>
      <c r="RJF118" s="2"/>
      <c r="RJG118" s="2"/>
      <c r="RJH118" s="2"/>
      <c r="RJI118" s="2"/>
      <c r="RJJ118" s="2"/>
      <c r="RJK118" s="2"/>
      <c r="RJL118" s="2"/>
      <c r="RJM118" s="2"/>
      <c r="RJN118" s="2"/>
      <c r="RJO118" s="2"/>
      <c r="RJP118" s="2"/>
      <c r="RJQ118" s="2"/>
      <c r="RJR118" s="2"/>
      <c r="RJS118" s="2"/>
      <c r="RJT118" s="2"/>
      <c r="RJU118" s="2"/>
      <c r="RJV118" s="2"/>
      <c r="RJW118" s="2"/>
      <c r="RJX118" s="2"/>
      <c r="RJY118" s="2"/>
      <c r="RJZ118" s="2"/>
      <c r="RKA118" s="2"/>
      <c r="RKB118" s="2"/>
      <c r="RKC118" s="2"/>
      <c r="RKD118" s="2"/>
      <c r="RKE118" s="2"/>
      <c r="RKF118" s="2"/>
      <c r="RKG118" s="2"/>
      <c r="RKH118" s="2"/>
      <c r="RKI118" s="2"/>
      <c r="RKJ118" s="2"/>
      <c r="RKK118" s="2"/>
      <c r="RKL118" s="2"/>
      <c r="RKM118" s="2"/>
      <c r="RKN118" s="2"/>
      <c r="RKO118" s="2"/>
      <c r="RKP118" s="2"/>
      <c r="RKQ118" s="2"/>
      <c r="RKR118" s="2"/>
      <c r="RKS118" s="2"/>
      <c r="RKT118" s="2"/>
      <c r="RKU118" s="2"/>
      <c r="RKV118" s="2"/>
      <c r="RKW118" s="2"/>
      <c r="RKX118" s="2"/>
      <c r="RKY118" s="2"/>
      <c r="RKZ118" s="2"/>
      <c r="RLA118" s="2"/>
      <c r="RLB118" s="2"/>
      <c r="RLC118" s="2"/>
      <c r="RLD118" s="2"/>
      <c r="RLE118" s="2"/>
      <c r="RLF118" s="2"/>
      <c r="RLG118" s="2"/>
      <c r="RLH118" s="2"/>
      <c r="RLI118" s="2"/>
      <c r="RLJ118" s="2"/>
      <c r="RLK118" s="2"/>
      <c r="RLL118" s="2"/>
      <c r="RLM118" s="2"/>
      <c r="RLN118" s="2"/>
      <c r="RLO118" s="2"/>
      <c r="RLP118" s="2"/>
      <c r="RLQ118" s="2"/>
      <c r="RLR118" s="2"/>
      <c r="RLS118" s="2"/>
      <c r="RLT118" s="2"/>
      <c r="RLU118" s="2"/>
      <c r="RLV118" s="2"/>
      <c r="RLW118" s="2"/>
      <c r="RLX118" s="2"/>
      <c r="RLY118" s="2"/>
      <c r="RLZ118" s="2"/>
      <c r="RMA118" s="2"/>
      <c r="RMB118" s="2"/>
      <c r="RMC118" s="2"/>
      <c r="RMD118" s="2"/>
      <c r="RME118" s="2"/>
      <c r="RMF118" s="2"/>
      <c r="RMG118" s="2"/>
      <c r="RMH118" s="2"/>
      <c r="RMI118" s="2"/>
      <c r="RMJ118" s="2"/>
      <c r="RMK118" s="2"/>
      <c r="RML118" s="2"/>
      <c r="RMM118" s="2"/>
      <c r="RMN118" s="2"/>
      <c r="RMO118" s="2"/>
      <c r="RMP118" s="2"/>
      <c r="RMQ118" s="2"/>
      <c r="RMR118" s="2"/>
      <c r="RMS118" s="2"/>
      <c r="RMT118" s="2"/>
      <c r="RMU118" s="2"/>
      <c r="RMV118" s="2"/>
      <c r="RMW118" s="2"/>
      <c r="RMX118" s="2"/>
      <c r="RMY118" s="2"/>
      <c r="RMZ118" s="2"/>
      <c r="RNA118" s="2"/>
      <c r="RNB118" s="2"/>
      <c r="RNC118" s="2"/>
      <c r="RND118" s="2"/>
      <c r="RNE118" s="2"/>
      <c r="RNF118" s="2"/>
      <c r="RNG118" s="2"/>
      <c r="RNH118" s="2"/>
      <c r="RNI118" s="2"/>
      <c r="RNJ118" s="2"/>
      <c r="RNK118" s="2"/>
      <c r="RNL118" s="2"/>
      <c r="RNM118" s="2"/>
      <c r="RNN118" s="2"/>
      <c r="RNO118" s="2"/>
      <c r="RNP118" s="2"/>
      <c r="RNQ118" s="2"/>
      <c r="RNR118" s="2"/>
      <c r="RNS118" s="2"/>
      <c r="RNT118" s="2"/>
      <c r="RNU118" s="2"/>
      <c r="RNV118" s="2"/>
      <c r="RNW118" s="2"/>
      <c r="RNX118" s="2"/>
      <c r="RNY118" s="2"/>
      <c r="RNZ118" s="2"/>
      <c r="ROA118" s="2"/>
      <c r="ROB118" s="2"/>
      <c r="ROC118" s="2"/>
      <c r="ROD118" s="2"/>
      <c r="ROE118" s="2"/>
      <c r="ROF118" s="2"/>
      <c r="ROG118" s="2"/>
      <c r="ROH118" s="2"/>
      <c r="ROI118" s="2"/>
      <c r="ROJ118" s="2"/>
      <c r="ROK118" s="2"/>
      <c r="ROL118" s="2"/>
      <c r="ROM118" s="2"/>
      <c r="RON118" s="2"/>
      <c r="ROO118" s="2"/>
      <c r="ROP118" s="2"/>
      <c r="ROQ118" s="2"/>
      <c r="ROR118" s="2"/>
      <c r="ROS118" s="2"/>
      <c r="ROT118" s="2"/>
      <c r="ROU118" s="2"/>
      <c r="ROV118" s="2"/>
      <c r="ROW118" s="2"/>
      <c r="ROX118" s="2"/>
      <c r="ROY118" s="2"/>
      <c r="ROZ118" s="2"/>
      <c r="RPA118" s="2"/>
      <c r="RPB118" s="2"/>
      <c r="RPC118" s="2"/>
      <c r="RPD118" s="2"/>
      <c r="RPE118" s="2"/>
      <c r="RPF118" s="2"/>
      <c r="RPG118" s="2"/>
      <c r="RPH118" s="2"/>
      <c r="RPI118" s="2"/>
      <c r="RPJ118" s="2"/>
      <c r="RPK118" s="2"/>
      <c r="RPL118" s="2"/>
      <c r="RPM118" s="2"/>
      <c r="RPN118" s="2"/>
      <c r="RPO118" s="2"/>
      <c r="RPP118" s="2"/>
      <c r="RPQ118" s="2"/>
      <c r="RPR118" s="2"/>
      <c r="RPS118" s="2"/>
      <c r="RPT118" s="2"/>
      <c r="RPU118" s="2"/>
      <c r="RPV118" s="2"/>
      <c r="RPW118" s="2"/>
      <c r="RPX118" s="2"/>
      <c r="RPY118" s="2"/>
      <c r="RPZ118" s="2"/>
      <c r="RQA118" s="2"/>
      <c r="RQB118" s="2"/>
      <c r="RQC118" s="2"/>
      <c r="RQD118" s="2"/>
      <c r="RQE118" s="2"/>
      <c r="RQF118" s="2"/>
      <c r="RQG118" s="2"/>
      <c r="RQH118" s="2"/>
      <c r="RQI118" s="2"/>
      <c r="RQJ118" s="2"/>
      <c r="RQK118" s="2"/>
      <c r="RQL118" s="2"/>
      <c r="RQM118" s="2"/>
      <c r="RQN118" s="2"/>
      <c r="RQO118" s="2"/>
      <c r="RQP118" s="2"/>
      <c r="RQQ118" s="2"/>
      <c r="RQR118" s="2"/>
      <c r="RQS118" s="2"/>
      <c r="RQT118" s="2"/>
      <c r="RQU118" s="2"/>
      <c r="RQV118" s="2"/>
      <c r="RQW118" s="2"/>
      <c r="RQX118" s="2"/>
      <c r="RQY118" s="2"/>
      <c r="RQZ118" s="2"/>
      <c r="RRA118" s="2"/>
      <c r="RRB118" s="2"/>
      <c r="RRC118" s="2"/>
      <c r="RRD118" s="2"/>
      <c r="RRE118" s="2"/>
      <c r="RRF118" s="2"/>
      <c r="RRG118" s="2"/>
      <c r="RRH118" s="2"/>
      <c r="RRI118" s="2"/>
      <c r="RRJ118" s="2"/>
      <c r="RRK118" s="2"/>
      <c r="RRL118" s="2"/>
      <c r="RRM118" s="2"/>
      <c r="RRN118" s="2"/>
      <c r="RRO118" s="2"/>
      <c r="RRP118" s="2"/>
      <c r="RRQ118" s="2"/>
      <c r="RRR118" s="2"/>
      <c r="RRS118" s="2"/>
      <c r="RRT118" s="2"/>
      <c r="RRU118" s="2"/>
      <c r="RRV118" s="2"/>
      <c r="RRW118" s="2"/>
      <c r="RRX118" s="2"/>
      <c r="RRY118" s="2"/>
      <c r="RRZ118" s="2"/>
      <c r="RSA118" s="2"/>
      <c r="RSB118" s="2"/>
      <c r="RSC118" s="2"/>
      <c r="RSD118" s="2"/>
      <c r="RSE118" s="2"/>
      <c r="RSF118" s="2"/>
      <c r="RSG118" s="2"/>
      <c r="RSH118" s="2"/>
      <c r="RSI118" s="2"/>
      <c r="RSJ118" s="2"/>
      <c r="RSK118" s="2"/>
      <c r="RSL118" s="2"/>
      <c r="RSM118" s="2"/>
      <c r="RSN118" s="2"/>
      <c r="RSO118" s="2"/>
      <c r="RSP118" s="2"/>
      <c r="RSQ118" s="2"/>
      <c r="RSR118" s="2"/>
      <c r="RSS118" s="2"/>
      <c r="RST118" s="2"/>
      <c r="RSU118" s="2"/>
      <c r="RSV118" s="2"/>
      <c r="RSW118" s="2"/>
      <c r="RSX118" s="2"/>
      <c r="RSY118" s="2"/>
      <c r="RSZ118" s="2"/>
      <c r="RTA118" s="2"/>
      <c r="RTB118" s="2"/>
      <c r="RTC118" s="2"/>
      <c r="RTD118" s="2"/>
      <c r="RTE118" s="2"/>
      <c r="RTF118" s="2"/>
      <c r="RTG118" s="2"/>
      <c r="RTH118" s="2"/>
      <c r="RTI118" s="2"/>
      <c r="RTJ118" s="2"/>
      <c r="RTK118" s="2"/>
      <c r="RTL118" s="2"/>
      <c r="RTM118" s="2"/>
      <c r="RTN118" s="2"/>
      <c r="RTO118" s="2"/>
      <c r="RTP118" s="2"/>
      <c r="RTQ118" s="2"/>
      <c r="RTR118" s="2"/>
      <c r="RTS118" s="2"/>
      <c r="RTT118" s="2"/>
      <c r="RTU118" s="2"/>
      <c r="RTV118" s="2"/>
      <c r="RTW118" s="2"/>
      <c r="RTX118" s="2"/>
      <c r="RTY118" s="2"/>
      <c r="RTZ118" s="2"/>
      <c r="RUA118" s="2"/>
      <c r="RUB118" s="2"/>
      <c r="RUC118" s="2"/>
      <c r="RUD118" s="2"/>
      <c r="RUE118" s="2"/>
      <c r="RUF118" s="2"/>
      <c r="RUG118" s="2"/>
      <c r="RUH118" s="2"/>
      <c r="RUI118" s="2"/>
      <c r="RUJ118" s="2"/>
      <c r="RUK118" s="2"/>
      <c r="RUL118" s="2"/>
      <c r="RUM118" s="2"/>
      <c r="RUN118" s="2"/>
      <c r="RUO118" s="2"/>
      <c r="RUP118" s="2"/>
      <c r="RUQ118" s="2"/>
      <c r="RUR118" s="2"/>
      <c r="RUS118" s="2"/>
      <c r="RUT118" s="2"/>
      <c r="RUU118" s="2"/>
      <c r="RUV118" s="2"/>
      <c r="RUW118" s="2"/>
      <c r="RUX118" s="2"/>
      <c r="RUY118" s="2"/>
      <c r="RUZ118" s="2"/>
      <c r="RVA118" s="2"/>
      <c r="RVB118" s="2"/>
      <c r="RVC118" s="2"/>
      <c r="RVD118" s="2"/>
      <c r="RVE118" s="2"/>
      <c r="RVF118" s="2"/>
      <c r="RVG118" s="2"/>
      <c r="RVH118" s="2"/>
      <c r="RVI118" s="2"/>
      <c r="RVJ118" s="2"/>
      <c r="RVK118" s="2"/>
      <c r="RVL118" s="2"/>
      <c r="RVM118" s="2"/>
      <c r="RVN118" s="2"/>
      <c r="RVO118" s="2"/>
      <c r="RVP118" s="2"/>
      <c r="RVQ118" s="2"/>
      <c r="RVR118" s="2"/>
      <c r="RVS118" s="2"/>
      <c r="RVT118" s="2"/>
      <c r="RVU118" s="2"/>
      <c r="RVV118" s="2"/>
      <c r="RVW118" s="2"/>
      <c r="RVX118" s="2"/>
      <c r="RVY118" s="2"/>
      <c r="RVZ118" s="2"/>
      <c r="RWA118" s="2"/>
      <c r="RWB118" s="2"/>
      <c r="RWC118" s="2"/>
      <c r="RWD118" s="2"/>
      <c r="RWE118" s="2"/>
      <c r="RWF118" s="2"/>
      <c r="RWG118" s="2"/>
      <c r="RWH118" s="2"/>
      <c r="RWI118" s="2"/>
      <c r="RWJ118" s="2"/>
      <c r="RWK118" s="2"/>
      <c r="RWL118" s="2"/>
      <c r="RWM118" s="2"/>
      <c r="RWN118" s="2"/>
      <c r="RWO118" s="2"/>
      <c r="RWP118" s="2"/>
      <c r="RWQ118" s="2"/>
      <c r="RWR118" s="2"/>
      <c r="RWS118" s="2"/>
      <c r="RWT118" s="2"/>
      <c r="RWU118" s="2"/>
      <c r="RWV118" s="2"/>
      <c r="RWW118" s="2"/>
      <c r="RWX118" s="2"/>
      <c r="RWY118" s="2"/>
      <c r="RWZ118" s="2"/>
      <c r="RXA118" s="2"/>
      <c r="RXB118" s="2"/>
      <c r="RXC118" s="2"/>
      <c r="RXD118" s="2"/>
      <c r="RXE118" s="2"/>
      <c r="RXF118" s="2"/>
      <c r="RXG118" s="2"/>
      <c r="RXH118" s="2"/>
      <c r="RXI118" s="2"/>
      <c r="RXJ118" s="2"/>
      <c r="RXK118" s="2"/>
      <c r="RXL118" s="2"/>
      <c r="RXM118" s="2"/>
      <c r="RXN118" s="2"/>
      <c r="RXO118" s="2"/>
      <c r="RXP118" s="2"/>
      <c r="RXQ118" s="2"/>
      <c r="RXR118" s="2"/>
      <c r="RXS118" s="2"/>
      <c r="RXT118" s="2"/>
      <c r="RXU118" s="2"/>
      <c r="RXV118" s="2"/>
      <c r="RXW118" s="2"/>
      <c r="RXX118" s="2"/>
      <c r="RXY118" s="2"/>
      <c r="RXZ118" s="2"/>
      <c r="RYA118" s="2"/>
      <c r="RYB118" s="2"/>
      <c r="RYC118" s="2"/>
      <c r="RYD118" s="2"/>
      <c r="RYE118" s="2"/>
      <c r="RYF118" s="2"/>
      <c r="RYG118" s="2"/>
      <c r="RYH118" s="2"/>
      <c r="RYI118" s="2"/>
      <c r="RYJ118" s="2"/>
      <c r="RYK118" s="2"/>
      <c r="RYL118" s="2"/>
      <c r="RYM118" s="2"/>
      <c r="RYN118" s="2"/>
      <c r="RYO118" s="2"/>
      <c r="RYP118" s="2"/>
      <c r="RYQ118" s="2"/>
      <c r="RYR118" s="2"/>
      <c r="RYS118" s="2"/>
      <c r="RYT118" s="2"/>
      <c r="RYU118" s="2"/>
      <c r="RYV118" s="2"/>
      <c r="RYW118" s="2"/>
      <c r="RYX118" s="2"/>
      <c r="RYY118" s="2"/>
      <c r="RYZ118" s="2"/>
      <c r="RZA118" s="2"/>
      <c r="RZB118" s="2"/>
      <c r="RZC118" s="2"/>
      <c r="RZD118" s="2"/>
      <c r="RZE118" s="2"/>
      <c r="RZF118" s="2"/>
      <c r="RZG118" s="2"/>
      <c r="RZH118" s="2"/>
      <c r="RZI118" s="2"/>
      <c r="RZJ118" s="2"/>
      <c r="RZK118" s="2"/>
      <c r="RZL118" s="2"/>
      <c r="RZM118" s="2"/>
      <c r="RZN118" s="2"/>
      <c r="RZO118" s="2"/>
      <c r="RZP118" s="2"/>
      <c r="RZQ118" s="2"/>
      <c r="RZR118" s="2"/>
      <c r="RZS118" s="2"/>
      <c r="RZT118" s="2"/>
      <c r="RZU118" s="2"/>
      <c r="RZV118" s="2"/>
      <c r="RZW118" s="2"/>
      <c r="RZX118" s="2"/>
      <c r="RZY118" s="2"/>
      <c r="RZZ118" s="2"/>
      <c r="SAA118" s="2"/>
      <c r="SAB118" s="2"/>
      <c r="SAC118" s="2"/>
      <c r="SAD118" s="2"/>
      <c r="SAE118" s="2"/>
      <c r="SAF118" s="2"/>
      <c r="SAG118" s="2"/>
      <c r="SAH118" s="2"/>
      <c r="SAI118" s="2"/>
      <c r="SAJ118" s="2"/>
      <c r="SAK118" s="2"/>
      <c r="SAL118" s="2"/>
      <c r="SAM118" s="2"/>
      <c r="SAN118" s="2"/>
      <c r="SAO118" s="2"/>
      <c r="SAP118" s="2"/>
      <c r="SAQ118" s="2"/>
      <c r="SAR118" s="2"/>
      <c r="SAS118" s="2"/>
      <c r="SAT118" s="2"/>
      <c r="SAU118" s="2"/>
      <c r="SAV118" s="2"/>
      <c r="SAW118" s="2"/>
      <c r="SAX118" s="2"/>
      <c r="SAY118" s="2"/>
      <c r="SAZ118" s="2"/>
      <c r="SBA118" s="2"/>
      <c r="SBB118" s="2"/>
      <c r="SBC118" s="2"/>
      <c r="SBD118" s="2"/>
      <c r="SBE118" s="2"/>
      <c r="SBF118" s="2"/>
      <c r="SBG118" s="2"/>
      <c r="SBH118" s="2"/>
      <c r="SBI118" s="2"/>
      <c r="SBJ118" s="2"/>
      <c r="SBK118" s="2"/>
      <c r="SBL118" s="2"/>
      <c r="SBM118" s="2"/>
      <c r="SBN118" s="2"/>
      <c r="SBO118" s="2"/>
      <c r="SBP118" s="2"/>
      <c r="SBQ118" s="2"/>
      <c r="SBR118" s="2"/>
      <c r="SBS118" s="2"/>
      <c r="SBT118" s="2"/>
      <c r="SBU118" s="2"/>
      <c r="SBV118" s="2"/>
      <c r="SBW118" s="2"/>
      <c r="SBX118" s="2"/>
      <c r="SBY118" s="2"/>
      <c r="SBZ118" s="2"/>
      <c r="SCA118" s="2"/>
      <c r="SCB118" s="2"/>
      <c r="SCC118" s="2"/>
      <c r="SCD118" s="2"/>
      <c r="SCE118" s="2"/>
      <c r="SCF118" s="2"/>
      <c r="SCG118" s="2"/>
      <c r="SCH118" s="2"/>
      <c r="SCI118" s="2"/>
      <c r="SCJ118" s="2"/>
      <c r="SCK118" s="2"/>
      <c r="SCL118" s="2"/>
      <c r="SCM118" s="2"/>
      <c r="SCN118" s="2"/>
      <c r="SCO118" s="2"/>
      <c r="SCP118" s="2"/>
      <c r="SCQ118" s="2"/>
      <c r="SCR118" s="2"/>
      <c r="SCS118" s="2"/>
      <c r="SCT118" s="2"/>
      <c r="SCU118" s="2"/>
      <c r="SCV118" s="2"/>
      <c r="SCW118" s="2"/>
      <c r="SCX118" s="2"/>
      <c r="SCY118" s="2"/>
      <c r="SCZ118" s="2"/>
      <c r="SDA118" s="2"/>
      <c r="SDB118" s="2"/>
      <c r="SDC118" s="2"/>
      <c r="SDD118" s="2"/>
      <c r="SDE118" s="2"/>
      <c r="SDF118" s="2"/>
      <c r="SDG118" s="2"/>
      <c r="SDH118" s="2"/>
      <c r="SDI118" s="2"/>
      <c r="SDJ118" s="2"/>
      <c r="SDK118" s="2"/>
      <c r="SDL118" s="2"/>
      <c r="SDM118" s="2"/>
      <c r="SDN118" s="2"/>
      <c r="SDO118" s="2"/>
      <c r="SDP118" s="2"/>
      <c r="SDQ118" s="2"/>
      <c r="SDR118" s="2"/>
      <c r="SDS118" s="2"/>
      <c r="SDT118" s="2"/>
      <c r="SDU118" s="2"/>
      <c r="SDV118" s="2"/>
      <c r="SDW118" s="2"/>
      <c r="SDX118" s="2"/>
      <c r="SDY118" s="2"/>
      <c r="SDZ118" s="2"/>
      <c r="SEA118" s="2"/>
      <c r="SEB118" s="2"/>
      <c r="SEC118" s="2"/>
      <c r="SED118" s="2"/>
      <c r="SEE118" s="2"/>
      <c r="SEF118" s="2"/>
      <c r="SEG118" s="2"/>
      <c r="SEH118" s="2"/>
      <c r="SEI118" s="2"/>
      <c r="SEJ118" s="2"/>
      <c r="SEK118" s="2"/>
      <c r="SEL118" s="2"/>
      <c r="SEM118" s="2"/>
      <c r="SEN118" s="2"/>
      <c r="SEO118" s="2"/>
      <c r="SEP118" s="2"/>
      <c r="SEQ118" s="2"/>
      <c r="SER118" s="2"/>
      <c r="SES118" s="2"/>
      <c r="SET118" s="2"/>
      <c r="SEU118" s="2"/>
      <c r="SEV118" s="2"/>
      <c r="SEW118" s="2"/>
      <c r="SEX118" s="2"/>
      <c r="SEY118" s="2"/>
      <c r="SEZ118" s="2"/>
      <c r="SFA118" s="2"/>
      <c r="SFB118" s="2"/>
      <c r="SFC118" s="2"/>
      <c r="SFD118" s="2"/>
      <c r="SFE118" s="2"/>
      <c r="SFF118" s="2"/>
      <c r="SFG118" s="2"/>
      <c r="SFH118" s="2"/>
      <c r="SFI118" s="2"/>
      <c r="SFJ118" s="2"/>
      <c r="SFK118" s="2"/>
      <c r="SFL118" s="2"/>
      <c r="SFM118" s="2"/>
      <c r="SFN118" s="2"/>
      <c r="SFO118" s="2"/>
      <c r="SFP118" s="2"/>
      <c r="SFQ118" s="2"/>
      <c r="SFR118" s="2"/>
      <c r="SFS118" s="2"/>
      <c r="SFT118" s="2"/>
      <c r="SFU118" s="2"/>
      <c r="SFV118" s="2"/>
      <c r="SFW118" s="2"/>
      <c r="SFX118" s="2"/>
      <c r="SFY118" s="2"/>
      <c r="SFZ118" s="2"/>
      <c r="SGA118" s="2"/>
      <c r="SGB118" s="2"/>
      <c r="SGC118" s="2"/>
      <c r="SGD118" s="2"/>
      <c r="SGE118" s="2"/>
      <c r="SGF118" s="2"/>
      <c r="SGG118" s="2"/>
      <c r="SGH118" s="2"/>
      <c r="SGI118" s="2"/>
      <c r="SGJ118" s="2"/>
      <c r="SGK118" s="2"/>
      <c r="SGL118" s="2"/>
      <c r="SGM118" s="2"/>
      <c r="SGN118" s="2"/>
      <c r="SGO118" s="2"/>
      <c r="SGP118" s="2"/>
      <c r="SGQ118" s="2"/>
      <c r="SGR118" s="2"/>
      <c r="SGS118" s="2"/>
      <c r="SGT118" s="2"/>
      <c r="SGU118" s="2"/>
      <c r="SGV118" s="2"/>
      <c r="SGW118" s="2"/>
      <c r="SGX118" s="2"/>
      <c r="SGY118" s="2"/>
      <c r="SGZ118" s="2"/>
      <c r="SHA118" s="2"/>
      <c r="SHB118" s="2"/>
      <c r="SHC118" s="2"/>
      <c r="SHD118" s="2"/>
      <c r="SHE118" s="2"/>
      <c r="SHF118" s="2"/>
      <c r="SHG118" s="2"/>
      <c r="SHH118" s="2"/>
      <c r="SHI118" s="2"/>
      <c r="SHJ118" s="2"/>
      <c r="SHK118" s="2"/>
      <c r="SHL118" s="2"/>
      <c r="SHM118" s="2"/>
      <c r="SHN118" s="2"/>
      <c r="SHO118" s="2"/>
      <c r="SHP118" s="2"/>
      <c r="SHQ118" s="2"/>
      <c r="SHR118" s="2"/>
      <c r="SHS118" s="2"/>
      <c r="SHT118" s="2"/>
      <c r="SHU118" s="2"/>
      <c r="SHV118" s="2"/>
      <c r="SHW118" s="2"/>
      <c r="SHX118" s="2"/>
      <c r="SHY118" s="2"/>
      <c r="SHZ118" s="2"/>
      <c r="SIA118" s="2"/>
      <c r="SIB118" s="2"/>
      <c r="SIC118" s="2"/>
      <c r="SID118" s="2"/>
      <c r="SIE118" s="2"/>
      <c r="SIF118" s="2"/>
      <c r="SIG118" s="2"/>
      <c r="SIH118" s="2"/>
      <c r="SII118" s="2"/>
      <c r="SIJ118" s="2"/>
      <c r="SIK118" s="2"/>
      <c r="SIL118" s="2"/>
      <c r="SIM118" s="2"/>
      <c r="SIN118" s="2"/>
      <c r="SIO118" s="2"/>
      <c r="SIP118" s="2"/>
      <c r="SIQ118" s="2"/>
      <c r="SIR118" s="2"/>
      <c r="SIS118" s="2"/>
      <c r="SIT118" s="2"/>
      <c r="SIU118" s="2"/>
      <c r="SIV118" s="2"/>
      <c r="SIW118" s="2"/>
      <c r="SIX118" s="2"/>
      <c r="SIY118" s="2"/>
      <c r="SIZ118" s="2"/>
      <c r="SJA118" s="2"/>
      <c r="SJB118" s="2"/>
      <c r="SJC118" s="2"/>
      <c r="SJD118" s="2"/>
      <c r="SJE118" s="2"/>
      <c r="SJF118" s="2"/>
      <c r="SJG118" s="2"/>
      <c r="SJH118" s="2"/>
      <c r="SJI118" s="2"/>
      <c r="SJJ118" s="2"/>
      <c r="SJK118" s="2"/>
      <c r="SJL118" s="2"/>
      <c r="SJM118" s="2"/>
      <c r="SJN118" s="2"/>
      <c r="SJO118" s="2"/>
      <c r="SJP118" s="2"/>
      <c r="SJQ118" s="2"/>
      <c r="SJR118" s="2"/>
      <c r="SJS118" s="2"/>
      <c r="SJT118" s="2"/>
      <c r="SJU118" s="2"/>
      <c r="SJV118" s="2"/>
      <c r="SJW118" s="2"/>
      <c r="SJX118" s="2"/>
      <c r="SJY118" s="2"/>
      <c r="SJZ118" s="2"/>
      <c r="SKA118" s="2"/>
      <c r="SKB118" s="2"/>
      <c r="SKC118" s="2"/>
      <c r="SKD118" s="2"/>
      <c r="SKE118" s="2"/>
      <c r="SKF118" s="2"/>
      <c r="SKG118" s="2"/>
      <c r="SKH118" s="2"/>
      <c r="SKI118" s="2"/>
      <c r="SKJ118" s="2"/>
      <c r="SKK118" s="2"/>
      <c r="SKL118" s="2"/>
      <c r="SKM118" s="2"/>
      <c r="SKN118" s="2"/>
      <c r="SKO118" s="2"/>
      <c r="SKP118" s="2"/>
      <c r="SKQ118" s="2"/>
      <c r="SKR118" s="2"/>
      <c r="SKS118" s="2"/>
      <c r="SKT118" s="2"/>
      <c r="SKU118" s="2"/>
      <c r="SKV118" s="2"/>
      <c r="SKW118" s="2"/>
      <c r="SKX118" s="2"/>
      <c r="SKY118" s="2"/>
      <c r="SKZ118" s="2"/>
      <c r="SLA118" s="2"/>
      <c r="SLB118" s="2"/>
      <c r="SLC118" s="2"/>
      <c r="SLD118" s="2"/>
      <c r="SLE118" s="2"/>
      <c r="SLF118" s="2"/>
      <c r="SLG118" s="2"/>
      <c r="SLH118" s="2"/>
      <c r="SLI118" s="2"/>
      <c r="SLJ118" s="2"/>
      <c r="SLK118" s="2"/>
      <c r="SLL118" s="2"/>
      <c r="SLM118" s="2"/>
      <c r="SLN118" s="2"/>
      <c r="SLO118" s="2"/>
      <c r="SLP118" s="2"/>
      <c r="SLQ118" s="2"/>
      <c r="SLR118" s="2"/>
      <c r="SLS118" s="2"/>
      <c r="SLT118" s="2"/>
      <c r="SLU118" s="2"/>
      <c r="SLV118" s="2"/>
      <c r="SLW118" s="2"/>
      <c r="SLX118" s="2"/>
      <c r="SLY118" s="2"/>
      <c r="SLZ118" s="2"/>
      <c r="SMA118" s="2"/>
      <c r="SMB118" s="2"/>
      <c r="SMC118" s="2"/>
      <c r="SMD118" s="2"/>
      <c r="SME118" s="2"/>
      <c r="SMF118" s="2"/>
      <c r="SMG118" s="2"/>
      <c r="SMH118" s="2"/>
      <c r="SMI118" s="2"/>
      <c r="SMJ118" s="2"/>
      <c r="SMK118" s="2"/>
      <c r="SML118" s="2"/>
      <c r="SMM118" s="2"/>
      <c r="SMN118" s="2"/>
      <c r="SMO118" s="2"/>
      <c r="SMP118" s="2"/>
      <c r="SMQ118" s="2"/>
      <c r="SMR118" s="2"/>
      <c r="SMS118" s="2"/>
      <c r="SMT118" s="2"/>
      <c r="SMU118" s="2"/>
      <c r="SMV118" s="2"/>
      <c r="SMW118" s="2"/>
      <c r="SMX118" s="2"/>
      <c r="SMY118" s="2"/>
      <c r="SMZ118" s="2"/>
      <c r="SNA118" s="2"/>
      <c r="SNB118" s="2"/>
      <c r="SNC118" s="2"/>
      <c r="SND118" s="2"/>
      <c r="SNE118" s="2"/>
      <c r="SNF118" s="2"/>
      <c r="SNG118" s="2"/>
      <c r="SNH118" s="2"/>
      <c r="SNI118" s="2"/>
      <c r="SNJ118" s="2"/>
      <c r="SNK118" s="2"/>
      <c r="SNL118" s="2"/>
      <c r="SNM118" s="2"/>
      <c r="SNN118" s="2"/>
      <c r="SNO118" s="2"/>
      <c r="SNP118" s="2"/>
      <c r="SNQ118" s="2"/>
      <c r="SNR118" s="2"/>
      <c r="SNS118" s="2"/>
      <c r="SNT118" s="2"/>
      <c r="SNU118" s="2"/>
      <c r="SNV118" s="2"/>
      <c r="SNW118" s="2"/>
      <c r="SNX118" s="2"/>
      <c r="SNY118" s="2"/>
      <c r="SNZ118" s="2"/>
      <c r="SOA118" s="2"/>
      <c r="SOB118" s="2"/>
      <c r="SOC118" s="2"/>
      <c r="SOD118" s="2"/>
      <c r="SOE118" s="2"/>
      <c r="SOF118" s="2"/>
      <c r="SOG118" s="2"/>
      <c r="SOH118" s="2"/>
      <c r="SOI118" s="2"/>
      <c r="SOJ118" s="2"/>
      <c r="SOK118" s="2"/>
      <c r="SOL118" s="2"/>
      <c r="SOM118" s="2"/>
      <c r="SON118" s="2"/>
      <c r="SOO118" s="2"/>
      <c r="SOP118" s="2"/>
      <c r="SOQ118" s="2"/>
      <c r="SOR118" s="2"/>
      <c r="SOS118" s="2"/>
      <c r="SOT118" s="2"/>
      <c r="SOU118" s="2"/>
      <c r="SOV118" s="2"/>
      <c r="SOW118" s="2"/>
      <c r="SOX118" s="2"/>
      <c r="SOY118" s="2"/>
      <c r="SOZ118" s="2"/>
      <c r="SPA118" s="2"/>
      <c r="SPB118" s="2"/>
      <c r="SPC118" s="2"/>
      <c r="SPD118" s="2"/>
      <c r="SPE118" s="2"/>
      <c r="SPF118" s="2"/>
      <c r="SPG118" s="2"/>
      <c r="SPH118" s="2"/>
      <c r="SPI118" s="2"/>
      <c r="SPJ118" s="2"/>
      <c r="SPK118" s="2"/>
      <c r="SPL118" s="2"/>
      <c r="SPM118" s="2"/>
      <c r="SPN118" s="2"/>
      <c r="SPO118" s="2"/>
      <c r="SPP118" s="2"/>
      <c r="SPQ118" s="2"/>
      <c r="SPR118" s="2"/>
      <c r="SPS118" s="2"/>
      <c r="SPT118" s="2"/>
      <c r="SPU118" s="2"/>
      <c r="SPV118" s="2"/>
      <c r="SPW118" s="2"/>
      <c r="SPX118" s="2"/>
      <c r="SPY118" s="2"/>
      <c r="SPZ118" s="2"/>
      <c r="SQA118" s="2"/>
      <c r="SQB118" s="2"/>
      <c r="SQC118" s="2"/>
      <c r="SQD118" s="2"/>
      <c r="SQE118" s="2"/>
      <c r="SQF118" s="2"/>
      <c r="SQG118" s="2"/>
      <c r="SQH118" s="2"/>
      <c r="SQI118" s="2"/>
      <c r="SQJ118" s="2"/>
      <c r="SQK118" s="2"/>
      <c r="SQL118" s="2"/>
      <c r="SQM118" s="2"/>
      <c r="SQN118" s="2"/>
      <c r="SQO118" s="2"/>
      <c r="SQP118" s="2"/>
      <c r="SQQ118" s="2"/>
      <c r="SQR118" s="2"/>
      <c r="SQS118" s="2"/>
      <c r="SQT118" s="2"/>
      <c r="SQU118" s="2"/>
      <c r="SQV118" s="2"/>
      <c r="SQW118" s="2"/>
      <c r="SQX118" s="2"/>
      <c r="SQY118" s="2"/>
      <c r="SQZ118" s="2"/>
      <c r="SRA118" s="2"/>
      <c r="SRB118" s="2"/>
      <c r="SRC118" s="2"/>
      <c r="SRD118" s="2"/>
      <c r="SRE118" s="2"/>
      <c r="SRF118" s="2"/>
      <c r="SRG118" s="2"/>
      <c r="SRH118" s="2"/>
      <c r="SRI118" s="2"/>
      <c r="SRJ118" s="2"/>
      <c r="SRK118" s="2"/>
      <c r="SRL118" s="2"/>
      <c r="SRM118" s="2"/>
      <c r="SRN118" s="2"/>
      <c r="SRO118" s="2"/>
      <c r="SRP118" s="2"/>
      <c r="SRQ118" s="2"/>
      <c r="SRR118" s="2"/>
      <c r="SRS118" s="2"/>
      <c r="SRT118" s="2"/>
      <c r="SRU118" s="2"/>
      <c r="SRV118" s="2"/>
      <c r="SRW118" s="2"/>
      <c r="SRX118" s="2"/>
      <c r="SRY118" s="2"/>
      <c r="SRZ118" s="2"/>
      <c r="SSA118" s="2"/>
      <c r="SSB118" s="2"/>
      <c r="SSC118" s="2"/>
      <c r="SSD118" s="2"/>
      <c r="SSE118" s="2"/>
      <c r="SSF118" s="2"/>
      <c r="SSG118" s="2"/>
      <c r="SSH118" s="2"/>
      <c r="SSI118" s="2"/>
      <c r="SSJ118" s="2"/>
      <c r="SSK118" s="2"/>
      <c r="SSL118" s="2"/>
      <c r="SSM118" s="2"/>
      <c r="SSN118" s="2"/>
      <c r="SSO118" s="2"/>
      <c r="SSP118" s="2"/>
      <c r="SSQ118" s="2"/>
      <c r="SSR118" s="2"/>
      <c r="SSS118" s="2"/>
      <c r="SST118" s="2"/>
      <c r="SSU118" s="2"/>
      <c r="SSV118" s="2"/>
      <c r="SSW118" s="2"/>
      <c r="SSX118" s="2"/>
      <c r="SSY118" s="2"/>
      <c r="SSZ118" s="2"/>
      <c r="STA118" s="2"/>
      <c r="STB118" s="2"/>
      <c r="STC118" s="2"/>
      <c r="STD118" s="2"/>
      <c r="STE118" s="2"/>
      <c r="STF118" s="2"/>
      <c r="STG118" s="2"/>
      <c r="STH118" s="2"/>
      <c r="STI118" s="2"/>
      <c r="STJ118" s="2"/>
      <c r="STK118" s="2"/>
      <c r="STL118" s="2"/>
      <c r="STM118" s="2"/>
      <c r="STN118" s="2"/>
      <c r="STO118" s="2"/>
      <c r="STP118" s="2"/>
      <c r="STQ118" s="2"/>
      <c r="STR118" s="2"/>
      <c r="STS118" s="2"/>
      <c r="STT118" s="2"/>
      <c r="STU118" s="2"/>
      <c r="STV118" s="2"/>
      <c r="STW118" s="2"/>
      <c r="STX118" s="2"/>
      <c r="STY118" s="2"/>
      <c r="STZ118" s="2"/>
      <c r="SUA118" s="2"/>
      <c r="SUB118" s="2"/>
      <c r="SUC118" s="2"/>
      <c r="SUD118" s="2"/>
      <c r="SUE118" s="2"/>
      <c r="SUF118" s="2"/>
      <c r="SUG118" s="2"/>
      <c r="SUH118" s="2"/>
      <c r="SUI118" s="2"/>
      <c r="SUJ118" s="2"/>
      <c r="SUK118" s="2"/>
      <c r="SUL118" s="2"/>
      <c r="SUM118" s="2"/>
      <c r="SUN118" s="2"/>
      <c r="SUO118" s="2"/>
      <c r="SUP118" s="2"/>
      <c r="SUQ118" s="2"/>
      <c r="SUR118" s="2"/>
      <c r="SUS118" s="2"/>
      <c r="SUT118" s="2"/>
      <c r="SUU118" s="2"/>
      <c r="SUV118" s="2"/>
      <c r="SUW118" s="2"/>
      <c r="SUX118" s="2"/>
      <c r="SUY118" s="2"/>
      <c r="SUZ118" s="2"/>
      <c r="SVA118" s="2"/>
      <c r="SVB118" s="2"/>
      <c r="SVC118" s="2"/>
      <c r="SVD118" s="2"/>
      <c r="SVE118" s="2"/>
      <c r="SVF118" s="2"/>
      <c r="SVG118" s="2"/>
      <c r="SVH118" s="2"/>
      <c r="SVI118" s="2"/>
      <c r="SVJ118" s="2"/>
      <c r="SVK118" s="2"/>
      <c r="SVL118" s="2"/>
      <c r="SVM118" s="2"/>
      <c r="SVN118" s="2"/>
      <c r="SVO118" s="2"/>
      <c r="SVP118" s="2"/>
      <c r="SVQ118" s="2"/>
      <c r="SVR118" s="2"/>
      <c r="SVS118" s="2"/>
      <c r="SVT118" s="2"/>
      <c r="SVU118" s="2"/>
      <c r="SVV118" s="2"/>
      <c r="SVW118" s="2"/>
      <c r="SVX118" s="2"/>
      <c r="SVY118" s="2"/>
      <c r="SVZ118" s="2"/>
      <c r="SWA118" s="2"/>
      <c r="SWB118" s="2"/>
      <c r="SWC118" s="2"/>
      <c r="SWD118" s="2"/>
      <c r="SWE118" s="2"/>
      <c r="SWF118" s="2"/>
      <c r="SWG118" s="2"/>
      <c r="SWH118" s="2"/>
      <c r="SWI118" s="2"/>
      <c r="SWJ118" s="2"/>
      <c r="SWK118" s="2"/>
      <c r="SWL118" s="2"/>
      <c r="SWM118" s="2"/>
      <c r="SWN118" s="2"/>
      <c r="SWO118" s="2"/>
      <c r="SWP118" s="2"/>
      <c r="SWQ118" s="2"/>
      <c r="SWR118" s="2"/>
      <c r="SWS118" s="2"/>
      <c r="SWT118" s="2"/>
      <c r="SWU118" s="2"/>
      <c r="SWV118" s="2"/>
      <c r="SWW118" s="2"/>
      <c r="SWX118" s="2"/>
      <c r="SWY118" s="2"/>
      <c r="SWZ118" s="2"/>
      <c r="SXA118" s="2"/>
      <c r="SXB118" s="2"/>
      <c r="SXC118" s="2"/>
      <c r="SXD118" s="2"/>
      <c r="SXE118" s="2"/>
      <c r="SXF118" s="2"/>
      <c r="SXG118" s="2"/>
      <c r="SXH118" s="2"/>
      <c r="SXI118" s="2"/>
      <c r="SXJ118" s="2"/>
      <c r="SXK118" s="2"/>
      <c r="SXL118" s="2"/>
      <c r="SXM118" s="2"/>
      <c r="SXN118" s="2"/>
      <c r="SXO118" s="2"/>
      <c r="SXP118" s="2"/>
      <c r="SXQ118" s="2"/>
      <c r="SXR118" s="2"/>
      <c r="SXS118" s="2"/>
      <c r="SXT118" s="2"/>
      <c r="SXU118" s="2"/>
      <c r="SXV118" s="2"/>
      <c r="SXW118" s="2"/>
      <c r="SXX118" s="2"/>
      <c r="SXY118" s="2"/>
      <c r="SXZ118" s="2"/>
      <c r="SYA118" s="2"/>
      <c r="SYB118" s="2"/>
      <c r="SYC118" s="2"/>
      <c r="SYD118" s="2"/>
      <c r="SYE118" s="2"/>
      <c r="SYF118" s="2"/>
      <c r="SYG118" s="2"/>
      <c r="SYH118" s="2"/>
      <c r="SYI118" s="2"/>
      <c r="SYJ118" s="2"/>
      <c r="SYK118" s="2"/>
      <c r="SYL118" s="2"/>
      <c r="SYM118" s="2"/>
      <c r="SYN118" s="2"/>
      <c r="SYO118" s="2"/>
      <c r="SYP118" s="2"/>
      <c r="SYQ118" s="2"/>
      <c r="SYR118" s="2"/>
      <c r="SYS118" s="2"/>
      <c r="SYT118" s="2"/>
      <c r="SYU118" s="2"/>
      <c r="SYV118" s="2"/>
      <c r="SYW118" s="2"/>
      <c r="SYX118" s="2"/>
      <c r="SYY118" s="2"/>
      <c r="SYZ118" s="2"/>
      <c r="SZA118" s="2"/>
      <c r="SZB118" s="2"/>
      <c r="SZC118" s="2"/>
      <c r="SZD118" s="2"/>
      <c r="SZE118" s="2"/>
      <c r="SZF118" s="2"/>
      <c r="SZG118" s="2"/>
      <c r="SZH118" s="2"/>
      <c r="SZI118" s="2"/>
      <c r="SZJ118" s="2"/>
      <c r="SZK118" s="2"/>
      <c r="SZL118" s="2"/>
      <c r="SZM118" s="2"/>
      <c r="SZN118" s="2"/>
      <c r="SZO118" s="2"/>
      <c r="SZP118" s="2"/>
      <c r="SZQ118" s="2"/>
      <c r="SZR118" s="2"/>
      <c r="SZS118" s="2"/>
      <c r="SZT118" s="2"/>
      <c r="SZU118" s="2"/>
      <c r="SZV118" s="2"/>
      <c r="SZW118" s="2"/>
      <c r="SZX118" s="2"/>
      <c r="SZY118" s="2"/>
      <c r="SZZ118" s="2"/>
      <c r="TAA118" s="2"/>
      <c r="TAB118" s="2"/>
      <c r="TAC118" s="2"/>
      <c r="TAD118" s="2"/>
      <c r="TAE118" s="2"/>
      <c r="TAF118" s="2"/>
      <c r="TAG118" s="2"/>
      <c r="TAH118" s="2"/>
      <c r="TAI118" s="2"/>
      <c r="TAJ118" s="2"/>
      <c r="TAK118" s="2"/>
      <c r="TAL118" s="2"/>
      <c r="TAM118" s="2"/>
      <c r="TAN118" s="2"/>
      <c r="TAO118" s="2"/>
      <c r="TAP118" s="2"/>
      <c r="TAQ118" s="2"/>
      <c r="TAR118" s="2"/>
      <c r="TAS118" s="2"/>
      <c r="TAT118" s="2"/>
      <c r="TAU118" s="2"/>
      <c r="TAV118" s="2"/>
      <c r="TAW118" s="2"/>
      <c r="TAX118" s="2"/>
      <c r="TAY118" s="2"/>
      <c r="TAZ118" s="2"/>
      <c r="TBA118" s="2"/>
      <c r="TBB118" s="2"/>
      <c r="TBC118" s="2"/>
      <c r="TBD118" s="2"/>
      <c r="TBE118" s="2"/>
      <c r="TBF118" s="2"/>
      <c r="TBG118" s="2"/>
      <c r="TBH118" s="2"/>
      <c r="TBI118" s="2"/>
      <c r="TBJ118" s="2"/>
      <c r="TBK118" s="2"/>
      <c r="TBL118" s="2"/>
      <c r="TBM118" s="2"/>
      <c r="TBN118" s="2"/>
      <c r="TBO118" s="2"/>
      <c r="TBP118" s="2"/>
      <c r="TBQ118" s="2"/>
      <c r="TBR118" s="2"/>
      <c r="TBS118" s="2"/>
      <c r="TBT118" s="2"/>
      <c r="TBU118" s="2"/>
      <c r="TBV118" s="2"/>
      <c r="TBW118" s="2"/>
      <c r="TBX118" s="2"/>
      <c r="TBY118" s="2"/>
      <c r="TBZ118" s="2"/>
      <c r="TCA118" s="2"/>
      <c r="TCB118" s="2"/>
      <c r="TCC118" s="2"/>
      <c r="TCD118" s="2"/>
      <c r="TCE118" s="2"/>
      <c r="TCF118" s="2"/>
      <c r="TCG118" s="2"/>
      <c r="TCH118" s="2"/>
      <c r="TCI118" s="2"/>
      <c r="TCJ118" s="2"/>
      <c r="TCK118" s="2"/>
      <c r="TCL118" s="2"/>
      <c r="TCM118" s="2"/>
      <c r="TCN118" s="2"/>
      <c r="TCO118" s="2"/>
      <c r="TCP118" s="2"/>
      <c r="TCQ118" s="2"/>
      <c r="TCR118" s="2"/>
      <c r="TCS118" s="2"/>
      <c r="TCT118" s="2"/>
      <c r="TCU118" s="2"/>
      <c r="TCV118" s="2"/>
      <c r="TCW118" s="2"/>
      <c r="TCX118" s="2"/>
      <c r="TCY118" s="2"/>
      <c r="TCZ118" s="2"/>
      <c r="TDA118" s="2"/>
      <c r="TDB118" s="2"/>
      <c r="TDC118" s="2"/>
      <c r="TDD118" s="2"/>
      <c r="TDE118" s="2"/>
      <c r="TDF118" s="2"/>
      <c r="TDG118" s="2"/>
      <c r="TDH118" s="2"/>
      <c r="TDI118" s="2"/>
      <c r="TDJ118" s="2"/>
      <c r="TDK118" s="2"/>
      <c r="TDL118" s="2"/>
      <c r="TDM118" s="2"/>
      <c r="TDN118" s="2"/>
      <c r="TDO118" s="2"/>
      <c r="TDP118" s="2"/>
      <c r="TDQ118" s="2"/>
      <c r="TDR118" s="2"/>
      <c r="TDS118" s="2"/>
      <c r="TDT118" s="2"/>
      <c r="TDU118" s="2"/>
      <c r="TDV118" s="2"/>
      <c r="TDW118" s="2"/>
      <c r="TDX118" s="2"/>
      <c r="TDY118" s="2"/>
      <c r="TDZ118" s="2"/>
      <c r="TEA118" s="2"/>
      <c r="TEB118" s="2"/>
      <c r="TEC118" s="2"/>
      <c r="TED118" s="2"/>
      <c r="TEE118" s="2"/>
      <c r="TEF118" s="2"/>
      <c r="TEG118" s="2"/>
      <c r="TEH118" s="2"/>
      <c r="TEI118" s="2"/>
      <c r="TEJ118" s="2"/>
      <c r="TEK118" s="2"/>
      <c r="TEL118" s="2"/>
      <c r="TEM118" s="2"/>
      <c r="TEN118" s="2"/>
      <c r="TEO118" s="2"/>
      <c r="TEP118" s="2"/>
      <c r="TEQ118" s="2"/>
      <c r="TER118" s="2"/>
      <c r="TES118" s="2"/>
      <c r="TET118" s="2"/>
      <c r="TEU118" s="2"/>
      <c r="TEV118" s="2"/>
      <c r="TEW118" s="2"/>
      <c r="TEX118" s="2"/>
      <c r="TEY118" s="2"/>
      <c r="TEZ118" s="2"/>
      <c r="TFA118" s="2"/>
      <c r="TFB118" s="2"/>
      <c r="TFC118" s="2"/>
      <c r="TFD118" s="2"/>
      <c r="TFE118" s="2"/>
      <c r="TFF118" s="2"/>
      <c r="TFG118" s="2"/>
      <c r="TFH118" s="2"/>
      <c r="TFI118" s="2"/>
      <c r="TFJ118" s="2"/>
      <c r="TFK118" s="2"/>
      <c r="TFL118" s="2"/>
      <c r="TFM118" s="2"/>
      <c r="TFN118" s="2"/>
      <c r="TFO118" s="2"/>
      <c r="TFP118" s="2"/>
      <c r="TFQ118" s="2"/>
      <c r="TFR118" s="2"/>
      <c r="TFS118" s="2"/>
      <c r="TFT118" s="2"/>
      <c r="TFU118" s="2"/>
      <c r="TFV118" s="2"/>
      <c r="TFW118" s="2"/>
      <c r="TFX118" s="2"/>
      <c r="TFY118" s="2"/>
      <c r="TFZ118" s="2"/>
      <c r="TGA118" s="2"/>
      <c r="TGB118" s="2"/>
      <c r="TGC118" s="2"/>
      <c r="TGD118" s="2"/>
      <c r="TGE118" s="2"/>
      <c r="TGF118" s="2"/>
      <c r="TGG118" s="2"/>
      <c r="TGH118" s="2"/>
      <c r="TGI118" s="2"/>
      <c r="TGJ118" s="2"/>
      <c r="TGK118" s="2"/>
      <c r="TGL118" s="2"/>
      <c r="TGM118" s="2"/>
      <c r="TGN118" s="2"/>
      <c r="TGO118" s="2"/>
      <c r="TGP118" s="2"/>
      <c r="TGQ118" s="2"/>
      <c r="TGR118" s="2"/>
      <c r="TGS118" s="2"/>
      <c r="TGT118" s="2"/>
      <c r="TGU118" s="2"/>
      <c r="TGV118" s="2"/>
      <c r="TGW118" s="2"/>
      <c r="TGX118" s="2"/>
      <c r="TGY118" s="2"/>
      <c r="TGZ118" s="2"/>
      <c r="THA118" s="2"/>
      <c r="THB118" s="2"/>
      <c r="THC118" s="2"/>
      <c r="THD118" s="2"/>
      <c r="THE118" s="2"/>
      <c r="THF118" s="2"/>
      <c r="THG118" s="2"/>
      <c r="THH118" s="2"/>
      <c r="THI118" s="2"/>
      <c r="THJ118" s="2"/>
      <c r="THK118" s="2"/>
      <c r="THL118" s="2"/>
      <c r="THM118" s="2"/>
      <c r="THN118" s="2"/>
      <c r="THO118" s="2"/>
      <c r="THP118" s="2"/>
      <c r="THQ118" s="2"/>
      <c r="THR118" s="2"/>
      <c r="THS118" s="2"/>
      <c r="THT118" s="2"/>
      <c r="THU118" s="2"/>
      <c r="THV118" s="2"/>
      <c r="THW118" s="2"/>
      <c r="THX118" s="2"/>
      <c r="THY118" s="2"/>
      <c r="THZ118" s="2"/>
      <c r="TIA118" s="2"/>
      <c r="TIB118" s="2"/>
      <c r="TIC118" s="2"/>
      <c r="TID118" s="2"/>
      <c r="TIE118" s="2"/>
      <c r="TIF118" s="2"/>
      <c r="TIG118" s="2"/>
      <c r="TIH118" s="2"/>
      <c r="TII118" s="2"/>
      <c r="TIJ118" s="2"/>
      <c r="TIK118" s="2"/>
      <c r="TIL118" s="2"/>
      <c r="TIM118" s="2"/>
      <c r="TIN118" s="2"/>
      <c r="TIO118" s="2"/>
      <c r="TIP118" s="2"/>
      <c r="TIQ118" s="2"/>
      <c r="TIR118" s="2"/>
      <c r="TIS118" s="2"/>
      <c r="TIT118" s="2"/>
      <c r="TIU118" s="2"/>
      <c r="TIV118" s="2"/>
      <c r="TIW118" s="2"/>
      <c r="TIX118" s="2"/>
      <c r="TIY118" s="2"/>
      <c r="TIZ118" s="2"/>
      <c r="TJA118" s="2"/>
      <c r="TJB118" s="2"/>
      <c r="TJC118" s="2"/>
      <c r="TJD118" s="2"/>
      <c r="TJE118" s="2"/>
      <c r="TJF118" s="2"/>
      <c r="TJG118" s="2"/>
      <c r="TJH118" s="2"/>
      <c r="TJI118" s="2"/>
      <c r="TJJ118" s="2"/>
      <c r="TJK118" s="2"/>
      <c r="TJL118" s="2"/>
      <c r="TJM118" s="2"/>
      <c r="TJN118" s="2"/>
      <c r="TJO118" s="2"/>
      <c r="TJP118" s="2"/>
      <c r="TJQ118" s="2"/>
      <c r="TJR118" s="2"/>
      <c r="TJS118" s="2"/>
      <c r="TJT118" s="2"/>
      <c r="TJU118" s="2"/>
      <c r="TJV118" s="2"/>
      <c r="TJW118" s="2"/>
      <c r="TJX118" s="2"/>
      <c r="TJY118" s="2"/>
      <c r="TJZ118" s="2"/>
      <c r="TKA118" s="2"/>
      <c r="TKB118" s="2"/>
      <c r="TKC118" s="2"/>
      <c r="TKD118" s="2"/>
      <c r="TKE118" s="2"/>
      <c r="TKF118" s="2"/>
      <c r="TKG118" s="2"/>
      <c r="TKH118" s="2"/>
      <c r="TKI118" s="2"/>
      <c r="TKJ118" s="2"/>
      <c r="TKK118" s="2"/>
      <c r="TKL118" s="2"/>
      <c r="TKM118" s="2"/>
      <c r="TKN118" s="2"/>
      <c r="TKO118" s="2"/>
      <c r="TKP118" s="2"/>
      <c r="TKQ118" s="2"/>
      <c r="TKR118" s="2"/>
      <c r="TKS118" s="2"/>
      <c r="TKT118" s="2"/>
      <c r="TKU118" s="2"/>
      <c r="TKV118" s="2"/>
      <c r="TKW118" s="2"/>
      <c r="TKX118" s="2"/>
      <c r="TKY118" s="2"/>
      <c r="TKZ118" s="2"/>
      <c r="TLA118" s="2"/>
      <c r="TLB118" s="2"/>
      <c r="TLC118" s="2"/>
      <c r="TLD118" s="2"/>
      <c r="TLE118" s="2"/>
      <c r="TLF118" s="2"/>
      <c r="TLG118" s="2"/>
      <c r="TLH118" s="2"/>
      <c r="TLI118" s="2"/>
      <c r="TLJ118" s="2"/>
      <c r="TLK118" s="2"/>
      <c r="TLL118" s="2"/>
      <c r="TLM118" s="2"/>
      <c r="TLN118" s="2"/>
      <c r="TLO118" s="2"/>
      <c r="TLP118" s="2"/>
      <c r="TLQ118" s="2"/>
      <c r="TLR118" s="2"/>
      <c r="TLS118" s="2"/>
      <c r="TLT118" s="2"/>
      <c r="TLU118" s="2"/>
      <c r="TLV118" s="2"/>
      <c r="TLW118" s="2"/>
      <c r="TLX118" s="2"/>
      <c r="TLY118" s="2"/>
      <c r="TLZ118" s="2"/>
      <c r="TMA118" s="2"/>
      <c r="TMB118" s="2"/>
      <c r="TMC118" s="2"/>
      <c r="TMD118" s="2"/>
      <c r="TME118" s="2"/>
      <c r="TMF118" s="2"/>
      <c r="TMG118" s="2"/>
      <c r="TMH118" s="2"/>
      <c r="TMI118" s="2"/>
      <c r="TMJ118" s="2"/>
      <c r="TMK118" s="2"/>
      <c r="TML118" s="2"/>
      <c r="TMM118" s="2"/>
      <c r="TMN118" s="2"/>
      <c r="TMO118" s="2"/>
      <c r="TMP118" s="2"/>
      <c r="TMQ118" s="2"/>
      <c r="TMR118" s="2"/>
      <c r="TMS118" s="2"/>
      <c r="TMT118" s="2"/>
      <c r="TMU118" s="2"/>
      <c r="TMV118" s="2"/>
      <c r="TMW118" s="2"/>
      <c r="TMX118" s="2"/>
      <c r="TMY118" s="2"/>
      <c r="TMZ118" s="2"/>
      <c r="TNA118" s="2"/>
      <c r="TNB118" s="2"/>
      <c r="TNC118" s="2"/>
      <c r="TND118" s="2"/>
      <c r="TNE118" s="2"/>
      <c r="TNF118" s="2"/>
      <c r="TNG118" s="2"/>
      <c r="TNH118" s="2"/>
      <c r="TNI118" s="2"/>
      <c r="TNJ118" s="2"/>
      <c r="TNK118" s="2"/>
      <c r="TNL118" s="2"/>
      <c r="TNM118" s="2"/>
      <c r="TNN118" s="2"/>
      <c r="TNO118" s="2"/>
      <c r="TNP118" s="2"/>
      <c r="TNQ118" s="2"/>
      <c r="TNR118" s="2"/>
      <c r="TNS118" s="2"/>
      <c r="TNT118" s="2"/>
      <c r="TNU118" s="2"/>
      <c r="TNV118" s="2"/>
      <c r="TNW118" s="2"/>
      <c r="TNX118" s="2"/>
      <c r="TNY118" s="2"/>
      <c r="TNZ118" s="2"/>
      <c r="TOA118" s="2"/>
      <c r="TOB118" s="2"/>
      <c r="TOC118" s="2"/>
      <c r="TOD118" s="2"/>
      <c r="TOE118" s="2"/>
      <c r="TOF118" s="2"/>
      <c r="TOG118" s="2"/>
      <c r="TOH118" s="2"/>
      <c r="TOI118" s="2"/>
      <c r="TOJ118" s="2"/>
      <c r="TOK118" s="2"/>
      <c r="TOL118" s="2"/>
      <c r="TOM118" s="2"/>
      <c r="TON118" s="2"/>
      <c r="TOO118" s="2"/>
      <c r="TOP118" s="2"/>
      <c r="TOQ118" s="2"/>
      <c r="TOR118" s="2"/>
      <c r="TOS118" s="2"/>
      <c r="TOT118" s="2"/>
      <c r="TOU118" s="2"/>
      <c r="TOV118" s="2"/>
      <c r="TOW118" s="2"/>
      <c r="TOX118" s="2"/>
      <c r="TOY118" s="2"/>
      <c r="TOZ118" s="2"/>
      <c r="TPA118" s="2"/>
      <c r="TPB118" s="2"/>
      <c r="TPC118" s="2"/>
      <c r="TPD118" s="2"/>
      <c r="TPE118" s="2"/>
      <c r="TPF118" s="2"/>
      <c r="TPG118" s="2"/>
      <c r="TPH118" s="2"/>
      <c r="TPI118" s="2"/>
      <c r="TPJ118" s="2"/>
      <c r="TPK118" s="2"/>
      <c r="TPL118" s="2"/>
      <c r="TPM118" s="2"/>
      <c r="TPN118" s="2"/>
      <c r="TPO118" s="2"/>
      <c r="TPP118" s="2"/>
      <c r="TPQ118" s="2"/>
      <c r="TPR118" s="2"/>
      <c r="TPS118" s="2"/>
      <c r="TPT118" s="2"/>
      <c r="TPU118" s="2"/>
      <c r="TPV118" s="2"/>
      <c r="TPW118" s="2"/>
      <c r="TPX118" s="2"/>
      <c r="TPY118" s="2"/>
      <c r="TPZ118" s="2"/>
      <c r="TQA118" s="2"/>
      <c r="TQB118" s="2"/>
      <c r="TQC118" s="2"/>
      <c r="TQD118" s="2"/>
      <c r="TQE118" s="2"/>
      <c r="TQF118" s="2"/>
      <c r="TQG118" s="2"/>
      <c r="TQH118" s="2"/>
      <c r="TQI118" s="2"/>
      <c r="TQJ118" s="2"/>
      <c r="TQK118" s="2"/>
      <c r="TQL118" s="2"/>
      <c r="TQM118" s="2"/>
      <c r="TQN118" s="2"/>
      <c r="TQO118" s="2"/>
      <c r="TQP118" s="2"/>
      <c r="TQQ118" s="2"/>
      <c r="TQR118" s="2"/>
      <c r="TQS118" s="2"/>
      <c r="TQT118" s="2"/>
      <c r="TQU118" s="2"/>
      <c r="TQV118" s="2"/>
      <c r="TQW118" s="2"/>
      <c r="TQX118" s="2"/>
      <c r="TQY118" s="2"/>
      <c r="TQZ118" s="2"/>
      <c r="TRA118" s="2"/>
      <c r="TRB118" s="2"/>
      <c r="TRC118" s="2"/>
      <c r="TRD118" s="2"/>
      <c r="TRE118" s="2"/>
      <c r="TRF118" s="2"/>
      <c r="TRG118" s="2"/>
      <c r="TRH118" s="2"/>
      <c r="TRI118" s="2"/>
      <c r="TRJ118" s="2"/>
      <c r="TRK118" s="2"/>
      <c r="TRL118" s="2"/>
      <c r="TRM118" s="2"/>
      <c r="TRN118" s="2"/>
      <c r="TRO118" s="2"/>
      <c r="TRP118" s="2"/>
      <c r="TRQ118" s="2"/>
      <c r="TRR118" s="2"/>
      <c r="TRS118" s="2"/>
      <c r="TRT118" s="2"/>
      <c r="TRU118" s="2"/>
      <c r="TRV118" s="2"/>
      <c r="TRW118" s="2"/>
      <c r="TRX118" s="2"/>
      <c r="TRY118" s="2"/>
      <c r="TRZ118" s="2"/>
      <c r="TSA118" s="2"/>
      <c r="TSB118" s="2"/>
      <c r="TSC118" s="2"/>
      <c r="TSD118" s="2"/>
      <c r="TSE118" s="2"/>
      <c r="TSF118" s="2"/>
      <c r="TSG118" s="2"/>
      <c r="TSH118" s="2"/>
      <c r="TSI118" s="2"/>
      <c r="TSJ118" s="2"/>
      <c r="TSK118" s="2"/>
      <c r="TSL118" s="2"/>
      <c r="TSM118" s="2"/>
      <c r="TSN118" s="2"/>
      <c r="TSO118" s="2"/>
      <c r="TSP118" s="2"/>
      <c r="TSQ118" s="2"/>
      <c r="TSR118" s="2"/>
      <c r="TSS118" s="2"/>
      <c r="TST118" s="2"/>
      <c r="TSU118" s="2"/>
      <c r="TSV118" s="2"/>
      <c r="TSW118" s="2"/>
      <c r="TSX118" s="2"/>
      <c r="TSY118" s="2"/>
      <c r="TSZ118" s="2"/>
      <c r="TTA118" s="2"/>
      <c r="TTB118" s="2"/>
      <c r="TTC118" s="2"/>
      <c r="TTD118" s="2"/>
      <c r="TTE118" s="2"/>
      <c r="TTF118" s="2"/>
      <c r="TTG118" s="2"/>
      <c r="TTH118" s="2"/>
      <c r="TTI118" s="2"/>
      <c r="TTJ118" s="2"/>
      <c r="TTK118" s="2"/>
      <c r="TTL118" s="2"/>
      <c r="TTM118" s="2"/>
      <c r="TTN118" s="2"/>
      <c r="TTO118" s="2"/>
      <c r="TTP118" s="2"/>
      <c r="TTQ118" s="2"/>
      <c r="TTR118" s="2"/>
      <c r="TTS118" s="2"/>
      <c r="TTT118" s="2"/>
      <c r="TTU118" s="2"/>
      <c r="TTV118" s="2"/>
      <c r="TTW118" s="2"/>
      <c r="TTX118" s="2"/>
      <c r="TTY118" s="2"/>
      <c r="TTZ118" s="2"/>
      <c r="TUA118" s="2"/>
      <c r="TUB118" s="2"/>
      <c r="TUC118" s="2"/>
      <c r="TUD118" s="2"/>
      <c r="TUE118" s="2"/>
      <c r="TUF118" s="2"/>
      <c r="TUG118" s="2"/>
      <c r="TUH118" s="2"/>
      <c r="TUI118" s="2"/>
      <c r="TUJ118" s="2"/>
      <c r="TUK118" s="2"/>
      <c r="TUL118" s="2"/>
      <c r="TUM118" s="2"/>
      <c r="TUN118" s="2"/>
      <c r="TUO118" s="2"/>
      <c r="TUP118" s="2"/>
      <c r="TUQ118" s="2"/>
      <c r="TUR118" s="2"/>
      <c r="TUS118" s="2"/>
      <c r="TUT118" s="2"/>
      <c r="TUU118" s="2"/>
      <c r="TUV118" s="2"/>
      <c r="TUW118" s="2"/>
      <c r="TUX118" s="2"/>
      <c r="TUY118" s="2"/>
      <c r="TUZ118" s="2"/>
      <c r="TVA118" s="2"/>
      <c r="TVB118" s="2"/>
      <c r="TVC118" s="2"/>
      <c r="TVD118" s="2"/>
      <c r="TVE118" s="2"/>
      <c r="TVF118" s="2"/>
      <c r="TVG118" s="2"/>
      <c r="TVH118" s="2"/>
      <c r="TVI118" s="2"/>
      <c r="TVJ118" s="2"/>
      <c r="TVK118" s="2"/>
      <c r="TVL118" s="2"/>
      <c r="TVM118" s="2"/>
      <c r="TVN118" s="2"/>
      <c r="TVO118" s="2"/>
      <c r="TVP118" s="2"/>
      <c r="TVQ118" s="2"/>
      <c r="TVR118" s="2"/>
      <c r="TVS118" s="2"/>
      <c r="TVT118" s="2"/>
      <c r="TVU118" s="2"/>
      <c r="TVV118" s="2"/>
      <c r="TVW118" s="2"/>
      <c r="TVX118" s="2"/>
      <c r="TVY118" s="2"/>
      <c r="TVZ118" s="2"/>
      <c r="TWA118" s="2"/>
      <c r="TWB118" s="2"/>
      <c r="TWC118" s="2"/>
      <c r="TWD118" s="2"/>
      <c r="TWE118" s="2"/>
      <c r="TWF118" s="2"/>
      <c r="TWG118" s="2"/>
      <c r="TWH118" s="2"/>
      <c r="TWI118" s="2"/>
      <c r="TWJ118" s="2"/>
      <c r="TWK118" s="2"/>
      <c r="TWL118" s="2"/>
      <c r="TWM118" s="2"/>
      <c r="TWN118" s="2"/>
      <c r="TWO118" s="2"/>
      <c r="TWP118" s="2"/>
      <c r="TWQ118" s="2"/>
      <c r="TWR118" s="2"/>
      <c r="TWS118" s="2"/>
      <c r="TWT118" s="2"/>
      <c r="TWU118" s="2"/>
      <c r="TWV118" s="2"/>
      <c r="TWW118" s="2"/>
      <c r="TWX118" s="2"/>
      <c r="TWY118" s="2"/>
      <c r="TWZ118" s="2"/>
      <c r="TXA118" s="2"/>
      <c r="TXB118" s="2"/>
      <c r="TXC118" s="2"/>
      <c r="TXD118" s="2"/>
      <c r="TXE118" s="2"/>
      <c r="TXF118" s="2"/>
      <c r="TXG118" s="2"/>
      <c r="TXH118" s="2"/>
      <c r="TXI118" s="2"/>
      <c r="TXJ118" s="2"/>
      <c r="TXK118" s="2"/>
      <c r="TXL118" s="2"/>
      <c r="TXM118" s="2"/>
      <c r="TXN118" s="2"/>
      <c r="TXO118" s="2"/>
      <c r="TXP118" s="2"/>
      <c r="TXQ118" s="2"/>
      <c r="TXR118" s="2"/>
      <c r="TXS118" s="2"/>
      <c r="TXT118" s="2"/>
      <c r="TXU118" s="2"/>
      <c r="TXV118" s="2"/>
      <c r="TXW118" s="2"/>
      <c r="TXX118" s="2"/>
      <c r="TXY118" s="2"/>
      <c r="TXZ118" s="2"/>
      <c r="TYA118" s="2"/>
      <c r="TYB118" s="2"/>
      <c r="TYC118" s="2"/>
      <c r="TYD118" s="2"/>
      <c r="TYE118" s="2"/>
      <c r="TYF118" s="2"/>
      <c r="TYG118" s="2"/>
      <c r="TYH118" s="2"/>
      <c r="TYI118" s="2"/>
      <c r="TYJ118" s="2"/>
      <c r="TYK118" s="2"/>
      <c r="TYL118" s="2"/>
      <c r="TYM118" s="2"/>
      <c r="TYN118" s="2"/>
      <c r="TYO118" s="2"/>
      <c r="TYP118" s="2"/>
      <c r="TYQ118" s="2"/>
      <c r="TYR118" s="2"/>
      <c r="TYS118" s="2"/>
      <c r="TYT118" s="2"/>
      <c r="TYU118" s="2"/>
      <c r="TYV118" s="2"/>
      <c r="TYW118" s="2"/>
      <c r="TYX118" s="2"/>
      <c r="TYY118" s="2"/>
      <c r="TYZ118" s="2"/>
      <c r="TZA118" s="2"/>
      <c r="TZB118" s="2"/>
      <c r="TZC118" s="2"/>
      <c r="TZD118" s="2"/>
      <c r="TZE118" s="2"/>
      <c r="TZF118" s="2"/>
      <c r="TZG118" s="2"/>
      <c r="TZH118" s="2"/>
      <c r="TZI118" s="2"/>
      <c r="TZJ118" s="2"/>
      <c r="TZK118" s="2"/>
      <c r="TZL118" s="2"/>
      <c r="TZM118" s="2"/>
      <c r="TZN118" s="2"/>
      <c r="TZO118" s="2"/>
      <c r="TZP118" s="2"/>
      <c r="TZQ118" s="2"/>
      <c r="TZR118" s="2"/>
      <c r="TZS118" s="2"/>
      <c r="TZT118" s="2"/>
      <c r="TZU118" s="2"/>
      <c r="TZV118" s="2"/>
      <c r="TZW118" s="2"/>
      <c r="TZX118" s="2"/>
      <c r="TZY118" s="2"/>
      <c r="TZZ118" s="2"/>
      <c r="UAA118" s="2"/>
      <c r="UAB118" s="2"/>
      <c r="UAC118" s="2"/>
      <c r="UAD118" s="2"/>
      <c r="UAE118" s="2"/>
      <c r="UAF118" s="2"/>
      <c r="UAG118" s="2"/>
      <c r="UAH118" s="2"/>
      <c r="UAI118" s="2"/>
      <c r="UAJ118" s="2"/>
      <c r="UAK118" s="2"/>
      <c r="UAL118" s="2"/>
      <c r="UAM118" s="2"/>
      <c r="UAN118" s="2"/>
      <c r="UAO118" s="2"/>
      <c r="UAP118" s="2"/>
      <c r="UAQ118" s="2"/>
      <c r="UAR118" s="2"/>
      <c r="UAS118" s="2"/>
      <c r="UAT118" s="2"/>
      <c r="UAU118" s="2"/>
      <c r="UAV118" s="2"/>
      <c r="UAW118" s="2"/>
      <c r="UAX118" s="2"/>
      <c r="UAY118" s="2"/>
      <c r="UAZ118" s="2"/>
      <c r="UBA118" s="2"/>
      <c r="UBB118" s="2"/>
      <c r="UBC118" s="2"/>
      <c r="UBD118" s="2"/>
      <c r="UBE118" s="2"/>
      <c r="UBF118" s="2"/>
      <c r="UBG118" s="2"/>
      <c r="UBH118" s="2"/>
      <c r="UBI118" s="2"/>
      <c r="UBJ118" s="2"/>
      <c r="UBK118" s="2"/>
      <c r="UBL118" s="2"/>
      <c r="UBM118" s="2"/>
      <c r="UBN118" s="2"/>
      <c r="UBO118" s="2"/>
      <c r="UBP118" s="2"/>
      <c r="UBQ118" s="2"/>
      <c r="UBR118" s="2"/>
      <c r="UBS118" s="2"/>
      <c r="UBT118" s="2"/>
      <c r="UBU118" s="2"/>
      <c r="UBV118" s="2"/>
      <c r="UBW118" s="2"/>
      <c r="UBX118" s="2"/>
      <c r="UBY118" s="2"/>
      <c r="UBZ118" s="2"/>
      <c r="UCA118" s="2"/>
      <c r="UCB118" s="2"/>
      <c r="UCC118" s="2"/>
      <c r="UCD118" s="2"/>
      <c r="UCE118" s="2"/>
      <c r="UCF118" s="2"/>
      <c r="UCG118" s="2"/>
      <c r="UCH118" s="2"/>
      <c r="UCI118" s="2"/>
      <c r="UCJ118" s="2"/>
      <c r="UCK118" s="2"/>
      <c r="UCL118" s="2"/>
      <c r="UCM118" s="2"/>
      <c r="UCN118" s="2"/>
      <c r="UCO118" s="2"/>
      <c r="UCP118" s="2"/>
      <c r="UCQ118" s="2"/>
      <c r="UCR118" s="2"/>
      <c r="UCS118" s="2"/>
      <c r="UCT118" s="2"/>
      <c r="UCU118" s="2"/>
      <c r="UCV118" s="2"/>
      <c r="UCW118" s="2"/>
      <c r="UCX118" s="2"/>
      <c r="UCY118" s="2"/>
      <c r="UCZ118" s="2"/>
      <c r="UDA118" s="2"/>
      <c r="UDB118" s="2"/>
      <c r="UDC118" s="2"/>
      <c r="UDD118" s="2"/>
      <c r="UDE118" s="2"/>
      <c r="UDF118" s="2"/>
      <c r="UDG118" s="2"/>
      <c r="UDH118" s="2"/>
      <c r="UDI118" s="2"/>
      <c r="UDJ118" s="2"/>
      <c r="UDK118" s="2"/>
      <c r="UDL118" s="2"/>
      <c r="UDM118" s="2"/>
      <c r="UDN118" s="2"/>
      <c r="UDO118" s="2"/>
      <c r="UDP118" s="2"/>
      <c r="UDQ118" s="2"/>
      <c r="UDR118" s="2"/>
      <c r="UDS118" s="2"/>
      <c r="UDT118" s="2"/>
      <c r="UDU118" s="2"/>
      <c r="UDV118" s="2"/>
      <c r="UDW118" s="2"/>
      <c r="UDX118" s="2"/>
      <c r="UDY118" s="2"/>
      <c r="UDZ118" s="2"/>
      <c r="UEA118" s="2"/>
      <c r="UEB118" s="2"/>
      <c r="UEC118" s="2"/>
      <c r="UED118" s="2"/>
      <c r="UEE118" s="2"/>
      <c r="UEF118" s="2"/>
      <c r="UEG118" s="2"/>
      <c r="UEH118" s="2"/>
      <c r="UEI118" s="2"/>
      <c r="UEJ118" s="2"/>
      <c r="UEK118" s="2"/>
      <c r="UEL118" s="2"/>
      <c r="UEM118" s="2"/>
      <c r="UEN118" s="2"/>
      <c r="UEO118" s="2"/>
      <c r="UEP118" s="2"/>
      <c r="UEQ118" s="2"/>
      <c r="UER118" s="2"/>
      <c r="UES118" s="2"/>
      <c r="UET118" s="2"/>
      <c r="UEU118" s="2"/>
      <c r="UEV118" s="2"/>
      <c r="UEW118" s="2"/>
      <c r="UEX118" s="2"/>
      <c r="UEY118" s="2"/>
      <c r="UEZ118" s="2"/>
      <c r="UFA118" s="2"/>
      <c r="UFB118" s="2"/>
      <c r="UFC118" s="2"/>
      <c r="UFD118" s="2"/>
      <c r="UFE118" s="2"/>
      <c r="UFF118" s="2"/>
      <c r="UFG118" s="2"/>
      <c r="UFH118" s="2"/>
      <c r="UFI118" s="2"/>
      <c r="UFJ118" s="2"/>
      <c r="UFK118" s="2"/>
      <c r="UFL118" s="2"/>
      <c r="UFM118" s="2"/>
      <c r="UFN118" s="2"/>
      <c r="UFO118" s="2"/>
      <c r="UFP118" s="2"/>
      <c r="UFQ118" s="2"/>
      <c r="UFR118" s="2"/>
      <c r="UFS118" s="2"/>
      <c r="UFT118" s="2"/>
      <c r="UFU118" s="2"/>
      <c r="UFV118" s="2"/>
      <c r="UFW118" s="2"/>
      <c r="UFX118" s="2"/>
      <c r="UFY118" s="2"/>
      <c r="UFZ118" s="2"/>
      <c r="UGA118" s="2"/>
      <c r="UGB118" s="2"/>
      <c r="UGC118" s="2"/>
      <c r="UGD118" s="2"/>
      <c r="UGE118" s="2"/>
      <c r="UGF118" s="2"/>
      <c r="UGG118" s="2"/>
      <c r="UGH118" s="2"/>
      <c r="UGI118" s="2"/>
      <c r="UGJ118" s="2"/>
      <c r="UGK118" s="2"/>
      <c r="UGL118" s="2"/>
      <c r="UGM118" s="2"/>
      <c r="UGN118" s="2"/>
      <c r="UGO118" s="2"/>
      <c r="UGP118" s="2"/>
      <c r="UGQ118" s="2"/>
      <c r="UGR118" s="2"/>
      <c r="UGS118" s="2"/>
      <c r="UGT118" s="2"/>
      <c r="UGU118" s="2"/>
      <c r="UGV118" s="2"/>
      <c r="UGW118" s="2"/>
      <c r="UGX118" s="2"/>
      <c r="UGY118" s="2"/>
      <c r="UGZ118" s="2"/>
      <c r="UHA118" s="2"/>
      <c r="UHB118" s="2"/>
      <c r="UHC118" s="2"/>
      <c r="UHD118" s="2"/>
      <c r="UHE118" s="2"/>
      <c r="UHF118" s="2"/>
      <c r="UHG118" s="2"/>
      <c r="UHH118" s="2"/>
      <c r="UHI118" s="2"/>
      <c r="UHJ118" s="2"/>
      <c r="UHK118" s="2"/>
      <c r="UHL118" s="2"/>
      <c r="UHM118" s="2"/>
      <c r="UHN118" s="2"/>
      <c r="UHO118" s="2"/>
      <c r="UHP118" s="2"/>
      <c r="UHQ118" s="2"/>
      <c r="UHR118" s="2"/>
      <c r="UHS118" s="2"/>
      <c r="UHT118" s="2"/>
      <c r="UHU118" s="2"/>
      <c r="UHV118" s="2"/>
      <c r="UHW118" s="2"/>
      <c r="UHX118" s="2"/>
      <c r="UHY118" s="2"/>
      <c r="UHZ118" s="2"/>
      <c r="UIA118" s="2"/>
      <c r="UIB118" s="2"/>
      <c r="UIC118" s="2"/>
      <c r="UID118" s="2"/>
      <c r="UIE118" s="2"/>
      <c r="UIF118" s="2"/>
      <c r="UIG118" s="2"/>
      <c r="UIH118" s="2"/>
      <c r="UII118" s="2"/>
      <c r="UIJ118" s="2"/>
      <c r="UIK118" s="2"/>
      <c r="UIL118" s="2"/>
      <c r="UIM118" s="2"/>
      <c r="UIN118" s="2"/>
      <c r="UIO118" s="2"/>
      <c r="UIP118" s="2"/>
      <c r="UIQ118" s="2"/>
      <c r="UIR118" s="2"/>
      <c r="UIS118" s="2"/>
      <c r="UIT118" s="2"/>
      <c r="UIU118" s="2"/>
      <c r="UIV118" s="2"/>
      <c r="UIW118" s="2"/>
      <c r="UIX118" s="2"/>
      <c r="UIY118" s="2"/>
      <c r="UIZ118" s="2"/>
      <c r="UJA118" s="2"/>
      <c r="UJB118" s="2"/>
      <c r="UJC118" s="2"/>
      <c r="UJD118" s="2"/>
      <c r="UJE118" s="2"/>
      <c r="UJF118" s="2"/>
      <c r="UJG118" s="2"/>
      <c r="UJH118" s="2"/>
      <c r="UJI118" s="2"/>
      <c r="UJJ118" s="2"/>
      <c r="UJK118" s="2"/>
      <c r="UJL118" s="2"/>
      <c r="UJM118" s="2"/>
      <c r="UJN118" s="2"/>
      <c r="UJO118" s="2"/>
      <c r="UJP118" s="2"/>
      <c r="UJQ118" s="2"/>
      <c r="UJR118" s="2"/>
      <c r="UJS118" s="2"/>
      <c r="UJT118" s="2"/>
      <c r="UJU118" s="2"/>
      <c r="UJV118" s="2"/>
      <c r="UJW118" s="2"/>
      <c r="UJX118" s="2"/>
      <c r="UJY118" s="2"/>
      <c r="UJZ118" s="2"/>
      <c r="UKA118" s="2"/>
      <c r="UKB118" s="2"/>
      <c r="UKC118" s="2"/>
      <c r="UKD118" s="2"/>
      <c r="UKE118" s="2"/>
      <c r="UKF118" s="2"/>
      <c r="UKG118" s="2"/>
      <c r="UKH118" s="2"/>
      <c r="UKI118" s="2"/>
      <c r="UKJ118" s="2"/>
      <c r="UKK118" s="2"/>
      <c r="UKL118" s="2"/>
      <c r="UKM118" s="2"/>
      <c r="UKN118" s="2"/>
      <c r="UKO118" s="2"/>
      <c r="UKP118" s="2"/>
      <c r="UKQ118" s="2"/>
      <c r="UKR118" s="2"/>
      <c r="UKS118" s="2"/>
      <c r="UKT118" s="2"/>
      <c r="UKU118" s="2"/>
      <c r="UKV118" s="2"/>
      <c r="UKW118" s="2"/>
      <c r="UKX118" s="2"/>
      <c r="UKY118" s="2"/>
      <c r="UKZ118" s="2"/>
      <c r="ULA118" s="2"/>
      <c r="ULB118" s="2"/>
      <c r="ULC118" s="2"/>
      <c r="ULD118" s="2"/>
      <c r="ULE118" s="2"/>
      <c r="ULF118" s="2"/>
      <c r="ULG118" s="2"/>
      <c r="ULH118" s="2"/>
      <c r="ULI118" s="2"/>
      <c r="ULJ118" s="2"/>
      <c r="ULK118" s="2"/>
      <c r="ULL118" s="2"/>
      <c r="ULM118" s="2"/>
      <c r="ULN118" s="2"/>
      <c r="ULO118" s="2"/>
      <c r="ULP118" s="2"/>
      <c r="ULQ118" s="2"/>
      <c r="ULR118" s="2"/>
      <c r="ULS118" s="2"/>
      <c r="ULT118" s="2"/>
      <c r="ULU118" s="2"/>
      <c r="ULV118" s="2"/>
      <c r="ULW118" s="2"/>
      <c r="ULX118" s="2"/>
      <c r="ULY118" s="2"/>
      <c r="ULZ118" s="2"/>
      <c r="UMA118" s="2"/>
      <c r="UMB118" s="2"/>
      <c r="UMC118" s="2"/>
      <c r="UMD118" s="2"/>
      <c r="UME118" s="2"/>
      <c r="UMF118" s="2"/>
      <c r="UMG118" s="2"/>
      <c r="UMH118" s="2"/>
      <c r="UMI118" s="2"/>
      <c r="UMJ118" s="2"/>
      <c r="UMK118" s="2"/>
      <c r="UML118" s="2"/>
      <c r="UMM118" s="2"/>
      <c r="UMN118" s="2"/>
      <c r="UMO118" s="2"/>
      <c r="UMP118" s="2"/>
      <c r="UMQ118" s="2"/>
      <c r="UMR118" s="2"/>
      <c r="UMS118" s="2"/>
      <c r="UMT118" s="2"/>
      <c r="UMU118" s="2"/>
      <c r="UMV118" s="2"/>
      <c r="UMW118" s="2"/>
      <c r="UMX118" s="2"/>
      <c r="UMY118" s="2"/>
      <c r="UMZ118" s="2"/>
      <c r="UNA118" s="2"/>
      <c r="UNB118" s="2"/>
      <c r="UNC118" s="2"/>
      <c r="UND118" s="2"/>
      <c r="UNE118" s="2"/>
      <c r="UNF118" s="2"/>
      <c r="UNG118" s="2"/>
      <c r="UNH118" s="2"/>
      <c r="UNI118" s="2"/>
      <c r="UNJ118" s="2"/>
      <c r="UNK118" s="2"/>
      <c r="UNL118" s="2"/>
      <c r="UNM118" s="2"/>
      <c r="UNN118" s="2"/>
      <c r="UNO118" s="2"/>
      <c r="UNP118" s="2"/>
      <c r="UNQ118" s="2"/>
      <c r="UNR118" s="2"/>
      <c r="UNS118" s="2"/>
      <c r="UNT118" s="2"/>
      <c r="UNU118" s="2"/>
      <c r="UNV118" s="2"/>
      <c r="UNW118" s="2"/>
      <c r="UNX118" s="2"/>
      <c r="UNY118" s="2"/>
      <c r="UNZ118" s="2"/>
      <c r="UOA118" s="2"/>
      <c r="UOB118" s="2"/>
      <c r="UOC118" s="2"/>
      <c r="UOD118" s="2"/>
      <c r="UOE118" s="2"/>
      <c r="UOF118" s="2"/>
      <c r="UOG118" s="2"/>
      <c r="UOH118" s="2"/>
      <c r="UOI118" s="2"/>
      <c r="UOJ118" s="2"/>
      <c r="UOK118" s="2"/>
      <c r="UOL118" s="2"/>
      <c r="UOM118" s="2"/>
      <c r="UON118" s="2"/>
      <c r="UOO118" s="2"/>
      <c r="UOP118" s="2"/>
      <c r="UOQ118" s="2"/>
      <c r="UOR118" s="2"/>
      <c r="UOS118" s="2"/>
      <c r="UOT118" s="2"/>
      <c r="UOU118" s="2"/>
      <c r="UOV118" s="2"/>
      <c r="UOW118" s="2"/>
      <c r="UOX118" s="2"/>
      <c r="UOY118" s="2"/>
      <c r="UOZ118" s="2"/>
      <c r="UPA118" s="2"/>
      <c r="UPB118" s="2"/>
      <c r="UPC118" s="2"/>
      <c r="UPD118" s="2"/>
      <c r="UPE118" s="2"/>
      <c r="UPF118" s="2"/>
      <c r="UPG118" s="2"/>
      <c r="UPH118" s="2"/>
      <c r="UPI118" s="2"/>
      <c r="UPJ118" s="2"/>
      <c r="UPK118" s="2"/>
      <c r="UPL118" s="2"/>
      <c r="UPM118" s="2"/>
      <c r="UPN118" s="2"/>
      <c r="UPO118" s="2"/>
      <c r="UPP118" s="2"/>
      <c r="UPQ118" s="2"/>
      <c r="UPR118" s="2"/>
      <c r="UPS118" s="2"/>
      <c r="UPT118" s="2"/>
      <c r="UPU118" s="2"/>
      <c r="UPV118" s="2"/>
      <c r="UPW118" s="2"/>
      <c r="UPX118" s="2"/>
      <c r="UPY118" s="2"/>
      <c r="UPZ118" s="2"/>
      <c r="UQA118" s="2"/>
      <c r="UQB118" s="2"/>
      <c r="UQC118" s="2"/>
      <c r="UQD118" s="2"/>
      <c r="UQE118" s="2"/>
      <c r="UQF118" s="2"/>
      <c r="UQG118" s="2"/>
      <c r="UQH118" s="2"/>
      <c r="UQI118" s="2"/>
      <c r="UQJ118" s="2"/>
      <c r="UQK118" s="2"/>
      <c r="UQL118" s="2"/>
      <c r="UQM118" s="2"/>
      <c r="UQN118" s="2"/>
      <c r="UQO118" s="2"/>
      <c r="UQP118" s="2"/>
      <c r="UQQ118" s="2"/>
      <c r="UQR118" s="2"/>
      <c r="UQS118" s="2"/>
      <c r="UQT118" s="2"/>
      <c r="UQU118" s="2"/>
      <c r="UQV118" s="2"/>
      <c r="UQW118" s="2"/>
      <c r="UQX118" s="2"/>
      <c r="UQY118" s="2"/>
      <c r="UQZ118" s="2"/>
      <c r="URA118" s="2"/>
      <c r="URB118" s="2"/>
      <c r="URC118" s="2"/>
      <c r="URD118" s="2"/>
      <c r="URE118" s="2"/>
      <c r="URF118" s="2"/>
      <c r="URG118" s="2"/>
      <c r="URH118" s="2"/>
      <c r="URI118" s="2"/>
      <c r="URJ118" s="2"/>
      <c r="URK118" s="2"/>
      <c r="URL118" s="2"/>
      <c r="URM118" s="2"/>
      <c r="URN118" s="2"/>
      <c r="URO118" s="2"/>
      <c r="URP118" s="2"/>
      <c r="URQ118" s="2"/>
      <c r="URR118" s="2"/>
      <c r="URS118" s="2"/>
      <c r="URT118" s="2"/>
      <c r="URU118" s="2"/>
      <c r="URV118" s="2"/>
      <c r="URW118" s="2"/>
      <c r="URX118" s="2"/>
      <c r="URY118" s="2"/>
      <c r="URZ118" s="2"/>
      <c r="USA118" s="2"/>
      <c r="USB118" s="2"/>
      <c r="USC118" s="2"/>
      <c r="USD118" s="2"/>
      <c r="USE118" s="2"/>
      <c r="USF118" s="2"/>
      <c r="USG118" s="2"/>
      <c r="USH118" s="2"/>
      <c r="USI118" s="2"/>
      <c r="USJ118" s="2"/>
      <c r="USK118" s="2"/>
      <c r="USL118" s="2"/>
      <c r="USM118" s="2"/>
      <c r="USN118" s="2"/>
      <c r="USO118" s="2"/>
      <c r="USP118" s="2"/>
      <c r="USQ118" s="2"/>
      <c r="USR118" s="2"/>
      <c r="USS118" s="2"/>
      <c r="UST118" s="2"/>
      <c r="USU118" s="2"/>
      <c r="USV118" s="2"/>
      <c r="USW118" s="2"/>
      <c r="USX118" s="2"/>
      <c r="USY118" s="2"/>
      <c r="USZ118" s="2"/>
      <c r="UTA118" s="2"/>
      <c r="UTB118" s="2"/>
      <c r="UTC118" s="2"/>
      <c r="UTD118" s="2"/>
      <c r="UTE118" s="2"/>
      <c r="UTF118" s="2"/>
      <c r="UTG118" s="2"/>
      <c r="UTH118" s="2"/>
      <c r="UTI118" s="2"/>
      <c r="UTJ118" s="2"/>
      <c r="UTK118" s="2"/>
      <c r="UTL118" s="2"/>
      <c r="UTM118" s="2"/>
      <c r="UTN118" s="2"/>
      <c r="UTO118" s="2"/>
      <c r="UTP118" s="2"/>
      <c r="UTQ118" s="2"/>
      <c r="UTR118" s="2"/>
      <c r="UTS118" s="2"/>
      <c r="UTT118" s="2"/>
      <c r="UTU118" s="2"/>
      <c r="UTV118" s="2"/>
      <c r="UTW118" s="2"/>
      <c r="UTX118" s="2"/>
      <c r="UTY118" s="2"/>
      <c r="UTZ118" s="2"/>
      <c r="UUA118" s="2"/>
      <c r="UUB118" s="2"/>
      <c r="UUC118" s="2"/>
      <c r="UUD118" s="2"/>
      <c r="UUE118" s="2"/>
      <c r="UUF118" s="2"/>
      <c r="UUG118" s="2"/>
      <c r="UUH118" s="2"/>
      <c r="UUI118" s="2"/>
      <c r="UUJ118" s="2"/>
      <c r="UUK118" s="2"/>
      <c r="UUL118" s="2"/>
      <c r="UUM118" s="2"/>
      <c r="UUN118" s="2"/>
      <c r="UUO118" s="2"/>
      <c r="UUP118" s="2"/>
      <c r="UUQ118" s="2"/>
      <c r="UUR118" s="2"/>
      <c r="UUS118" s="2"/>
      <c r="UUT118" s="2"/>
      <c r="UUU118" s="2"/>
      <c r="UUV118" s="2"/>
      <c r="UUW118" s="2"/>
      <c r="UUX118" s="2"/>
      <c r="UUY118" s="2"/>
      <c r="UUZ118" s="2"/>
      <c r="UVA118" s="2"/>
      <c r="UVB118" s="2"/>
      <c r="UVC118" s="2"/>
      <c r="UVD118" s="2"/>
      <c r="UVE118" s="2"/>
      <c r="UVF118" s="2"/>
      <c r="UVG118" s="2"/>
      <c r="UVH118" s="2"/>
      <c r="UVI118" s="2"/>
      <c r="UVJ118" s="2"/>
      <c r="UVK118" s="2"/>
      <c r="UVL118" s="2"/>
      <c r="UVM118" s="2"/>
      <c r="UVN118" s="2"/>
      <c r="UVO118" s="2"/>
      <c r="UVP118" s="2"/>
      <c r="UVQ118" s="2"/>
      <c r="UVR118" s="2"/>
      <c r="UVS118" s="2"/>
      <c r="UVT118" s="2"/>
      <c r="UVU118" s="2"/>
      <c r="UVV118" s="2"/>
      <c r="UVW118" s="2"/>
      <c r="UVX118" s="2"/>
      <c r="UVY118" s="2"/>
      <c r="UVZ118" s="2"/>
      <c r="UWA118" s="2"/>
      <c r="UWB118" s="2"/>
      <c r="UWC118" s="2"/>
      <c r="UWD118" s="2"/>
      <c r="UWE118" s="2"/>
      <c r="UWF118" s="2"/>
      <c r="UWG118" s="2"/>
      <c r="UWH118" s="2"/>
      <c r="UWI118" s="2"/>
      <c r="UWJ118" s="2"/>
      <c r="UWK118" s="2"/>
      <c r="UWL118" s="2"/>
      <c r="UWM118" s="2"/>
      <c r="UWN118" s="2"/>
      <c r="UWO118" s="2"/>
      <c r="UWP118" s="2"/>
      <c r="UWQ118" s="2"/>
      <c r="UWR118" s="2"/>
      <c r="UWS118" s="2"/>
      <c r="UWT118" s="2"/>
      <c r="UWU118" s="2"/>
      <c r="UWV118" s="2"/>
      <c r="UWW118" s="2"/>
      <c r="UWX118" s="2"/>
      <c r="UWY118" s="2"/>
      <c r="UWZ118" s="2"/>
      <c r="UXA118" s="2"/>
      <c r="UXB118" s="2"/>
      <c r="UXC118" s="2"/>
      <c r="UXD118" s="2"/>
      <c r="UXE118" s="2"/>
      <c r="UXF118" s="2"/>
      <c r="UXG118" s="2"/>
      <c r="UXH118" s="2"/>
      <c r="UXI118" s="2"/>
      <c r="UXJ118" s="2"/>
      <c r="UXK118" s="2"/>
      <c r="UXL118" s="2"/>
      <c r="UXM118" s="2"/>
      <c r="UXN118" s="2"/>
      <c r="UXO118" s="2"/>
      <c r="UXP118" s="2"/>
      <c r="UXQ118" s="2"/>
      <c r="UXR118" s="2"/>
      <c r="UXS118" s="2"/>
      <c r="UXT118" s="2"/>
      <c r="UXU118" s="2"/>
      <c r="UXV118" s="2"/>
      <c r="UXW118" s="2"/>
      <c r="UXX118" s="2"/>
      <c r="UXY118" s="2"/>
      <c r="UXZ118" s="2"/>
      <c r="UYA118" s="2"/>
      <c r="UYB118" s="2"/>
      <c r="UYC118" s="2"/>
      <c r="UYD118" s="2"/>
      <c r="UYE118" s="2"/>
      <c r="UYF118" s="2"/>
      <c r="UYG118" s="2"/>
      <c r="UYH118" s="2"/>
      <c r="UYI118" s="2"/>
      <c r="UYJ118" s="2"/>
      <c r="UYK118" s="2"/>
      <c r="UYL118" s="2"/>
      <c r="UYM118" s="2"/>
      <c r="UYN118" s="2"/>
      <c r="UYO118" s="2"/>
      <c r="UYP118" s="2"/>
      <c r="UYQ118" s="2"/>
      <c r="UYR118" s="2"/>
      <c r="UYS118" s="2"/>
      <c r="UYT118" s="2"/>
      <c r="UYU118" s="2"/>
      <c r="UYV118" s="2"/>
      <c r="UYW118" s="2"/>
      <c r="UYX118" s="2"/>
      <c r="UYY118" s="2"/>
      <c r="UYZ118" s="2"/>
      <c r="UZA118" s="2"/>
      <c r="UZB118" s="2"/>
      <c r="UZC118" s="2"/>
      <c r="UZD118" s="2"/>
      <c r="UZE118" s="2"/>
      <c r="UZF118" s="2"/>
      <c r="UZG118" s="2"/>
      <c r="UZH118" s="2"/>
      <c r="UZI118" s="2"/>
      <c r="UZJ118" s="2"/>
      <c r="UZK118" s="2"/>
      <c r="UZL118" s="2"/>
      <c r="UZM118" s="2"/>
      <c r="UZN118" s="2"/>
      <c r="UZO118" s="2"/>
      <c r="UZP118" s="2"/>
      <c r="UZQ118" s="2"/>
      <c r="UZR118" s="2"/>
      <c r="UZS118" s="2"/>
      <c r="UZT118" s="2"/>
      <c r="UZU118" s="2"/>
      <c r="UZV118" s="2"/>
      <c r="UZW118" s="2"/>
      <c r="UZX118" s="2"/>
      <c r="UZY118" s="2"/>
      <c r="UZZ118" s="2"/>
      <c r="VAA118" s="2"/>
      <c r="VAB118" s="2"/>
      <c r="VAC118" s="2"/>
      <c r="VAD118" s="2"/>
      <c r="VAE118" s="2"/>
      <c r="VAF118" s="2"/>
      <c r="VAG118" s="2"/>
      <c r="VAH118" s="2"/>
      <c r="VAI118" s="2"/>
      <c r="VAJ118" s="2"/>
      <c r="VAK118" s="2"/>
      <c r="VAL118" s="2"/>
      <c r="VAM118" s="2"/>
      <c r="VAN118" s="2"/>
      <c r="VAO118" s="2"/>
      <c r="VAP118" s="2"/>
      <c r="VAQ118" s="2"/>
      <c r="VAR118" s="2"/>
      <c r="VAS118" s="2"/>
      <c r="VAT118" s="2"/>
      <c r="VAU118" s="2"/>
      <c r="VAV118" s="2"/>
      <c r="VAW118" s="2"/>
      <c r="VAX118" s="2"/>
      <c r="VAY118" s="2"/>
      <c r="VAZ118" s="2"/>
      <c r="VBA118" s="2"/>
      <c r="VBB118" s="2"/>
      <c r="VBC118" s="2"/>
      <c r="VBD118" s="2"/>
      <c r="VBE118" s="2"/>
      <c r="VBF118" s="2"/>
      <c r="VBG118" s="2"/>
      <c r="VBH118" s="2"/>
      <c r="VBI118" s="2"/>
      <c r="VBJ118" s="2"/>
      <c r="VBK118" s="2"/>
      <c r="VBL118" s="2"/>
      <c r="VBM118" s="2"/>
      <c r="VBN118" s="2"/>
      <c r="VBO118" s="2"/>
      <c r="VBP118" s="2"/>
      <c r="VBQ118" s="2"/>
      <c r="VBR118" s="2"/>
      <c r="VBS118" s="2"/>
      <c r="VBT118" s="2"/>
      <c r="VBU118" s="2"/>
      <c r="VBV118" s="2"/>
      <c r="VBW118" s="2"/>
      <c r="VBX118" s="2"/>
      <c r="VBY118" s="2"/>
      <c r="VBZ118" s="2"/>
      <c r="VCA118" s="2"/>
      <c r="VCB118" s="2"/>
      <c r="VCC118" s="2"/>
      <c r="VCD118" s="2"/>
      <c r="VCE118" s="2"/>
      <c r="VCF118" s="2"/>
      <c r="VCG118" s="2"/>
      <c r="VCH118" s="2"/>
      <c r="VCI118" s="2"/>
      <c r="VCJ118" s="2"/>
      <c r="VCK118" s="2"/>
      <c r="VCL118" s="2"/>
      <c r="VCM118" s="2"/>
      <c r="VCN118" s="2"/>
      <c r="VCO118" s="2"/>
      <c r="VCP118" s="2"/>
      <c r="VCQ118" s="2"/>
      <c r="VCR118" s="2"/>
      <c r="VCS118" s="2"/>
      <c r="VCT118" s="2"/>
      <c r="VCU118" s="2"/>
      <c r="VCV118" s="2"/>
      <c r="VCW118" s="2"/>
      <c r="VCX118" s="2"/>
      <c r="VCY118" s="2"/>
      <c r="VCZ118" s="2"/>
      <c r="VDA118" s="2"/>
      <c r="VDB118" s="2"/>
      <c r="VDC118" s="2"/>
      <c r="VDD118" s="2"/>
      <c r="VDE118" s="2"/>
      <c r="VDF118" s="2"/>
      <c r="VDG118" s="2"/>
      <c r="VDH118" s="2"/>
      <c r="VDI118" s="2"/>
      <c r="VDJ118" s="2"/>
      <c r="VDK118" s="2"/>
      <c r="VDL118" s="2"/>
      <c r="VDM118" s="2"/>
      <c r="VDN118" s="2"/>
      <c r="VDO118" s="2"/>
      <c r="VDP118" s="2"/>
      <c r="VDQ118" s="2"/>
      <c r="VDR118" s="2"/>
      <c r="VDS118" s="2"/>
      <c r="VDT118" s="2"/>
      <c r="VDU118" s="2"/>
      <c r="VDV118" s="2"/>
      <c r="VDW118" s="2"/>
      <c r="VDX118" s="2"/>
      <c r="VDY118" s="2"/>
      <c r="VDZ118" s="2"/>
      <c r="VEA118" s="2"/>
      <c r="VEB118" s="2"/>
      <c r="VEC118" s="2"/>
      <c r="VED118" s="2"/>
      <c r="VEE118" s="2"/>
      <c r="VEF118" s="2"/>
      <c r="VEG118" s="2"/>
      <c r="VEH118" s="2"/>
      <c r="VEI118" s="2"/>
      <c r="VEJ118" s="2"/>
      <c r="VEK118" s="2"/>
      <c r="VEL118" s="2"/>
      <c r="VEM118" s="2"/>
      <c r="VEN118" s="2"/>
      <c r="VEO118" s="2"/>
      <c r="VEP118" s="2"/>
      <c r="VEQ118" s="2"/>
      <c r="VER118" s="2"/>
      <c r="VES118" s="2"/>
      <c r="VET118" s="2"/>
      <c r="VEU118" s="2"/>
      <c r="VEV118" s="2"/>
      <c r="VEW118" s="2"/>
      <c r="VEX118" s="2"/>
      <c r="VEY118" s="2"/>
      <c r="VEZ118" s="2"/>
      <c r="VFA118" s="2"/>
      <c r="VFB118" s="2"/>
      <c r="VFC118" s="2"/>
      <c r="VFD118" s="2"/>
      <c r="VFE118" s="2"/>
      <c r="VFF118" s="2"/>
      <c r="VFG118" s="2"/>
      <c r="VFH118" s="2"/>
      <c r="VFI118" s="2"/>
      <c r="VFJ118" s="2"/>
      <c r="VFK118" s="2"/>
      <c r="VFL118" s="2"/>
      <c r="VFM118" s="2"/>
      <c r="VFN118" s="2"/>
      <c r="VFO118" s="2"/>
      <c r="VFP118" s="2"/>
      <c r="VFQ118" s="2"/>
      <c r="VFR118" s="2"/>
      <c r="VFS118" s="2"/>
      <c r="VFT118" s="2"/>
      <c r="VFU118" s="2"/>
      <c r="VFV118" s="2"/>
      <c r="VFW118" s="2"/>
      <c r="VFX118" s="2"/>
      <c r="VFY118" s="2"/>
      <c r="VFZ118" s="2"/>
      <c r="VGA118" s="2"/>
      <c r="VGB118" s="2"/>
      <c r="VGC118" s="2"/>
      <c r="VGD118" s="2"/>
      <c r="VGE118" s="2"/>
      <c r="VGF118" s="2"/>
      <c r="VGG118" s="2"/>
      <c r="VGH118" s="2"/>
      <c r="VGI118" s="2"/>
      <c r="VGJ118" s="2"/>
      <c r="VGK118" s="2"/>
      <c r="VGL118" s="2"/>
      <c r="VGM118" s="2"/>
      <c r="VGN118" s="2"/>
      <c r="VGO118" s="2"/>
      <c r="VGP118" s="2"/>
      <c r="VGQ118" s="2"/>
      <c r="VGR118" s="2"/>
      <c r="VGS118" s="2"/>
      <c r="VGT118" s="2"/>
      <c r="VGU118" s="2"/>
      <c r="VGV118" s="2"/>
      <c r="VGW118" s="2"/>
      <c r="VGX118" s="2"/>
      <c r="VGY118" s="2"/>
      <c r="VGZ118" s="2"/>
      <c r="VHA118" s="2"/>
      <c r="VHB118" s="2"/>
      <c r="VHC118" s="2"/>
      <c r="VHD118" s="2"/>
      <c r="VHE118" s="2"/>
      <c r="VHF118" s="2"/>
      <c r="VHG118" s="2"/>
      <c r="VHH118" s="2"/>
      <c r="VHI118" s="2"/>
      <c r="VHJ118" s="2"/>
      <c r="VHK118" s="2"/>
      <c r="VHL118" s="2"/>
      <c r="VHM118" s="2"/>
      <c r="VHN118" s="2"/>
      <c r="VHO118" s="2"/>
      <c r="VHP118" s="2"/>
      <c r="VHQ118" s="2"/>
      <c r="VHR118" s="2"/>
      <c r="VHS118" s="2"/>
      <c r="VHT118" s="2"/>
      <c r="VHU118" s="2"/>
      <c r="VHV118" s="2"/>
      <c r="VHW118" s="2"/>
      <c r="VHX118" s="2"/>
      <c r="VHY118" s="2"/>
      <c r="VHZ118" s="2"/>
      <c r="VIA118" s="2"/>
      <c r="VIB118" s="2"/>
      <c r="VIC118" s="2"/>
      <c r="VID118" s="2"/>
      <c r="VIE118" s="2"/>
      <c r="VIF118" s="2"/>
      <c r="VIG118" s="2"/>
      <c r="VIH118" s="2"/>
      <c r="VII118" s="2"/>
      <c r="VIJ118" s="2"/>
      <c r="VIK118" s="2"/>
      <c r="VIL118" s="2"/>
      <c r="VIM118" s="2"/>
      <c r="VIN118" s="2"/>
      <c r="VIO118" s="2"/>
      <c r="VIP118" s="2"/>
      <c r="VIQ118" s="2"/>
      <c r="VIR118" s="2"/>
      <c r="VIS118" s="2"/>
      <c r="VIT118" s="2"/>
      <c r="VIU118" s="2"/>
      <c r="VIV118" s="2"/>
      <c r="VIW118" s="2"/>
      <c r="VIX118" s="2"/>
      <c r="VIY118" s="2"/>
      <c r="VIZ118" s="2"/>
      <c r="VJA118" s="2"/>
      <c r="VJB118" s="2"/>
      <c r="VJC118" s="2"/>
      <c r="VJD118" s="2"/>
      <c r="VJE118" s="2"/>
      <c r="VJF118" s="2"/>
      <c r="VJG118" s="2"/>
      <c r="VJH118" s="2"/>
      <c r="VJI118" s="2"/>
      <c r="VJJ118" s="2"/>
      <c r="VJK118" s="2"/>
      <c r="VJL118" s="2"/>
      <c r="VJM118" s="2"/>
      <c r="VJN118" s="2"/>
      <c r="VJO118" s="2"/>
      <c r="VJP118" s="2"/>
      <c r="VJQ118" s="2"/>
      <c r="VJR118" s="2"/>
      <c r="VJS118" s="2"/>
      <c r="VJT118" s="2"/>
      <c r="VJU118" s="2"/>
      <c r="VJV118" s="2"/>
      <c r="VJW118" s="2"/>
      <c r="VJX118" s="2"/>
      <c r="VJY118" s="2"/>
      <c r="VJZ118" s="2"/>
      <c r="VKA118" s="2"/>
      <c r="VKB118" s="2"/>
      <c r="VKC118" s="2"/>
      <c r="VKD118" s="2"/>
      <c r="VKE118" s="2"/>
      <c r="VKF118" s="2"/>
      <c r="VKG118" s="2"/>
      <c r="VKH118" s="2"/>
      <c r="VKI118" s="2"/>
      <c r="VKJ118" s="2"/>
      <c r="VKK118" s="2"/>
      <c r="VKL118" s="2"/>
      <c r="VKM118" s="2"/>
      <c r="VKN118" s="2"/>
      <c r="VKO118" s="2"/>
      <c r="VKP118" s="2"/>
      <c r="VKQ118" s="2"/>
      <c r="VKR118" s="2"/>
      <c r="VKS118" s="2"/>
      <c r="VKT118" s="2"/>
      <c r="VKU118" s="2"/>
      <c r="VKV118" s="2"/>
      <c r="VKW118" s="2"/>
      <c r="VKX118" s="2"/>
      <c r="VKY118" s="2"/>
      <c r="VKZ118" s="2"/>
      <c r="VLA118" s="2"/>
      <c r="VLB118" s="2"/>
      <c r="VLC118" s="2"/>
      <c r="VLD118" s="2"/>
      <c r="VLE118" s="2"/>
      <c r="VLF118" s="2"/>
      <c r="VLG118" s="2"/>
      <c r="VLH118" s="2"/>
      <c r="VLI118" s="2"/>
      <c r="VLJ118" s="2"/>
      <c r="VLK118" s="2"/>
      <c r="VLL118" s="2"/>
      <c r="VLM118" s="2"/>
      <c r="VLN118" s="2"/>
      <c r="VLO118" s="2"/>
      <c r="VLP118" s="2"/>
      <c r="VLQ118" s="2"/>
      <c r="VLR118" s="2"/>
      <c r="VLS118" s="2"/>
      <c r="VLT118" s="2"/>
      <c r="VLU118" s="2"/>
      <c r="VLV118" s="2"/>
      <c r="VLW118" s="2"/>
      <c r="VLX118" s="2"/>
      <c r="VLY118" s="2"/>
      <c r="VLZ118" s="2"/>
      <c r="VMA118" s="2"/>
      <c r="VMB118" s="2"/>
      <c r="VMC118" s="2"/>
      <c r="VMD118" s="2"/>
      <c r="VME118" s="2"/>
      <c r="VMF118" s="2"/>
      <c r="VMG118" s="2"/>
      <c r="VMH118" s="2"/>
      <c r="VMI118" s="2"/>
      <c r="VMJ118" s="2"/>
      <c r="VMK118" s="2"/>
      <c r="VML118" s="2"/>
      <c r="VMM118" s="2"/>
      <c r="VMN118" s="2"/>
      <c r="VMO118" s="2"/>
      <c r="VMP118" s="2"/>
      <c r="VMQ118" s="2"/>
      <c r="VMR118" s="2"/>
      <c r="VMS118" s="2"/>
      <c r="VMT118" s="2"/>
      <c r="VMU118" s="2"/>
      <c r="VMV118" s="2"/>
      <c r="VMW118" s="2"/>
      <c r="VMX118" s="2"/>
      <c r="VMY118" s="2"/>
      <c r="VMZ118" s="2"/>
      <c r="VNA118" s="2"/>
      <c r="VNB118" s="2"/>
      <c r="VNC118" s="2"/>
      <c r="VND118" s="2"/>
      <c r="VNE118" s="2"/>
      <c r="VNF118" s="2"/>
      <c r="VNG118" s="2"/>
      <c r="VNH118" s="2"/>
      <c r="VNI118" s="2"/>
      <c r="VNJ118" s="2"/>
      <c r="VNK118" s="2"/>
      <c r="VNL118" s="2"/>
      <c r="VNM118" s="2"/>
      <c r="VNN118" s="2"/>
      <c r="VNO118" s="2"/>
      <c r="VNP118" s="2"/>
      <c r="VNQ118" s="2"/>
      <c r="VNR118" s="2"/>
      <c r="VNS118" s="2"/>
      <c r="VNT118" s="2"/>
      <c r="VNU118" s="2"/>
      <c r="VNV118" s="2"/>
      <c r="VNW118" s="2"/>
      <c r="VNX118" s="2"/>
      <c r="VNY118" s="2"/>
      <c r="VNZ118" s="2"/>
      <c r="VOA118" s="2"/>
      <c r="VOB118" s="2"/>
      <c r="VOC118" s="2"/>
      <c r="VOD118" s="2"/>
      <c r="VOE118" s="2"/>
      <c r="VOF118" s="2"/>
      <c r="VOG118" s="2"/>
      <c r="VOH118" s="2"/>
      <c r="VOI118" s="2"/>
      <c r="VOJ118" s="2"/>
      <c r="VOK118" s="2"/>
      <c r="VOL118" s="2"/>
      <c r="VOM118" s="2"/>
      <c r="VON118" s="2"/>
      <c r="VOO118" s="2"/>
      <c r="VOP118" s="2"/>
      <c r="VOQ118" s="2"/>
      <c r="VOR118" s="2"/>
      <c r="VOS118" s="2"/>
      <c r="VOT118" s="2"/>
      <c r="VOU118" s="2"/>
      <c r="VOV118" s="2"/>
      <c r="VOW118" s="2"/>
      <c r="VOX118" s="2"/>
      <c r="VOY118" s="2"/>
      <c r="VOZ118" s="2"/>
      <c r="VPA118" s="2"/>
      <c r="VPB118" s="2"/>
      <c r="VPC118" s="2"/>
      <c r="VPD118" s="2"/>
      <c r="VPE118" s="2"/>
      <c r="VPF118" s="2"/>
      <c r="VPG118" s="2"/>
      <c r="VPH118" s="2"/>
      <c r="VPI118" s="2"/>
      <c r="VPJ118" s="2"/>
      <c r="VPK118" s="2"/>
      <c r="VPL118" s="2"/>
      <c r="VPM118" s="2"/>
      <c r="VPN118" s="2"/>
      <c r="VPO118" s="2"/>
      <c r="VPP118" s="2"/>
      <c r="VPQ118" s="2"/>
      <c r="VPR118" s="2"/>
      <c r="VPS118" s="2"/>
      <c r="VPT118" s="2"/>
      <c r="VPU118" s="2"/>
      <c r="VPV118" s="2"/>
      <c r="VPW118" s="2"/>
      <c r="VPX118" s="2"/>
      <c r="VPY118" s="2"/>
      <c r="VPZ118" s="2"/>
      <c r="VQA118" s="2"/>
      <c r="VQB118" s="2"/>
      <c r="VQC118" s="2"/>
      <c r="VQD118" s="2"/>
      <c r="VQE118" s="2"/>
      <c r="VQF118" s="2"/>
      <c r="VQG118" s="2"/>
      <c r="VQH118" s="2"/>
      <c r="VQI118" s="2"/>
      <c r="VQJ118" s="2"/>
      <c r="VQK118" s="2"/>
      <c r="VQL118" s="2"/>
      <c r="VQM118" s="2"/>
      <c r="VQN118" s="2"/>
      <c r="VQO118" s="2"/>
      <c r="VQP118" s="2"/>
      <c r="VQQ118" s="2"/>
      <c r="VQR118" s="2"/>
      <c r="VQS118" s="2"/>
      <c r="VQT118" s="2"/>
      <c r="VQU118" s="2"/>
      <c r="VQV118" s="2"/>
      <c r="VQW118" s="2"/>
      <c r="VQX118" s="2"/>
      <c r="VQY118" s="2"/>
      <c r="VQZ118" s="2"/>
      <c r="VRA118" s="2"/>
      <c r="VRB118" s="2"/>
      <c r="VRC118" s="2"/>
      <c r="VRD118" s="2"/>
      <c r="VRE118" s="2"/>
      <c r="VRF118" s="2"/>
      <c r="VRG118" s="2"/>
      <c r="VRH118" s="2"/>
      <c r="VRI118" s="2"/>
      <c r="VRJ118" s="2"/>
      <c r="VRK118" s="2"/>
      <c r="VRL118" s="2"/>
      <c r="VRM118" s="2"/>
      <c r="VRN118" s="2"/>
      <c r="VRO118" s="2"/>
      <c r="VRP118" s="2"/>
      <c r="VRQ118" s="2"/>
      <c r="VRR118" s="2"/>
      <c r="VRS118" s="2"/>
      <c r="VRT118" s="2"/>
      <c r="VRU118" s="2"/>
      <c r="VRV118" s="2"/>
      <c r="VRW118" s="2"/>
      <c r="VRX118" s="2"/>
      <c r="VRY118" s="2"/>
      <c r="VRZ118" s="2"/>
      <c r="VSA118" s="2"/>
      <c r="VSB118" s="2"/>
      <c r="VSC118" s="2"/>
      <c r="VSD118" s="2"/>
      <c r="VSE118" s="2"/>
      <c r="VSF118" s="2"/>
      <c r="VSG118" s="2"/>
      <c r="VSH118" s="2"/>
      <c r="VSI118" s="2"/>
      <c r="VSJ118" s="2"/>
      <c r="VSK118" s="2"/>
      <c r="VSL118" s="2"/>
      <c r="VSM118" s="2"/>
      <c r="VSN118" s="2"/>
      <c r="VSO118" s="2"/>
      <c r="VSP118" s="2"/>
      <c r="VSQ118" s="2"/>
      <c r="VSR118" s="2"/>
      <c r="VSS118" s="2"/>
      <c r="VST118" s="2"/>
      <c r="VSU118" s="2"/>
      <c r="VSV118" s="2"/>
      <c r="VSW118" s="2"/>
      <c r="VSX118" s="2"/>
      <c r="VSY118" s="2"/>
      <c r="VSZ118" s="2"/>
      <c r="VTA118" s="2"/>
      <c r="VTB118" s="2"/>
      <c r="VTC118" s="2"/>
      <c r="VTD118" s="2"/>
      <c r="VTE118" s="2"/>
      <c r="VTF118" s="2"/>
      <c r="VTG118" s="2"/>
      <c r="VTH118" s="2"/>
      <c r="VTI118" s="2"/>
      <c r="VTJ118" s="2"/>
      <c r="VTK118" s="2"/>
      <c r="VTL118" s="2"/>
      <c r="VTM118" s="2"/>
      <c r="VTN118" s="2"/>
      <c r="VTO118" s="2"/>
      <c r="VTP118" s="2"/>
      <c r="VTQ118" s="2"/>
      <c r="VTR118" s="2"/>
      <c r="VTS118" s="2"/>
      <c r="VTT118" s="2"/>
      <c r="VTU118" s="2"/>
      <c r="VTV118" s="2"/>
      <c r="VTW118" s="2"/>
      <c r="VTX118" s="2"/>
      <c r="VTY118" s="2"/>
      <c r="VTZ118" s="2"/>
      <c r="VUA118" s="2"/>
      <c r="VUB118" s="2"/>
      <c r="VUC118" s="2"/>
      <c r="VUD118" s="2"/>
      <c r="VUE118" s="2"/>
      <c r="VUF118" s="2"/>
      <c r="VUG118" s="2"/>
      <c r="VUH118" s="2"/>
      <c r="VUI118" s="2"/>
      <c r="VUJ118" s="2"/>
      <c r="VUK118" s="2"/>
      <c r="VUL118" s="2"/>
      <c r="VUM118" s="2"/>
      <c r="VUN118" s="2"/>
      <c r="VUO118" s="2"/>
      <c r="VUP118" s="2"/>
      <c r="VUQ118" s="2"/>
      <c r="VUR118" s="2"/>
      <c r="VUS118" s="2"/>
      <c r="VUT118" s="2"/>
      <c r="VUU118" s="2"/>
      <c r="VUV118" s="2"/>
      <c r="VUW118" s="2"/>
      <c r="VUX118" s="2"/>
      <c r="VUY118" s="2"/>
      <c r="VUZ118" s="2"/>
      <c r="VVA118" s="2"/>
      <c r="VVB118" s="2"/>
      <c r="VVC118" s="2"/>
      <c r="VVD118" s="2"/>
      <c r="VVE118" s="2"/>
      <c r="VVF118" s="2"/>
      <c r="VVG118" s="2"/>
      <c r="VVH118" s="2"/>
      <c r="VVI118" s="2"/>
      <c r="VVJ118" s="2"/>
      <c r="VVK118" s="2"/>
      <c r="VVL118" s="2"/>
      <c r="VVM118" s="2"/>
      <c r="VVN118" s="2"/>
      <c r="VVO118" s="2"/>
      <c r="VVP118" s="2"/>
      <c r="VVQ118" s="2"/>
      <c r="VVR118" s="2"/>
      <c r="VVS118" s="2"/>
      <c r="VVT118" s="2"/>
      <c r="VVU118" s="2"/>
      <c r="VVV118" s="2"/>
      <c r="VVW118" s="2"/>
      <c r="VVX118" s="2"/>
      <c r="VVY118" s="2"/>
      <c r="VVZ118" s="2"/>
      <c r="VWA118" s="2"/>
      <c r="VWB118" s="2"/>
      <c r="VWC118" s="2"/>
      <c r="VWD118" s="2"/>
      <c r="VWE118" s="2"/>
      <c r="VWF118" s="2"/>
      <c r="VWG118" s="2"/>
      <c r="VWH118" s="2"/>
      <c r="VWI118" s="2"/>
      <c r="VWJ118" s="2"/>
      <c r="VWK118" s="2"/>
      <c r="VWL118" s="2"/>
      <c r="VWM118" s="2"/>
      <c r="VWN118" s="2"/>
      <c r="VWO118" s="2"/>
      <c r="VWP118" s="2"/>
      <c r="VWQ118" s="2"/>
      <c r="VWR118" s="2"/>
      <c r="VWS118" s="2"/>
      <c r="VWT118" s="2"/>
      <c r="VWU118" s="2"/>
      <c r="VWV118" s="2"/>
      <c r="VWW118" s="2"/>
      <c r="VWX118" s="2"/>
      <c r="VWY118" s="2"/>
      <c r="VWZ118" s="2"/>
      <c r="VXA118" s="2"/>
      <c r="VXB118" s="2"/>
      <c r="VXC118" s="2"/>
      <c r="VXD118" s="2"/>
      <c r="VXE118" s="2"/>
      <c r="VXF118" s="2"/>
      <c r="VXG118" s="2"/>
      <c r="VXH118" s="2"/>
      <c r="VXI118" s="2"/>
      <c r="VXJ118" s="2"/>
      <c r="VXK118" s="2"/>
      <c r="VXL118" s="2"/>
      <c r="VXM118" s="2"/>
      <c r="VXN118" s="2"/>
      <c r="VXO118" s="2"/>
      <c r="VXP118" s="2"/>
      <c r="VXQ118" s="2"/>
      <c r="VXR118" s="2"/>
      <c r="VXS118" s="2"/>
      <c r="VXT118" s="2"/>
      <c r="VXU118" s="2"/>
      <c r="VXV118" s="2"/>
      <c r="VXW118" s="2"/>
      <c r="VXX118" s="2"/>
      <c r="VXY118" s="2"/>
      <c r="VXZ118" s="2"/>
      <c r="VYA118" s="2"/>
      <c r="VYB118" s="2"/>
      <c r="VYC118" s="2"/>
      <c r="VYD118" s="2"/>
      <c r="VYE118" s="2"/>
      <c r="VYF118" s="2"/>
      <c r="VYG118" s="2"/>
      <c r="VYH118" s="2"/>
      <c r="VYI118" s="2"/>
      <c r="VYJ118" s="2"/>
      <c r="VYK118" s="2"/>
      <c r="VYL118" s="2"/>
      <c r="VYM118" s="2"/>
      <c r="VYN118" s="2"/>
      <c r="VYO118" s="2"/>
      <c r="VYP118" s="2"/>
      <c r="VYQ118" s="2"/>
      <c r="VYR118" s="2"/>
      <c r="VYS118" s="2"/>
      <c r="VYT118" s="2"/>
      <c r="VYU118" s="2"/>
      <c r="VYV118" s="2"/>
      <c r="VYW118" s="2"/>
      <c r="VYX118" s="2"/>
      <c r="VYY118" s="2"/>
      <c r="VYZ118" s="2"/>
      <c r="VZA118" s="2"/>
      <c r="VZB118" s="2"/>
      <c r="VZC118" s="2"/>
      <c r="VZD118" s="2"/>
      <c r="VZE118" s="2"/>
      <c r="VZF118" s="2"/>
      <c r="VZG118" s="2"/>
      <c r="VZH118" s="2"/>
      <c r="VZI118" s="2"/>
      <c r="VZJ118" s="2"/>
      <c r="VZK118" s="2"/>
      <c r="VZL118" s="2"/>
      <c r="VZM118" s="2"/>
      <c r="VZN118" s="2"/>
      <c r="VZO118" s="2"/>
      <c r="VZP118" s="2"/>
      <c r="VZQ118" s="2"/>
      <c r="VZR118" s="2"/>
      <c r="VZS118" s="2"/>
      <c r="VZT118" s="2"/>
      <c r="VZU118" s="2"/>
      <c r="VZV118" s="2"/>
      <c r="VZW118" s="2"/>
      <c r="VZX118" s="2"/>
      <c r="VZY118" s="2"/>
      <c r="VZZ118" s="2"/>
      <c r="WAA118" s="2"/>
      <c r="WAB118" s="2"/>
      <c r="WAC118" s="2"/>
      <c r="WAD118" s="2"/>
      <c r="WAE118" s="2"/>
      <c r="WAF118" s="2"/>
      <c r="WAG118" s="2"/>
      <c r="WAH118" s="2"/>
      <c r="WAI118" s="2"/>
      <c r="WAJ118" s="2"/>
      <c r="WAK118" s="2"/>
      <c r="WAL118" s="2"/>
      <c r="WAM118" s="2"/>
      <c r="WAN118" s="2"/>
      <c r="WAO118" s="2"/>
      <c r="WAP118" s="2"/>
      <c r="WAQ118" s="2"/>
      <c r="WAR118" s="2"/>
      <c r="WAS118" s="2"/>
      <c r="WAT118" s="2"/>
      <c r="WAU118" s="2"/>
      <c r="WAV118" s="2"/>
      <c r="WAW118" s="2"/>
      <c r="WAX118" s="2"/>
      <c r="WAY118" s="2"/>
      <c r="WAZ118" s="2"/>
      <c r="WBA118" s="2"/>
      <c r="WBB118" s="2"/>
      <c r="WBC118" s="2"/>
      <c r="WBD118" s="2"/>
      <c r="WBE118" s="2"/>
      <c r="WBF118" s="2"/>
      <c r="WBG118" s="2"/>
      <c r="WBH118" s="2"/>
      <c r="WBI118" s="2"/>
      <c r="WBJ118" s="2"/>
      <c r="WBK118" s="2"/>
      <c r="WBL118" s="2"/>
      <c r="WBM118" s="2"/>
      <c r="WBN118" s="2"/>
      <c r="WBO118" s="2"/>
      <c r="WBP118" s="2"/>
      <c r="WBQ118" s="2"/>
      <c r="WBR118" s="2"/>
      <c r="WBS118" s="2"/>
      <c r="WBT118" s="2"/>
      <c r="WBU118" s="2"/>
      <c r="WBV118" s="2"/>
      <c r="WBW118" s="2"/>
      <c r="WBX118" s="2"/>
      <c r="WBY118" s="2"/>
      <c r="WBZ118" s="2"/>
      <c r="WCA118" s="2"/>
      <c r="WCB118" s="2"/>
      <c r="WCC118" s="2"/>
      <c r="WCD118" s="2"/>
      <c r="WCE118" s="2"/>
      <c r="WCF118" s="2"/>
      <c r="WCG118" s="2"/>
      <c r="WCH118" s="2"/>
      <c r="WCI118" s="2"/>
      <c r="WCJ118" s="2"/>
      <c r="WCK118" s="2"/>
      <c r="WCL118" s="2"/>
      <c r="WCM118" s="2"/>
      <c r="WCN118" s="2"/>
      <c r="WCO118" s="2"/>
      <c r="WCP118" s="2"/>
      <c r="WCQ118" s="2"/>
      <c r="WCR118" s="2"/>
      <c r="WCS118" s="2"/>
      <c r="WCT118" s="2"/>
      <c r="WCU118" s="2"/>
      <c r="WCV118" s="2"/>
      <c r="WCW118" s="2"/>
      <c r="WCX118" s="2"/>
      <c r="WCY118" s="2"/>
      <c r="WCZ118" s="2"/>
      <c r="WDA118" s="2"/>
      <c r="WDB118" s="2"/>
      <c r="WDC118" s="2"/>
      <c r="WDD118" s="2"/>
      <c r="WDE118" s="2"/>
      <c r="WDF118" s="2"/>
      <c r="WDG118" s="2"/>
      <c r="WDH118" s="2"/>
      <c r="WDI118" s="2"/>
      <c r="WDJ118" s="2"/>
      <c r="WDK118" s="2"/>
      <c r="WDL118" s="2"/>
      <c r="WDM118" s="2"/>
      <c r="WDN118" s="2"/>
      <c r="WDO118" s="2"/>
      <c r="WDP118" s="2"/>
      <c r="WDQ118" s="2"/>
      <c r="WDR118" s="2"/>
      <c r="WDS118" s="2"/>
      <c r="WDT118" s="2"/>
      <c r="WDU118" s="2"/>
      <c r="WDV118" s="2"/>
      <c r="WDW118" s="2"/>
      <c r="WDX118" s="2"/>
      <c r="WDY118" s="2"/>
      <c r="WDZ118" s="2"/>
      <c r="WEA118" s="2"/>
      <c r="WEB118" s="2"/>
      <c r="WEC118" s="2"/>
      <c r="WED118" s="2"/>
      <c r="WEE118" s="2"/>
      <c r="WEF118" s="2"/>
      <c r="WEG118" s="2"/>
      <c r="WEH118" s="2"/>
      <c r="WEI118" s="2"/>
      <c r="WEJ118" s="2"/>
      <c r="WEK118" s="2"/>
      <c r="WEL118" s="2"/>
      <c r="WEM118" s="2"/>
      <c r="WEN118" s="2"/>
      <c r="WEO118" s="2"/>
      <c r="WEP118" s="2"/>
      <c r="WEQ118" s="2"/>
      <c r="WER118" s="2"/>
      <c r="WES118" s="2"/>
      <c r="WET118" s="2"/>
      <c r="WEU118" s="2"/>
      <c r="WEV118" s="2"/>
      <c r="WEW118" s="2"/>
      <c r="WEX118" s="2"/>
      <c r="WEY118" s="2"/>
      <c r="WEZ118" s="2"/>
      <c r="WFA118" s="2"/>
      <c r="WFB118" s="2"/>
      <c r="WFC118" s="2"/>
      <c r="WFD118" s="2"/>
      <c r="WFE118" s="2"/>
      <c r="WFF118" s="2"/>
      <c r="WFG118" s="2"/>
      <c r="WFH118" s="2"/>
      <c r="WFI118" s="2"/>
      <c r="WFJ118" s="2"/>
      <c r="WFK118" s="2"/>
      <c r="WFL118" s="2"/>
      <c r="WFM118" s="2"/>
      <c r="WFN118" s="2"/>
      <c r="WFO118" s="2"/>
      <c r="WFP118" s="2"/>
      <c r="WFQ118" s="2"/>
      <c r="WFR118" s="2"/>
      <c r="WFS118" s="2"/>
      <c r="WFT118" s="2"/>
      <c r="WFU118" s="2"/>
      <c r="WFV118" s="2"/>
      <c r="WFW118" s="2"/>
      <c r="WFX118" s="2"/>
      <c r="WFY118" s="2"/>
      <c r="WFZ118" s="2"/>
      <c r="WGA118" s="2"/>
      <c r="WGB118" s="2"/>
      <c r="WGC118" s="2"/>
      <c r="WGD118" s="2"/>
      <c r="WGE118" s="2"/>
      <c r="WGF118" s="2"/>
      <c r="WGG118" s="2"/>
      <c r="WGH118" s="2"/>
      <c r="WGI118" s="2"/>
      <c r="WGJ118" s="2"/>
      <c r="WGK118" s="2"/>
      <c r="WGL118" s="2"/>
      <c r="WGM118" s="2"/>
      <c r="WGN118" s="2"/>
      <c r="WGO118" s="2"/>
      <c r="WGP118" s="2"/>
      <c r="WGQ118" s="2"/>
      <c r="WGR118" s="2"/>
      <c r="WGS118" s="2"/>
      <c r="WGT118" s="2"/>
      <c r="WGU118" s="2"/>
      <c r="WGV118" s="2"/>
      <c r="WGW118" s="2"/>
      <c r="WGX118" s="2"/>
      <c r="WGY118" s="2"/>
      <c r="WGZ118" s="2"/>
      <c r="WHA118" s="2"/>
      <c r="WHB118" s="2"/>
      <c r="WHC118" s="2"/>
      <c r="WHD118" s="2"/>
      <c r="WHE118" s="2"/>
      <c r="WHF118" s="2"/>
      <c r="WHG118" s="2"/>
      <c r="WHH118" s="2"/>
      <c r="WHI118" s="2"/>
      <c r="WHJ118" s="2"/>
      <c r="WHK118" s="2"/>
      <c r="WHL118" s="2"/>
      <c r="WHM118" s="2"/>
      <c r="WHN118" s="2"/>
      <c r="WHO118" s="2"/>
      <c r="WHP118" s="2"/>
      <c r="WHQ118" s="2"/>
      <c r="WHR118" s="2"/>
      <c r="WHS118" s="2"/>
      <c r="WHT118" s="2"/>
      <c r="WHU118" s="2"/>
      <c r="WHV118" s="2"/>
      <c r="WHW118" s="2"/>
      <c r="WHX118" s="2"/>
      <c r="WHY118" s="2"/>
      <c r="WHZ118" s="2"/>
      <c r="WIA118" s="2"/>
      <c r="WIB118" s="2"/>
      <c r="WIC118" s="2"/>
      <c r="WID118" s="2"/>
      <c r="WIE118" s="2"/>
      <c r="WIF118" s="2"/>
      <c r="WIG118" s="2"/>
      <c r="WIH118" s="2"/>
      <c r="WII118" s="2"/>
      <c r="WIJ118" s="2"/>
      <c r="WIK118" s="2"/>
      <c r="WIL118" s="2"/>
      <c r="WIM118" s="2"/>
      <c r="WIN118" s="2"/>
      <c r="WIO118" s="2"/>
      <c r="WIP118" s="2"/>
      <c r="WIQ118" s="2"/>
      <c r="WIR118" s="2"/>
      <c r="WIS118" s="2"/>
      <c r="WIT118" s="2"/>
      <c r="WIU118" s="2"/>
      <c r="WIV118" s="2"/>
      <c r="WIW118" s="2"/>
      <c r="WIX118" s="2"/>
      <c r="WIY118" s="2"/>
      <c r="WIZ118" s="2"/>
      <c r="WJA118" s="2"/>
      <c r="WJB118" s="2"/>
      <c r="WJC118" s="2"/>
      <c r="WJD118" s="2"/>
      <c r="WJE118" s="2"/>
      <c r="WJF118" s="2"/>
      <c r="WJG118" s="2"/>
      <c r="WJH118" s="2"/>
      <c r="WJI118" s="2"/>
      <c r="WJJ118" s="2"/>
      <c r="WJK118" s="2"/>
      <c r="WJL118" s="2"/>
      <c r="WJM118" s="2"/>
      <c r="WJN118" s="2"/>
      <c r="WJO118" s="2"/>
      <c r="WJP118" s="2"/>
      <c r="WJQ118" s="2"/>
      <c r="WJR118" s="2"/>
      <c r="WJS118" s="2"/>
      <c r="WJT118" s="2"/>
      <c r="WJU118" s="2"/>
      <c r="WJV118" s="2"/>
      <c r="WJW118" s="2"/>
      <c r="WJX118" s="2"/>
      <c r="WJY118" s="2"/>
      <c r="WJZ118" s="2"/>
      <c r="WKA118" s="2"/>
      <c r="WKB118" s="2"/>
      <c r="WKC118" s="2"/>
      <c r="WKD118" s="2"/>
      <c r="WKE118" s="2"/>
      <c r="WKF118" s="2"/>
      <c r="WKG118" s="2"/>
      <c r="WKH118" s="2"/>
      <c r="WKI118" s="2"/>
      <c r="WKJ118" s="2"/>
      <c r="WKK118" s="2"/>
      <c r="WKL118" s="2"/>
      <c r="WKM118" s="2"/>
      <c r="WKN118" s="2"/>
      <c r="WKO118" s="2"/>
      <c r="WKP118" s="2"/>
      <c r="WKQ118" s="2"/>
      <c r="WKR118" s="2"/>
      <c r="WKS118" s="2"/>
      <c r="WKT118" s="2"/>
      <c r="WKU118" s="2"/>
      <c r="WKV118" s="2"/>
      <c r="WKW118" s="2"/>
      <c r="WKX118" s="2"/>
      <c r="WKY118" s="2"/>
      <c r="WKZ118" s="2"/>
      <c r="WLA118" s="2"/>
      <c r="WLB118" s="2"/>
      <c r="WLC118" s="2"/>
      <c r="WLD118" s="2"/>
      <c r="WLE118" s="2"/>
      <c r="WLF118" s="2"/>
      <c r="WLG118" s="2"/>
      <c r="WLH118" s="2"/>
      <c r="WLI118" s="2"/>
      <c r="WLJ118" s="2"/>
      <c r="WLK118" s="2"/>
      <c r="WLL118" s="2"/>
      <c r="WLM118" s="2"/>
      <c r="WLN118" s="2"/>
      <c r="WLO118" s="2"/>
      <c r="WLP118" s="2"/>
      <c r="WLQ118" s="2"/>
      <c r="WLR118" s="2"/>
      <c r="WLS118" s="2"/>
      <c r="WLT118" s="2"/>
      <c r="WLU118" s="2"/>
      <c r="WLV118" s="2"/>
      <c r="WLW118" s="2"/>
      <c r="WLX118" s="2"/>
      <c r="WLY118" s="2"/>
      <c r="WLZ118" s="2"/>
      <c r="WMA118" s="2"/>
      <c r="WMB118" s="2"/>
      <c r="WMC118" s="2"/>
      <c r="WMD118" s="2"/>
      <c r="WME118" s="2"/>
      <c r="WMF118" s="2"/>
      <c r="WMG118" s="2"/>
      <c r="WMH118" s="2"/>
      <c r="WMI118" s="2"/>
      <c r="WMJ118" s="2"/>
      <c r="WMK118" s="2"/>
      <c r="WML118" s="2"/>
      <c r="WMM118" s="2"/>
      <c r="WMN118" s="2"/>
      <c r="WMO118" s="2"/>
      <c r="WMP118" s="2"/>
      <c r="WMQ118" s="2"/>
      <c r="WMR118" s="2"/>
      <c r="WMS118" s="2"/>
      <c r="WMT118" s="2"/>
      <c r="WMU118" s="2"/>
      <c r="WMV118" s="2"/>
      <c r="WMW118" s="2"/>
      <c r="WMX118" s="2"/>
      <c r="WMY118" s="2"/>
      <c r="WMZ118" s="2"/>
      <c r="WNA118" s="2"/>
      <c r="WNB118" s="2"/>
      <c r="WNC118" s="2"/>
      <c r="WND118" s="2"/>
      <c r="WNE118" s="2"/>
      <c r="WNF118" s="2"/>
      <c r="WNG118" s="2"/>
      <c r="WNH118" s="2"/>
      <c r="WNI118" s="2"/>
      <c r="WNJ118" s="2"/>
      <c r="WNK118" s="2"/>
      <c r="WNL118" s="2"/>
      <c r="WNM118" s="2"/>
      <c r="WNN118" s="2"/>
      <c r="WNO118" s="2"/>
      <c r="WNP118" s="2"/>
      <c r="WNQ118" s="2"/>
      <c r="WNR118" s="2"/>
      <c r="WNS118" s="2"/>
      <c r="WNT118" s="2"/>
      <c r="WNU118" s="2"/>
      <c r="WNV118" s="2"/>
      <c r="WNW118" s="2"/>
      <c r="WNX118" s="2"/>
      <c r="WNY118" s="2"/>
      <c r="WNZ118" s="2"/>
      <c r="WOA118" s="2"/>
      <c r="WOB118" s="2"/>
      <c r="WOC118" s="2"/>
      <c r="WOD118" s="2"/>
      <c r="WOE118" s="2"/>
      <c r="WOF118" s="2"/>
      <c r="WOG118" s="2"/>
      <c r="WOH118" s="2"/>
      <c r="WOI118" s="2"/>
      <c r="WOJ118" s="2"/>
      <c r="WOK118" s="2"/>
      <c r="WOL118" s="2"/>
      <c r="WOM118" s="2"/>
      <c r="WON118" s="2"/>
      <c r="WOO118" s="2"/>
      <c r="WOP118" s="2"/>
      <c r="WOQ118" s="2"/>
      <c r="WOR118" s="2"/>
      <c r="WOS118" s="2"/>
      <c r="WOT118" s="2"/>
      <c r="WOU118" s="2"/>
      <c r="WOV118" s="2"/>
      <c r="WOW118" s="2"/>
      <c r="WOX118" s="2"/>
      <c r="WOY118" s="2"/>
      <c r="WOZ118" s="2"/>
      <c r="WPA118" s="2"/>
      <c r="WPB118" s="2"/>
      <c r="WPC118" s="2"/>
      <c r="WPD118" s="2"/>
      <c r="WPE118" s="2"/>
      <c r="WPF118" s="2"/>
      <c r="WPG118" s="2"/>
      <c r="WPH118" s="2"/>
      <c r="WPI118" s="2"/>
      <c r="WPJ118" s="2"/>
      <c r="WPK118" s="2"/>
      <c r="WPL118" s="2"/>
      <c r="WPM118" s="2"/>
      <c r="WPN118" s="2"/>
      <c r="WPO118" s="2"/>
      <c r="WPP118" s="2"/>
      <c r="WPQ118" s="2"/>
      <c r="WPR118" s="2"/>
      <c r="WPS118" s="2"/>
      <c r="WPT118" s="2"/>
      <c r="WPU118" s="2"/>
      <c r="WPV118" s="2"/>
      <c r="WPW118" s="2"/>
      <c r="WPX118" s="2"/>
      <c r="WPY118" s="2"/>
      <c r="WPZ118" s="2"/>
      <c r="WQA118" s="2"/>
      <c r="WQB118" s="2"/>
      <c r="WQC118" s="2"/>
      <c r="WQD118" s="2"/>
      <c r="WQE118" s="2"/>
      <c r="WQF118" s="2"/>
      <c r="WQG118" s="2"/>
      <c r="WQH118" s="2"/>
      <c r="WQI118" s="2"/>
      <c r="WQJ118" s="2"/>
      <c r="WQK118" s="2"/>
      <c r="WQL118" s="2"/>
      <c r="WQM118" s="2"/>
      <c r="WQN118" s="2"/>
      <c r="WQO118" s="2"/>
      <c r="WQP118" s="2"/>
      <c r="WQQ118" s="2"/>
      <c r="WQR118" s="2"/>
      <c r="WQS118" s="2"/>
      <c r="WQT118" s="2"/>
      <c r="WQU118" s="2"/>
      <c r="WQV118" s="2"/>
      <c r="WQW118" s="2"/>
      <c r="WQX118" s="2"/>
      <c r="WQY118" s="2"/>
      <c r="WQZ118" s="2"/>
      <c r="WRA118" s="2"/>
      <c r="WRB118" s="2"/>
      <c r="WRC118" s="2"/>
      <c r="WRD118" s="2"/>
      <c r="WRE118" s="2"/>
      <c r="WRF118" s="2"/>
      <c r="WRG118" s="2"/>
      <c r="WRH118" s="2"/>
      <c r="WRI118" s="2"/>
      <c r="WRJ118" s="2"/>
      <c r="WRK118" s="2"/>
      <c r="WRL118" s="2"/>
      <c r="WRM118" s="2"/>
      <c r="WRN118" s="2"/>
      <c r="WRO118" s="2"/>
      <c r="WRP118" s="2"/>
      <c r="WRQ118" s="2"/>
      <c r="WRR118" s="2"/>
      <c r="WRS118" s="2"/>
      <c r="WRT118" s="2"/>
      <c r="WRU118" s="2"/>
      <c r="WRV118" s="2"/>
      <c r="WRW118" s="2"/>
      <c r="WRX118" s="2"/>
      <c r="WRY118" s="2"/>
      <c r="WRZ118" s="2"/>
      <c r="WSA118" s="2"/>
      <c r="WSB118" s="2"/>
      <c r="WSC118" s="2"/>
      <c r="WSD118" s="2"/>
      <c r="WSE118" s="2"/>
      <c r="WSF118" s="2"/>
      <c r="WSG118" s="2"/>
      <c r="WSH118" s="2"/>
      <c r="WSI118" s="2"/>
      <c r="WSJ118" s="2"/>
      <c r="WSK118" s="2"/>
      <c r="WSL118" s="2"/>
      <c r="WSM118" s="2"/>
      <c r="WSN118" s="2"/>
      <c r="WSO118" s="2"/>
      <c r="WSP118" s="2"/>
      <c r="WSQ118" s="2"/>
      <c r="WSR118" s="2"/>
      <c r="WSS118" s="2"/>
      <c r="WST118" s="2"/>
      <c r="WSU118" s="2"/>
      <c r="WSV118" s="2"/>
      <c r="WSW118" s="2"/>
      <c r="WSX118" s="2"/>
      <c r="WSY118" s="2"/>
      <c r="WSZ118" s="2"/>
      <c r="WTA118" s="2"/>
      <c r="WTB118" s="2"/>
      <c r="WTC118" s="2"/>
      <c r="WTD118" s="2"/>
      <c r="WTE118" s="2"/>
      <c r="WTF118" s="2"/>
      <c r="WTG118" s="2"/>
      <c r="WTH118" s="2"/>
      <c r="WTI118" s="2"/>
      <c r="WTJ118" s="2"/>
      <c r="WTK118" s="2"/>
      <c r="WTL118" s="2"/>
      <c r="WTM118" s="2"/>
      <c r="WTN118" s="2"/>
      <c r="WTO118" s="2"/>
      <c r="WTP118" s="2"/>
      <c r="WTQ118" s="2"/>
      <c r="WTR118" s="2"/>
      <c r="WTS118" s="2"/>
      <c r="WTT118" s="2"/>
      <c r="WTU118" s="2"/>
      <c r="WTV118" s="2"/>
      <c r="WTW118" s="2"/>
      <c r="WTX118" s="2"/>
      <c r="WTY118" s="2"/>
      <c r="WTZ118" s="2"/>
      <c r="WUA118" s="2"/>
      <c r="WUB118" s="2"/>
      <c r="WUC118" s="2"/>
      <c r="WUD118" s="2"/>
      <c r="WUE118" s="2"/>
      <c r="WUF118" s="2"/>
      <c r="WUG118" s="2"/>
      <c r="WUH118" s="2"/>
      <c r="WUI118" s="2"/>
      <c r="WUJ118" s="2"/>
      <c r="WUK118" s="2"/>
      <c r="WUL118" s="2"/>
      <c r="WUM118" s="2"/>
      <c r="WUN118" s="2"/>
      <c r="WUO118" s="2"/>
      <c r="WUP118" s="2"/>
      <c r="WUQ118" s="2"/>
      <c r="WUR118" s="2"/>
      <c r="WUS118" s="2"/>
      <c r="WUT118" s="2"/>
      <c r="WUU118" s="2"/>
      <c r="WUV118" s="2"/>
      <c r="WUW118" s="2"/>
      <c r="WUX118" s="2"/>
      <c r="WUY118" s="2"/>
      <c r="WUZ118" s="2"/>
      <c r="WVA118" s="2"/>
      <c r="WVB118" s="2"/>
      <c r="WVC118" s="2"/>
      <c r="WVD118" s="2"/>
      <c r="WVE118" s="2"/>
      <c r="WVF118" s="2"/>
      <c r="WVG118" s="2"/>
      <c r="WVH118" s="2"/>
      <c r="WVI118" s="2"/>
      <c r="WVJ118" s="2"/>
      <c r="WVK118" s="2"/>
      <c r="WVL118" s="2"/>
      <c r="WVM118" s="2"/>
      <c r="WVN118" s="2"/>
      <c r="WVO118" s="2"/>
      <c r="WVP118" s="2"/>
      <c r="WVQ118" s="2"/>
      <c r="WVR118" s="2"/>
      <c r="WVS118" s="2"/>
      <c r="WVT118" s="2"/>
      <c r="WVU118" s="2"/>
      <c r="WVV118" s="2"/>
      <c r="WVW118" s="2"/>
      <c r="WVX118" s="2"/>
      <c r="WVY118" s="2"/>
      <c r="WVZ118" s="2"/>
      <c r="WWA118" s="2"/>
      <c r="WWB118" s="2"/>
      <c r="WWC118" s="2"/>
      <c r="WWD118" s="2"/>
      <c r="WWE118" s="2"/>
      <c r="WWF118" s="2"/>
      <c r="WWG118" s="2"/>
      <c r="WWH118" s="2"/>
      <c r="WWI118" s="2"/>
      <c r="WWJ118" s="2"/>
      <c r="WWK118" s="2"/>
      <c r="WWL118" s="2"/>
      <c r="WWM118" s="2"/>
      <c r="WWN118" s="2"/>
      <c r="WWO118" s="2"/>
      <c r="WWP118" s="2"/>
      <c r="WWQ118" s="2"/>
      <c r="WWR118" s="2"/>
      <c r="WWS118" s="2"/>
      <c r="WWT118" s="2"/>
      <c r="WWU118" s="2"/>
      <c r="WWV118" s="2"/>
      <c r="WWW118" s="2"/>
      <c r="WWX118" s="2"/>
      <c r="WWY118" s="2"/>
      <c r="WWZ118" s="2"/>
      <c r="WXA118" s="2"/>
      <c r="WXB118" s="2"/>
      <c r="WXC118" s="2"/>
      <c r="WXD118" s="2"/>
      <c r="WXE118" s="2"/>
      <c r="WXF118" s="2"/>
      <c r="WXG118" s="2"/>
      <c r="WXH118" s="2"/>
      <c r="WXI118" s="2"/>
      <c r="WXJ118" s="2"/>
      <c r="WXK118" s="2"/>
      <c r="WXL118" s="2"/>
      <c r="WXM118" s="2"/>
      <c r="WXN118" s="2"/>
      <c r="WXO118" s="2"/>
      <c r="WXP118" s="2"/>
      <c r="WXQ118" s="2"/>
      <c r="WXR118" s="2"/>
      <c r="WXS118" s="2"/>
      <c r="WXT118" s="2"/>
      <c r="WXU118" s="2"/>
      <c r="WXV118" s="2"/>
      <c r="WXW118" s="2"/>
      <c r="WXX118" s="2"/>
      <c r="WXY118" s="2"/>
      <c r="WXZ118" s="2"/>
      <c r="WYA118" s="2"/>
      <c r="WYB118" s="2"/>
      <c r="WYC118" s="2"/>
      <c r="WYD118" s="2"/>
      <c r="WYE118" s="2"/>
      <c r="WYF118" s="2"/>
      <c r="WYG118" s="2"/>
      <c r="WYH118" s="2"/>
      <c r="WYI118" s="2"/>
      <c r="WYJ118" s="2"/>
      <c r="WYK118" s="2"/>
      <c r="WYL118" s="2"/>
      <c r="WYM118" s="2"/>
      <c r="WYN118" s="2"/>
      <c r="WYO118" s="2"/>
      <c r="WYP118" s="2"/>
      <c r="WYQ118" s="2"/>
      <c r="WYR118" s="2"/>
      <c r="WYS118" s="2"/>
      <c r="WYT118" s="2"/>
      <c r="WYU118" s="2"/>
      <c r="WYV118" s="2"/>
      <c r="WYW118" s="2"/>
      <c r="WYX118" s="2"/>
      <c r="WYY118" s="2"/>
      <c r="WYZ118" s="2"/>
      <c r="WZA118" s="2"/>
      <c r="WZB118" s="2"/>
      <c r="WZC118" s="2"/>
      <c r="WZD118" s="2"/>
      <c r="WZE118" s="2"/>
      <c r="WZF118" s="2"/>
      <c r="WZG118" s="2"/>
      <c r="WZH118" s="2"/>
      <c r="WZI118" s="2"/>
      <c r="WZJ118" s="2"/>
      <c r="WZK118" s="2"/>
      <c r="WZL118" s="2"/>
      <c r="WZM118" s="2"/>
      <c r="WZN118" s="2"/>
      <c r="WZO118" s="2"/>
      <c r="WZP118" s="2"/>
      <c r="WZQ118" s="2"/>
      <c r="WZR118" s="2"/>
      <c r="WZS118" s="2"/>
      <c r="WZT118" s="2"/>
      <c r="WZU118" s="2"/>
      <c r="WZV118" s="2"/>
      <c r="WZW118" s="2"/>
      <c r="WZX118" s="2"/>
      <c r="WZY118" s="2"/>
      <c r="WZZ118" s="2"/>
      <c r="XAA118" s="2"/>
      <c r="XAB118" s="2"/>
      <c r="XAC118" s="2"/>
      <c r="XAD118" s="2"/>
      <c r="XAE118" s="2"/>
      <c r="XAF118" s="2"/>
      <c r="XAG118" s="2"/>
      <c r="XAH118" s="2"/>
      <c r="XAI118" s="2"/>
      <c r="XAJ118" s="2"/>
      <c r="XAK118" s="2"/>
      <c r="XAL118" s="2"/>
      <c r="XAM118" s="2"/>
      <c r="XAN118" s="2"/>
      <c r="XAO118" s="2"/>
      <c r="XAP118" s="2"/>
      <c r="XAQ118" s="2"/>
      <c r="XAR118" s="2"/>
      <c r="XAS118" s="2"/>
      <c r="XAT118" s="2"/>
      <c r="XAU118" s="2"/>
      <c r="XAV118" s="2"/>
      <c r="XAW118" s="2"/>
      <c r="XAX118" s="2"/>
      <c r="XAY118" s="2"/>
      <c r="XAZ118" s="2"/>
      <c r="XBA118" s="2"/>
      <c r="XBB118" s="2"/>
      <c r="XBC118" s="2"/>
      <c r="XBD118" s="2"/>
      <c r="XBE118" s="2"/>
      <c r="XBF118" s="2"/>
      <c r="XBG118" s="2"/>
      <c r="XBH118" s="2"/>
      <c r="XBI118" s="2"/>
      <c r="XBJ118" s="2"/>
      <c r="XBK118" s="2"/>
      <c r="XBL118" s="2"/>
      <c r="XBM118" s="2"/>
      <c r="XBN118" s="2"/>
      <c r="XBO118" s="2"/>
      <c r="XBP118" s="2"/>
      <c r="XBQ118" s="2"/>
      <c r="XBR118" s="2"/>
      <c r="XBS118" s="2"/>
      <c r="XBT118" s="2"/>
    </row>
    <row r="119" customHeight="1" spans="1:1024 1025:16296">
      <c r="B119" s="26"/>
      <c r="C119" s="27" t="s">
        <v>199</v>
      </c>
      <c r="D119" s="28" t="s">
        <v>200</v>
      </c>
      <c r="E119" s="29"/>
      <c r="F119" s="93"/>
      <c r="G119" s="68">
        <v>0</v>
      </c>
      <c r="H119" s="25">
        <f t="shared" si="1"/>
        <v>0</v>
      </c>
    </row>
    <row r="120" customHeight="1" spans="1:1024 1025:16296">
      <c r="B120" s="26"/>
      <c r="C120" s="27" t="s">
        <v>201</v>
      </c>
      <c r="D120" s="28" t="s">
        <v>202</v>
      </c>
      <c r="E120" s="82" t="s">
        <v>203</v>
      </c>
      <c r="F120" s="101"/>
      <c r="G120" s="68">
        <v>0</v>
      </c>
      <c r="H120" s="25">
        <f t="shared" si="1"/>
        <v>0</v>
      </c>
    </row>
    <row r="121" customHeight="1" spans="1:1024 1025:16296">
      <c r="B121" s="84"/>
      <c r="C121" s="85"/>
      <c r="D121" s="85"/>
      <c r="E121" s="86"/>
      <c r="F121" s="87"/>
      <c r="G121" s="68">
        <v>0</v>
      </c>
      <c r="H121" s="25">
        <f t="shared" si="1"/>
        <v>0</v>
      </c>
    </row>
    <row r="122" customHeight="1" spans="1:1024 1025:16296">
      <c r="B122" s="84" t="s">
        <v>298</v>
      </c>
      <c r="C122" s="22" t="s">
        <v>299</v>
      </c>
      <c r="D122" s="88" t="s">
        <v>300</v>
      </c>
      <c r="E122" s="86"/>
      <c r="F122" s="87"/>
      <c r="G122" s="68">
        <v>0</v>
      </c>
      <c r="H122" s="25">
        <f t="shared" si="1"/>
        <v>0</v>
      </c>
    </row>
    <row r="123" customHeight="1" spans="1:1024 1025:16296">
      <c r="B123" s="84" t="s">
        <v>301</v>
      </c>
      <c r="C123" s="89" t="s">
        <v>302</v>
      </c>
      <c r="D123" s="90" t="s">
        <v>303</v>
      </c>
      <c r="E123" s="102" t="s">
        <v>304</v>
      </c>
      <c r="F123" s="87">
        <v>0</v>
      </c>
      <c r="G123" s="68">
        <v>0</v>
      </c>
      <c r="H123" s="25">
        <f t="shared" si="1"/>
        <v>0</v>
      </c>
    </row>
    <row r="124" customHeight="1" spans="1:1024 1025:16296">
      <c r="A124" s="8">
        <f ca="1">COUNTA(OFFSET(A$1,0,0,ROW()-1,1))+1</f>
        <v>14</v>
      </c>
      <c r="B124" s="84" t="s">
        <v>305</v>
      </c>
      <c r="C124" s="89" t="s">
        <v>306</v>
      </c>
      <c r="D124" s="90" t="s">
        <v>307</v>
      </c>
      <c r="E124" s="102" t="s">
        <v>304</v>
      </c>
      <c r="F124" s="87">
        <v>55040</v>
      </c>
      <c r="G124" s="68">
        <v>4.75121682459696</v>
      </c>
      <c r="H124" s="25">
        <f t="shared" si="1"/>
        <v>261507</v>
      </c>
    </row>
    <row r="125" customHeight="1" spans="1:1024 1025:16296">
      <c r="A125" s="8">
        <f ca="1">COUNTA(OFFSET(A$1,0,0,ROW()-1,1))+1</f>
        <v>15</v>
      </c>
      <c r="B125" s="84" t="s">
        <v>308</v>
      </c>
      <c r="C125" s="89" t="s">
        <v>309</v>
      </c>
      <c r="D125" s="90" t="s">
        <v>310</v>
      </c>
      <c r="E125" s="102" t="s">
        <v>304</v>
      </c>
      <c r="F125" s="87">
        <v>82560</v>
      </c>
      <c r="G125" s="68">
        <v>4.75121682459696</v>
      </c>
      <c r="H125" s="25">
        <f t="shared" si="1"/>
        <v>392260</v>
      </c>
    </row>
    <row r="126" customHeight="1" spans="1:1024 1025:16296">
      <c r="B126" s="84" t="s">
        <v>311</v>
      </c>
      <c r="C126" s="89" t="s">
        <v>312</v>
      </c>
      <c r="D126" s="90" t="s">
        <v>313</v>
      </c>
      <c r="E126" s="86" t="s">
        <v>225</v>
      </c>
      <c r="F126" s="87">
        <v>0</v>
      </c>
      <c r="G126" s="68">
        <v>0</v>
      </c>
      <c r="H126" s="25">
        <f t="shared" si="1"/>
        <v>0</v>
      </c>
    </row>
    <row r="127" customHeight="1" spans="1:1024 1025:16296">
      <c r="B127" s="84" t="s">
        <v>314</v>
      </c>
      <c r="C127" s="89" t="s">
        <v>315</v>
      </c>
      <c r="D127" s="90" t="s">
        <v>316</v>
      </c>
      <c r="E127" s="102" t="s">
        <v>317</v>
      </c>
      <c r="F127" s="87">
        <v>0</v>
      </c>
      <c r="G127" s="68">
        <v>0</v>
      </c>
      <c r="H127" s="25">
        <f t="shared" si="1"/>
        <v>0</v>
      </c>
    </row>
    <row r="128" customHeight="1" spans="1:1024 1025:16296">
      <c r="B128" s="21"/>
      <c r="C128" s="103" t="s">
        <v>318</v>
      </c>
      <c r="D128" s="104" t="s">
        <v>319</v>
      </c>
      <c r="E128" s="105"/>
      <c r="F128" s="106"/>
      <c r="G128" s="68">
        <v>0</v>
      </c>
      <c r="H128" s="25">
        <f t="shared" si="1"/>
        <v>0</v>
      </c>
    </row>
    <row r="129" customHeight="1" spans="1:8">
      <c r="B129" s="84"/>
      <c r="C129" s="91"/>
      <c r="D129" s="91"/>
      <c r="E129" s="86"/>
      <c r="F129" s="87"/>
      <c r="G129" s="68">
        <v>0</v>
      </c>
      <c r="H129" s="25">
        <f t="shared" si="1"/>
        <v>0</v>
      </c>
    </row>
    <row r="130" customHeight="1" spans="1:8">
      <c r="B130" s="84" t="s">
        <v>320</v>
      </c>
      <c r="C130" s="22" t="s">
        <v>321</v>
      </c>
      <c r="D130" s="88" t="s">
        <v>322</v>
      </c>
      <c r="E130" s="86"/>
      <c r="F130" s="87"/>
      <c r="G130" s="68">
        <v>0</v>
      </c>
      <c r="H130" s="25">
        <f t="shared" si="1"/>
        <v>0</v>
      </c>
    </row>
    <row r="131" customHeight="1" spans="1:8">
      <c r="A131" s="8">
        <f ca="1" t="shared" ref="A131:A137" si="4">COUNTA(OFFSET(A$1,0,0,ROW()-1,1))+1</f>
        <v>16</v>
      </c>
      <c r="B131" s="84" t="s">
        <v>323</v>
      </c>
      <c r="C131" s="89" t="s">
        <v>324</v>
      </c>
      <c r="D131" s="90" t="s">
        <v>325</v>
      </c>
      <c r="E131" s="86" t="s">
        <v>225</v>
      </c>
      <c r="F131" s="107">
        <v>146150</v>
      </c>
      <c r="G131" s="68">
        <v>1.13593307957426</v>
      </c>
      <c r="H131" s="25">
        <f t="shared" si="1"/>
        <v>166017</v>
      </c>
    </row>
    <row r="132" customHeight="1" spans="1:8">
      <c r="A132" s="8">
        <f ca="1" t="shared" si="4"/>
        <v>17</v>
      </c>
      <c r="B132" s="84" t="s">
        <v>326</v>
      </c>
      <c r="C132" s="89" t="s">
        <v>327</v>
      </c>
      <c r="D132" s="90" t="s">
        <v>328</v>
      </c>
      <c r="E132" s="102" t="s">
        <v>329</v>
      </c>
      <c r="F132" s="107">
        <v>131000</v>
      </c>
      <c r="G132" s="68">
        <v>26.7088998404977</v>
      </c>
      <c r="H132" s="25">
        <f t="shared" si="1"/>
        <v>3498866</v>
      </c>
    </row>
    <row r="133" customHeight="1" spans="1:8">
      <c r="A133" s="8">
        <f ca="1" t="shared" si="4"/>
        <v>18</v>
      </c>
      <c r="B133" s="84" t="s">
        <v>330</v>
      </c>
      <c r="C133" s="89" t="s">
        <v>331</v>
      </c>
      <c r="D133" s="90" t="s">
        <v>332</v>
      </c>
      <c r="E133" s="102" t="s">
        <v>329</v>
      </c>
      <c r="F133" s="107">
        <v>131000</v>
      </c>
      <c r="G133" s="68">
        <v>2.02307507086114</v>
      </c>
      <c r="H133" s="25">
        <f t="shared" si="1"/>
        <v>265023</v>
      </c>
    </row>
    <row r="134" customHeight="1" spans="1:8">
      <c r="A134" s="8">
        <f ca="1" t="shared" si="4"/>
        <v>19</v>
      </c>
      <c r="B134" s="84" t="s">
        <v>333</v>
      </c>
      <c r="C134" s="89" t="s">
        <v>334</v>
      </c>
      <c r="D134" s="90" t="s">
        <v>335</v>
      </c>
      <c r="E134" s="102" t="s">
        <v>336</v>
      </c>
      <c r="F134" s="107">
        <v>146800</v>
      </c>
      <c r="G134" s="68">
        <v>5.12003213777336</v>
      </c>
      <c r="H134" s="25">
        <f t="shared" si="1"/>
        <v>751621</v>
      </c>
    </row>
    <row r="135" customHeight="1" spans="1:8">
      <c r="A135" s="8">
        <f ca="1" t="shared" si="4"/>
        <v>20</v>
      </c>
      <c r="B135" s="84" t="s">
        <v>337</v>
      </c>
      <c r="C135" s="89" t="s">
        <v>338</v>
      </c>
      <c r="D135" s="90" t="s">
        <v>339</v>
      </c>
      <c r="E135" s="102" t="s">
        <v>336</v>
      </c>
      <c r="F135" s="107">
        <v>28200</v>
      </c>
      <c r="G135" s="68">
        <v>5.12003213777336</v>
      </c>
      <c r="H135" s="25">
        <f t="shared" si="1"/>
        <v>144385</v>
      </c>
    </row>
    <row r="136" customHeight="1" spans="1:8">
      <c r="A136" s="8">
        <f ca="1" t="shared" si="4"/>
        <v>21</v>
      </c>
      <c r="B136" s="84" t="s">
        <v>340</v>
      </c>
      <c r="C136" s="89" t="s">
        <v>341</v>
      </c>
      <c r="D136" s="90" t="s">
        <v>342</v>
      </c>
      <c r="E136" s="102" t="s">
        <v>336</v>
      </c>
      <c r="F136" s="107">
        <v>284400</v>
      </c>
      <c r="G136" s="68">
        <v>1.76915572879902</v>
      </c>
      <c r="H136" s="25">
        <f t="shared" ref="H136:H199" si="5">IFERROR(ROUND(G136*F136,0),0)</f>
        <v>503148</v>
      </c>
    </row>
    <row r="137" customHeight="1" spans="1:8">
      <c r="A137" s="8">
        <f ca="1" t="shared" si="4"/>
        <v>22</v>
      </c>
      <c r="B137" s="84" t="s">
        <v>343</v>
      </c>
      <c r="C137" s="89" t="s">
        <v>344</v>
      </c>
      <c r="D137" s="90" t="s">
        <v>345</v>
      </c>
      <c r="E137" s="102" t="s">
        <v>336</v>
      </c>
      <c r="F137" s="107">
        <v>284400</v>
      </c>
      <c r="G137" s="68">
        <v>1.76915572879902</v>
      </c>
      <c r="H137" s="25">
        <f t="shared" si="5"/>
        <v>503148</v>
      </c>
    </row>
    <row r="138" customHeight="1" spans="1:8">
      <c r="B138" s="84" t="s">
        <v>346</v>
      </c>
      <c r="C138" s="89" t="s">
        <v>347</v>
      </c>
      <c r="D138" s="90" t="s">
        <v>348</v>
      </c>
      <c r="E138" s="102" t="s">
        <v>336</v>
      </c>
      <c r="F138" s="107">
        <v>0</v>
      </c>
      <c r="G138" s="68">
        <v>0</v>
      </c>
      <c r="H138" s="25">
        <f t="shared" si="5"/>
        <v>0</v>
      </c>
    </row>
    <row r="139" customHeight="1" spans="1:8">
      <c r="A139" s="8">
        <f ca="1" t="shared" ref="A139:A150" si="6">COUNTA(OFFSET(A$1,0,0,ROW()-1,1))+1</f>
        <v>23</v>
      </c>
      <c r="B139" s="84" t="s">
        <v>349</v>
      </c>
      <c r="C139" s="89" t="s">
        <v>350</v>
      </c>
      <c r="D139" s="90" t="s">
        <v>351</v>
      </c>
      <c r="E139" s="86" t="s">
        <v>41</v>
      </c>
      <c r="F139" s="107">
        <v>1</v>
      </c>
      <c r="G139" s="68">
        <v>0</v>
      </c>
      <c r="H139" s="25">
        <f t="shared" si="5"/>
        <v>0</v>
      </c>
    </row>
    <row r="140" customHeight="1" spans="1:8">
      <c r="B140" s="21"/>
      <c r="C140" s="103" t="s">
        <v>352</v>
      </c>
      <c r="D140" s="104" t="s">
        <v>353</v>
      </c>
      <c r="E140" s="105"/>
      <c r="F140" s="106"/>
      <c r="G140" s="68">
        <v>0</v>
      </c>
      <c r="H140" s="25">
        <f t="shared" si="5"/>
        <v>0</v>
      </c>
    </row>
    <row r="141" customHeight="1" spans="1:8">
      <c r="B141" s="84"/>
      <c r="C141" s="91"/>
      <c r="D141" s="91"/>
      <c r="E141" s="86"/>
      <c r="F141" s="87"/>
      <c r="G141" s="68">
        <v>0</v>
      </c>
      <c r="H141" s="25">
        <f t="shared" si="5"/>
        <v>0</v>
      </c>
    </row>
    <row r="142" customHeight="1" spans="1:8">
      <c r="B142" s="84" t="s">
        <v>354</v>
      </c>
      <c r="C142" s="22" t="s">
        <v>355</v>
      </c>
      <c r="D142" s="88" t="s">
        <v>356</v>
      </c>
      <c r="E142" s="86"/>
      <c r="F142" s="87"/>
      <c r="G142" s="68">
        <v>0</v>
      </c>
      <c r="H142" s="25">
        <f t="shared" si="5"/>
        <v>0</v>
      </c>
    </row>
    <row r="143" customHeight="1" spans="1:8">
      <c r="A143" s="8">
        <f ca="1" t="shared" si="6"/>
        <v>24</v>
      </c>
      <c r="B143" s="84" t="s">
        <v>357</v>
      </c>
      <c r="C143" s="89" t="s">
        <v>324</v>
      </c>
      <c r="D143" s="90" t="s">
        <v>325</v>
      </c>
      <c r="E143" s="86" t="s">
        <v>225</v>
      </c>
      <c r="F143" s="108">
        <v>146150</v>
      </c>
      <c r="G143" s="68">
        <v>1.13593307957426</v>
      </c>
      <c r="H143" s="25">
        <f t="shared" si="5"/>
        <v>166017</v>
      </c>
    </row>
    <row r="144" customHeight="1" spans="1:8">
      <c r="A144" s="8">
        <f ca="1" t="shared" si="6"/>
        <v>25</v>
      </c>
      <c r="B144" s="84" t="s">
        <v>358</v>
      </c>
      <c r="C144" s="89" t="s">
        <v>327</v>
      </c>
      <c r="D144" s="90" t="s">
        <v>328</v>
      </c>
      <c r="E144" s="92" t="s">
        <v>210</v>
      </c>
      <c r="F144" s="108">
        <v>131000</v>
      </c>
      <c r="G144" s="68">
        <v>26.7088998404977</v>
      </c>
      <c r="H144" s="25">
        <f t="shared" si="5"/>
        <v>3498866</v>
      </c>
    </row>
    <row r="145" customHeight="1" spans="1:8">
      <c r="A145" s="8">
        <f ca="1" t="shared" si="6"/>
        <v>26</v>
      </c>
      <c r="B145" s="84" t="s">
        <v>359</v>
      </c>
      <c r="C145" s="89" t="s">
        <v>331</v>
      </c>
      <c r="D145" s="90" t="s">
        <v>332</v>
      </c>
      <c r="E145" s="92" t="s">
        <v>210</v>
      </c>
      <c r="F145" s="108">
        <v>131000</v>
      </c>
      <c r="G145" s="68">
        <v>2.02307507086114</v>
      </c>
      <c r="H145" s="25">
        <f t="shared" si="5"/>
        <v>265023</v>
      </c>
    </row>
    <row r="146" customHeight="1" spans="1:8">
      <c r="A146" s="8">
        <f ca="1" t="shared" si="6"/>
        <v>27</v>
      </c>
      <c r="B146" s="84" t="s">
        <v>360</v>
      </c>
      <c r="C146" s="89" t="s">
        <v>334</v>
      </c>
      <c r="D146" s="90" t="s">
        <v>335</v>
      </c>
      <c r="E146" s="92" t="s">
        <v>283</v>
      </c>
      <c r="F146" s="108">
        <v>146800</v>
      </c>
      <c r="G146" s="68">
        <v>4.78424229836261</v>
      </c>
      <c r="H146" s="25">
        <f t="shared" si="5"/>
        <v>702327</v>
      </c>
    </row>
    <row r="147" customHeight="1" spans="1:8">
      <c r="A147" s="8">
        <f ca="1" t="shared" si="6"/>
        <v>28</v>
      </c>
      <c r="B147" s="84" t="s">
        <v>361</v>
      </c>
      <c r="C147" s="89" t="s">
        <v>362</v>
      </c>
      <c r="D147" s="90" t="s">
        <v>363</v>
      </c>
      <c r="E147" s="92" t="s">
        <v>283</v>
      </c>
      <c r="F147" s="108">
        <v>137600</v>
      </c>
      <c r="G147" s="68">
        <v>4.78424229836261</v>
      </c>
      <c r="H147" s="25">
        <f t="shared" si="5"/>
        <v>658312</v>
      </c>
    </row>
    <row r="148" customHeight="1" spans="1:8">
      <c r="A148" s="8">
        <f ca="1" t="shared" si="6"/>
        <v>29</v>
      </c>
      <c r="B148" s="84" t="s">
        <v>364</v>
      </c>
      <c r="C148" s="89" t="s">
        <v>365</v>
      </c>
      <c r="D148" s="90" t="s">
        <v>366</v>
      </c>
      <c r="E148" s="92" t="s">
        <v>283</v>
      </c>
      <c r="F148" s="108">
        <v>28200</v>
      </c>
      <c r="G148" s="68">
        <v>54.1399906678695</v>
      </c>
      <c r="H148" s="25">
        <f t="shared" si="5"/>
        <v>1526748</v>
      </c>
    </row>
    <row r="149" customHeight="1" spans="1:8">
      <c r="A149" s="8">
        <f ca="1" t="shared" si="6"/>
        <v>30</v>
      </c>
      <c r="B149" s="84" t="s">
        <v>367</v>
      </c>
      <c r="C149" s="89" t="s">
        <v>368</v>
      </c>
      <c r="D149" s="90" t="s">
        <v>369</v>
      </c>
      <c r="E149" s="92" t="s">
        <v>283</v>
      </c>
      <c r="F149" s="108">
        <v>284400</v>
      </c>
      <c r="G149" s="68">
        <v>1.76915572879902</v>
      </c>
      <c r="H149" s="25">
        <f t="shared" si="5"/>
        <v>503148</v>
      </c>
    </row>
    <row r="150" customHeight="1" spans="1:8">
      <c r="A150" s="8">
        <f ca="1" t="shared" si="6"/>
        <v>31</v>
      </c>
      <c r="B150" s="84" t="s">
        <v>370</v>
      </c>
      <c r="C150" s="89" t="s">
        <v>344</v>
      </c>
      <c r="D150" s="90" t="s">
        <v>345</v>
      </c>
      <c r="E150" s="92" t="s">
        <v>283</v>
      </c>
      <c r="F150" s="108">
        <v>284400</v>
      </c>
      <c r="G150" s="68">
        <v>1.76915572879902</v>
      </c>
      <c r="H150" s="25">
        <f t="shared" si="5"/>
        <v>503148</v>
      </c>
    </row>
    <row r="151" customHeight="1" spans="1:8">
      <c r="B151" s="84" t="s">
        <v>371</v>
      </c>
      <c r="C151" s="89" t="s">
        <v>372</v>
      </c>
      <c r="D151" s="90" t="s">
        <v>373</v>
      </c>
      <c r="E151" s="92" t="s">
        <v>283</v>
      </c>
      <c r="F151" s="108">
        <v>0</v>
      </c>
      <c r="G151" s="68">
        <v>0</v>
      </c>
      <c r="H151" s="25">
        <f t="shared" si="5"/>
        <v>0</v>
      </c>
    </row>
    <row r="152" customHeight="1" spans="1:8">
      <c r="B152" s="84" t="s">
        <v>374</v>
      </c>
      <c r="C152" s="89" t="s">
        <v>375</v>
      </c>
      <c r="D152" s="90" t="s">
        <v>376</v>
      </c>
      <c r="E152" s="86" t="s">
        <v>225</v>
      </c>
      <c r="F152" s="108">
        <v>0</v>
      </c>
      <c r="G152" s="68">
        <v>0</v>
      </c>
      <c r="H152" s="25">
        <f t="shared" si="5"/>
        <v>0</v>
      </c>
    </row>
    <row r="153" customHeight="1" spans="1:8">
      <c r="A153" s="8">
        <f ca="1" t="shared" ref="A153:A155" si="7">COUNTA(OFFSET(A$1,0,0,ROW()-1,1))+1</f>
        <v>32</v>
      </c>
      <c r="B153" s="84" t="s">
        <v>377</v>
      </c>
      <c r="C153" s="89" t="s">
        <v>350</v>
      </c>
      <c r="D153" s="90" t="s">
        <v>351</v>
      </c>
      <c r="E153" s="86" t="s">
        <v>41</v>
      </c>
      <c r="F153" s="108">
        <v>1</v>
      </c>
      <c r="G153" s="68">
        <v>47622.822</v>
      </c>
      <c r="H153" s="25">
        <f t="shared" si="5"/>
        <v>47623</v>
      </c>
    </row>
    <row r="154" customHeight="1" spans="1:8">
      <c r="A154" s="8">
        <f ca="1" t="shared" si="7"/>
        <v>33</v>
      </c>
      <c r="B154" s="84" t="s">
        <v>378</v>
      </c>
      <c r="C154" s="109" t="s">
        <v>379</v>
      </c>
      <c r="D154" s="109" t="s">
        <v>380</v>
      </c>
      <c r="E154" s="86" t="s">
        <v>225</v>
      </c>
      <c r="F154" s="108">
        <v>131760</v>
      </c>
      <c r="G154" s="68">
        <v>9.27178217569954</v>
      </c>
      <c r="H154" s="25">
        <f t="shared" si="5"/>
        <v>1221650</v>
      </c>
    </row>
    <row r="155" customHeight="1" spans="1:8">
      <c r="A155" s="8">
        <f ca="1" t="shared" si="7"/>
        <v>34</v>
      </c>
      <c r="B155" s="84" t="s">
        <v>381</v>
      </c>
      <c r="C155" s="109" t="s">
        <v>382</v>
      </c>
      <c r="D155" s="110" t="s">
        <v>383</v>
      </c>
      <c r="E155" s="86" t="s">
        <v>304</v>
      </c>
      <c r="F155" s="108">
        <v>8000</v>
      </c>
      <c r="G155" s="68">
        <v>5.25965198814729</v>
      </c>
      <c r="H155" s="25">
        <f t="shared" si="5"/>
        <v>42077</v>
      </c>
    </row>
    <row r="156" customHeight="1" spans="1:8">
      <c r="B156" s="21"/>
      <c r="C156" s="103" t="s">
        <v>384</v>
      </c>
      <c r="D156" s="104" t="s">
        <v>385</v>
      </c>
      <c r="E156" s="105"/>
      <c r="F156" s="106"/>
      <c r="G156" s="68">
        <v>0</v>
      </c>
      <c r="H156" s="25">
        <f t="shared" si="5"/>
        <v>0</v>
      </c>
    </row>
    <row r="157" customHeight="1" spans="1:8">
      <c r="B157" s="84"/>
      <c r="C157" s="91"/>
      <c r="D157" s="91"/>
      <c r="E157" s="86"/>
      <c r="F157" s="87"/>
      <c r="G157" s="68">
        <v>0</v>
      </c>
      <c r="H157" s="25">
        <f t="shared" si="5"/>
        <v>0</v>
      </c>
    </row>
    <row r="158" customHeight="1" spans="1:8">
      <c r="B158" s="84" t="s">
        <v>386</v>
      </c>
      <c r="C158" s="22" t="s">
        <v>387</v>
      </c>
      <c r="D158" s="88" t="s">
        <v>388</v>
      </c>
      <c r="E158" s="86"/>
      <c r="F158" s="87"/>
      <c r="G158" s="68">
        <v>0</v>
      </c>
      <c r="H158" s="25">
        <f t="shared" si="5"/>
        <v>0</v>
      </c>
    </row>
    <row r="159" customHeight="1" spans="1:8">
      <c r="B159" s="84" t="s">
        <v>389</v>
      </c>
      <c r="C159" s="89" t="s">
        <v>390</v>
      </c>
      <c r="D159" s="90" t="s">
        <v>391</v>
      </c>
      <c r="E159" s="102" t="s">
        <v>336</v>
      </c>
      <c r="F159" s="87">
        <v>0</v>
      </c>
      <c r="G159" s="68">
        <v>0</v>
      </c>
      <c r="H159" s="25">
        <f t="shared" si="5"/>
        <v>0</v>
      </c>
    </row>
    <row r="160" customHeight="1" spans="1:8">
      <c r="B160" s="84" t="s">
        <v>392</v>
      </c>
      <c r="C160" s="89" t="s">
        <v>393</v>
      </c>
      <c r="D160" s="90" t="s">
        <v>394</v>
      </c>
      <c r="E160" s="102" t="s">
        <v>336</v>
      </c>
      <c r="F160" s="87">
        <v>0</v>
      </c>
      <c r="G160" s="68">
        <v>0</v>
      </c>
      <c r="H160" s="25">
        <f t="shared" si="5"/>
        <v>0</v>
      </c>
    </row>
    <row r="161" customHeight="1" spans="1:8">
      <c r="B161" s="84" t="s">
        <v>395</v>
      </c>
      <c r="C161" s="89" t="s">
        <v>396</v>
      </c>
      <c r="D161" s="90" t="s">
        <v>397</v>
      </c>
      <c r="E161" s="102" t="s">
        <v>336</v>
      </c>
      <c r="F161" s="87">
        <v>0</v>
      </c>
      <c r="G161" s="68">
        <v>0</v>
      </c>
      <c r="H161" s="25">
        <f t="shared" si="5"/>
        <v>0</v>
      </c>
    </row>
    <row r="162" customHeight="1" spans="1:8">
      <c r="A162" s="8">
        <f ca="1">COUNTA(OFFSET(A$1,0,0,ROW()-1,1))+1</f>
        <v>35</v>
      </c>
      <c r="B162" s="84" t="s">
        <v>398</v>
      </c>
      <c r="C162" s="89" t="s">
        <v>399</v>
      </c>
      <c r="D162" s="90" t="s">
        <v>400</v>
      </c>
      <c r="E162" s="102" t="s">
        <v>336</v>
      </c>
      <c r="F162" s="87">
        <v>175000</v>
      </c>
      <c r="G162" s="68">
        <v>4.89083667497088</v>
      </c>
      <c r="H162" s="25">
        <f t="shared" si="5"/>
        <v>855896</v>
      </c>
    </row>
    <row r="163" customHeight="1" spans="1:8">
      <c r="B163" s="45"/>
      <c r="C163" s="46" t="s">
        <v>401</v>
      </c>
      <c r="D163" s="47" t="s">
        <v>402</v>
      </c>
      <c r="E163" s="66"/>
      <c r="F163" s="111"/>
      <c r="G163" s="68">
        <v>0</v>
      </c>
      <c r="H163" s="25">
        <f t="shared" si="5"/>
        <v>0</v>
      </c>
    </row>
    <row r="164" customHeight="1" spans="1:8">
      <c r="B164" s="45"/>
      <c r="C164" s="46"/>
      <c r="D164" s="46"/>
      <c r="E164" s="66"/>
      <c r="F164" s="111"/>
      <c r="G164" s="68">
        <v>0</v>
      </c>
      <c r="H164" s="25">
        <f t="shared" si="5"/>
        <v>0</v>
      </c>
    </row>
    <row r="165" customHeight="1" spans="1:8">
      <c r="B165" s="84" t="s">
        <v>403</v>
      </c>
      <c r="C165" s="22" t="s">
        <v>404</v>
      </c>
      <c r="D165" s="88" t="s">
        <v>405</v>
      </c>
      <c r="E165" s="92"/>
      <c r="F165" s="106"/>
      <c r="G165" s="68">
        <v>0</v>
      </c>
      <c r="H165" s="25">
        <f t="shared" si="5"/>
        <v>0</v>
      </c>
    </row>
    <row r="166" customHeight="1" spans="1:8">
      <c r="B166" s="84" t="s">
        <v>406</v>
      </c>
      <c r="C166" s="89" t="s">
        <v>407</v>
      </c>
      <c r="D166" s="90" t="s">
        <v>408</v>
      </c>
      <c r="E166" s="92" t="s">
        <v>210</v>
      </c>
      <c r="F166" s="87">
        <v>0</v>
      </c>
      <c r="G166" s="68">
        <v>0</v>
      </c>
      <c r="H166" s="25">
        <f t="shared" si="5"/>
        <v>0</v>
      </c>
    </row>
    <row r="167" customHeight="1" spans="1:8">
      <c r="B167" s="45"/>
      <c r="C167" s="46" t="s">
        <v>409</v>
      </c>
      <c r="D167" s="47" t="s">
        <v>410</v>
      </c>
      <c r="E167" s="66"/>
      <c r="F167" s="111"/>
      <c r="G167" s="68">
        <v>0</v>
      </c>
      <c r="H167" s="25">
        <f t="shared" si="5"/>
        <v>0</v>
      </c>
    </row>
    <row r="168" customHeight="1" spans="1:8">
      <c r="B168" s="26"/>
      <c r="C168" s="55"/>
      <c r="D168" s="55"/>
      <c r="E168" s="29"/>
      <c r="F168" s="93"/>
      <c r="G168" s="68">
        <v>0</v>
      </c>
      <c r="H168" s="25">
        <f t="shared" si="5"/>
        <v>0</v>
      </c>
    </row>
    <row r="169" customHeight="1" spans="1:8">
      <c r="B169" s="26"/>
      <c r="C169" s="27" t="s">
        <v>263</v>
      </c>
      <c r="D169" s="28" t="s">
        <v>264</v>
      </c>
      <c r="E169" s="29"/>
      <c r="F169" s="93"/>
      <c r="G169" s="68">
        <v>0</v>
      </c>
      <c r="H169" s="25">
        <f t="shared" si="5"/>
        <v>0</v>
      </c>
    </row>
    <row r="170" customHeight="1" spans="1:8">
      <c r="A170" s="8">
        <f ca="1" t="shared" ref="A170:A174" si="8">COUNTA(OFFSET(A$1,0,0,ROW()-1,1))+1</f>
        <v>36</v>
      </c>
      <c r="B170" s="112" t="s">
        <v>290</v>
      </c>
      <c r="C170" s="95" t="s">
        <v>411</v>
      </c>
      <c r="D170" s="96" t="s">
        <v>412</v>
      </c>
      <c r="E170" s="94" t="s">
        <v>41</v>
      </c>
      <c r="F170" s="97">
        <v>1</v>
      </c>
      <c r="G170" s="68">
        <v>0</v>
      </c>
      <c r="H170" s="25">
        <f t="shared" si="5"/>
        <v>0</v>
      </c>
    </row>
    <row r="171" customHeight="1" spans="1:8">
      <c r="A171" s="8">
        <f ca="1" t="shared" si="8"/>
        <v>37</v>
      </c>
      <c r="B171" s="112" t="s">
        <v>290</v>
      </c>
      <c r="C171" s="95" t="s">
        <v>413</v>
      </c>
      <c r="D171" s="96" t="s">
        <v>414</v>
      </c>
      <c r="E171" s="94" t="s">
        <v>41</v>
      </c>
      <c r="F171" s="97">
        <v>1</v>
      </c>
      <c r="G171" s="68">
        <v>0</v>
      </c>
      <c r="H171" s="25">
        <f t="shared" si="5"/>
        <v>0</v>
      </c>
    </row>
    <row r="172" customHeight="1" spans="1:8">
      <c r="A172" s="8">
        <f ca="1" t="shared" si="8"/>
        <v>38</v>
      </c>
      <c r="B172" s="112" t="s">
        <v>290</v>
      </c>
      <c r="C172" s="95" t="s">
        <v>415</v>
      </c>
      <c r="D172" s="96" t="s">
        <v>416</v>
      </c>
      <c r="E172" s="94" t="s">
        <v>41</v>
      </c>
      <c r="F172" s="97">
        <v>1</v>
      </c>
      <c r="G172" s="68">
        <v>0</v>
      </c>
      <c r="H172" s="25">
        <f t="shared" si="5"/>
        <v>0</v>
      </c>
    </row>
    <row r="173" customHeight="1" spans="1:8">
      <c r="A173" s="8">
        <f ca="1" t="shared" si="8"/>
        <v>39</v>
      </c>
      <c r="B173" s="112" t="s">
        <v>290</v>
      </c>
      <c r="C173" s="95" t="s">
        <v>417</v>
      </c>
      <c r="D173" s="96" t="s">
        <v>418</v>
      </c>
      <c r="E173" s="94" t="s">
        <v>41</v>
      </c>
      <c r="F173" s="97">
        <v>1</v>
      </c>
      <c r="G173" s="68">
        <v>0</v>
      </c>
      <c r="H173" s="25">
        <f t="shared" si="5"/>
        <v>0</v>
      </c>
    </row>
    <row r="174" customHeight="1" spans="1:8">
      <c r="A174" s="8">
        <f ca="1" t="shared" si="8"/>
        <v>40</v>
      </c>
      <c r="B174" s="112" t="s">
        <v>290</v>
      </c>
      <c r="C174" s="95" t="s">
        <v>419</v>
      </c>
      <c r="D174" s="96" t="s">
        <v>420</v>
      </c>
      <c r="E174" s="94" t="s">
        <v>41</v>
      </c>
      <c r="F174" s="97">
        <v>1</v>
      </c>
      <c r="G174" s="68">
        <v>0</v>
      </c>
      <c r="H174" s="25">
        <f t="shared" si="5"/>
        <v>0</v>
      </c>
    </row>
    <row r="175" customHeight="1" spans="1:8">
      <c r="B175" s="26"/>
      <c r="C175" s="55"/>
      <c r="D175" s="55"/>
      <c r="E175" s="29"/>
      <c r="F175" s="93"/>
      <c r="G175" s="68">
        <v>0</v>
      </c>
      <c r="H175" s="25">
        <f t="shared" si="5"/>
        <v>0</v>
      </c>
    </row>
    <row r="176" customHeight="1" spans="1:8">
      <c r="B176" s="29"/>
      <c r="C176" s="55"/>
      <c r="D176" s="55"/>
      <c r="E176" s="29"/>
      <c r="F176" s="67"/>
      <c r="G176" s="68">
        <v>0</v>
      </c>
      <c r="H176" s="25">
        <f t="shared" si="5"/>
        <v>0</v>
      </c>
    </row>
    <row r="177" s="3" customFormat="1" customHeight="1" spans="1:1024 1025:16296">
      <c r="A177" s="73"/>
      <c r="B177" s="74"/>
      <c r="C177" s="75" t="s">
        <v>194</v>
      </c>
      <c r="D177" s="76" t="s">
        <v>195</v>
      </c>
      <c r="E177" s="77"/>
      <c r="F177" s="113"/>
      <c r="G177" s="78">
        <v>0</v>
      </c>
      <c r="H177" s="79">
        <f>SUM(H118:H176)</f>
        <v>16476810</v>
      </c>
      <c r="I177" s="80"/>
      <c r="J177" s="80"/>
      <c r="K177" s="80"/>
      <c r="L177" s="80"/>
      <c r="M177" s="80"/>
      <c r="N177" s="80"/>
      <c r="O177" s="80"/>
      <c r="P177" s="80"/>
      <c r="Q177" s="80"/>
      <c r="R177" s="80"/>
      <c r="S177" s="80"/>
      <c r="T177" s="80"/>
      <c r="U177" s="80"/>
      <c r="V177" s="80"/>
      <c r="W177" s="80"/>
      <c r="X177" s="80"/>
      <c r="Y177" s="80"/>
      <c r="Z177" s="80"/>
      <c r="AA177" s="80"/>
      <c r="AB177" s="80"/>
      <c r="AC177" s="80"/>
      <c r="AD177" s="80"/>
      <c r="AE177" s="80"/>
      <c r="AF177" s="80"/>
      <c r="AG177" s="80"/>
      <c r="AH177" s="80"/>
      <c r="AI177" s="80"/>
      <c r="AJ177" s="80"/>
      <c r="AK177" s="80"/>
      <c r="AL177" s="80"/>
      <c r="AM177" s="80"/>
      <c r="AN177" s="80"/>
      <c r="AO177" s="80"/>
      <c r="AP177" s="80"/>
      <c r="AQ177" s="80"/>
      <c r="AR177" s="80"/>
      <c r="AS177" s="80"/>
      <c r="AT177" s="80"/>
      <c r="AU177" s="80"/>
      <c r="AV177" s="80"/>
      <c r="AW177" s="80"/>
      <c r="AX177" s="80"/>
      <c r="AY177" s="80"/>
      <c r="AZ177" s="80"/>
      <c r="BA177" s="80"/>
      <c r="BB177" s="80"/>
      <c r="BC177" s="80"/>
      <c r="BD177" s="80"/>
      <c r="BE177" s="80"/>
      <c r="BF177" s="80"/>
      <c r="BG177" s="80"/>
      <c r="BH177" s="80"/>
      <c r="BI177" s="80"/>
      <c r="BJ177" s="80"/>
      <c r="BK177" s="80"/>
      <c r="BL177" s="80"/>
      <c r="BM177" s="80"/>
      <c r="BN177" s="80"/>
      <c r="BO177" s="80"/>
      <c r="BP177" s="80"/>
      <c r="BQ177" s="80"/>
      <c r="BR177" s="80"/>
      <c r="BS177" s="80"/>
      <c r="BT177" s="80"/>
      <c r="BU177" s="80"/>
      <c r="BV177" s="80"/>
      <c r="BW177" s="80"/>
      <c r="BX177" s="80"/>
      <c r="BY177" s="80"/>
      <c r="BZ177" s="80"/>
      <c r="CA177" s="80"/>
      <c r="CB177" s="80"/>
      <c r="CC177" s="80"/>
      <c r="CD177" s="80"/>
      <c r="CE177" s="80"/>
      <c r="CF177" s="80"/>
      <c r="CG177" s="80"/>
      <c r="CH177" s="80"/>
      <c r="CI177" s="80"/>
      <c r="CJ177" s="80"/>
      <c r="CK177" s="80"/>
      <c r="CL177" s="80"/>
      <c r="CM177" s="80"/>
      <c r="CN177" s="80"/>
      <c r="CO177" s="80"/>
      <c r="CP177" s="80"/>
      <c r="CQ177" s="80"/>
      <c r="CR177" s="80"/>
      <c r="CS177" s="80"/>
      <c r="CT177" s="80"/>
      <c r="CU177" s="80"/>
      <c r="CV177" s="80"/>
      <c r="CW177" s="80"/>
      <c r="CX177" s="80"/>
      <c r="CY177" s="80"/>
      <c r="CZ177" s="80"/>
      <c r="DA177" s="80"/>
      <c r="DB177" s="80"/>
      <c r="DC177" s="80"/>
      <c r="DD177" s="80"/>
      <c r="DE177" s="80"/>
      <c r="DF177" s="80"/>
      <c r="DG177" s="80"/>
      <c r="DH177" s="80"/>
      <c r="DI177" s="80"/>
      <c r="DJ177" s="80"/>
      <c r="DK177" s="80"/>
      <c r="DL177" s="80"/>
      <c r="DM177" s="80"/>
      <c r="DN177" s="80"/>
      <c r="DO177" s="80"/>
      <c r="DP177" s="80"/>
      <c r="DQ177" s="80"/>
      <c r="DR177" s="80"/>
      <c r="DS177" s="80"/>
      <c r="DT177" s="80"/>
      <c r="DU177" s="80"/>
      <c r="DV177" s="80"/>
      <c r="DW177" s="80"/>
      <c r="DX177" s="80"/>
      <c r="DY177" s="80"/>
      <c r="DZ177" s="80"/>
      <c r="EA177" s="80"/>
      <c r="EB177" s="80"/>
      <c r="EC177" s="80"/>
      <c r="ED177" s="80"/>
      <c r="EE177" s="80"/>
      <c r="EF177" s="80"/>
      <c r="EG177" s="80"/>
      <c r="EH177" s="80"/>
      <c r="EI177" s="80"/>
      <c r="EJ177" s="80"/>
      <c r="EK177" s="80"/>
      <c r="EL177" s="80"/>
      <c r="EM177" s="80"/>
      <c r="EN177" s="80"/>
      <c r="EO177" s="80"/>
      <c r="EP177" s="80"/>
      <c r="EQ177" s="80"/>
      <c r="ER177" s="80"/>
      <c r="ES177" s="80"/>
      <c r="ET177" s="80"/>
      <c r="EU177" s="80"/>
      <c r="EV177" s="80"/>
      <c r="EW177" s="80"/>
      <c r="EX177" s="80"/>
      <c r="EY177" s="80"/>
      <c r="EZ177" s="80"/>
      <c r="FA177" s="80"/>
      <c r="FB177" s="80"/>
      <c r="FC177" s="80"/>
      <c r="FD177" s="80"/>
      <c r="FE177" s="80"/>
      <c r="FF177" s="80"/>
      <c r="FG177" s="80"/>
      <c r="FH177" s="80"/>
      <c r="FI177" s="80"/>
      <c r="FJ177" s="80"/>
      <c r="FK177" s="80"/>
      <c r="FL177" s="80"/>
      <c r="FM177" s="80"/>
      <c r="FN177" s="80"/>
      <c r="FO177" s="80"/>
      <c r="FP177" s="80"/>
      <c r="FQ177" s="80"/>
      <c r="FR177" s="80"/>
      <c r="FS177" s="80"/>
      <c r="FT177" s="80"/>
      <c r="FU177" s="80"/>
      <c r="FV177" s="80"/>
      <c r="FW177" s="80"/>
      <c r="FX177" s="80"/>
      <c r="FY177" s="80"/>
      <c r="FZ177" s="80"/>
      <c r="GA177" s="80"/>
      <c r="GB177" s="80"/>
      <c r="GC177" s="80"/>
      <c r="GD177" s="80"/>
      <c r="GE177" s="80"/>
      <c r="GF177" s="80"/>
      <c r="GG177" s="80"/>
      <c r="GH177" s="80"/>
      <c r="GI177" s="80"/>
      <c r="GJ177" s="80"/>
      <c r="GK177" s="80"/>
      <c r="GL177" s="80"/>
      <c r="GM177" s="80"/>
      <c r="GN177" s="80"/>
      <c r="GO177" s="80"/>
      <c r="GP177" s="80"/>
      <c r="GQ177" s="80"/>
      <c r="GR177" s="80"/>
      <c r="GS177" s="80"/>
      <c r="GT177" s="80"/>
      <c r="GU177" s="80"/>
      <c r="GV177" s="80"/>
      <c r="GW177" s="80"/>
      <c r="GX177" s="80"/>
      <c r="GY177" s="80"/>
      <c r="GZ177" s="80"/>
      <c r="HA177" s="80"/>
      <c r="HB177" s="80"/>
      <c r="HC177" s="80"/>
      <c r="HD177" s="80"/>
      <c r="HE177" s="80"/>
      <c r="HF177" s="80"/>
      <c r="HG177" s="80"/>
      <c r="HH177" s="80"/>
      <c r="HI177" s="80"/>
      <c r="HJ177" s="80"/>
      <c r="HK177" s="80"/>
      <c r="HL177" s="80"/>
      <c r="HM177" s="80"/>
      <c r="HN177" s="80"/>
      <c r="HO177" s="80"/>
      <c r="HP177" s="80"/>
      <c r="HQ177" s="80"/>
      <c r="HR177" s="80"/>
      <c r="HS177" s="80"/>
      <c r="HT177" s="80"/>
      <c r="HU177" s="80"/>
      <c r="HV177" s="80"/>
      <c r="HW177" s="80"/>
      <c r="HX177" s="80"/>
      <c r="HY177" s="80"/>
      <c r="HZ177" s="80"/>
      <c r="IA177" s="80"/>
      <c r="IB177" s="80"/>
      <c r="IC177" s="80"/>
      <c r="ID177" s="80"/>
      <c r="IE177" s="80"/>
      <c r="IF177" s="80"/>
      <c r="IG177" s="80"/>
      <c r="IH177" s="80"/>
      <c r="II177" s="80"/>
      <c r="IJ177" s="80"/>
      <c r="IK177" s="80"/>
      <c r="IL177" s="80"/>
      <c r="IM177" s="80"/>
      <c r="IN177" s="80"/>
      <c r="IO177" s="80"/>
      <c r="IP177" s="80"/>
      <c r="IQ177" s="80"/>
      <c r="IR177" s="80"/>
      <c r="IS177" s="80"/>
      <c r="IT177" s="80"/>
      <c r="IU177" s="80"/>
      <c r="IV177" s="80"/>
      <c r="IW177" s="80"/>
      <c r="IX177" s="80"/>
      <c r="IY177" s="80"/>
      <c r="IZ177" s="80"/>
      <c r="JA177" s="80"/>
      <c r="JB177" s="80"/>
      <c r="JC177" s="80"/>
      <c r="JD177" s="80"/>
      <c r="JE177" s="80"/>
      <c r="JF177" s="80"/>
      <c r="JG177" s="80"/>
      <c r="JH177" s="80"/>
      <c r="JI177" s="80"/>
      <c r="JJ177" s="80"/>
      <c r="JK177" s="80"/>
      <c r="JL177" s="80"/>
      <c r="JM177" s="80"/>
      <c r="JN177" s="80"/>
      <c r="JO177" s="80"/>
      <c r="JP177" s="80"/>
      <c r="JQ177" s="80"/>
      <c r="JR177" s="80"/>
      <c r="JS177" s="80"/>
      <c r="JT177" s="80"/>
      <c r="JU177" s="80"/>
      <c r="JV177" s="80"/>
      <c r="JW177" s="80"/>
      <c r="JX177" s="80"/>
      <c r="JY177" s="80"/>
      <c r="JZ177" s="80"/>
      <c r="KA177" s="80"/>
      <c r="KB177" s="80"/>
      <c r="KC177" s="80"/>
      <c r="KD177" s="80"/>
      <c r="KE177" s="80"/>
      <c r="KF177" s="80"/>
      <c r="KG177" s="80"/>
      <c r="KH177" s="80"/>
      <c r="KI177" s="80"/>
      <c r="KJ177" s="80"/>
      <c r="KK177" s="80"/>
      <c r="KL177" s="80"/>
      <c r="KM177" s="80"/>
      <c r="KN177" s="80"/>
      <c r="KO177" s="80"/>
      <c r="KP177" s="80"/>
      <c r="KQ177" s="80"/>
      <c r="KR177" s="80"/>
      <c r="KS177" s="80"/>
      <c r="KT177" s="80"/>
      <c r="KU177" s="80"/>
      <c r="KV177" s="80"/>
      <c r="KW177" s="80"/>
      <c r="KX177" s="80"/>
      <c r="KY177" s="80"/>
      <c r="KZ177" s="80"/>
      <c r="LA177" s="80"/>
      <c r="LB177" s="80"/>
      <c r="LC177" s="80"/>
      <c r="LD177" s="80"/>
      <c r="LE177" s="80"/>
      <c r="LF177" s="80"/>
      <c r="LG177" s="80"/>
      <c r="LH177" s="80"/>
      <c r="LI177" s="80"/>
      <c r="LJ177" s="80"/>
      <c r="LK177" s="80"/>
      <c r="LL177" s="80"/>
      <c r="LM177" s="80"/>
      <c r="LN177" s="80"/>
      <c r="LO177" s="80"/>
      <c r="LP177" s="80"/>
      <c r="LQ177" s="80"/>
      <c r="LR177" s="80"/>
      <c r="LS177" s="80"/>
      <c r="LT177" s="80"/>
      <c r="LU177" s="80"/>
      <c r="LV177" s="80"/>
      <c r="LW177" s="80"/>
      <c r="LX177" s="80"/>
      <c r="LY177" s="80"/>
      <c r="LZ177" s="80"/>
      <c r="MA177" s="80"/>
      <c r="MB177" s="80"/>
      <c r="MC177" s="80"/>
      <c r="MD177" s="80"/>
      <c r="ME177" s="80"/>
      <c r="MF177" s="80"/>
      <c r="MG177" s="80"/>
      <c r="MH177" s="80"/>
      <c r="MI177" s="80"/>
      <c r="MJ177" s="80"/>
      <c r="MK177" s="80"/>
      <c r="ML177" s="80"/>
      <c r="MM177" s="80"/>
      <c r="MN177" s="80"/>
      <c r="MO177" s="80"/>
      <c r="MP177" s="80"/>
      <c r="MQ177" s="80"/>
      <c r="MR177" s="80"/>
      <c r="MS177" s="80"/>
      <c r="MT177" s="80"/>
      <c r="MU177" s="80"/>
      <c r="MV177" s="80"/>
      <c r="MW177" s="80"/>
      <c r="MX177" s="80"/>
      <c r="MY177" s="80"/>
      <c r="MZ177" s="80"/>
      <c r="NA177" s="80"/>
      <c r="NB177" s="80"/>
      <c r="NC177" s="80"/>
      <c r="ND177" s="80"/>
      <c r="NE177" s="80"/>
      <c r="NF177" s="80"/>
      <c r="NG177" s="80"/>
      <c r="NH177" s="80"/>
      <c r="NI177" s="80"/>
      <c r="NJ177" s="80"/>
      <c r="NK177" s="80"/>
      <c r="NL177" s="80"/>
      <c r="NM177" s="80"/>
      <c r="NN177" s="80"/>
      <c r="NO177" s="80"/>
      <c r="NP177" s="80"/>
      <c r="NQ177" s="80"/>
      <c r="NR177" s="80"/>
      <c r="NS177" s="80"/>
      <c r="NT177" s="80"/>
      <c r="NU177" s="80"/>
      <c r="NV177" s="80"/>
      <c r="NW177" s="80"/>
      <c r="NX177" s="80"/>
      <c r="NY177" s="80"/>
      <c r="NZ177" s="80"/>
      <c r="OA177" s="80"/>
      <c r="OB177" s="80"/>
      <c r="OC177" s="80"/>
      <c r="OD177" s="80"/>
      <c r="OE177" s="80"/>
      <c r="OF177" s="80"/>
      <c r="OG177" s="80"/>
      <c r="OH177" s="80"/>
      <c r="OI177" s="80"/>
      <c r="OJ177" s="80"/>
      <c r="OK177" s="80"/>
      <c r="OL177" s="80"/>
      <c r="OM177" s="80"/>
      <c r="ON177" s="80"/>
      <c r="OO177" s="80"/>
      <c r="OP177" s="80"/>
      <c r="OQ177" s="80"/>
      <c r="OR177" s="80"/>
      <c r="OS177" s="80"/>
      <c r="OT177" s="80"/>
      <c r="OU177" s="80"/>
      <c r="OV177" s="80"/>
      <c r="OW177" s="80"/>
      <c r="OX177" s="80"/>
      <c r="OY177" s="80"/>
      <c r="OZ177" s="80"/>
      <c r="PA177" s="80"/>
      <c r="PB177" s="80"/>
      <c r="PC177" s="80"/>
      <c r="PD177" s="80"/>
      <c r="PE177" s="80"/>
      <c r="PF177" s="80"/>
      <c r="PG177" s="80"/>
      <c r="PH177" s="80"/>
      <c r="PI177" s="80"/>
      <c r="PJ177" s="80"/>
      <c r="PK177" s="80"/>
      <c r="PL177" s="80"/>
      <c r="PM177" s="80"/>
      <c r="PN177" s="80"/>
      <c r="PO177" s="80"/>
      <c r="PP177" s="80"/>
      <c r="PQ177" s="80"/>
      <c r="PR177" s="80"/>
      <c r="PS177" s="80"/>
      <c r="PT177" s="80"/>
      <c r="PU177" s="80"/>
      <c r="PV177" s="80"/>
      <c r="PW177" s="80"/>
      <c r="PX177" s="80"/>
      <c r="PY177" s="80"/>
      <c r="PZ177" s="80"/>
      <c r="QA177" s="80"/>
      <c r="QB177" s="80"/>
      <c r="QC177" s="80"/>
      <c r="QD177" s="80"/>
      <c r="QE177" s="80"/>
      <c r="QF177" s="80"/>
      <c r="QG177" s="80"/>
      <c r="QH177" s="80"/>
      <c r="QI177" s="80"/>
      <c r="QJ177" s="80"/>
      <c r="QK177" s="80"/>
      <c r="QL177" s="80"/>
      <c r="QM177" s="80"/>
      <c r="QN177" s="80"/>
      <c r="QO177" s="80"/>
      <c r="QP177" s="80"/>
      <c r="QQ177" s="80"/>
      <c r="QR177" s="80"/>
      <c r="QS177" s="80"/>
      <c r="QT177" s="80"/>
      <c r="QU177" s="80"/>
      <c r="QV177" s="80"/>
      <c r="QW177" s="80"/>
      <c r="QX177" s="80"/>
      <c r="QY177" s="80"/>
      <c r="QZ177" s="80"/>
      <c r="RA177" s="80"/>
      <c r="RB177" s="80"/>
      <c r="RC177" s="80"/>
      <c r="RD177" s="80"/>
      <c r="RE177" s="80"/>
      <c r="RF177" s="80"/>
      <c r="RG177" s="80"/>
      <c r="RH177" s="80"/>
      <c r="RI177" s="80"/>
      <c r="RJ177" s="80"/>
      <c r="RK177" s="80"/>
      <c r="RL177" s="80"/>
      <c r="RM177" s="80"/>
      <c r="RN177" s="80"/>
      <c r="RO177" s="80"/>
      <c r="RP177" s="80"/>
      <c r="RQ177" s="80"/>
      <c r="RR177" s="80"/>
      <c r="RS177" s="80"/>
      <c r="RT177" s="80"/>
      <c r="RU177" s="80"/>
      <c r="RV177" s="80"/>
      <c r="RW177" s="80"/>
      <c r="RX177" s="80"/>
      <c r="RY177" s="80"/>
      <c r="RZ177" s="80"/>
      <c r="SA177" s="80"/>
      <c r="SB177" s="80"/>
      <c r="SC177" s="80"/>
      <c r="SD177" s="80"/>
      <c r="SE177" s="80"/>
      <c r="SF177" s="80"/>
      <c r="SG177" s="80"/>
      <c r="SH177" s="80"/>
      <c r="SI177" s="80"/>
      <c r="SJ177" s="80"/>
      <c r="SK177" s="80"/>
      <c r="SL177" s="80"/>
      <c r="SM177" s="80"/>
      <c r="SN177" s="80"/>
      <c r="SO177" s="80"/>
      <c r="SP177" s="80"/>
      <c r="SQ177" s="80"/>
      <c r="SR177" s="80"/>
      <c r="SS177" s="80"/>
      <c r="ST177" s="80"/>
      <c r="SU177" s="80"/>
      <c r="SV177" s="80"/>
      <c r="SW177" s="80"/>
      <c r="SX177" s="80"/>
      <c r="SY177" s="80"/>
      <c r="SZ177" s="80"/>
      <c r="TA177" s="80"/>
      <c r="TB177" s="80"/>
      <c r="TC177" s="80"/>
      <c r="TD177" s="80"/>
      <c r="TE177" s="80"/>
      <c r="TF177" s="80"/>
      <c r="TG177" s="80"/>
      <c r="TH177" s="80"/>
      <c r="TI177" s="80"/>
      <c r="TJ177" s="80"/>
      <c r="TK177" s="80"/>
      <c r="TL177" s="80"/>
      <c r="TM177" s="80"/>
      <c r="TN177" s="80"/>
      <c r="TO177" s="80"/>
      <c r="TP177" s="80"/>
      <c r="TQ177" s="80"/>
      <c r="TR177" s="80"/>
      <c r="TS177" s="80"/>
      <c r="TT177" s="80"/>
      <c r="TU177" s="80"/>
      <c r="TV177" s="80"/>
      <c r="TW177" s="80"/>
      <c r="TX177" s="80"/>
      <c r="TY177" s="80"/>
      <c r="TZ177" s="80"/>
      <c r="UA177" s="80"/>
      <c r="UB177" s="80"/>
      <c r="UC177" s="80"/>
      <c r="UD177" s="80"/>
      <c r="UE177" s="80"/>
      <c r="UF177" s="80"/>
      <c r="UG177" s="80"/>
      <c r="UH177" s="80"/>
      <c r="UI177" s="80"/>
      <c r="UJ177" s="80"/>
      <c r="UK177" s="80"/>
      <c r="UL177" s="80"/>
      <c r="UM177" s="80"/>
      <c r="UN177" s="80"/>
      <c r="UO177" s="80"/>
      <c r="UP177" s="80"/>
      <c r="UQ177" s="80"/>
      <c r="UR177" s="80"/>
      <c r="US177" s="80"/>
      <c r="UT177" s="80"/>
      <c r="UU177" s="80"/>
      <c r="UV177" s="80"/>
      <c r="UW177" s="80"/>
      <c r="UX177" s="80"/>
      <c r="UY177" s="80"/>
      <c r="UZ177" s="80"/>
      <c r="VA177" s="80"/>
      <c r="VB177" s="80"/>
      <c r="VC177" s="80"/>
      <c r="VD177" s="80"/>
      <c r="VE177" s="80"/>
      <c r="VF177" s="80"/>
      <c r="VG177" s="80"/>
      <c r="VH177" s="80"/>
      <c r="VI177" s="80"/>
      <c r="VJ177" s="80"/>
      <c r="VK177" s="80"/>
      <c r="VL177" s="80"/>
      <c r="VM177" s="80"/>
      <c r="VN177" s="80"/>
      <c r="VO177" s="80"/>
      <c r="VP177" s="80"/>
      <c r="VQ177" s="80"/>
      <c r="VR177" s="80"/>
      <c r="VS177" s="80"/>
      <c r="VT177" s="80"/>
      <c r="VU177" s="80"/>
      <c r="VV177" s="80"/>
      <c r="VW177" s="80"/>
      <c r="VX177" s="80"/>
      <c r="VY177" s="80"/>
      <c r="VZ177" s="80"/>
      <c r="WA177" s="80"/>
      <c r="WB177" s="80"/>
      <c r="WC177" s="80"/>
      <c r="WD177" s="80"/>
      <c r="WE177" s="80"/>
      <c r="WF177" s="80"/>
      <c r="WG177" s="80"/>
      <c r="WH177" s="80"/>
      <c r="WI177" s="80"/>
      <c r="WJ177" s="80"/>
      <c r="WK177" s="80"/>
      <c r="WL177" s="80"/>
      <c r="WM177" s="80"/>
      <c r="WN177" s="80"/>
      <c r="WO177" s="80"/>
      <c r="WP177" s="80"/>
      <c r="WQ177" s="80"/>
      <c r="WR177" s="80"/>
      <c r="WS177" s="80"/>
      <c r="WT177" s="80"/>
      <c r="WU177" s="80"/>
      <c r="WV177" s="80"/>
      <c r="WW177" s="80"/>
      <c r="WX177" s="80"/>
      <c r="WY177" s="80"/>
      <c r="WZ177" s="80"/>
      <c r="XA177" s="80"/>
      <c r="XB177" s="80"/>
      <c r="XC177" s="80"/>
      <c r="XD177" s="80"/>
      <c r="XE177" s="80"/>
      <c r="XF177" s="80"/>
      <c r="XG177" s="80"/>
      <c r="XH177" s="80"/>
      <c r="XI177" s="80"/>
      <c r="XJ177" s="80"/>
      <c r="XK177" s="80"/>
      <c r="XL177" s="80"/>
      <c r="XM177" s="80"/>
      <c r="XN177" s="80"/>
      <c r="XO177" s="80"/>
      <c r="XP177" s="80"/>
      <c r="XQ177" s="80"/>
      <c r="XR177" s="80"/>
      <c r="XS177" s="80"/>
      <c r="XT177" s="80"/>
      <c r="XU177" s="80"/>
      <c r="XV177" s="80"/>
      <c r="XW177" s="80"/>
      <c r="XX177" s="80"/>
      <c r="XY177" s="80"/>
      <c r="XZ177" s="80"/>
      <c r="YA177" s="80"/>
      <c r="YB177" s="80"/>
      <c r="YC177" s="80"/>
      <c r="YD177" s="80"/>
      <c r="YE177" s="80"/>
      <c r="YF177" s="80"/>
      <c r="YG177" s="80"/>
      <c r="YH177" s="80"/>
      <c r="YI177" s="80"/>
      <c r="YJ177" s="80"/>
      <c r="YK177" s="80"/>
      <c r="YL177" s="80"/>
      <c r="YM177" s="80"/>
      <c r="YN177" s="80"/>
      <c r="YO177" s="80"/>
      <c r="YP177" s="80"/>
      <c r="YQ177" s="80"/>
      <c r="YR177" s="80"/>
      <c r="YS177" s="80"/>
      <c r="YT177" s="80"/>
      <c r="YU177" s="80"/>
      <c r="YV177" s="80"/>
      <c r="YW177" s="80"/>
      <c r="YX177" s="80"/>
      <c r="YY177" s="80"/>
      <c r="YZ177" s="80"/>
      <c r="ZA177" s="80"/>
      <c r="ZB177" s="80"/>
      <c r="ZC177" s="80"/>
      <c r="ZD177" s="80"/>
      <c r="ZE177" s="80"/>
      <c r="ZF177" s="80"/>
      <c r="ZG177" s="80"/>
      <c r="ZH177" s="80"/>
      <c r="ZI177" s="80"/>
      <c r="ZJ177" s="80"/>
      <c r="ZK177" s="80"/>
      <c r="ZL177" s="80"/>
      <c r="ZM177" s="80"/>
      <c r="ZN177" s="80"/>
      <c r="ZO177" s="80"/>
      <c r="ZP177" s="80"/>
      <c r="ZQ177" s="80"/>
      <c r="ZR177" s="80"/>
      <c r="ZS177" s="80"/>
      <c r="ZT177" s="80"/>
      <c r="ZU177" s="80"/>
      <c r="ZV177" s="80"/>
      <c r="ZW177" s="80"/>
      <c r="ZX177" s="80"/>
      <c r="ZY177" s="80"/>
      <c r="ZZ177" s="80"/>
      <c r="AAA177" s="80"/>
      <c r="AAB177" s="80"/>
      <c r="AAC177" s="80"/>
      <c r="AAD177" s="80"/>
      <c r="AAE177" s="80"/>
      <c r="AAF177" s="80"/>
      <c r="AAG177" s="80"/>
      <c r="AAH177" s="80"/>
      <c r="AAI177" s="80"/>
      <c r="AAJ177" s="80"/>
      <c r="AAK177" s="80"/>
      <c r="AAL177" s="80"/>
      <c r="AAM177" s="80"/>
      <c r="AAN177" s="80"/>
      <c r="AAO177" s="80"/>
      <c r="AAP177" s="80"/>
      <c r="AAQ177" s="80"/>
      <c r="AAR177" s="80"/>
      <c r="AAS177" s="80"/>
      <c r="AAT177" s="80"/>
      <c r="AAU177" s="80"/>
      <c r="AAV177" s="80"/>
      <c r="AAW177" s="80"/>
      <c r="AAX177" s="80"/>
      <c r="AAY177" s="80"/>
      <c r="AAZ177" s="80"/>
      <c r="ABA177" s="80"/>
      <c r="ABB177" s="80"/>
      <c r="ABC177" s="80"/>
      <c r="ABD177" s="80"/>
      <c r="ABE177" s="80"/>
      <c r="ABF177" s="80"/>
      <c r="ABG177" s="80"/>
      <c r="ABH177" s="80"/>
      <c r="ABI177" s="80"/>
      <c r="ABJ177" s="80"/>
      <c r="ABK177" s="80"/>
      <c r="ABL177" s="80"/>
      <c r="ABM177" s="80"/>
      <c r="ABN177" s="80"/>
      <c r="ABO177" s="80"/>
      <c r="ABP177" s="80"/>
      <c r="ABQ177" s="80"/>
      <c r="ABR177" s="80"/>
      <c r="ABS177" s="80"/>
      <c r="ABT177" s="80"/>
      <c r="ABU177" s="80"/>
      <c r="ABV177" s="80"/>
      <c r="ABW177" s="80"/>
      <c r="ABX177" s="80"/>
      <c r="ABY177" s="80"/>
      <c r="ABZ177" s="80"/>
      <c r="ACA177" s="80"/>
      <c r="ACB177" s="80"/>
      <c r="ACC177" s="80"/>
      <c r="ACD177" s="80"/>
      <c r="ACE177" s="80"/>
      <c r="ACF177" s="80"/>
      <c r="ACG177" s="80"/>
      <c r="ACH177" s="80"/>
      <c r="ACI177" s="80"/>
      <c r="ACJ177" s="80"/>
      <c r="ACK177" s="80"/>
      <c r="ACL177" s="80"/>
      <c r="ACM177" s="80"/>
      <c r="ACN177" s="80"/>
      <c r="ACO177" s="80"/>
      <c r="ACP177" s="80"/>
      <c r="ACQ177" s="80"/>
      <c r="ACR177" s="80"/>
      <c r="ACS177" s="80"/>
      <c r="ACT177" s="80"/>
      <c r="ACU177" s="80"/>
      <c r="ACV177" s="80"/>
      <c r="ACW177" s="80"/>
      <c r="ACX177" s="80"/>
      <c r="ACY177" s="80"/>
      <c r="ACZ177" s="80"/>
      <c r="ADA177" s="80"/>
      <c r="ADB177" s="80"/>
      <c r="ADC177" s="80"/>
      <c r="ADD177" s="80"/>
      <c r="ADE177" s="80"/>
      <c r="ADF177" s="80"/>
      <c r="ADG177" s="80"/>
      <c r="ADH177" s="80"/>
      <c r="ADI177" s="80"/>
      <c r="ADJ177" s="80"/>
      <c r="ADK177" s="80"/>
      <c r="ADL177" s="80"/>
      <c r="ADM177" s="80"/>
      <c r="ADN177" s="80"/>
      <c r="ADO177" s="80"/>
      <c r="ADP177" s="80"/>
      <c r="ADQ177" s="80"/>
      <c r="ADR177" s="80"/>
      <c r="ADS177" s="80"/>
      <c r="ADT177" s="80"/>
      <c r="ADU177" s="80"/>
      <c r="ADV177" s="80"/>
      <c r="ADW177" s="80"/>
      <c r="ADX177" s="80"/>
      <c r="ADY177" s="80"/>
      <c r="ADZ177" s="80"/>
      <c r="AEA177" s="80"/>
      <c r="AEB177" s="80"/>
      <c r="AEC177" s="80"/>
      <c r="AED177" s="80"/>
      <c r="AEE177" s="80"/>
      <c r="AEF177" s="80"/>
      <c r="AEG177" s="80"/>
      <c r="AEH177" s="80"/>
      <c r="AEI177" s="80"/>
      <c r="AEJ177" s="80"/>
      <c r="AEK177" s="80"/>
      <c r="AEL177" s="80"/>
      <c r="AEM177" s="80"/>
      <c r="AEN177" s="80"/>
      <c r="AEO177" s="80"/>
      <c r="AEP177" s="80"/>
      <c r="AEQ177" s="80"/>
      <c r="AER177" s="80"/>
      <c r="AES177" s="80"/>
      <c r="AET177" s="80"/>
      <c r="AEU177" s="80"/>
      <c r="AEV177" s="80"/>
      <c r="AEW177" s="80"/>
      <c r="AEX177" s="80"/>
      <c r="AEY177" s="80"/>
      <c r="AEZ177" s="80"/>
      <c r="AFA177" s="80"/>
      <c r="AFB177" s="80"/>
      <c r="AFC177" s="80"/>
      <c r="AFD177" s="80"/>
      <c r="AFE177" s="80"/>
      <c r="AFF177" s="80"/>
      <c r="AFG177" s="80"/>
      <c r="AFH177" s="80"/>
      <c r="AFI177" s="80"/>
      <c r="AFJ177" s="80"/>
      <c r="AFK177" s="80"/>
      <c r="AFL177" s="80"/>
      <c r="AFM177" s="80"/>
      <c r="AFN177" s="80"/>
      <c r="AFO177" s="80"/>
      <c r="AFP177" s="80"/>
      <c r="AFQ177" s="80"/>
      <c r="AFR177" s="80"/>
      <c r="AFS177" s="80"/>
      <c r="AFT177" s="80"/>
      <c r="AFU177" s="80"/>
      <c r="AFV177" s="80"/>
      <c r="AFW177" s="80"/>
      <c r="AFX177" s="80"/>
      <c r="AFY177" s="80"/>
      <c r="AFZ177" s="80"/>
      <c r="AGA177" s="80"/>
      <c r="AGB177" s="80"/>
      <c r="AGC177" s="80"/>
      <c r="AGD177" s="80"/>
      <c r="AGE177" s="80"/>
      <c r="AGF177" s="80"/>
      <c r="AGG177" s="80"/>
      <c r="AGH177" s="80"/>
      <c r="AGI177" s="80"/>
      <c r="AGJ177" s="80"/>
      <c r="AGK177" s="80"/>
      <c r="AGL177" s="80"/>
      <c r="AGM177" s="80"/>
      <c r="AGN177" s="80"/>
      <c r="AGO177" s="80"/>
      <c r="AGP177" s="80"/>
      <c r="AGQ177" s="80"/>
      <c r="AGR177" s="80"/>
      <c r="AGS177" s="80"/>
      <c r="AGT177" s="80"/>
      <c r="AGU177" s="80"/>
      <c r="AGV177" s="80"/>
      <c r="AGW177" s="80"/>
      <c r="AGX177" s="80"/>
      <c r="AGY177" s="80"/>
      <c r="AGZ177" s="80"/>
      <c r="AHA177" s="80"/>
      <c r="AHB177" s="80"/>
      <c r="AHC177" s="80"/>
      <c r="AHD177" s="80"/>
      <c r="AHE177" s="80"/>
      <c r="AHF177" s="80"/>
      <c r="AHG177" s="80"/>
      <c r="AHH177" s="80"/>
      <c r="AHI177" s="80"/>
      <c r="AHJ177" s="80"/>
      <c r="AHK177" s="80"/>
      <c r="AHL177" s="80"/>
      <c r="AHM177" s="80"/>
      <c r="AHN177" s="80"/>
      <c r="AHO177" s="80"/>
      <c r="AHP177" s="80"/>
      <c r="AHQ177" s="80"/>
      <c r="AHR177" s="80"/>
      <c r="AHS177" s="80"/>
      <c r="AHT177" s="80"/>
      <c r="AHU177" s="80"/>
      <c r="AHV177" s="80"/>
      <c r="AHW177" s="80"/>
      <c r="AHX177" s="80"/>
      <c r="AHY177" s="80"/>
      <c r="AHZ177" s="80"/>
      <c r="AIA177" s="80"/>
      <c r="AIB177" s="80"/>
      <c r="AIC177" s="80"/>
      <c r="AID177" s="80"/>
      <c r="AIE177" s="80"/>
      <c r="AIF177" s="80"/>
      <c r="AIG177" s="80"/>
      <c r="AIH177" s="80"/>
      <c r="AII177" s="80"/>
      <c r="AIJ177" s="80"/>
      <c r="AIK177" s="80"/>
      <c r="AIL177" s="80"/>
      <c r="AIM177" s="80"/>
      <c r="AIN177" s="80"/>
      <c r="AIO177" s="80"/>
      <c r="AIP177" s="80"/>
      <c r="AIQ177" s="80"/>
      <c r="AIR177" s="80"/>
      <c r="AIS177" s="80"/>
      <c r="AIT177" s="80"/>
      <c r="AIU177" s="80"/>
      <c r="AIV177" s="80"/>
      <c r="AIW177" s="80"/>
      <c r="AIX177" s="80"/>
      <c r="AIY177" s="80"/>
      <c r="AIZ177" s="80"/>
      <c r="AJA177" s="80"/>
      <c r="AJB177" s="80"/>
      <c r="AJC177" s="80"/>
      <c r="AJD177" s="80"/>
      <c r="AJE177" s="80"/>
      <c r="AJF177" s="80"/>
      <c r="AJG177" s="80"/>
      <c r="AJH177" s="80"/>
      <c r="AJI177" s="80"/>
      <c r="AJJ177" s="80"/>
      <c r="AJK177" s="80"/>
      <c r="AJL177" s="80"/>
      <c r="AJM177" s="80"/>
      <c r="AJN177" s="80"/>
      <c r="AJO177" s="80"/>
      <c r="AJP177" s="80"/>
      <c r="AJQ177" s="80"/>
      <c r="AJR177" s="80"/>
      <c r="AJS177" s="80"/>
      <c r="AJT177" s="80"/>
      <c r="AJU177" s="80"/>
      <c r="AJV177" s="80"/>
      <c r="AJW177" s="80"/>
      <c r="AJX177" s="80"/>
      <c r="AJY177" s="80"/>
      <c r="AJZ177" s="80"/>
      <c r="AKA177" s="80"/>
      <c r="AKB177" s="80"/>
      <c r="AKC177" s="80"/>
      <c r="AKD177" s="80"/>
      <c r="AKE177" s="80"/>
      <c r="AKF177" s="80"/>
      <c r="AKG177" s="80"/>
      <c r="AKH177" s="80"/>
      <c r="AKI177" s="80"/>
      <c r="AKJ177" s="80"/>
      <c r="AKK177" s="80"/>
      <c r="AKL177" s="80"/>
      <c r="AKM177" s="80"/>
      <c r="AKN177" s="80"/>
      <c r="AKO177" s="80"/>
      <c r="AKP177" s="80"/>
      <c r="AKQ177" s="80"/>
      <c r="AKR177" s="80"/>
      <c r="AKS177" s="80"/>
      <c r="AKT177" s="80"/>
      <c r="AKU177" s="80"/>
      <c r="AKV177" s="80"/>
      <c r="AKW177" s="80"/>
      <c r="AKX177" s="80"/>
      <c r="AKY177" s="80"/>
      <c r="AKZ177" s="80"/>
      <c r="ALA177" s="80"/>
      <c r="ALB177" s="80"/>
      <c r="ALC177" s="80"/>
      <c r="ALD177" s="80"/>
      <c r="ALE177" s="80"/>
      <c r="ALF177" s="80"/>
      <c r="ALG177" s="80"/>
      <c r="ALH177" s="80"/>
      <c r="ALI177" s="80"/>
      <c r="ALJ177" s="80"/>
      <c r="ALK177" s="80"/>
      <c r="ALL177" s="80"/>
      <c r="ALM177" s="80"/>
      <c r="ALN177" s="80"/>
      <c r="ALO177" s="80"/>
      <c r="ALP177" s="80"/>
      <c r="ALQ177" s="80"/>
      <c r="ALR177" s="80"/>
      <c r="ALS177" s="80"/>
      <c r="ALT177" s="80"/>
      <c r="ALU177" s="80"/>
      <c r="ALV177" s="80"/>
      <c r="ALW177" s="80"/>
      <c r="ALX177" s="80"/>
      <c r="ALY177" s="80"/>
      <c r="ALZ177" s="80"/>
      <c r="AMA177" s="80"/>
      <c r="AMB177" s="80"/>
      <c r="AMC177" s="80"/>
      <c r="AMD177" s="80"/>
      <c r="AME177" s="80"/>
      <c r="AMF177" s="80"/>
      <c r="AMG177" s="80"/>
      <c r="AMH177" s="80"/>
      <c r="AMI177" s="80"/>
      <c r="AMJ177" s="80"/>
      <c r="AMK177" s="80"/>
      <c r="AML177" s="80"/>
      <c r="AMM177" s="80"/>
      <c r="AMN177" s="80"/>
      <c r="AMO177" s="80"/>
      <c r="AMP177" s="80"/>
      <c r="AMQ177" s="80"/>
      <c r="AMR177" s="80"/>
      <c r="AMS177" s="80"/>
      <c r="AMT177" s="80"/>
      <c r="AMU177" s="80"/>
      <c r="AMV177" s="80"/>
      <c r="AMW177" s="80"/>
      <c r="AMX177" s="80"/>
      <c r="AMY177" s="80"/>
      <c r="AMZ177" s="80"/>
      <c r="ANA177" s="80"/>
      <c r="ANB177" s="80"/>
      <c r="ANC177" s="80"/>
      <c r="AND177" s="80"/>
      <c r="ANE177" s="80"/>
      <c r="ANF177" s="80"/>
      <c r="ANG177" s="80"/>
      <c r="ANH177" s="80"/>
      <c r="ANI177" s="80"/>
      <c r="ANJ177" s="80"/>
      <c r="ANK177" s="80"/>
      <c r="ANL177" s="80"/>
      <c r="ANM177" s="80"/>
      <c r="ANN177" s="80"/>
      <c r="ANO177" s="80"/>
      <c r="ANP177" s="80"/>
      <c r="ANQ177" s="80"/>
      <c r="ANR177" s="80"/>
      <c r="ANS177" s="80"/>
      <c r="ANT177" s="80"/>
      <c r="ANU177" s="80"/>
      <c r="ANV177" s="80"/>
      <c r="ANW177" s="80"/>
      <c r="ANX177" s="80"/>
      <c r="ANY177" s="80"/>
      <c r="ANZ177" s="80"/>
      <c r="AOA177" s="80"/>
      <c r="AOB177" s="80"/>
      <c r="AOC177" s="80"/>
      <c r="AOD177" s="80"/>
      <c r="AOE177" s="80"/>
      <c r="AOF177" s="80"/>
      <c r="AOG177" s="80"/>
      <c r="AOH177" s="80"/>
      <c r="AOI177" s="80"/>
      <c r="AOJ177" s="80"/>
      <c r="AOK177" s="80"/>
      <c r="AOL177" s="80"/>
      <c r="AOM177" s="80"/>
      <c r="AON177" s="80"/>
      <c r="AOO177" s="80"/>
      <c r="AOP177" s="80"/>
      <c r="AOQ177" s="80"/>
      <c r="AOR177" s="80"/>
      <c r="AOS177" s="80"/>
      <c r="AOT177" s="80"/>
      <c r="AOU177" s="80"/>
      <c r="AOV177" s="80"/>
      <c r="AOW177" s="80"/>
      <c r="AOX177" s="80"/>
      <c r="AOY177" s="80"/>
      <c r="AOZ177" s="80"/>
      <c r="APA177" s="80"/>
      <c r="APB177" s="80"/>
      <c r="APC177" s="80"/>
      <c r="APD177" s="80"/>
      <c r="APE177" s="80"/>
      <c r="APF177" s="80"/>
      <c r="APG177" s="80"/>
      <c r="APH177" s="80"/>
      <c r="API177" s="80"/>
      <c r="APJ177" s="80"/>
      <c r="APK177" s="80"/>
      <c r="APL177" s="80"/>
      <c r="APM177" s="80"/>
      <c r="APN177" s="80"/>
      <c r="APO177" s="80"/>
      <c r="APP177" s="80"/>
      <c r="APQ177" s="80"/>
      <c r="APR177" s="80"/>
      <c r="APS177" s="80"/>
      <c r="APT177" s="80"/>
      <c r="APU177" s="80"/>
      <c r="APV177" s="80"/>
      <c r="APW177" s="80"/>
      <c r="APX177" s="80"/>
      <c r="APY177" s="80"/>
      <c r="APZ177" s="80"/>
      <c r="AQA177" s="80"/>
      <c r="AQB177" s="80"/>
      <c r="AQC177" s="80"/>
      <c r="AQD177" s="80"/>
      <c r="AQE177" s="80"/>
      <c r="AQF177" s="80"/>
      <c r="AQG177" s="80"/>
      <c r="AQH177" s="80"/>
      <c r="AQI177" s="80"/>
      <c r="AQJ177" s="80"/>
      <c r="AQK177" s="80"/>
      <c r="AQL177" s="80"/>
      <c r="AQM177" s="80"/>
      <c r="AQN177" s="80"/>
      <c r="AQO177" s="80"/>
      <c r="AQP177" s="80"/>
      <c r="AQQ177" s="80"/>
      <c r="AQR177" s="80"/>
      <c r="AQS177" s="80"/>
      <c r="AQT177" s="80"/>
      <c r="AQU177" s="80"/>
      <c r="AQV177" s="80"/>
      <c r="AQW177" s="80"/>
      <c r="AQX177" s="80"/>
      <c r="AQY177" s="80"/>
      <c r="AQZ177" s="80"/>
      <c r="ARA177" s="80"/>
      <c r="ARB177" s="80"/>
      <c r="ARC177" s="80"/>
      <c r="ARD177" s="80"/>
      <c r="ARE177" s="80"/>
      <c r="ARF177" s="80"/>
      <c r="ARG177" s="80"/>
      <c r="ARH177" s="80"/>
      <c r="ARI177" s="80"/>
      <c r="ARJ177" s="80"/>
      <c r="ARK177" s="80"/>
      <c r="ARL177" s="80"/>
      <c r="ARM177" s="80"/>
      <c r="ARN177" s="80"/>
      <c r="ARO177" s="80"/>
      <c r="ARP177" s="80"/>
      <c r="ARQ177" s="80"/>
      <c r="ARR177" s="80"/>
      <c r="ARS177" s="80"/>
      <c r="ART177" s="80"/>
      <c r="ARU177" s="80"/>
      <c r="ARV177" s="80"/>
      <c r="ARW177" s="80"/>
      <c r="ARX177" s="80"/>
      <c r="ARY177" s="80"/>
      <c r="ARZ177" s="80"/>
      <c r="ASA177" s="80"/>
      <c r="ASB177" s="80"/>
      <c r="ASC177" s="80"/>
      <c r="ASD177" s="80"/>
      <c r="ASE177" s="80"/>
      <c r="ASF177" s="80"/>
      <c r="ASG177" s="80"/>
      <c r="ASH177" s="80"/>
      <c r="ASI177" s="80"/>
      <c r="ASJ177" s="80"/>
      <c r="ASK177" s="80"/>
      <c r="ASL177" s="80"/>
      <c r="ASM177" s="80"/>
      <c r="ASN177" s="80"/>
      <c r="ASO177" s="80"/>
      <c r="ASP177" s="80"/>
      <c r="ASQ177" s="80"/>
      <c r="ASR177" s="80"/>
      <c r="ASS177" s="80"/>
      <c r="AST177" s="80"/>
      <c r="ASU177" s="80"/>
      <c r="ASV177" s="80"/>
      <c r="ASW177" s="80"/>
      <c r="ASX177" s="80"/>
      <c r="ASY177" s="80"/>
      <c r="ASZ177" s="80"/>
      <c r="ATA177" s="80"/>
      <c r="ATB177" s="80"/>
      <c r="ATC177" s="80"/>
      <c r="ATD177" s="80"/>
      <c r="ATE177" s="80"/>
      <c r="ATF177" s="80"/>
      <c r="ATG177" s="80"/>
      <c r="ATH177" s="80"/>
      <c r="ATI177" s="80"/>
      <c r="ATJ177" s="80"/>
      <c r="ATK177" s="80"/>
      <c r="ATL177" s="80"/>
      <c r="ATM177" s="80"/>
      <c r="ATN177" s="80"/>
      <c r="ATO177" s="80"/>
      <c r="ATP177" s="80"/>
      <c r="ATQ177" s="80"/>
      <c r="ATR177" s="80"/>
      <c r="ATS177" s="80"/>
      <c r="ATT177" s="80"/>
      <c r="ATU177" s="80"/>
      <c r="ATV177" s="80"/>
      <c r="ATW177" s="80"/>
      <c r="ATX177" s="80"/>
      <c r="ATY177" s="80"/>
      <c r="ATZ177" s="80"/>
      <c r="AUA177" s="80"/>
      <c r="AUB177" s="80"/>
      <c r="AUC177" s="80"/>
      <c r="AUD177" s="80"/>
      <c r="AUE177" s="80"/>
      <c r="AUF177" s="80"/>
      <c r="AUG177" s="80"/>
      <c r="AUH177" s="80"/>
      <c r="AUI177" s="80"/>
      <c r="AUJ177" s="80"/>
      <c r="AUK177" s="80"/>
      <c r="AUL177" s="80"/>
      <c r="AUM177" s="80"/>
      <c r="AUN177" s="80"/>
      <c r="AUO177" s="80"/>
      <c r="AUP177" s="80"/>
      <c r="AUQ177" s="80"/>
      <c r="AUR177" s="80"/>
      <c r="AUS177" s="80"/>
      <c r="AUT177" s="80"/>
      <c r="AUU177" s="80"/>
      <c r="AUV177" s="80"/>
      <c r="AUW177" s="80"/>
      <c r="AUX177" s="80"/>
      <c r="AUY177" s="80"/>
      <c r="AUZ177" s="80"/>
      <c r="AVA177" s="80"/>
      <c r="AVB177" s="80"/>
      <c r="AVC177" s="80"/>
      <c r="AVD177" s="80"/>
      <c r="AVE177" s="80"/>
      <c r="AVF177" s="80"/>
      <c r="AVG177" s="80"/>
      <c r="AVH177" s="80"/>
      <c r="AVI177" s="80"/>
      <c r="AVJ177" s="80"/>
      <c r="AVK177" s="80"/>
      <c r="AVL177" s="80"/>
      <c r="AVM177" s="80"/>
      <c r="AVN177" s="80"/>
      <c r="AVO177" s="80"/>
      <c r="AVP177" s="80"/>
      <c r="AVQ177" s="80"/>
      <c r="AVR177" s="80"/>
      <c r="AVS177" s="80"/>
      <c r="AVT177" s="80"/>
      <c r="AVU177" s="80"/>
      <c r="AVV177" s="80"/>
      <c r="AVW177" s="80"/>
      <c r="AVX177" s="80"/>
      <c r="AVY177" s="80"/>
      <c r="AVZ177" s="80"/>
      <c r="AWA177" s="80"/>
      <c r="AWB177" s="80"/>
      <c r="AWC177" s="80"/>
      <c r="AWD177" s="80"/>
      <c r="AWE177" s="80"/>
      <c r="AWF177" s="80"/>
      <c r="AWG177" s="80"/>
      <c r="AWH177" s="80"/>
      <c r="AWI177" s="80"/>
      <c r="AWJ177" s="80"/>
      <c r="AWK177" s="80"/>
      <c r="AWL177" s="80"/>
      <c r="AWM177" s="80"/>
      <c r="AWN177" s="80"/>
      <c r="AWO177" s="80"/>
      <c r="AWP177" s="80"/>
      <c r="AWQ177" s="80"/>
      <c r="AWR177" s="80"/>
      <c r="AWS177" s="80"/>
      <c r="AWT177" s="80"/>
      <c r="AWU177" s="80"/>
      <c r="AWV177" s="80"/>
      <c r="AWW177" s="80"/>
      <c r="AWX177" s="80"/>
      <c r="AWY177" s="80"/>
      <c r="AWZ177" s="80"/>
      <c r="AXA177" s="80"/>
      <c r="AXB177" s="80"/>
      <c r="AXC177" s="80"/>
      <c r="AXD177" s="80"/>
      <c r="AXE177" s="80"/>
      <c r="AXF177" s="80"/>
      <c r="AXG177" s="80"/>
      <c r="AXH177" s="80"/>
      <c r="AXI177" s="80"/>
      <c r="AXJ177" s="80"/>
      <c r="AXK177" s="80"/>
      <c r="AXL177" s="80"/>
      <c r="AXM177" s="80"/>
      <c r="AXN177" s="80"/>
      <c r="AXO177" s="80"/>
      <c r="AXP177" s="80"/>
      <c r="AXQ177" s="80"/>
      <c r="AXR177" s="80"/>
      <c r="AXS177" s="80"/>
      <c r="AXT177" s="80"/>
      <c r="AXU177" s="80"/>
      <c r="AXV177" s="80"/>
      <c r="AXW177" s="80"/>
      <c r="AXX177" s="80"/>
      <c r="AXY177" s="80"/>
      <c r="AXZ177" s="80"/>
      <c r="AYA177" s="80"/>
      <c r="AYB177" s="80"/>
      <c r="AYC177" s="80"/>
      <c r="AYD177" s="80"/>
      <c r="AYE177" s="80"/>
      <c r="AYF177" s="80"/>
      <c r="AYG177" s="80"/>
      <c r="AYH177" s="80"/>
      <c r="AYI177" s="80"/>
      <c r="AYJ177" s="80"/>
      <c r="AYK177" s="80"/>
      <c r="AYL177" s="80"/>
      <c r="AYM177" s="80"/>
      <c r="AYN177" s="80"/>
      <c r="AYO177" s="80"/>
      <c r="AYP177" s="80"/>
      <c r="AYQ177" s="80"/>
      <c r="AYR177" s="80"/>
      <c r="AYS177" s="80"/>
      <c r="AYT177" s="80"/>
      <c r="AYU177" s="80"/>
      <c r="AYV177" s="80"/>
      <c r="AYW177" s="80"/>
      <c r="AYX177" s="80"/>
      <c r="AYY177" s="80"/>
      <c r="AYZ177" s="80"/>
      <c r="AZA177" s="80"/>
      <c r="AZB177" s="80"/>
      <c r="AZC177" s="80"/>
      <c r="AZD177" s="80"/>
      <c r="AZE177" s="80"/>
      <c r="AZF177" s="80"/>
      <c r="AZG177" s="80"/>
      <c r="AZH177" s="80"/>
      <c r="AZI177" s="80"/>
      <c r="AZJ177" s="80"/>
      <c r="AZK177" s="80"/>
      <c r="AZL177" s="80"/>
      <c r="AZM177" s="80"/>
      <c r="AZN177" s="80"/>
      <c r="AZO177" s="80"/>
      <c r="AZP177" s="80"/>
      <c r="AZQ177" s="80"/>
      <c r="AZR177" s="80"/>
      <c r="AZS177" s="80"/>
      <c r="AZT177" s="80"/>
      <c r="AZU177" s="80"/>
      <c r="AZV177" s="80"/>
      <c r="AZW177" s="80"/>
      <c r="AZX177" s="80"/>
      <c r="AZY177" s="80"/>
      <c r="AZZ177" s="80"/>
      <c r="BAA177" s="80"/>
      <c r="BAB177" s="80"/>
      <c r="BAC177" s="80"/>
      <c r="BAD177" s="80"/>
      <c r="BAE177" s="80"/>
      <c r="BAF177" s="80"/>
      <c r="BAG177" s="80"/>
      <c r="BAH177" s="80"/>
      <c r="BAI177" s="80"/>
      <c r="BAJ177" s="80"/>
      <c r="BAK177" s="80"/>
      <c r="BAL177" s="80"/>
      <c r="BAM177" s="80"/>
      <c r="BAN177" s="80"/>
      <c r="BAO177" s="80"/>
      <c r="BAP177" s="80"/>
      <c r="BAQ177" s="80"/>
      <c r="BAR177" s="80"/>
      <c r="BAS177" s="80"/>
      <c r="BAT177" s="80"/>
      <c r="BAU177" s="80"/>
      <c r="BAV177" s="80"/>
      <c r="BAW177" s="80"/>
      <c r="BAX177" s="80"/>
      <c r="BAY177" s="80"/>
      <c r="BAZ177" s="80"/>
      <c r="BBA177" s="80"/>
      <c r="BBB177" s="80"/>
      <c r="BBC177" s="80"/>
      <c r="BBD177" s="80"/>
      <c r="BBE177" s="80"/>
      <c r="BBF177" s="80"/>
      <c r="BBG177" s="80"/>
      <c r="BBH177" s="80"/>
      <c r="BBI177" s="80"/>
      <c r="BBJ177" s="80"/>
      <c r="BBK177" s="80"/>
      <c r="BBL177" s="80"/>
      <c r="BBM177" s="80"/>
      <c r="BBN177" s="80"/>
      <c r="BBO177" s="80"/>
      <c r="BBP177" s="80"/>
      <c r="BBQ177" s="80"/>
      <c r="BBR177" s="80"/>
      <c r="BBS177" s="80"/>
      <c r="BBT177" s="80"/>
      <c r="BBU177" s="80"/>
      <c r="BBV177" s="80"/>
      <c r="BBW177" s="80"/>
      <c r="BBX177" s="80"/>
      <c r="BBY177" s="80"/>
      <c r="BBZ177" s="80"/>
      <c r="BCA177" s="80"/>
      <c r="BCB177" s="80"/>
      <c r="BCC177" s="80"/>
      <c r="BCD177" s="80"/>
      <c r="BCE177" s="80"/>
      <c r="BCF177" s="80"/>
      <c r="BCG177" s="80"/>
      <c r="BCH177" s="80"/>
      <c r="BCI177" s="80"/>
      <c r="BCJ177" s="80"/>
      <c r="BCK177" s="80"/>
      <c r="BCL177" s="80"/>
      <c r="BCM177" s="80"/>
      <c r="BCN177" s="80"/>
      <c r="BCO177" s="80"/>
      <c r="BCP177" s="80"/>
      <c r="BCQ177" s="80"/>
      <c r="BCR177" s="80"/>
      <c r="BCS177" s="80"/>
      <c r="BCT177" s="80"/>
      <c r="BCU177" s="80"/>
      <c r="BCV177" s="80"/>
      <c r="BCW177" s="80"/>
      <c r="BCX177" s="80"/>
      <c r="BCY177" s="80"/>
      <c r="BCZ177" s="80"/>
      <c r="BDA177" s="80"/>
      <c r="BDB177" s="80"/>
      <c r="BDC177" s="80"/>
      <c r="BDD177" s="80"/>
      <c r="BDE177" s="80"/>
      <c r="BDF177" s="80"/>
      <c r="BDG177" s="80"/>
      <c r="BDH177" s="80"/>
      <c r="BDI177" s="80"/>
      <c r="BDJ177" s="80"/>
      <c r="BDK177" s="80"/>
      <c r="BDL177" s="80"/>
      <c r="BDM177" s="80"/>
      <c r="BDN177" s="80"/>
      <c r="BDO177" s="80"/>
      <c r="BDP177" s="80"/>
      <c r="BDQ177" s="80"/>
      <c r="BDR177" s="80"/>
      <c r="BDS177" s="80"/>
      <c r="BDT177" s="80"/>
      <c r="BDU177" s="80"/>
      <c r="BDV177" s="80"/>
      <c r="BDW177" s="80"/>
      <c r="BDX177" s="80"/>
      <c r="BDY177" s="80"/>
      <c r="BDZ177" s="80"/>
      <c r="BEA177" s="80"/>
      <c r="BEB177" s="80"/>
      <c r="BEC177" s="80"/>
      <c r="BED177" s="80"/>
      <c r="BEE177" s="80"/>
      <c r="BEF177" s="80"/>
      <c r="BEG177" s="80"/>
      <c r="BEH177" s="80"/>
      <c r="BEI177" s="80"/>
      <c r="BEJ177" s="80"/>
      <c r="BEK177" s="80"/>
      <c r="BEL177" s="80"/>
      <c r="BEM177" s="80"/>
      <c r="BEN177" s="80"/>
      <c r="BEO177" s="80"/>
      <c r="BEP177" s="80"/>
      <c r="BEQ177" s="80"/>
      <c r="BER177" s="80"/>
      <c r="BES177" s="80"/>
      <c r="BET177" s="80"/>
      <c r="BEU177" s="80"/>
      <c r="BEV177" s="80"/>
      <c r="BEW177" s="80"/>
      <c r="BEX177" s="80"/>
      <c r="BEY177" s="80"/>
      <c r="BEZ177" s="80"/>
      <c r="BFA177" s="80"/>
      <c r="BFB177" s="80"/>
      <c r="BFC177" s="80"/>
      <c r="BFD177" s="80"/>
      <c r="BFE177" s="80"/>
      <c r="BFF177" s="80"/>
      <c r="BFG177" s="80"/>
      <c r="BFH177" s="80"/>
      <c r="BFI177" s="80"/>
      <c r="BFJ177" s="80"/>
      <c r="BFK177" s="80"/>
      <c r="BFL177" s="80"/>
      <c r="BFM177" s="80"/>
      <c r="BFN177" s="80"/>
      <c r="BFO177" s="80"/>
      <c r="BFP177" s="80"/>
      <c r="BFQ177" s="80"/>
      <c r="BFR177" s="80"/>
      <c r="BFS177" s="80"/>
      <c r="BFT177" s="80"/>
      <c r="BFU177" s="80"/>
      <c r="BFV177" s="80"/>
      <c r="BFW177" s="80"/>
      <c r="BFX177" s="80"/>
      <c r="BFY177" s="80"/>
      <c r="BFZ177" s="80"/>
      <c r="BGA177" s="80"/>
      <c r="BGB177" s="80"/>
      <c r="BGC177" s="80"/>
      <c r="BGD177" s="80"/>
      <c r="BGE177" s="80"/>
      <c r="BGF177" s="80"/>
      <c r="BGG177" s="80"/>
      <c r="BGH177" s="80"/>
      <c r="BGI177" s="80"/>
      <c r="BGJ177" s="80"/>
      <c r="BGK177" s="80"/>
      <c r="BGL177" s="80"/>
      <c r="BGM177" s="80"/>
      <c r="BGN177" s="80"/>
      <c r="BGO177" s="80"/>
      <c r="BGP177" s="80"/>
      <c r="BGQ177" s="80"/>
      <c r="BGR177" s="80"/>
      <c r="BGS177" s="80"/>
      <c r="BGT177" s="80"/>
      <c r="BGU177" s="80"/>
      <c r="BGV177" s="80"/>
      <c r="BGW177" s="80"/>
      <c r="BGX177" s="80"/>
      <c r="BGY177" s="80"/>
      <c r="BGZ177" s="80"/>
      <c r="BHA177" s="80"/>
      <c r="BHB177" s="80"/>
      <c r="BHC177" s="80"/>
      <c r="BHD177" s="80"/>
      <c r="BHE177" s="80"/>
      <c r="BHF177" s="80"/>
      <c r="BHG177" s="80"/>
      <c r="BHH177" s="80"/>
      <c r="BHI177" s="80"/>
      <c r="BHJ177" s="80"/>
      <c r="BHK177" s="80"/>
      <c r="BHL177" s="80"/>
      <c r="BHM177" s="80"/>
      <c r="BHN177" s="80"/>
      <c r="BHO177" s="80"/>
      <c r="BHP177" s="80"/>
      <c r="BHQ177" s="80"/>
      <c r="BHR177" s="80"/>
      <c r="BHS177" s="80"/>
      <c r="BHT177" s="80"/>
      <c r="BHU177" s="80"/>
      <c r="BHV177" s="80"/>
      <c r="BHW177" s="80"/>
      <c r="BHX177" s="80"/>
      <c r="BHY177" s="80"/>
      <c r="BHZ177" s="80"/>
      <c r="BIA177" s="80"/>
      <c r="BIB177" s="80"/>
      <c r="BIC177" s="80"/>
      <c r="BID177" s="80"/>
      <c r="BIE177" s="80"/>
      <c r="BIF177" s="80"/>
      <c r="BIG177" s="80"/>
      <c r="BIH177" s="80"/>
      <c r="BII177" s="80"/>
      <c r="BIJ177" s="80"/>
      <c r="BIK177" s="80"/>
      <c r="BIL177" s="80"/>
      <c r="BIM177" s="80"/>
      <c r="BIN177" s="80"/>
      <c r="BIO177" s="80"/>
      <c r="BIP177" s="80"/>
      <c r="BIQ177" s="80"/>
      <c r="BIR177" s="80"/>
      <c r="BIS177" s="80"/>
      <c r="BIT177" s="80"/>
      <c r="BIU177" s="80"/>
      <c r="BIV177" s="80"/>
      <c r="BIW177" s="80"/>
      <c r="BIX177" s="80"/>
      <c r="BIY177" s="80"/>
      <c r="BIZ177" s="80"/>
      <c r="BJA177" s="80"/>
      <c r="BJB177" s="80"/>
      <c r="BJC177" s="80"/>
      <c r="BJD177" s="80"/>
      <c r="BJE177" s="80"/>
      <c r="BJF177" s="80"/>
      <c r="BJG177" s="80"/>
      <c r="BJH177" s="80"/>
      <c r="BJI177" s="80"/>
      <c r="BJJ177" s="80"/>
      <c r="BJK177" s="80"/>
      <c r="BJL177" s="80"/>
      <c r="BJM177" s="80"/>
      <c r="BJN177" s="80"/>
      <c r="BJO177" s="80"/>
      <c r="BJP177" s="80"/>
      <c r="BJQ177" s="80"/>
      <c r="BJR177" s="80"/>
      <c r="BJS177" s="80"/>
      <c r="BJT177" s="80"/>
      <c r="BJU177" s="80"/>
      <c r="BJV177" s="80"/>
      <c r="BJW177" s="80"/>
      <c r="BJX177" s="80"/>
      <c r="BJY177" s="80"/>
      <c r="BJZ177" s="80"/>
      <c r="BKA177" s="80"/>
      <c r="BKB177" s="80"/>
      <c r="BKC177" s="80"/>
      <c r="BKD177" s="80"/>
      <c r="BKE177" s="80"/>
      <c r="BKF177" s="80"/>
      <c r="BKG177" s="80"/>
      <c r="BKH177" s="80"/>
      <c r="BKI177" s="80"/>
      <c r="BKJ177" s="80"/>
      <c r="BKK177" s="80"/>
      <c r="BKL177" s="80"/>
      <c r="BKM177" s="80"/>
      <c r="BKN177" s="80"/>
      <c r="BKO177" s="80"/>
      <c r="BKP177" s="80"/>
      <c r="BKQ177" s="80"/>
      <c r="BKR177" s="80"/>
      <c r="BKS177" s="80"/>
      <c r="BKT177" s="80"/>
      <c r="BKU177" s="80"/>
      <c r="BKV177" s="80"/>
      <c r="BKW177" s="80"/>
      <c r="BKX177" s="80"/>
      <c r="BKY177" s="80"/>
      <c r="BKZ177" s="80"/>
      <c r="BLA177" s="80"/>
      <c r="BLB177" s="80"/>
      <c r="BLC177" s="80"/>
      <c r="BLD177" s="80"/>
      <c r="BLE177" s="80"/>
      <c r="BLF177" s="80"/>
      <c r="BLG177" s="80"/>
      <c r="BLH177" s="80"/>
      <c r="BLI177" s="80"/>
      <c r="BLJ177" s="80"/>
      <c r="BLK177" s="80"/>
      <c r="BLL177" s="80"/>
      <c r="BLM177" s="80"/>
      <c r="BLN177" s="80"/>
      <c r="BLO177" s="80"/>
      <c r="BLP177" s="80"/>
      <c r="BLQ177" s="80"/>
      <c r="BLR177" s="80"/>
      <c r="BLS177" s="80"/>
      <c r="BLT177" s="80"/>
      <c r="BLU177" s="80"/>
      <c r="BLV177" s="80"/>
      <c r="BLW177" s="80"/>
      <c r="BLX177" s="80"/>
      <c r="BLY177" s="80"/>
      <c r="BLZ177" s="80"/>
      <c r="BMA177" s="80"/>
      <c r="BMB177" s="80"/>
      <c r="BMC177" s="80"/>
      <c r="BMD177" s="80"/>
      <c r="BME177" s="80"/>
      <c r="BMF177" s="80"/>
      <c r="BMG177" s="80"/>
      <c r="BMH177" s="80"/>
      <c r="BMI177" s="80"/>
      <c r="BMJ177" s="80"/>
      <c r="BMK177" s="80"/>
      <c r="BML177" s="80"/>
      <c r="BMM177" s="80"/>
      <c r="BMN177" s="80"/>
      <c r="BMO177" s="80"/>
      <c r="BMP177" s="80"/>
      <c r="BMQ177" s="80"/>
      <c r="BMR177" s="80"/>
      <c r="BMS177" s="80"/>
      <c r="BMT177" s="80"/>
      <c r="BMU177" s="80"/>
      <c r="BMV177" s="80"/>
      <c r="BMW177" s="80"/>
      <c r="BMX177" s="80"/>
      <c r="BMY177" s="80"/>
      <c r="BMZ177" s="80"/>
      <c r="BNA177" s="80"/>
      <c r="BNB177" s="80"/>
      <c r="BNC177" s="80"/>
      <c r="BND177" s="80"/>
      <c r="BNE177" s="80"/>
      <c r="BNF177" s="80"/>
      <c r="BNG177" s="80"/>
      <c r="BNH177" s="80"/>
      <c r="BNI177" s="80"/>
      <c r="BNJ177" s="80"/>
      <c r="BNK177" s="80"/>
      <c r="BNL177" s="80"/>
      <c r="BNM177" s="80"/>
      <c r="BNN177" s="80"/>
      <c r="BNO177" s="80"/>
      <c r="BNP177" s="80"/>
      <c r="BNQ177" s="80"/>
      <c r="BNR177" s="80"/>
      <c r="BNS177" s="80"/>
      <c r="BNT177" s="80"/>
      <c r="BNU177" s="80"/>
      <c r="BNV177" s="80"/>
      <c r="BNW177" s="80"/>
      <c r="BNX177" s="80"/>
      <c r="BNY177" s="80"/>
      <c r="BNZ177" s="80"/>
      <c r="BOA177" s="80"/>
      <c r="BOB177" s="80"/>
      <c r="BOC177" s="80"/>
      <c r="BOD177" s="80"/>
      <c r="BOE177" s="80"/>
      <c r="BOF177" s="80"/>
      <c r="BOG177" s="80"/>
      <c r="BOH177" s="80"/>
      <c r="BOI177" s="80"/>
      <c r="BOJ177" s="80"/>
      <c r="BOK177" s="80"/>
      <c r="BOL177" s="80"/>
      <c r="BOM177" s="80"/>
      <c r="BON177" s="80"/>
      <c r="BOO177" s="80"/>
      <c r="BOP177" s="80"/>
      <c r="BOQ177" s="80"/>
      <c r="BOR177" s="80"/>
      <c r="BOS177" s="80"/>
      <c r="BOT177" s="80"/>
      <c r="BOU177" s="80"/>
      <c r="BOV177" s="80"/>
      <c r="BOW177" s="80"/>
      <c r="BOX177" s="80"/>
      <c r="BOY177" s="80"/>
      <c r="BOZ177" s="80"/>
      <c r="BPA177" s="80"/>
      <c r="BPB177" s="80"/>
      <c r="BPC177" s="80"/>
      <c r="BPD177" s="80"/>
      <c r="BPE177" s="80"/>
      <c r="BPF177" s="80"/>
      <c r="BPG177" s="80"/>
      <c r="BPH177" s="80"/>
      <c r="BPI177" s="80"/>
      <c r="BPJ177" s="80"/>
      <c r="BPK177" s="80"/>
      <c r="BPL177" s="80"/>
      <c r="BPM177" s="80"/>
      <c r="BPN177" s="80"/>
      <c r="BPO177" s="80"/>
      <c r="BPP177" s="80"/>
      <c r="BPQ177" s="80"/>
      <c r="BPR177" s="80"/>
      <c r="BPS177" s="80"/>
      <c r="BPT177" s="80"/>
      <c r="BPU177" s="80"/>
      <c r="BPV177" s="80"/>
      <c r="BPW177" s="80"/>
      <c r="BPX177" s="80"/>
      <c r="BPY177" s="80"/>
      <c r="BPZ177" s="80"/>
      <c r="BQA177" s="80"/>
      <c r="BQB177" s="80"/>
      <c r="BQC177" s="80"/>
      <c r="BQD177" s="80"/>
      <c r="BQE177" s="80"/>
      <c r="BQF177" s="80"/>
      <c r="BQG177" s="80"/>
      <c r="BQH177" s="80"/>
      <c r="BQI177" s="80"/>
      <c r="BQJ177" s="80"/>
      <c r="BQK177" s="80"/>
      <c r="BQL177" s="80"/>
      <c r="BQM177" s="80"/>
      <c r="BQN177" s="80"/>
      <c r="BQO177" s="80"/>
      <c r="BQP177" s="80"/>
      <c r="BQQ177" s="80"/>
      <c r="BQR177" s="80"/>
      <c r="BQS177" s="80"/>
      <c r="BQT177" s="80"/>
      <c r="BQU177" s="80"/>
      <c r="BQV177" s="80"/>
      <c r="BQW177" s="80"/>
      <c r="BQX177" s="80"/>
      <c r="BQY177" s="80"/>
      <c r="BQZ177" s="80"/>
      <c r="BRA177" s="80"/>
      <c r="BRB177" s="80"/>
      <c r="BRC177" s="80"/>
      <c r="BRD177" s="80"/>
      <c r="BRE177" s="80"/>
      <c r="BRF177" s="80"/>
      <c r="BRG177" s="80"/>
      <c r="BRH177" s="80"/>
      <c r="BRI177" s="80"/>
      <c r="BRJ177" s="80"/>
      <c r="BRK177" s="80"/>
      <c r="BRL177" s="80"/>
      <c r="BRM177" s="80"/>
      <c r="BRN177" s="80"/>
      <c r="BRO177" s="80"/>
      <c r="BRP177" s="80"/>
      <c r="BRQ177" s="80"/>
      <c r="BRR177" s="80"/>
      <c r="BRS177" s="80"/>
      <c r="BRT177" s="80"/>
      <c r="BRU177" s="80"/>
      <c r="BRV177" s="80"/>
      <c r="BRW177" s="80"/>
      <c r="BRX177" s="80"/>
      <c r="BRY177" s="80"/>
      <c r="BRZ177" s="80"/>
      <c r="BSA177" s="80"/>
      <c r="BSB177" s="80"/>
      <c r="BSC177" s="80"/>
      <c r="BSD177" s="80"/>
      <c r="BSE177" s="80"/>
      <c r="BSF177" s="80"/>
      <c r="BSG177" s="80"/>
      <c r="BSH177" s="80"/>
      <c r="BSI177" s="80"/>
      <c r="BSJ177" s="80"/>
      <c r="BSK177" s="80"/>
      <c r="BSL177" s="80"/>
      <c r="BSM177" s="80"/>
      <c r="BSN177" s="80"/>
      <c r="BSO177" s="80"/>
      <c r="BSP177" s="80"/>
      <c r="BSQ177" s="80"/>
      <c r="BSR177" s="80"/>
      <c r="BSS177" s="80"/>
      <c r="BST177" s="80"/>
      <c r="BSU177" s="80"/>
      <c r="BSV177" s="80"/>
      <c r="BSW177" s="80"/>
      <c r="BSX177" s="80"/>
      <c r="BSY177" s="80"/>
      <c r="BSZ177" s="80"/>
      <c r="BTA177" s="80"/>
      <c r="BTB177" s="80"/>
      <c r="BTC177" s="80"/>
      <c r="BTD177" s="80"/>
      <c r="BTE177" s="80"/>
      <c r="BTF177" s="80"/>
      <c r="BTG177" s="80"/>
      <c r="BTH177" s="80"/>
      <c r="BTI177" s="80"/>
      <c r="BTJ177" s="80"/>
      <c r="BTK177" s="80"/>
      <c r="BTL177" s="80"/>
      <c r="BTM177" s="80"/>
      <c r="BTN177" s="80"/>
      <c r="BTO177" s="80"/>
      <c r="BTP177" s="80"/>
      <c r="BTQ177" s="80"/>
      <c r="BTR177" s="80"/>
      <c r="BTS177" s="80"/>
      <c r="BTT177" s="80"/>
      <c r="BTU177" s="80"/>
      <c r="BTV177" s="80"/>
      <c r="BTW177" s="80"/>
      <c r="BTX177" s="80"/>
      <c r="BTY177" s="80"/>
      <c r="BTZ177" s="80"/>
      <c r="BUA177" s="80"/>
      <c r="BUB177" s="80"/>
      <c r="BUC177" s="80"/>
      <c r="BUD177" s="80"/>
      <c r="BUE177" s="80"/>
      <c r="BUF177" s="80"/>
      <c r="BUG177" s="80"/>
      <c r="BUH177" s="80"/>
      <c r="BUI177" s="80"/>
      <c r="BUJ177" s="80"/>
      <c r="BUK177" s="80"/>
      <c r="BUL177" s="80"/>
      <c r="BUM177" s="80"/>
      <c r="BUN177" s="80"/>
      <c r="BUO177" s="80"/>
      <c r="BUP177" s="80"/>
      <c r="BUQ177" s="80"/>
      <c r="BUR177" s="80"/>
      <c r="BUS177" s="80"/>
      <c r="BUT177" s="80"/>
      <c r="BUU177" s="80"/>
      <c r="BUV177" s="80"/>
      <c r="BUW177" s="80"/>
      <c r="BUX177" s="80"/>
      <c r="BUY177" s="80"/>
      <c r="BUZ177" s="80"/>
      <c r="BVA177" s="80"/>
      <c r="BVB177" s="80"/>
      <c r="BVC177" s="80"/>
      <c r="BVD177" s="80"/>
      <c r="BVE177" s="80"/>
      <c r="BVF177" s="80"/>
      <c r="BVG177" s="80"/>
      <c r="BVH177" s="80"/>
      <c r="BVI177" s="80"/>
      <c r="BVJ177" s="80"/>
      <c r="BVK177" s="80"/>
      <c r="BVL177" s="80"/>
      <c r="BVM177" s="80"/>
      <c r="BVN177" s="80"/>
      <c r="BVO177" s="80"/>
      <c r="BVP177" s="80"/>
      <c r="BVQ177" s="80"/>
      <c r="BVR177" s="80"/>
      <c r="BVS177" s="80"/>
      <c r="BVT177" s="80"/>
      <c r="BVU177" s="80"/>
      <c r="BVV177" s="80"/>
      <c r="BVW177" s="80"/>
      <c r="BVX177" s="80"/>
      <c r="BVY177" s="80"/>
      <c r="BVZ177" s="80"/>
      <c r="BWA177" s="80"/>
      <c r="BWB177" s="80"/>
      <c r="BWC177" s="80"/>
      <c r="BWD177" s="80"/>
      <c r="BWE177" s="80"/>
      <c r="BWF177" s="80"/>
      <c r="BWG177" s="80"/>
      <c r="BWH177" s="80"/>
      <c r="BWI177" s="80"/>
      <c r="BWJ177" s="80"/>
      <c r="BWK177" s="80"/>
      <c r="BWL177" s="80"/>
      <c r="BWM177" s="80"/>
      <c r="BWN177" s="80"/>
      <c r="BWO177" s="80"/>
      <c r="BWP177" s="80"/>
      <c r="BWQ177" s="80"/>
      <c r="BWR177" s="80"/>
      <c r="BWS177" s="80"/>
      <c r="BWT177" s="80"/>
      <c r="BWU177" s="80"/>
      <c r="BWV177" s="80"/>
      <c r="BWW177" s="80"/>
      <c r="BWX177" s="80"/>
      <c r="BWY177" s="80"/>
      <c r="BWZ177" s="80"/>
      <c r="BXA177" s="80"/>
      <c r="BXB177" s="80"/>
      <c r="BXC177" s="80"/>
      <c r="BXD177" s="80"/>
      <c r="BXE177" s="80"/>
      <c r="BXF177" s="80"/>
      <c r="BXG177" s="80"/>
      <c r="BXH177" s="80"/>
      <c r="BXI177" s="80"/>
      <c r="BXJ177" s="80"/>
      <c r="BXK177" s="80"/>
      <c r="BXL177" s="80"/>
      <c r="BXM177" s="80"/>
      <c r="BXN177" s="80"/>
      <c r="BXO177" s="80"/>
      <c r="BXP177" s="80"/>
      <c r="BXQ177" s="80"/>
      <c r="BXR177" s="80"/>
      <c r="BXS177" s="80"/>
      <c r="BXT177" s="80"/>
      <c r="BXU177" s="80"/>
      <c r="BXV177" s="80"/>
      <c r="BXW177" s="80"/>
      <c r="BXX177" s="80"/>
      <c r="BXY177" s="80"/>
      <c r="BXZ177" s="80"/>
      <c r="BYA177" s="80"/>
      <c r="BYB177" s="80"/>
      <c r="BYC177" s="80"/>
      <c r="BYD177" s="80"/>
      <c r="BYE177" s="80"/>
      <c r="BYF177" s="80"/>
      <c r="BYG177" s="80"/>
      <c r="BYH177" s="80"/>
      <c r="BYI177" s="80"/>
      <c r="BYJ177" s="80"/>
      <c r="BYK177" s="80"/>
      <c r="BYL177" s="80"/>
      <c r="BYM177" s="80"/>
      <c r="BYN177" s="80"/>
      <c r="BYO177" s="80"/>
      <c r="BYP177" s="80"/>
      <c r="BYQ177" s="80"/>
      <c r="BYR177" s="80"/>
      <c r="BYS177" s="80"/>
      <c r="BYT177" s="80"/>
      <c r="BYU177" s="80"/>
      <c r="BYV177" s="80"/>
      <c r="BYW177" s="80"/>
      <c r="BYX177" s="80"/>
      <c r="BYY177" s="80"/>
      <c r="BYZ177" s="80"/>
      <c r="BZA177" s="80"/>
      <c r="BZB177" s="80"/>
      <c r="BZC177" s="80"/>
      <c r="BZD177" s="80"/>
      <c r="BZE177" s="80"/>
      <c r="BZF177" s="80"/>
      <c r="BZG177" s="80"/>
      <c r="BZH177" s="80"/>
      <c r="BZI177" s="80"/>
      <c r="BZJ177" s="80"/>
      <c r="BZK177" s="80"/>
      <c r="BZL177" s="80"/>
      <c r="BZM177" s="80"/>
      <c r="BZN177" s="80"/>
      <c r="BZO177" s="80"/>
      <c r="BZP177" s="80"/>
      <c r="BZQ177" s="80"/>
      <c r="BZR177" s="80"/>
      <c r="BZS177" s="80"/>
      <c r="BZT177" s="80"/>
      <c r="BZU177" s="80"/>
      <c r="BZV177" s="80"/>
      <c r="BZW177" s="80"/>
      <c r="BZX177" s="80"/>
      <c r="BZY177" s="80"/>
      <c r="BZZ177" s="80"/>
      <c r="CAA177" s="80"/>
      <c r="CAB177" s="80"/>
      <c r="CAC177" s="80"/>
      <c r="CAD177" s="80"/>
      <c r="CAE177" s="80"/>
      <c r="CAF177" s="80"/>
      <c r="CAG177" s="80"/>
      <c r="CAH177" s="80"/>
      <c r="CAI177" s="80"/>
      <c r="CAJ177" s="80"/>
      <c r="CAK177" s="80"/>
      <c r="CAL177" s="80"/>
      <c r="CAM177" s="80"/>
      <c r="CAN177" s="80"/>
      <c r="CAO177" s="80"/>
      <c r="CAP177" s="80"/>
      <c r="CAQ177" s="80"/>
      <c r="CAR177" s="80"/>
      <c r="CAS177" s="80"/>
      <c r="CAT177" s="80"/>
      <c r="CAU177" s="80"/>
      <c r="CAV177" s="80"/>
      <c r="CAW177" s="80"/>
      <c r="CAX177" s="80"/>
      <c r="CAY177" s="80"/>
      <c r="CAZ177" s="80"/>
      <c r="CBA177" s="80"/>
      <c r="CBB177" s="80"/>
      <c r="CBC177" s="80"/>
      <c r="CBD177" s="80"/>
      <c r="CBE177" s="80"/>
      <c r="CBF177" s="80"/>
      <c r="CBG177" s="80"/>
      <c r="CBH177" s="80"/>
      <c r="CBI177" s="80"/>
      <c r="CBJ177" s="80"/>
      <c r="CBK177" s="80"/>
      <c r="CBL177" s="80"/>
      <c r="CBM177" s="80"/>
      <c r="CBN177" s="80"/>
      <c r="CBO177" s="80"/>
      <c r="CBP177" s="80"/>
      <c r="CBQ177" s="80"/>
      <c r="CBR177" s="80"/>
      <c r="CBS177" s="80"/>
      <c r="CBT177" s="80"/>
      <c r="CBU177" s="80"/>
      <c r="CBV177" s="80"/>
      <c r="CBW177" s="80"/>
      <c r="CBX177" s="80"/>
      <c r="CBY177" s="80"/>
      <c r="CBZ177" s="80"/>
      <c r="CCA177" s="80"/>
      <c r="CCB177" s="80"/>
      <c r="CCC177" s="80"/>
      <c r="CCD177" s="80"/>
      <c r="CCE177" s="80"/>
      <c r="CCF177" s="80"/>
      <c r="CCG177" s="80"/>
      <c r="CCH177" s="80"/>
      <c r="CCI177" s="80"/>
      <c r="CCJ177" s="80"/>
      <c r="CCK177" s="80"/>
      <c r="CCL177" s="80"/>
      <c r="CCM177" s="80"/>
      <c r="CCN177" s="80"/>
      <c r="CCO177" s="80"/>
      <c r="CCP177" s="80"/>
      <c r="CCQ177" s="80"/>
      <c r="CCR177" s="80"/>
      <c r="CCS177" s="80"/>
      <c r="CCT177" s="80"/>
      <c r="CCU177" s="80"/>
      <c r="CCV177" s="80"/>
      <c r="CCW177" s="80"/>
      <c r="CCX177" s="80"/>
      <c r="CCY177" s="80"/>
      <c r="CCZ177" s="80"/>
      <c r="CDA177" s="80"/>
      <c r="CDB177" s="80"/>
      <c r="CDC177" s="80"/>
      <c r="CDD177" s="80"/>
      <c r="CDE177" s="80"/>
      <c r="CDF177" s="80"/>
      <c r="CDG177" s="80"/>
      <c r="CDH177" s="80"/>
      <c r="CDI177" s="80"/>
      <c r="CDJ177" s="80"/>
      <c r="CDK177" s="80"/>
      <c r="CDL177" s="80"/>
      <c r="CDM177" s="80"/>
      <c r="CDN177" s="80"/>
      <c r="CDO177" s="80"/>
      <c r="CDP177" s="80"/>
      <c r="CDQ177" s="80"/>
      <c r="CDR177" s="80"/>
      <c r="CDS177" s="80"/>
      <c r="CDT177" s="80"/>
      <c r="CDU177" s="80"/>
      <c r="CDV177" s="80"/>
      <c r="CDW177" s="80"/>
      <c r="CDX177" s="80"/>
      <c r="CDY177" s="80"/>
      <c r="CDZ177" s="80"/>
      <c r="CEA177" s="80"/>
      <c r="CEB177" s="80"/>
      <c r="CEC177" s="80"/>
      <c r="CED177" s="80"/>
      <c r="CEE177" s="80"/>
      <c r="CEF177" s="80"/>
      <c r="CEG177" s="80"/>
      <c r="CEH177" s="80"/>
      <c r="CEI177" s="80"/>
      <c r="CEJ177" s="80"/>
      <c r="CEK177" s="80"/>
      <c r="CEL177" s="80"/>
      <c r="CEM177" s="80"/>
      <c r="CEN177" s="80"/>
      <c r="CEO177" s="80"/>
      <c r="CEP177" s="80"/>
      <c r="CEQ177" s="80"/>
      <c r="CER177" s="80"/>
      <c r="CES177" s="80"/>
      <c r="CET177" s="80"/>
      <c r="CEU177" s="80"/>
      <c r="CEV177" s="80"/>
      <c r="CEW177" s="80"/>
      <c r="CEX177" s="80"/>
      <c r="CEY177" s="80"/>
      <c r="CEZ177" s="80"/>
      <c r="CFA177" s="80"/>
      <c r="CFB177" s="80"/>
      <c r="CFC177" s="80"/>
      <c r="CFD177" s="80"/>
      <c r="CFE177" s="80"/>
      <c r="CFF177" s="80"/>
      <c r="CFG177" s="80"/>
      <c r="CFH177" s="80"/>
      <c r="CFI177" s="80"/>
      <c r="CFJ177" s="80"/>
      <c r="CFK177" s="80"/>
      <c r="CFL177" s="80"/>
      <c r="CFM177" s="80"/>
      <c r="CFN177" s="80"/>
      <c r="CFO177" s="80"/>
      <c r="CFP177" s="80"/>
      <c r="CFQ177" s="80"/>
      <c r="CFR177" s="80"/>
      <c r="CFS177" s="80"/>
      <c r="CFT177" s="80"/>
      <c r="CFU177" s="80"/>
      <c r="CFV177" s="80"/>
      <c r="CFW177" s="80"/>
      <c r="CFX177" s="80"/>
      <c r="CFY177" s="80"/>
      <c r="CFZ177" s="80"/>
      <c r="CGA177" s="80"/>
      <c r="CGB177" s="80"/>
      <c r="CGC177" s="80"/>
      <c r="CGD177" s="80"/>
      <c r="CGE177" s="80"/>
      <c r="CGF177" s="80"/>
      <c r="CGG177" s="80"/>
      <c r="CGH177" s="80"/>
      <c r="CGI177" s="80"/>
      <c r="CGJ177" s="80"/>
      <c r="CGK177" s="80"/>
      <c r="CGL177" s="80"/>
      <c r="CGM177" s="80"/>
      <c r="CGN177" s="80"/>
      <c r="CGO177" s="80"/>
      <c r="CGP177" s="80"/>
      <c r="CGQ177" s="80"/>
      <c r="CGR177" s="80"/>
      <c r="CGS177" s="80"/>
      <c r="CGT177" s="80"/>
      <c r="CGU177" s="80"/>
      <c r="CGV177" s="80"/>
      <c r="CGW177" s="80"/>
      <c r="CGX177" s="80"/>
      <c r="CGY177" s="80"/>
      <c r="CGZ177" s="80"/>
      <c r="CHA177" s="80"/>
      <c r="CHB177" s="80"/>
      <c r="CHC177" s="80"/>
      <c r="CHD177" s="80"/>
      <c r="CHE177" s="80"/>
      <c r="CHF177" s="80"/>
      <c r="CHG177" s="80"/>
      <c r="CHH177" s="80"/>
      <c r="CHI177" s="80"/>
      <c r="CHJ177" s="80"/>
      <c r="CHK177" s="80"/>
      <c r="CHL177" s="80"/>
      <c r="CHM177" s="80"/>
      <c r="CHN177" s="80"/>
      <c r="CHO177" s="80"/>
      <c r="CHP177" s="80"/>
      <c r="CHQ177" s="80"/>
      <c r="CHR177" s="80"/>
      <c r="CHS177" s="80"/>
      <c r="CHT177" s="80"/>
      <c r="CHU177" s="80"/>
      <c r="CHV177" s="80"/>
      <c r="CHW177" s="80"/>
      <c r="CHX177" s="80"/>
      <c r="CHY177" s="80"/>
      <c r="CHZ177" s="80"/>
      <c r="CIA177" s="80"/>
      <c r="CIB177" s="80"/>
      <c r="CIC177" s="80"/>
      <c r="CID177" s="80"/>
      <c r="CIE177" s="80"/>
      <c r="CIF177" s="80"/>
      <c r="CIG177" s="80"/>
      <c r="CIH177" s="80"/>
      <c r="CII177" s="80"/>
      <c r="CIJ177" s="80"/>
      <c r="CIK177" s="80"/>
      <c r="CIL177" s="80"/>
      <c r="CIM177" s="80"/>
      <c r="CIN177" s="80"/>
      <c r="CIO177" s="80"/>
      <c r="CIP177" s="80"/>
      <c r="CIQ177" s="80"/>
      <c r="CIR177" s="80"/>
      <c r="CIS177" s="80"/>
      <c r="CIT177" s="80"/>
      <c r="CIU177" s="80"/>
      <c r="CIV177" s="80"/>
      <c r="CIW177" s="80"/>
      <c r="CIX177" s="80"/>
      <c r="CIY177" s="80"/>
      <c r="CIZ177" s="80"/>
      <c r="CJA177" s="80"/>
      <c r="CJB177" s="80"/>
      <c r="CJC177" s="80"/>
      <c r="CJD177" s="80"/>
      <c r="CJE177" s="80"/>
      <c r="CJF177" s="80"/>
      <c r="CJG177" s="80"/>
      <c r="CJH177" s="80"/>
      <c r="CJI177" s="80"/>
      <c r="CJJ177" s="80"/>
      <c r="CJK177" s="80"/>
      <c r="CJL177" s="80"/>
      <c r="CJM177" s="80"/>
      <c r="CJN177" s="80"/>
      <c r="CJO177" s="80"/>
      <c r="CJP177" s="80"/>
      <c r="CJQ177" s="80"/>
      <c r="CJR177" s="80"/>
      <c r="CJS177" s="80"/>
      <c r="CJT177" s="80"/>
      <c r="CJU177" s="80"/>
      <c r="CJV177" s="80"/>
      <c r="CJW177" s="80"/>
      <c r="CJX177" s="80"/>
      <c r="CJY177" s="80"/>
      <c r="CJZ177" s="80"/>
      <c r="CKA177" s="80"/>
      <c r="CKB177" s="80"/>
      <c r="CKC177" s="80"/>
      <c r="CKD177" s="80"/>
      <c r="CKE177" s="80"/>
      <c r="CKF177" s="80"/>
      <c r="CKG177" s="80"/>
      <c r="CKH177" s="80"/>
      <c r="CKI177" s="80"/>
      <c r="CKJ177" s="80"/>
      <c r="CKK177" s="80"/>
      <c r="CKL177" s="80"/>
      <c r="CKM177" s="80"/>
      <c r="CKN177" s="80"/>
      <c r="CKO177" s="80"/>
      <c r="CKP177" s="80"/>
      <c r="CKQ177" s="80"/>
      <c r="CKR177" s="80"/>
      <c r="CKS177" s="80"/>
      <c r="CKT177" s="80"/>
      <c r="CKU177" s="80"/>
      <c r="CKV177" s="80"/>
      <c r="CKW177" s="80"/>
      <c r="CKX177" s="80"/>
      <c r="CKY177" s="80"/>
      <c r="CKZ177" s="80"/>
      <c r="CLA177" s="80"/>
      <c r="CLB177" s="80"/>
      <c r="CLC177" s="80"/>
      <c r="CLD177" s="80"/>
      <c r="CLE177" s="80"/>
      <c r="CLF177" s="80"/>
      <c r="CLG177" s="80"/>
      <c r="CLH177" s="80"/>
      <c r="CLI177" s="80"/>
      <c r="CLJ177" s="80"/>
      <c r="CLK177" s="80"/>
      <c r="CLL177" s="80"/>
      <c r="CLM177" s="80"/>
      <c r="CLN177" s="80"/>
      <c r="CLO177" s="80"/>
      <c r="CLP177" s="80"/>
      <c r="CLQ177" s="80"/>
      <c r="CLR177" s="80"/>
      <c r="CLS177" s="80"/>
      <c r="CLT177" s="80"/>
      <c r="CLU177" s="80"/>
      <c r="CLV177" s="80"/>
      <c r="CLW177" s="80"/>
      <c r="CLX177" s="80"/>
      <c r="CLY177" s="80"/>
      <c r="CLZ177" s="80"/>
      <c r="CMA177" s="80"/>
      <c r="CMB177" s="80"/>
      <c r="CMC177" s="80"/>
      <c r="CMD177" s="80"/>
      <c r="CME177" s="80"/>
      <c r="CMF177" s="80"/>
      <c r="CMG177" s="80"/>
      <c r="CMH177" s="80"/>
      <c r="CMI177" s="80"/>
      <c r="CMJ177" s="80"/>
      <c r="CMK177" s="80"/>
      <c r="CML177" s="80"/>
      <c r="CMM177" s="80"/>
      <c r="CMN177" s="80"/>
      <c r="CMO177" s="80"/>
      <c r="CMP177" s="80"/>
      <c r="CMQ177" s="80"/>
      <c r="CMR177" s="80"/>
      <c r="CMS177" s="80"/>
      <c r="CMT177" s="80"/>
      <c r="CMU177" s="80"/>
      <c r="CMV177" s="80"/>
      <c r="CMW177" s="80"/>
      <c r="CMX177" s="80"/>
      <c r="CMY177" s="80"/>
      <c r="CMZ177" s="80"/>
      <c r="CNA177" s="80"/>
      <c r="CNB177" s="80"/>
      <c r="CNC177" s="80"/>
      <c r="CND177" s="80"/>
      <c r="CNE177" s="80"/>
      <c r="CNF177" s="80"/>
      <c r="CNG177" s="80"/>
      <c r="CNH177" s="80"/>
      <c r="CNI177" s="80"/>
      <c r="CNJ177" s="80"/>
      <c r="CNK177" s="80"/>
      <c r="CNL177" s="80"/>
      <c r="CNM177" s="80"/>
      <c r="CNN177" s="80"/>
      <c r="CNO177" s="80"/>
      <c r="CNP177" s="80"/>
      <c r="CNQ177" s="80"/>
      <c r="CNR177" s="80"/>
      <c r="CNS177" s="80"/>
      <c r="CNT177" s="80"/>
      <c r="CNU177" s="80"/>
      <c r="CNV177" s="80"/>
      <c r="CNW177" s="80"/>
      <c r="CNX177" s="80"/>
      <c r="CNY177" s="80"/>
      <c r="CNZ177" s="80"/>
      <c r="COA177" s="80"/>
      <c r="COB177" s="80"/>
      <c r="COC177" s="80"/>
      <c r="COD177" s="80"/>
      <c r="COE177" s="80"/>
      <c r="COF177" s="80"/>
      <c r="COG177" s="80"/>
      <c r="COH177" s="80"/>
      <c r="COI177" s="80"/>
      <c r="COJ177" s="80"/>
      <c r="COK177" s="80"/>
      <c r="COL177" s="80"/>
      <c r="COM177" s="80"/>
      <c r="CON177" s="80"/>
      <c r="COO177" s="80"/>
      <c r="COP177" s="80"/>
      <c r="COQ177" s="80"/>
      <c r="COR177" s="80"/>
      <c r="COS177" s="80"/>
      <c r="COT177" s="80"/>
      <c r="COU177" s="80"/>
      <c r="COV177" s="80"/>
      <c r="COW177" s="80"/>
      <c r="COX177" s="80"/>
      <c r="COY177" s="80"/>
      <c r="COZ177" s="80"/>
      <c r="CPA177" s="80"/>
      <c r="CPB177" s="80"/>
      <c r="CPC177" s="80"/>
      <c r="CPD177" s="80"/>
      <c r="CPE177" s="80"/>
      <c r="CPF177" s="80"/>
      <c r="CPG177" s="80"/>
      <c r="CPH177" s="80"/>
      <c r="CPI177" s="80"/>
      <c r="CPJ177" s="80"/>
      <c r="CPK177" s="80"/>
      <c r="CPL177" s="80"/>
      <c r="CPM177" s="80"/>
      <c r="CPN177" s="80"/>
      <c r="CPO177" s="80"/>
      <c r="CPP177" s="80"/>
      <c r="CPQ177" s="80"/>
      <c r="CPR177" s="80"/>
      <c r="CPS177" s="80"/>
      <c r="CPT177" s="80"/>
      <c r="CPU177" s="80"/>
      <c r="CPV177" s="80"/>
      <c r="CPW177" s="80"/>
      <c r="CPX177" s="80"/>
      <c r="CPY177" s="80"/>
      <c r="CPZ177" s="80"/>
      <c r="CQA177" s="80"/>
      <c r="CQB177" s="80"/>
      <c r="CQC177" s="80"/>
      <c r="CQD177" s="80"/>
      <c r="CQE177" s="80"/>
      <c r="CQF177" s="80"/>
      <c r="CQG177" s="80"/>
      <c r="CQH177" s="80"/>
      <c r="CQI177" s="80"/>
      <c r="CQJ177" s="80"/>
      <c r="CQK177" s="80"/>
      <c r="CQL177" s="80"/>
      <c r="CQM177" s="80"/>
      <c r="CQN177" s="80"/>
      <c r="CQO177" s="80"/>
      <c r="CQP177" s="80"/>
      <c r="CQQ177" s="80"/>
      <c r="CQR177" s="80"/>
      <c r="CQS177" s="80"/>
      <c r="CQT177" s="80"/>
      <c r="CQU177" s="80"/>
      <c r="CQV177" s="80"/>
      <c r="CQW177" s="80"/>
      <c r="CQX177" s="80"/>
      <c r="CQY177" s="80"/>
      <c r="CQZ177" s="80"/>
      <c r="CRA177" s="80"/>
      <c r="CRB177" s="80"/>
      <c r="CRC177" s="80"/>
      <c r="CRD177" s="80"/>
      <c r="CRE177" s="80"/>
      <c r="CRF177" s="80"/>
      <c r="CRG177" s="80"/>
      <c r="CRH177" s="80"/>
      <c r="CRI177" s="80"/>
      <c r="CRJ177" s="80"/>
      <c r="CRK177" s="80"/>
      <c r="CRL177" s="80"/>
      <c r="CRM177" s="80"/>
      <c r="CRN177" s="80"/>
      <c r="CRO177" s="80"/>
      <c r="CRP177" s="80"/>
      <c r="CRQ177" s="80"/>
      <c r="CRR177" s="80"/>
      <c r="CRS177" s="80"/>
      <c r="CRT177" s="80"/>
      <c r="CRU177" s="80"/>
      <c r="CRV177" s="80"/>
      <c r="CRW177" s="80"/>
      <c r="CRX177" s="80"/>
      <c r="CRY177" s="80"/>
      <c r="CRZ177" s="80"/>
      <c r="CSA177" s="80"/>
      <c r="CSB177" s="80"/>
      <c r="CSC177" s="80"/>
      <c r="CSD177" s="80"/>
      <c r="CSE177" s="80"/>
      <c r="CSF177" s="80"/>
      <c r="CSG177" s="80"/>
      <c r="CSH177" s="80"/>
      <c r="CSI177" s="80"/>
      <c r="CSJ177" s="80"/>
      <c r="CSK177" s="80"/>
      <c r="CSL177" s="80"/>
      <c r="CSM177" s="80"/>
      <c r="CSN177" s="80"/>
      <c r="CSO177" s="80"/>
      <c r="CSP177" s="80"/>
      <c r="CSQ177" s="80"/>
      <c r="CSR177" s="80"/>
      <c r="CSS177" s="80"/>
      <c r="CST177" s="80"/>
      <c r="CSU177" s="80"/>
      <c r="CSV177" s="80"/>
      <c r="CSW177" s="80"/>
      <c r="CSX177" s="80"/>
      <c r="CSY177" s="80"/>
      <c r="CSZ177" s="80"/>
      <c r="CTA177" s="80"/>
      <c r="CTB177" s="80"/>
      <c r="CTC177" s="80"/>
      <c r="CTD177" s="80"/>
      <c r="CTE177" s="80"/>
      <c r="CTF177" s="80"/>
      <c r="CTG177" s="80"/>
      <c r="CTH177" s="80"/>
      <c r="CTI177" s="80"/>
      <c r="CTJ177" s="80"/>
      <c r="CTK177" s="80"/>
      <c r="CTL177" s="80"/>
      <c r="CTM177" s="80"/>
      <c r="CTN177" s="80"/>
      <c r="CTO177" s="80"/>
      <c r="CTP177" s="80"/>
      <c r="CTQ177" s="80"/>
      <c r="CTR177" s="80"/>
      <c r="CTS177" s="80"/>
      <c r="CTT177" s="80"/>
      <c r="CTU177" s="80"/>
      <c r="CTV177" s="80"/>
      <c r="CTW177" s="80"/>
      <c r="CTX177" s="80"/>
      <c r="CTY177" s="80"/>
      <c r="CTZ177" s="80"/>
      <c r="CUA177" s="80"/>
      <c r="CUB177" s="80"/>
      <c r="CUC177" s="80"/>
      <c r="CUD177" s="80"/>
      <c r="CUE177" s="80"/>
      <c r="CUF177" s="80"/>
      <c r="CUG177" s="80"/>
      <c r="CUH177" s="80"/>
      <c r="CUI177" s="80"/>
      <c r="CUJ177" s="80"/>
      <c r="CUK177" s="80"/>
      <c r="CUL177" s="80"/>
      <c r="CUM177" s="80"/>
      <c r="CUN177" s="80"/>
      <c r="CUO177" s="80"/>
      <c r="CUP177" s="80"/>
      <c r="CUQ177" s="80"/>
      <c r="CUR177" s="80"/>
      <c r="CUS177" s="80"/>
      <c r="CUT177" s="80"/>
      <c r="CUU177" s="80"/>
      <c r="CUV177" s="80"/>
      <c r="CUW177" s="80"/>
      <c r="CUX177" s="80"/>
      <c r="CUY177" s="80"/>
      <c r="CUZ177" s="80"/>
      <c r="CVA177" s="80"/>
      <c r="CVB177" s="80"/>
      <c r="CVC177" s="80"/>
      <c r="CVD177" s="80"/>
      <c r="CVE177" s="80"/>
      <c r="CVF177" s="80"/>
      <c r="CVG177" s="80"/>
      <c r="CVH177" s="80"/>
      <c r="CVI177" s="80"/>
      <c r="CVJ177" s="80"/>
      <c r="CVK177" s="80"/>
      <c r="CVL177" s="80"/>
      <c r="CVM177" s="80"/>
      <c r="CVN177" s="80"/>
      <c r="CVO177" s="80"/>
      <c r="CVP177" s="80"/>
      <c r="CVQ177" s="80"/>
      <c r="CVR177" s="80"/>
      <c r="CVS177" s="80"/>
      <c r="CVT177" s="80"/>
      <c r="CVU177" s="80"/>
      <c r="CVV177" s="80"/>
      <c r="CVW177" s="80"/>
      <c r="CVX177" s="80"/>
      <c r="CVY177" s="80"/>
      <c r="CVZ177" s="80"/>
      <c r="CWA177" s="80"/>
      <c r="CWB177" s="80"/>
      <c r="CWC177" s="80"/>
      <c r="CWD177" s="80"/>
      <c r="CWE177" s="80"/>
      <c r="CWF177" s="80"/>
      <c r="CWG177" s="80"/>
      <c r="CWH177" s="80"/>
      <c r="CWI177" s="80"/>
      <c r="CWJ177" s="80"/>
      <c r="CWK177" s="80"/>
      <c r="CWL177" s="80"/>
      <c r="CWM177" s="80"/>
      <c r="CWN177" s="80"/>
      <c r="CWO177" s="80"/>
      <c r="CWP177" s="80"/>
      <c r="CWQ177" s="80"/>
      <c r="CWR177" s="80"/>
      <c r="CWS177" s="80"/>
      <c r="CWT177" s="80"/>
      <c r="CWU177" s="80"/>
      <c r="CWV177" s="80"/>
      <c r="CWW177" s="80"/>
      <c r="CWX177" s="80"/>
      <c r="CWY177" s="80"/>
      <c r="CWZ177" s="80"/>
      <c r="CXA177" s="80"/>
      <c r="CXB177" s="80"/>
      <c r="CXC177" s="80"/>
      <c r="CXD177" s="80"/>
      <c r="CXE177" s="80"/>
      <c r="CXF177" s="80"/>
      <c r="CXG177" s="80"/>
      <c r="CXH177" s="80"/>
      <c r="CXI177" s="80"/>
      <c r="CXJ177" s="80"/>
      <c r="CXK177" s="80"/>
      <c r="CXL177" s="80"/>
      <c r="CXM177" s="80"/>
      <c r="CXN177" s="80"/>
      <c r="CXO177" s="80"/>
      <c r="CXP177" s="80"/>
      <c r="CXQ177" s="80"/>
      <c r="CXR177" s="80"/>
      <c r="CXS177" s="80"/>
      <c r="CXT177" s="80"/>
      <c r="CXU177" s="80"/>
      <c r="CXV177" s="80"/>
      <c r="CXW177" s="80"/>
      <c r="CXX177" s="80"/>
      <c r="CXY177" s="80"/>
      <c r="CXZ177" s="80"/>
      <c r="CYA177" s="80"/>
      <c r="CYB177" s="80"/>
      <c r="CYC177" s="80"/>
      <c r="CYD177" s="80"/>
      <c r="CYE177" s="80"/>
      <c r="CYF177" s="80"/>
      <c r="CYG177" s="80"/>
      <c r="CYH177" s="80"/>
      <c r="CYI177" s="80"/>
      <c r="CYJ177" s="80"/>
      <c r="CYK177" s="80"/>
      <c r="CYL177" s="80"/>
      <c r="CYM177" s="80"/>
      <c r="CYN177" s="80"/>
      <c r="CYO177" s="80"/>
      <c r="CYP177" s="80"/>
      <c r="CYQ177" s="80"/>
      <c r="CYR177" s="80"/>
      <c r="CYS177" s="80"/>
      <c r="CYT177" s="80"/>
      <c r="CYU177" s="80"/>
      <c r="CYV177" s="80"/>
      <c r="CYW177" s="80"/>
      <c r="CYX177" s="80"/>
      <c r="CYY177" s="80"/>
      <c r="CYZ177" s="80"/>
      <c r="CZA177" s="80"/>
      <c r="CZB177" s="80"/>
      <c r="CZC177" s="80"/>
      <c r="CZD177" s="80"/>
      <c r="CZE177" s="80"/>
      <c r="CZF177" s="80"/>
      <c r="CZG177" s="80"/>
      <c r="CZH177" s="80"/>
      <c r="CZI177" s="80"/>
      <c r="CZJ177" s="80"/>
      <c r="CZK177" s="80"/>
      <c r="CZL177" s="80"/>
      <c r="CZM177" s="80"/>
      <c r="CZN177" s="80"/>
      <c r="CZO177" s="80"/>
      <c r="CZP177" s="80"/>
      <c r="CZQ177" s="80"/>
      <c r="CZR177" s="80"/>
      <c r="CZS177" s="80"/>
      <c r="CZT177" s="80"/>
      <c r="CZU177" s="80"/>
      <c r="CZV177" s="80"/>
      <c r="CZW177" s="80"/>
      <c r="CZX177" s="80"/>
      <c r="CZY177" s="80"/>
      <c r="CZZ177" s="80"/>
      <c r="DAA177" s="80"/>
      <c r="DAB177" s="80"/>
      <c r="DAC177" s="80"/>
      <c r="DAD177" s="80"/>
      <c r="DAE177" s="80"/>
      <c r="DAF177" s="80"/>
      <c r="DAG177" s="80"/>
      <c r="DAH177" s="80"/>
      <c r="DAI177" s="80"/>
      <c r="DAJ177" s="80"/>
      <c r="DAK177" s="80"/>
      <c r="DAL177" s="80"/>
      <c r="DAM177" s="80"/>
      <c r="DAN177" s="80"/>
      <c r="DAO177" s="80"/>
      <c r="DAP177" s="80"/>
      <c r="DAQ177" s="80"/>
      <c r="DAR177" s="80"/>
      <c r="DAS177" s="80"/>
      <c r="DAT177" s="80"/>
      <c r="DAU177" s="80"/>
      <c r="DAV177" s="80"/>
      <c r="DAW177" s="80"/>
      <c r="DAX177" s="80"/>
      <c r="DAY177" s="80"/>
      <c r="DAZ177" s="80"/>
      <c r="DBA177" s="80"/>
      <c r="DBB177" s="80"/>
      <c r="DBC177" s="80"/>
      <c r="DBD177" s="80"/>
      <c r="DBE177" s="80"/>
      <c r="DBF177" s="80"/>
      <c r="DBG177" s="80"/>
      <c r="DBH177" s="80"/>
      <c r="DBI177" s="80"/>
      <c r="DBJ177" s="80"/>
      <c r="DBK177" s="80"/>
      <c r="DBL177" s="80"/>
      <c r="DBM177" s="80"/>
      <c r="DBN177" s="80"/>
      <c r="DBO177" s="80"/>
      <c r="DBP177" s="80"/>
      <c r="DBQ177" s="80"/>
      <c r="DBR177" s="80"/>
      <c r="DBS177" s="80"/>
      <c r="DBT177" s="80"/>
      <c r="DBU177" s="80"/>
      <c r="DBV177" s="80"/>
      <c r="DBW177" s="80"/>
      <c r="DBX177" s="80"/>
      <c r="DBY177" s="80"/>
      <c r="DBZ177" s="80"/>
      <c r="DCA177" s="80"/>
      <c r="DCB177" s="80"/>
      <c r="DCC177" s="80"/>
      <c r="DCD177" s="80"/>
      <c r="DCE177" s="80"/>
      <c r="DCF177" s="80"/>
      <c r="DCG177" s="80"/>
      <c r="DCH177" s="80"/>
      <c r="DCI177" s="80"/>
      <c r="DCJ177" s="80"/>
      <c r="DCK177" s="80"/>
      <c r="DCL177" s="80"/>
      <c r="DCM177" s="80"/>
      <c r="DCN177" s="80"/>
      <c r="DCO177" s="80"/>
      <c r="DCP177" s="80"/>
      <c r="DCQ177" s="80"/>
      <c r="DCR177" s="80"/>
      <c r="DCS177" s="80"/>
      <c r="DCT177" s="80"/>
      <c r="DCU177" s="80"/>
      <c r="DCV177" s="80"/>
      <c r="DCW177" s="80"/>
      <c r="DCX177" s="80"/>
      <c r="DCY177" s="80"/>
      <c r="DCZ177" s="80"/>
      <c r="DDA177" s="80"/>
      <c r="DDB177" s="80"/>
      <c r="DDC177" s="80"/>
      <c r="DDD177" s="80"/>
      <c r="DDE177" s="80"/>
      <c r="DDF177" s="80"/>
      <c r="DDG177" s="80"/>
      <c r="DDH177" s="80"/>
      <c r="DDI177" s="80"/>
      <c r="DDJ177" s="80"/>
      <c r="DDK177" s="80"/>
      <c r="DDL177" s="80"/>
      <c r="DDM177" s="80"/>
      <c r="DDN177" s="80"/>
      <c r="DDO177" s="80"/>
      <c r="DDP177" s="80"/>
      <c r="DDQ177" s="80"/>
      <c r="DDR177" s="80"/>
      <c r="DDS177" s="80"/>
      <c r="DDT177" s="80"/>
      <c r="DDU177" s="80"/>
      <c r="DDV177" s="80"/>
      <c r="DDW177" s="80"/>
      <c r="DDX177" s="80"/>
      <c r="DDY177" s="80"/>
      <c r="DDZ177" s="80"/>
      <c r="DEA177" s="80"/>
      <c r="DEB177" s="80"/>
      <c r="DEC177" s="80"/>
      <c r="DED177" s="80"/>
      <c r="DEE177" s="80"/>
      <c r="DEF177" s="80"/>
      <c r="DEG177" s="80"/>
      <c r="DEH177" s="80"/>
      <c r="DEI177" s="80"/>
      <c r="DEJ177" s="80"/>
      <c r="DEK177" s="80"/>
      <c r="DEL177" s="80"/>
      <c r="DEM177" s="80"/>
      <c r="DEN177" s="80"/>
      <c r="DEO177" s="80"/>
      <c r="DEP177" s="80"/>
      <c r="DEQ177" s="80"/>
      <c r="DER177" s="80"/>
      <c r="DES177" s="80"/>
      <c r="DET177" s="80"/>
      <c r="DEU177" s="80"/>
      <c r="DEV177" s="80"/>
      <c r="DEW177" s="80"/>
      <c r="DEX177" s="80"/>
      <c r="DEY177" s="80"/>
      <c r="DEZ177" s="80"/>
      <c r="DFA177" s="80"/>
      <c r="DFB177" s="80"/>
      <c r="DFC177" s="80"/>
      <c r="DFD177" s="80"/>
      <c r="DFE177" s="80"/>
      <c r="DFF177" s="80"/>
      <c r="DFG177" s="80"/>
      <c r="DFH177" s="80"/>
      <c r="DFI177" s="80"/>
      <c r="DFJ177" s="80"/>
      <c r="DFK177" s="80"/>
      <c r="DFL177" s="80"/>
      <c r="DFM177" s="80"/>
      <c r="DFN177" s="80"/>
      <c r="DFO177" s="80"/>
      <c r="DFP177" s="80"/>
      <c r="DFQ177" s="80"/>
      <c r="DFR177" s="80"/>
      <c r="DFS177" s="80"/>
      <c r="DFT177" s="80"/>
      <c r="DFU177" s="80"/>
      <c r="DFV177" s="80"/>
      <c r="DFW177" s="80"/>
      <c r="DFX177" s="80"/>
      <c r="DFY177" s="80"/>
      <c r="DFZ177" s="80"/>
      <c r="DGA177" s="80"/>
      <c r="DGB177" s="80"/>
      <c r="DGC177" s="80"/>
      <c r="DGD177" s="80"/>
      <c r="DGE177" s="80"/>
      <c r="DGF177" s="80"/>
      <c r="DGG177" s="80"/>
      <c r="DGH177" s="80"/>
      <c r="DGI177" s="80"/>
      <c r="DGJ177" s="80"/>
      <c r="DGK177" s="80"/>
      <c r="DGL177" s="80"/>
      <c r="DGM177" s="80"/>
      <c r="DGN177" s="80"/>
      <c r="DGO177" s="80"/>
      <c r="DGP177" s="80"/>
      <c r="DGQ177" s="80"/>
      <c r="DGR177" s="80"/>
      <c r="DGS177" s="80"/>
      <c r="DGT177" s="80"/>
      <c r="DGU177" s="80"/>
      <c r="DGV177" s="80"/>
      <c r="DGW177" s="80"/>
      <c r="DGX177" s="80"/>
      <c r="DGY177" s="80"/>
      <c r="DGZ177" s="80"/>
      <c r="DHA177" s="80"/>
      <c r="DHB177" s="80"/>
      <c r="DHC177" s="80"/>
      <c r="DHD177" s="80"/>
      <c r="DHE177" s="80"/>
      <c r="DHF177" s="80"/>
      <c r="DHG177" s="80"/>
      <c r="DHH177" s="80"/>
      <c r="DHI177" s="80"/>
      <c r="DHJ177" s="80"/>
      <c r="DHK177" s="80"/>
      <c r="DHL177" s="80"/>
      <c r="DHM177" s="80"/>
      <c r="DHN177" s="80"/>
      <c r="DHO177" s="80"/>
      <c r="DHP177" s="80"/>
      <c r="DHQ177" s="80"/>
      <c r="DHR177" s="80"/>
      <c r="DHS177" s="80"/>
      <c r="DHT177" s="80"/>
      <c r="DHU177" s="80"/>
      <c r="DHV177" s="80"/>
      <c r="DHW177" s="80"/>
      <c r="DHX177" s="80"/>
      <c r="DHY177" s="80"/>
      <c r="DHZ177" s="80"/>
      <c r="DIA177" s="80"/>
      <c r="DIB177" s="80"/>
      <c r="DIC177" s="80"/>
      <c r="DID177" s="80"/>
      <c r="DIE177" s="80"/>
      <c r="DIF177" s="80"/>
      <c r="DIG177" s="80"/>
      <c r="DIH177" s="80"/>
      <c r="DII177" s="80"/>
      <c r="DIJ177" s="80"/>
      <c r="DIK177" s="80"/>
      <c r="DIL177" s="80"/>
      <c r="DIM177" s="80"/>
      <c r="DIN177" s="80"/>
      <c r="DIO177" s="80"/>
      <c r="DIP177" s="80"/>
      <c r="DIQ177" s="80"/>
      <c r="DIR177" s="80"/>
      <c r="DIS177" s="80"/>
      <c r="DIT177" s="80"/>
      <c r="DIU177" s="80"/>
      <c r="DIV177" s="80"/>
      <c r="DIW177" s="80"/>
      <c r="DIX177" s="80"/>
      <c r="DIY177" s="80"/>
      <c r="DIZ177" s="80"/>
      <c r="DJA177" s="80"/>
      <c r="DJB177" s="80"/>
      <c r="DJC177" s="80"/>
      <c r="DJD177" s="80"/>
      <c r="DJE177" s="80"/>
      <c r="DJF177" s="80"/>
      <c r="DJG177" s="80"/>
      <c r="DJH177" s="80"/>
      <c r="DJI177" s="80"/>
      <c r="DJJ177" s="80"/>
      <c r="DJK177" s="80"/>
      <c r="DJL177" s="80"/>
      <c r="DJM177" s="80"/>
      <c r="DJN177" s="80"/>
      <c r="DJO177" s="80"/>
      <c r="DJP177" s="80"/>
      <c r="DJQ177" s="80"/>
      <c r="DJR177" s="80"/>
      <c r="DJS177" s="80"/>
      <c r="DJT177" s="80"/>
      <c r="DJU177" s="80"/>
      <c r="DJV177" s="80"/>
      <c r="DJW177" s="80"/>
      <c r="DJX177" s="80"/>
      <c r="DJY177" s="80"/>
      <c r="DJZ177" s="80"/>
      <c r="DKA177" s="80"/>
      <c r="DKB177" s="80"/>
      <c r="DKC177" s="80"/>
      <c r="DKD177" s="80"/>
      <c r="DKE177" s="80"/>
      <c r="DKF177" s="80"/>
      <c r="DKG177" s="80"/>
      <c r="DKH177" s="80"/>
      <c r="DKI177" s="80"/>
      <c r="DKJ177" s="80"/>
      <c r="DKK177" s="80"/>
      <c r="DKL177" s="80"/>
      <c r="DKM177" s="80"/>
      <c r="DKN177" s="80"/>
      <c r="DKO177" s="80"/>
      <c r="DKP177" s="80"/>
      <c r="DKQ177" s="80"/>
      <c r="DKR177" s="80"/>
      <c r="DKS177" s="80"/>
      <c r="DKT177" s="80"/>
      <c r="DKU177" s="80"/>
      <c r="DKV177" s="80"/>
      <c r="DKW177" s="80"/>
      <c r="DKX177" s="80"/>
      <c r="DKY177" s="80"/>
      <c r="DKZ177" s="80"/>
      <c r="DLA177" s="80"/>
      <c r="DLB177" s="80"/>
      <c r="DLC177" s="80"/>
      <c r="DLD177" s="80"/>
      <c r="DLE177" s="80"/>
      <c r="DLF177" s="80"/>
      <c r="DLG177" s="80"/>
      <c r="DLH177" s="80"/>
      <c r="DLI177" s="80"/>
      <c r="DLJ177" s="80"/>
      <c r="DLK177" s="80"/>
      <c r="DLL177" s="80"/>
      <c r="DLM177" s="80"/>
      <c r="DLN177" s="80"/>
      <c r="DLO177" s="80"/>
      <c r="DLP177" s="80"/>
      <c r="DLQ177" s="80"/>
      <c r="DLR177" s="80"/>
      <c r="DLS177" s="80"/>
      <c r="DLT177" s="80"/>
      <c r="DLU177" s="80"/>
      <c r="DLV177" s="80"/>
      <c r="DLW177" s="80"/>
      <c r="DLX177" s="80"/>
      <c r="DLY177" s="80"/>
      <c r="DLZ177" s="80"/>
      <c r="DMA177" s="80"/>
      <c r="DMB177" s="80"/>
      <c r="DMC177" s="80"/>
      <c r="DMD177" s="80"/>
      <c r="DME177" s="80"/>
      <c r="DMF177" s="80"/>
      <c r="DMG177" s="80"/>
      <c r="DMH177" s="80"/>
      <c r="DMI177" s="80"/>
      <c r="DMJ177" s="80"/>
      <c r="DMK177" s="80"/>
      <c r="DML177" s="80"/>
      <c r="DMM177" s="80"/>
      <c r="DMN177" s="80"/>
      <c r="DMO177" s="80"/>
      <c r="DMP177" s="80"/>
      <c r="DMQ177" s="80"/>
      <c r="DMR177" s="80"/>
      <c r="DMS177" s="80"/>
      <c r="DMT177" s="80"/>
      <c r="DMU177" s="80"/>
      <c r="DMV177" s="80"/>
      <c r="DMW177" s="80"/>
      <c r="DMX177" s="80"/>
      <c r="DMY177" s="80"/>
      <c r="DMZ177" s="80"/>
      <c r="DNA177" s="80"/>
      <c r="DNB177" s="80"/>
      <c r="DNC177" s="80"/>
      <c r="DND177" s="80"/>
      <c r="DNE177" s="80"/>
      <c r="DNF177" s="80"/>
      <c r="DNG177" s="80"/>
      <c r="DNH177" s="80"/>
      <c r="DNI177" s="80"/>
      <c r="DNJ177" s="80"/>
      <c r="DNK177" s="80"/>
      <c r="DNL177" s="80"/>
      <c r="DNM177" s="80"/>
      <c r="DNN177" s="80"/>
      <c r="DNO177" s="80"/>
      <c r="DNP177" s="80"/>
      <c r="DNQ177" s="80"/>
      <c r="DNR177" s="80"/>
      <c r="DNS177" s="80"/>
      <c r="DNT177" s="80"/>
      <c r="DNU177" s="80"/>
      <c r="DNV177" s="80"/>
      <c r="DNW177" s="80"/>
      <c r="DNX177" s="80"/>
      <c r="DNY177" s="80"/>
      <c r="DNZ177" s="80"/>
      <c r="DOA177" s="80"/>
      <c r="DOB177" s="80"/>
      <c r="DOC177" s="80"/>
      <c r="DOD177" s="80"/>
      <c r="DOE177" s="80"/>
      <c r="DOF177" s="80"/>
      <c r="DOG177" s="80"/>
      <c r="DOH177" s="80"/>
      <c r="DOI177" s="80"/>
      <c r="DOJ177" s="80"/>
      <c r="DOK177" s="80"/>
      <c r="DOL177" s="80"/>
      <c r="DOM177" s="80"/>
      <c r="DON177" s="80"/>
      <c r="DOO177" s="80"/>
      <c r="DOP177" s="80"/>
      <c r="DOQ177" s="80"/>
      <c r="DOR177" s="80"/>
      <c r="DOS177" s="80"/>
      <c r="DOT177" s="80"/>
      <c r="DOU177" s="80"/>
      <c r="DOV177" s="80"/>
      <c r="DOW177" s="80"/>
      <c r="DOX177" s="80"/>
      <c r="DOY177" s="80"/>
      <c r="DOZ177" s="80"/>
      <c r="DPA177" s="80"/>
      <c r="DPB177" s="80"/>
      <c r="DPC177" s="80"/>
      <c r="DPD177" s="80"/>
      <c r="DPE177" s="80"/>
      <c r="DPF177" s="80"/>
      <c r="DPG177" s="80"/>
      <c r="DPH177" s="80"/>
      <c r="DPI177" s="80"/>
      <c r="DPJ177" s="80"/>
      <c r="DPK177" s="80"/>
      <c r="DPL177" s="80"/>
      <c r="DPM177" s="80"/>
      <c r="DPN177" s="80"/>
      <c r="DPO177" s="80"/>
      <c r="DPP177" s="80"/>
      <c r="DPQ177" s="80"/>
      <c r="DPR177" s="80"/>
      <c r="DPS177" s="80"/>
      <c r="DPT177" s="80"/>
      <c r="DPU177" s="80"/>
      <c r="DPV177" s="80"/>
      <c r="DPW177" s="80"/>
      <c r="DPX177" s="80"/>
      <c r="DPY177" s="80"/>
      <c r="DPZ177" s="80"/>
      <c r="DQA177" s="80"/>
      <c r="DQB177" s="80"/>
      <c r="DQC177" s="80"/>
      <c r="DQD177" s="80"/>
      <c r="DQE177" s="80"/>
      <c r="DQF177" s="80"/>
      <c r="DQG177" s="80"/>
      <c r="DQH177" s="80"/>
      <c r="DQI177" s="80"/>
      <c r="DQJ177" s="80"/>
      <c r="DQK177" s="80"/>
      <c r="DQL177" s="80"/>
      <c r="DQM177" s="80"/>
      <c r="DQN177" s="80"/>
      <c r="DQO177" s="80"/>
      <c r="DQP177" s="80"/>
      <c r="DQQ177" s="80"/>
      <c r="DQR177" s="80"/>
      <c r="DQS177" s="80"/>
      <c r="DQT177" s="80"/>
      <c r="DQU177" s="80"/>
      <c r="DQV177" s="80"/>
      <c r="DQW177" s="80"/>
      <c r="DQX177" s="80"/>
      <c r="DQY177" s="80"/>
      <c r="DQZ177" s="80"/>
      <c r="DRA177" s="80"/>
      <c r="DRB177" s="80"/>
      <c r="DRC177" s="80"/>
      <c r="DRD177" s="80"/>
      <c r="DRE177" s="80"/>
      <c r="DRF177" s="80"/>
      <c r="DRG177" s="80"/>
      <c r="DRH177" s="80"/>
      <c r="DRI177" s="80"/>
      <c r="DRJ177" s="80"/>
      <c r="DRK177" s="80"/>
      <c r="DRL177" s="80"/>
      <c r="DRM177" s="80"/>
      <c r="DRN177" s="80"/>
      <c r="DRO177" s="80"/>
      <c r="DRP177" s="80"/>
      <c r="DRQ177" s="80"/>
      <c r="DRR177" s="80"/>
      <c r="DRS177" s="80"/>
      <c r="DRT177" s="80"/>
      <c r="DRU177" s="80"/>
      <c r="DRV177" s="80"/>
      <c r="DRW177" s="80"/>
      <c r="DRX177" s="80"/>
      <c r="DRY177" s="80"/>
      <c r="DRZ177" s="80"/>
      <c r="DSA177" s="80"/>
      <c r="DSB177" s="80"/>
      <c r="DSC177" s="80"/>
      <c r="DSD177" s="80"/>
      <c r="DSE177" s="80"/>
      <c r="DSF177" s="80"/>
      <c r="DSG177" s="80"/>
      <c r="DSH177" s="80"/>
      <c r="DSI177" s="80"/>
      <c r="DSJ177" s="80"/>
      <c r="DSK177" s="80"/>
      <c r="DSL177" s="80"/>
      <c r="DSM177" s="80"/>
      <c r="DSN177" s="80"/>
      <c r="DSO177" s="80"/>
      <c r="DSP177" s="80"/>
      <c r="DSQ177" s="80"/>
      <c r="DSR177" s="80"/>
      <c r="DSS177" s="80"/>
      <c r="DST177" s="80"/>
      <c r="DSU177" s="80"/>
      <c r="DSV177" s="80"/>
      <c r="DSW177" s="80"/>
      <c r="DSX177" s="80"/>
      <c r="DSY177" s="80"/>
      <c r="DSZ177" s="80"/>
      <c r="DTA177" s="80"/>
      <c r="DTB177" s="80"/>
      <c r="DTC177" s="80"/>
      <c r="DTD177" s="80"/>
      <c r="DTE177" s="80"/>
      <c r="DTF177" s="80"/>
      <c r="DTG177" s="80"/>
      <c r="DTH177" s="80"/>
      <c r="DTI177" s="80"/>
      <c r="DTJ177" s="80"/>
      <c r="DTK177" s="80"/>
      <c r="DTL177" s="80"/>
      <c r="DTM177" s="80"/>
      <c r="DTN177" s="80"/>
      <c r="DTO177" s="80"/>
      <c r="DTP177" s="80"/>
      <c r="DTQ177" s="80"/>
      <c r="DTR177" s="80"/>
      <c r="DTS177" s="80"/>
      <c r="DTT177" s="80"/>
      <c r="DTU177" s="80"/>
      <c r="DTV177" s="80"/>
      <c r="DTW177" s="80"/>
      <c r="DTX177" s="80"/>
      <c r="DTY177" s="80"/>
      <c r="DTZ177" s="80"/>
      <c r="DUA177" s="80"/>
      <c r="DUB177" s="80"/>
      <c r="DUC177" s="80"/>
      <c r="DUD177" s="80"/>
      <c r="DUE177" s="80"/>
      <c r="DUF177" s="80"/>
      <c r="DUG177" s="80"/>
      <c r="DUH177" s="80"/>
      <c r="DUI177" s="80"/>
      <c r="DUJ177" s="80"/>
      <c r="DUK177" s="80"/>
      <c r="DUL177" s="80"/>
      <c r="DUM177" s="80"/>
      <c r="DUN177" s="80"/>
      <c r="DUO177" s="80"/>
      <c r="DUP177" s="80"/>
      <c r="DUQ177" s="80"/>
      <c r="DUR177" s="80"/>
      <c r="DUS177" s="80"/>
      <c r="DUT177" s="80"/>
      <c r="DUU177" s="80"/>
      <c r="DUV177" s="80"/>
      <c r="DUW177" s="80"/>
      <c r="DUX177" s="80"/>
      <c r="DUY177" s="80"/>
      <c r="DUZ177" s="80"/>
      <c r="DVA177" s="80"/>
      <c r="DVB177" s="80"/>
      <c r="DVC177" s="80"/>
      <c r="DVD177" s="80"/>
      <c r="DVE177" s="80"/>
      <c r="DVF177" s="80"/>
      <c r="DVG177" s="80"/>
      <c r="DVH177" s="80"/>
      <c r="DVI177" s="80"/>
      <c r="DVJ177" s="80"/>
      <c r="DVK177" s="80"/>
      <c r="DVL177" s="80"/>
      <c r="DVM177" s="80"/>
      <c r="DVN177" s="80"/>
      <c r="DVO177" s="80"/>
      <c r="DVP177" s="80"/>
      <c r="DVQ177" s="80"/>
      <c r="DVR177" s="80"/>
      <c r="DVS177" s="80"/>
      <c r="DVT177" s="80"/>
      <c r="DVU177" s="80"/>
      <c r="DVV177" s="80"/>
      <c r="DVW177" s="80"/>
      <c r="DVX177" s="80"/>
      <c r="DVY177" s="80"/>
      <c r="DVZ177" s="80"/>
      <c r="DWA177" s="80"/>
      <c r="DWB177" s="80"/>
      <c r="DWC177" s="80"/>
      <c r="DWD177" s="80"/>
      <c r="DWE177" s="80"/>
      <c r="DWF177" s="80"/>
      <c r="DWG177" s="80"/>
      <c r="DWH177" s="80"/>
      <c r="DWI177" s="80"/>
      <c r="DWJ177" s="80"/>
      <c r="DWK177" s="80"/>
      <c r="DWL177" s="80"/>
      <c r="DWM177" s="80"/>
      <c r="DWN177" s="80"/>
      <c r="DWO177" s="80"/>
      <c r="DWP177" s="80"/>
      <c r="DWQ177" s="80"/>
      <c r="DWR177" s="80"/>
      <c r="DWS177" s="80"/>
      <c r="DWT177" s="80"/>
      <c r="DWU177" s="80"/>
      <c r="DWV177" s="80"/>
      <c r="DWW177" s="80"/>
      <c r="DWX177" s="80"/>
      <c r="DWY177" s="80"/>
      <c r="DWZ177" s="80"/>
      <c r="DXA177" s="80"/>
      <c r="DXB177" s="80"/>
      <c r="DXC177" s="80"/>
      <c r="DXD177" s="80"/>
      <c r="DXE177" s="80"/>
      <c r="DXF177" s="80"/>
      <c r="DXG177" s="80"/>
      <c r="DXH177" s="80"/>
      <c r="DXI177" s="80"/>
      <c r="DXJ177" s="80"/>
      <c r="DXK177" s="80"/>
      <c r="DXL177" s="80"/>
      <c r="DXM177" s="80"/>
      <c r="DXN177" s="80"/>
      <c r="DXO177" s="80"/>
      <c r="DXP177" s="80"/>
      <c r="DXQ177" s="80"/>
      <c r="DXR177" s="80"/>
      <c r="DXS177" s="80"/>
      <c r="DXT177" s="80"/>
      <c r="DXU177" s="80"/>
      <c r="DXV177" s="80"/>
      <c r="DXW177" s="80"/>
      <c r="DXX177" s="80"/>
      <c r="DXY177" s="80"/>
      <c r="DXZ177" s="80"/>
      <c r="DYA177" s="80"/>
      <c r="DYB177" s="80"/>
      <c r="DYC177" s="80"/>
      <c r="DYD177" s="80"/>
      <c r="DYE177" s="80"/>
      <c r="DYF177" s="80"/>
      <c r="DYG177" s="80"/>
      <c r="DYH177" s="80"/>
      <c r="DYI177" s="80"/>
      <c r="DYJ177" s="80"/>
      <c r="DYK177" s="80"/>
      <c r="DYL177" s="80"/>
      <c r="DYM177" s="80"/>
      <c r="DYN177" s="80"/>
      <c r="DYO177" s="80"/>
      <c r="DYP177" s="80"/>
      <c r="DYQ177" s="80"/>
      <c r="DYR177" s="80"/>
      <c r="DYS177" s="80"/>
      <c r="DYT177" s="80"/>
      <c r="DYU177" s="80"/>
      <c r="DYV177" s="80"/>
      <c r="DYW177" s="80"/>
      <c r="DYX177" s="80"/>
      <c r="DYY177" s="80"/>
      <c r="DYZ177" s="80"/>
      <c r="DZA177" s="80"/>
      <c r="DZB177" s="80"/>
      <c r="DZC177" s="80"/>
      <c r="DZD177" s="80"/>
      <c r="DZE177" s="80"/>
      <c r="DZF177" s="80"/>
      <c r="DZG177" s="80"/>
      <c r="DZH177" s="80"/>
      <c r="DZI177" s="80"/>
      <c r="DZJ177" s="80"/>
      <c r="DZK177" s="80"/>
      <c r="DZL177" s="80"/>
      <c r="DZM177" s="80"/>
      <c r="DZN177" s="80"/>
      <c r="DZO177" s="80"/>
      <c r="DZP177" s="80"/>
      <c r="DZQ177" s="80"/>
      <c r="DZR177" s="80"/>
      <c r="DZS177" s="80"/>
      <c r="DZT177" s="80"/>
      <c r="DZU177" s="80"/>
      <c r="DZV177" s="80"/>
      <c r="DZW177" s="80"/>
      <c r="DZX177" s="80"/>
      <c r="DZY177" s="80"/>
      <c r="DZZ177" s="80"/>
      <c r="EAA177" s="80"/>
      <c r="EAB177" s="80"/>
      <c r="EAC177" s="80"/>
      <c r="EAD177" s="80"/>
      <c r="EAE177" s="80"/>
      <c r="EAF177" s="80"/>
      <c r="EAG177" s="80"/>
      <c r="EAH177" s="80"/>
      <c r="EAI177" s="80"/>
      <c r="EAJ177" s="80"/>
      <c r="EAK177" s="80"/>
      <c r="EAL177" s="80"/>
      <c r="EAM177" s="80"/>
      <c r="EAN177" s="80"/>
      <c r="EAO177" s="80"/>
      <c r="EAP177" s="80"/>
      <c r="EAQ177" s="80"/>
      <c r="EAR177" s="80"/>
      <c r="EAS177" s="80"/>
      <c r="EAT177" s="80"/>
      <c r="EAU177" s="80"/>
      <c r="EAV177" s="80"/>
      <c r="EAW177" s="80"/>
      <c r="EAX177" s="80"/>
      <c r="EAY177" s="80"/>
      <c r="EAZ177" s="80"/>
      <c r="EBA177" s="80"/>
      <c r="EBB177" s="80"/>
      <c r="EBC177" s="80"/>
      <c r="EBD177" s="80"/>
      <c r="EBE177" s="80"/>
      <c r="EBF177" s="80"/>
      <c r="EBG177" s="80"/>
      <c r="EBH177" s="80"/>
      <c r="EBI177" s="80"/>
      <c r="EBJ177" s="80"/>
      <c r="EBK177" s="80"/>
      <c r="EBL177" s="80"/>
      <c r="EBM177" s="80"/>
      <c r="EBN177" s="80"/>
      <c r="EBO177" s="80"/>
      <c r="EBP177" s="80"/>
      <c r="EBQ177" s="80"/>
      <c r="EBR177" s="80"/>
      <c r="EBS177" s="80"/>
      <c r="EBT177" s="80"/>
      <c r="EBU177" s="80"/>
      <c r="EBV177" s="80"/>
      <c r="EBW177" s="80"/>
      <c r="EBX177" s="80"/>
      <c r="EBY177" s="80"/>
      <c r="EBZ177" s="80"/>
      <c r="ECA177" s="80"/>
      <c r="ECB177" s="80"/>
      <c r="ECC177" s="80"/>
      <c r="ECD177" s="80"/>
      <c r="ECE177" s="80"/>
      <c r="ECF177" s="80"/>
      <c r="ECG177" s="80"/>
      <c r="ECH177" s="80"/>
      <c r="ECI177" s="80"/>
      <c r="ECJ177" s="80"/>
      <c r="ECK177" s="80"/>
      <c r="ECL177" s="80"/>
      <c r="ECM177" s="80"/>
      <c r="ECN177" s="80"/>
      <c r="ECO177" s="80"/>
      <c r="ECP177" s="80"/>
      <c r="ECQ177" s="80"/>
      <c r="ECR177" s="80"/>
      <c r="ECS177" s="80"/>
      <c r="ECT177" s="80"/>
      <c r="ECU177" s="80"/>
      <c r="ECV177" s="80"/>
      <c r="ECW177" s="80"/>
      <c r="ECX177" s="80"/>
      <c r="ECY177" s="80"/>
      <c r="ECZ177" s="80"/>
      <c r="EDA177" s="80"/>
      <c r="EDB177" s="80"/>
      <c r="EDC177" s="80"/>
      <c r="EDD177" s="80"/>
      <c r="EDE177" s="80"/>
      <c r="EDF177" s="80"/>
      <c r="EDG177" s="80"/>
      <c r="EDH177" s="80"/>
      <c r="EDI177" s="80"/>
      <c r="EDJ177" s="80"/>
      <c r="EDK177" s="80"/>
      <c r="EDL177" s="80"/>
      <c r="EDM177" s="80"/>
      <c r="EDN177" s="80"/>
      <c r="EDO177" s="80"/>
      <c r="EDP177" s="80"/>
      <c r="EDQ177" s="80"/>
      <c r="EDR177" s="80"/>
      <c r="EDS177" s="80"/>
      <c r="EDT177" s="80"/>
      <c r="EDU177" s="80"/>
      <c r="EDV177" s="80"/>
      <c r="EDW177" s="80"/>
      <c r="EDX177" s="80"/>
      <c r="EDY177" s="80"/>
      <c r="EDZ177" s="80"/>
      <c r="EEA177" s="80"/>
      <c r="EEB177" s="80"/>
      <c r="EEC177" s="80"/>
      <c r="EED177" s="80"/>
      <c r="EEE177" s="80"/>
      <c r="EEF177" s="80"/>
      <c r="EEG177" s="80"/>
      <c r="EEH177" s="80"/>
      <c r="EEI177" s="80"/>
      <c r="EEJ177" s="80"/>
      <c r="EEK177" s="80"/>
      <c r="EEL177" s="80"/>
      <c r="EEM177" s="80"/>
      <c r="EEN177" s="80"/>
      <c r="EEO177" s="80"/>
      <c r="EEP177" s="80"/>
      <c r="EEQ177" s="80"/>
      <c r="EER177" s="80"/>
      <c r="EES177" s="80"/>
      <c r="EET177" s="80"/>
      <c r="EEU177" s="80"/>
      <c r="EEV177" s="80"/>
      <c r="EEW177" s="80"/>
      <c r="EEX177" s="80"/>
      <c r="EEY177" s="80"/>
      <c r="EEZ177" s="80"/>
      <c r="EFA177" s="80"/>
      <c r="EFB177" s="80"/>
      <c r="EFC177" s="80"/>
      <c r="EFD177" s="80"/>
      <c r="EFE177" s="80"/>
      <c r="EFF177" s="80"/>
      <c r="EFG177" s="80"/>
      <c r="EFH177" s="80"/>
      <c r="EFI177" s="80"/>
      <c r="EFJ177" s="80"/>
      <c r="EFK177" s="80"/>
      <c r="EFL177" s="80"/>
      <c r="EFM177" s="80"/>
      <c r="EFN177" s="80"/>
      <c r="EFO177" s="80"/>
      <c r="EFP177" s="80"/>
      <c r="EFQ177" s="80"/>
      <c r="EFR177" s="80"/>
      <c r="EFS177" s="80"/>
      <c r="EFT177" s="80"/>
      <c r="EFU177" s="80"/>
      <c r="EFV177" s="80"/>
      <c r="EFW177" s="80"/>
      <c r="EFX177" s="80"/>
      <c r="EFY177" s="80"/>
      <c r="EFZ177" s="80"/>
      <c r="EGA177" s="80"/>
      <c r="EGB177" s="80"/>
      <c r="EGC177" s="80"/>
      <c r="EGD177" s="80"/>
      <c r="EGE177" s="80"/>
      <c r="EGF177" s="80"/>
      <c r="EGG177" s="80"/>
      <c r="EGH177" s="80"/>
      <c r="EGI177" s="80"/>
      <c r="EGJ177" s="80"/>
      <c r="EGK177" s="80"/>
      <c r="EGL177" s="80"/>
      <c r="EGM177" s="80"/>
      <c r="EGN177" s="80"/>
      <c r="EGO177" s="80"/>
      <c r="EGP177" s="80"/>
      <c r="EGQ177" s="80"/>
      <c r="EGR177" s="80"/>
      <c r="EGS177" s="80"/>
      <c r="EGT177" s="80"/>
      <c r="EGU177" s="80"/>
      <c r="EGV177" s="80"/>
      <c r="EGW177" s="80"/>
      <c r="EGX177" s="80"/>
      <c r="EGY177" s="80"/>
      <c r="EGZ177" s="80"/>
      <c r="EHA177" s="80"/>
      <c r="EHB177" s="80"/>
      <c r="EHC177" s="80"/>
      <c r="EHD177" s="80"/>
      <c r="EHE177" s="80"/>
      <c r="EHF177" s="80"/>
      <c r="EHG177" s="80"/>
      <c r="EHH177" s="80"/>
      <c r="EHI177" s="80"/>
      <c r="EHJ177" s="80"/>
      <c r="EHK177" s="80"/>
      <c r="EHL177" s="80"/>
      <c r="EHM177" s="80"/>
      <c r="EHN177" s="80"/>
      <c r="EHO177" s="80"/>
      <c r="EHP177" s="80"/>
      <c r="EHQ177" s="80"/>
      <c r="EHR177" s="80"/>
      <c r="EHS177" s="80"/>
      <c r="EHT177" s="80"/>
      <c r="EHU177" s="80"/>
      <c r="EHV177" s="80"/>
      <c r="EHW177" s="80"/>
      <c r="EHX177" s="80"/>
      <c r="EHY177" s="80"/>
      <c r="EHZ177" s="80"/>
      <c r="EIA177" s="80"/>
      <c r="EIB177" s="80"/>
      <c r="EIC177" s="80"/>
      <c r="EID177" s="80"/>
      <c r="EIE177" s="80"/>
      <c r="EIF177" s="80"/>
      <c r="EIG177" s="80"/>
      <c r="EIH177" s="80"/>
      <c r="EII177" s="80"/>
      <c r="EIJ177" s="80"/>
      <c r="EIK177" s="80"/>
      <c r="EIL177" s="80"/>
      <c r="EIM177" s="80"/>
      <c r="EIN177" s="80"/>
      <c r="EIO177" s="80"/>
      <c r="EIP177" s="80"/>
      <c r="EIQ177" s="80"/>
      <c r="EIR177" s="80"/>
      <c r="EIS177" s="80"/>
      <c r="EIT177" s="80"/>
      <c r="EIU177" s="80"/>
      <c r="EIV177" s="80"/>
      <c r="EIW177" s="80"/>
      <c r="EIX177" s="80"/>
      <c r="EIY177" s="80"/>
      <c r="EIZ177" s="80"/>
      <c r="EJA177" s="80"/>
      <c r="EJB177" s="80"/>
      <c r="EJC177" s="80"/>
      <c r="EJD177" s="80"/>
      <c r="EJE177" s="80"/>
      <c r="EJF177" s="80"/>
      <c r="EJG177" s="80"/>
      <c r="EJH177" s="80"/>
      <c r="EJI177" s="80"/>
      <c r="EJJ177" s="80"/>
      <c r="EJK177" s="80"/>
      <c r="EJL177" s="80"/>
      <c r="EJM177" s="80"/>
      <c r="EJN177" s="80"/>
      <c r="EJO177" s="80"/>
      <c r="EJP177" s="80"/>
      <c r="EJQ177" s="80"/>
      <c r="EJR177" s="80"/>
      <c r="EJS177" s="80"/>
      <c r="EJT177" s="80"/>
      <c r="EJU177" s="80"/>
      <c r="EJV177" s="80"/>
      <c r="EJW177" s="80"/>
      <c r="EJX177" s="80"/>
      <c r="EJY177" s="80"/>
      <c r="EJZ177" s="80"/>
      <c r="EKA177" s="80"/>
      <c r="EKB177" s="80"/>
      <c r="EKC177" s="80"/>
      <c r="EKD177" s="80"/>
      <c r="EKE177" s="80"/>
      <c r="EKF177" s="80"/>
      <c r="EKG177" s="80"/>
      <c r="EKH177" s="80"/>
      <c r="EKI177" s="80"/>
      <c r="EKJ177" s="80"/>
      <c r="EKK177" s="80"/>
      <c r="EKL177" s="80"/>
      <c r="EKM177" s="80"/>
      <c r="EKN177" s="80"/>
      <c r="EKO177" s="80"/>
      <c r="EKP177" s="80"/>
      <c r="EKQ177" s="80"/>
      <c r="EKR177" s="80"/>
      <c r="EKS177" s="80"/>
      <c r="EKT177" s="80"/>
      <c r="EKU177" s="80"/>
      <c r="EKV177" s="80"/>
      <c r="EKW177" s="80"/>
      <c r="EKX177" s="80"/>
      <c r="EKY177" s="80"/>
      <c r="EKZ177" s="80"/>
      <c r="ELA177" s="80"/>
      <c r="ELB177" s="80"/>
      <c r="ELC177" s="80"/>
      <c r="ELD177" s="80"/>
      <c r="ELE177" s="80"/>
      <c r="ELF177" s="80"/>
      <c r="ELG177" s="80"/>
      <c r="ELH177" s="80"/>
      <c r="ELI177" s="80"/>
      <c r="ELJ177" s="80"/>
      <c r="ELK177" s="80"/>
      <c r="ELL177" s="80"/>
      <c r="ELM177" s="80"/>
      <c r="ELN177" s="80"/>
      <c r="ELO177" s="80"/>
      <c r="ELP177" s="80"/>
      <c r="ELQ177" s="80"/>
      <c r="ELR177" s="80"/>
      <c r="ELS177" s="80"/>
      <c r="ELT177" s="80"/>
      <c r="ELU177" s="80"/>
      <c r="ELV177" s="80"/>
      <c r="ELW177" s="80"/>
      <c r="ELX177" s="80"/>
      <c r="ELY177" s="80"/>
      <c r="ELZ177" s="80"/>
      <c r="EMA177" s="80"/>
      <c r="EMB177" s="80"/>
      <c r="EMC177" s="80"/>
      <c r="EMD177" s="80"/>
      <c r="EME177" s="80"/>
      <c r="EMF177" s="80"/>
      <c r="EMG177" s="80"/>
      <c r="EMH177" s="80"/>
      <c r="EMI177" s="80"/>
      <c r="EMJ177" s="80"/>
      <c r="EMK177" s="80"/>
      <c r="EML177" s="80"/>
      <c r="EMM177" s="80"/>
      <c r="EMN177" s="80"/>
      <c r="EMO177" s="80"/>
      <c r="EMP177" s="80"/>
      <c r="EMQ177" s="80"/>
      <c r="EMR177" s="80"/>
      <c r="EMS177" s="80"/>
      <c r="EMT177" s="80"/>
      <c r="EMU177" s="80"/>
      <c r="EMV177" s="80"/>
      <c r="EMW177" s="80"/>
      <c r="EMX177" s="80"/>
      <c r="EMY177" s="80"/>
      <c r="EMZ177" s="80"/>
      <c r="ENA177" s="80"/>
      <c r="ENB177" s="80"/>
      <c r="ENC177" s="80"/>
      <c r="END177" s="80"/>
      <c r="ENE177" s="80"/>
      <c r="ENF177" s="80"/>
      <c r="ENG177" s="80"/>
      <c r="ENH177" s="80"/>
      <c r="ENI177" s="80"/>
      <c r="ENJ177" s="80"/>
      <c r="ENK177" s="80"/>
      <c r="ENL177" s="80"/>
      <c r="ENM177" s="80"/>
      <c r="ENN177" s="80"/>
      <c r="ENO177" s="80"/>
      <c r="ENP177" s="80"/>
      <c r="ENQ177" s="80"/>
      <c r="ENR177" s="80"/>
      <c r="ENS177" s="80"/>
      <c r="ENT177" s="80"/>
      <c r="ENU177" s="80"/>
      <c r="ENV177" s="80"/>
      <c r="ENW177" s="80"/>
      <c r="ENX177" s="80"/>
      <c r="ENY177" s="80"/>
      <c r="ENZ177" s="80"/>
      <c r="EOA177" s="80"/>
      <c r="EOB177" s="80"/>
      <c r="EOC177" s="80"/>
      <c r="EOD177" s="80"/>
      <c r="EOE177" s="80"/>
      <c r="EOF177" s="80"/>
      <c r="EOG177" s="80"/>
      <c r="EOH177" s="80"/>
      <c r="EOI177" s="80"/>
      <c r="EOJ177" s="80"/>
      <c r="EOK177" s="80"/>
      <c r="EOL177" s="80"/>
      <c r="EOM177" s="80"/>
      <c r="EON177" s="80"/>
      <c r="EOO177" s="80"/>
      <c r="EOP177" s="80"/>
      <c r="EOQ177" s="80"/>
      <c r="EOR177" s="80"/>
      <c r="EOS177" s="80"/>
      <c r="EOT177" s="80"/>
      <c r="EOU177" s="80"/>
      <c r="EOV177" s="80"/>
      <c r="EOW177" s="80"/>
      <c r="EOX177" s="80"/>
      <c r="EOY177" s="80"/>
      <c r="EOZ177" s="80"/>
      <c r="EPA177" s="80"/>
      <c r="EPB177" s="80"/>
      <c r="EPC177" s="80"/>
      <c r="EPD177" s="80"/>
      <c r="EPE177" s="80"/>
      <c r="EPF177" s="80"/>
      <c r="EPG177" s="80"/>
      <c r="EPH177" s="80"/>
      <c r="EPI177" s="80"/>
      <c r="EPJ177" s="80"/>
      <c r="EPK177" s="80"/>
      <c r="EPL177" s="80"/>
      <c r="EPM177" s="80"/>
      <c r="EPN177" s="80"/>
      <c r="EPO177" s="80"/>
      <c r="EPP177" s="80"/>
      <c r="EPQ177" s="80"/>
      <c r="EPR177" s="80"/>
      <c r="EPS177" s="80"/>
      <c r="EPT177" s="80"/>
      <c r="EPU177" s="80"/>
      <c r="EPV177" s="80"/>
      <c r="EPW177" s="80"/>
      <c r="EPX177" s="80"/>
      <c r="EPY177" s="80"/>
      <c r="EPZ177" s="80"/>
      <c r="EQA177" s="80"/>
      <c r="EQB177" s="80"/>
      <c r="EQC177" s="80"/>
      <c r="EQD177" s="80"/>
      <c r="EQE177" s="80"/>
      <c r="EQF177" s="80"/>
      <c r="EQG177" s="80"/>
      <c r="EQH177" s="80"/>
      <c r="EQI177" s="80"/>
      <c r="EQJ177" s="80"/>
      <c r="EQK177" s="80"/>
      <c r="EQL177" s="80"/>
      <c r="EQM177" s="80"/>
      <c r="EQN177" s="80"/>
      <c r="EQO177" s="80"/>
      <c r="EQP177" s="80"/>
      <c r="EQQ177" s="80"/>
      <c r="EQR177" s="80"/>
      <c r="EQS177" s="80"/>
      <c r="EQT177" s="80"/>
      <c r="EQU177" s="80"/>
      <c r="EQV177" s="80"/>
      <c r="EQW177" s="80"/>
      <c r="EQX177" s="80"/>
      <c r="EQY177" s="80"/>
      <c r="EQZ177" s="80"/>
      <c r="ERA177" s="80"/>
      <c r="ERB177" s="80"/>
      <c r="ERC177" s="80"/>
      <c r="ERD177" s="80"/>
      <c r="ERE177" s="80"/>
      <c r="ERF177" s="80"/>
      <c r="ERG177" s="80"/>
      <c r="ERH177" s="80"/>
      <c r="ERI177" s="80"/>
      <c r="ERJ177" s="80"/>
      <c r="ERK177" s="80"/>
      <c r="ERL177" s="80"/>
      <c r="ERM177" s="80"/>
      <c r="ERN177" s="80"/>
      <c r="ERO177" s="80"/>
      <c r="ERP177" s="80"/>
      <c r="ERQ177" s="80"/>
      <c r="ERR177" s="80"/>
      <c r="ERS177" s="80"/>
      <c r="ERT177" s="80"/>
      <c r="ERU177" s="80"/>
      <c r="ERV177" s="80"/>
      <c r="ERW177" s="80"/>
      <c r="ERX177" s="80"/>
      <c r="ERY177" s="80"/>
      <c r="ERZ177" s="80"/>
      <c r="ESA177" s="80"/>
      <c r="ESB177" s="80"/>
      <c r="ESC177" s="80"/>
      <c r="ESD177" s="80"/>
      <c r="ESE177" s="80"/>
      <c r="ESF177" s="80"/>
      <c r="ESG177" s="80"/>
      <c r="ESH177" s="80"/>
      <c r="ESI177" s="80"/>
      <c r="ESJ177" s="80"/>
      <c r="ESK177" s="80"/>
      <c r="ESL177" s="80"/>
      <c r="ESM177" s="80"/>
      <c r="ESN177" s="80"/>
      <c r="ESO177" s="80"/>
      <c r="ESP177" s="80"/>
      <c r="ESQ177" s="80"/>
      <c r="ESR177" s="80"/>
      <c r="ESS177" s="80"/>
      <c r="EST177" s="80"/>
      <c r="ESU177" s="80"/>
      <c r="ESV177" s="80"/>
      <c r="ESW177" s="80"/>
      <c r="ESX177" s="80"/>
      <c r="ESY177" s="80"/>
      <c r="ESZ177" s="80"/>
      <c r="ETA177" s="80"/>
      <c r="ETB177" s="80"/>
      <c r="ETC177" s="80"/>
      <c r="ETD177" s="80"/>
      <c r="ETE177" s="80"/>
      <c r="ETF177" s="80"/>
      <c r="ETG177" s="80"/>
      <c r="ETH177" s="80"/>
      <c r="ETI177" s="80"/>
      <c r="ETJ177" s="80"/>
      <c r="ETK177" s="80"/>
      <c r="ETL177" s="80"/>
      <c r="ETM177" s="80"/>
      <c r="ETN177" s="80"/>
      <c r="ETO177" s="80"/>
      <c r="ETP177" s="80"/>
      <c r="ETQ177" s="80"/>
      <c r="ETR177" s="80"/>
      <c r="ETS177" s="80"/>
      <c r="ETT177" s="80"/>
      <c r="ETU177" s="80"/>
      <c r="ETV177" s="80"/>
      <c r="ETW177" s="80"/>
      <c r="ETX177" s="80"/>
      <c r="ETY177" s="80"/>
      <c r="ETZ177" s="80"/>
      <c r="EUA177" s="80"/>
      <c r="EUB177" s="80"/>
      <c r="EUC177" s="80"/>
      <c r="EUD177" s="80"/>
      <c r="EUE177" s="80"/>
      <c r="EUF177" s="80"/>
      <c r="EUG177" s="80"/>
      <c r="EUH177" s="80"/>
      <c r="EUI177" s="80"/>
      <c r="EUJ177" s="80"/>
      <c r="EUK177" s="80"/>
      <c r="EUL177" s="80"/>
      <c r="EUM177" s="80"/>
      <c r="EUN177" s="80"/>
      <c r="EUO177" s="80"/>
      <c r="EUP177" s="80"/>
      <c r="EUQ177" s="80"/>
      <c r="EUR177" s="80"/>
      <c r="EUS177" s="80"/>
      <c r="EUT177" s="80"/>
      <c r="EUU177" s="80"/>
      <c r="EUV177" s="80"/>
      <c r="EUW177" s="80"/>
      <c r="EUX177" s="80"/>
      <c r="EUY177" s="80"/>
      <c r="EUZ177" s="80"/>
      <c r="EVA177" s="80"/>
      <c r="EVB177" s="80"/>
      <c r="EVC177" s="80"/>
      <c r="EVD177" s="80"/>
      <c r="EVE177" s="80"/>
      <c r="EVF177" s="80"/>
      <c r="EVG177" s="80"/>
      <c r="EVH177" s="80"/>
      <c r="EVI177" s="80"/>
      <c r="EVJ177" s="80"/>
      <c r="EVK177" s="80"/>
      <c r="EVL177" s="80"/>
      <c r="EVM177" s="80"/>
      <c r="EVN177" s="80"/>
      <c r="EVO177" s="80"/>
      <c r="EVP177" s="80"/>
      <c r="EVQ177" s="80"/>
      <c r="EVR177" s="80"/>
      <c r="EVS177" s="80"/>
      <c r="EVT177" s="80"/>
      <c r="EVU177" s="80"/>
      <c r="EVV177" s="80"/>
      <c r="EVW177" s="80"/>
      <c r="EVX177" s="80"/>
      <c r="EVY177" s="80"/>
      <c r="EVZ177" s="80"/>
      <c r="EWA177" s="80"/>
      <c r="EWB177" s="80"/>
      <c r="EWC177" s="80"/>
      <c r="EWD177" s="80"/>
      <c r="EWE177" s="80"/>
      <c r="EWF177" s="80"/>
      <c r="EWG177" s="80"/>
      <c r="EWH177" s="80"/>
      <c r="EWI177" s="80"/>
      <c r="EWJ177" s="80"/>
      <c r="EWK177" s="80"/>
      <c r="EWL177" s="80"/>
      <c r="EWM177" s="80"/>
      <c r="EWN177" s="80"/>
      <c r="EWO177" s="80"/>
      <c r="EWP177" s="80"/>
      <c r="EWQ177" s="80"/>
      <c r="EWR177" s="80"/>
      <c r="EWS177" s="80"/>
      <c r="EWT177" s="80"/>
      <c r="EWU177" s="80"/>
      <c r="EWV177" s="80"/>
      <c r="EWW177" s="80"/>
      <c r="EWX177" s="80"/>
      <c r="EWY177" s="80"/>
      <c r="EWZ177" s="80"/>
      <c r="EXA177" s="80"/>
      <c r="EXB177" s="80"/>
      <c r="EXC177" s="80"/>
      <c r="EXD177" s="80"/>
      <c r="EXE177" s="80"/>
      <c r="EXF177" s="80"/>
      <c r="EXG177" s="80"/>
      <c r="EXH177" s="80"/>
      <c r="EXI177" s="80"/>
      <c r="EXJ177" s="80"/>
      <c r="EXK177" s="80"/>
      <c r="EXL177" s="80"/>
      <c r="EXM177" s="80"/>
      <c r="EXN177" s="80"/>
      <c r="EXO177" s="80"/>
      <c r="EXP177" s="80"/>
      <c r="EXQ177" s="80"/>
      <c r="EXR177" s="80"/>
      <c r="EXS177" s="80"/>
      <c r="EXT177" s="80"/>
      <c r="EXU177" s="80"/>
      <c r="EXV177" s="80"/>
      <c r="EXW177" s="80"/>
      <c r="EXX177" s="80"/>
      <c r="EXY177" s="80"/>
      <c r="EXZ177" s="80"/>
      <c r="EYA177" s="80"/>
      <c r="EYB177" s="80"/>
      <c r="EYC177" s="80"/>
      <c r="EYD177" s="80"/>
      <c r="EYE177" s="80"/>
      <c r="EYF177" s="80"/>
      <c r="EYG177" s="80"/>
      <c r="EYH177" s="80"/>
      <c r="EYI177" s="80"/>
      <c r="EYJ177" s="80"/>
      <c r="EYK177" s="80"/>
      <c r="EYL177" s="80"/>
      <c r="EYM177" s="80"/>
      <c r="EYN177" s="80"/>
      <c r="EYO177" s="80"/>
      <c r="EYP177" s="80"/>
      <c r="EYQ177" s="80"/>
      <c r="EYR177" s="80"/>
      <c r="EYS177" s="80"/>
      <c r="EYT177" s="80"/>
      <c r="EYU177" s="80"/>
      <c r="EYV177" s="80"/>
      <c r="EYW177" s="80"/>
      <c r="EYX177" s="80"/>
      <c r="EYY177" s="80"/>
      <c r="EYZ177" s="80"/>
      <c r="EZA177" s="80"/>
      <c r="EZB177" s="80"/>
      <c r="EZC177" s="80"/>
      <c r="EZD177" s="80"/>
      <c r="EZE177" s="80"/>
      <c r="EZF177" s="80"/>
      <c r="EZG177" s="80"/>
      <c r="EZH177" s="80"/>
      <c r="EZI177" s="80"/>
      <c r="EZJ177" s="80"/>
      <c r="EZK177" s="80"/>
      <c r="EZL177" s="80"/>
      <c r="EZM177" s="80"/>
      <c r="EZN177" s="80"/>
      <c r="EZO177" s="80"/>
      <c r="EZP177" s="80"/>
      <c r="EZQ177" s="80"/>
      <c r="EZR177" s="80"/>
      <c r="EZS177" s="80"/>
      <c r="EZT177" s="80"/>
      <c r="EZU177" s="80"/>
      <c r="EZV177" s="80"/>
      <c r="EZW177" s="80"/>
      <c r="EZX177" s="80"/>
      <c r="EZY177" s="80"/>
      <c r="EZZ177" s="80"/>
      <c r="FAA177" s="80"/>
      <c r="FAB177" s="80"/>
      <c r="FAC177" s="80"/>
      <c r="FAD177" s="80"/>
      <c r="FAE177" s="80"/>
      <c r="FAF177" s="80"/>
      <c r="FAG177" s="80"/>
      <c r="FAH177" s="80"/>
      <c r="FAI177" s="80"/>
      <c r="FAJ177" s="80"/>
      <c r="FAK177" s="80"/>
      <c r="FAL177" s="80"/>
      <c r="FAM177" s="80"/>
      <c r="FAN177" s="80"/>
      <c r="FAO177" s="80"/>
      <c r="FAP177" s="80"/>
      <c r="FAQ177" s="80"/>
      <c r="FAR177" s="80"/>
      <c r="FAS177" s="80"/>
      <c r="FAT177" s="80"/>
      <c r="FAU177" s="80"/>
      <c r="FAV177" s="80"/>
      <c r="FAW177" s="80"/>
      <c r="FAX177" s="80"/>
      <c r="FAY177" s="80"/>
      <c r="FAZ177" s="80"/>
      <c r="FBA177" s="80"/>
      <c r="FBB177" s="80"/>
      <c r="FBC177" s="80"/>
      <c r="FBD177" s="80"/>
      <c r="FBE177" s="80"/>
      <c r="FBF177" s="80"/>
      <c r="FBG177" s="80"/>
      <c r="FBH177" s="80"/>
      <c r="FBI177" s="80"/>
      <c r="FBJ177" s="80"/>
      <c r="FBK177" s="80"/>
      <c r="FBL177" s="80"/>
      <c r="FBM177" s="80"/>
      <c r="FBN177" s="80"/>
      <c r="FBO177" s="80"/>
      <c r="FBP177" s="80"/>
      <c r="FBQ177" s="80"/>
      <c r="FBR177" s="80"/>
      <c r="FBS177" s="80"/>
      <c r="FBT177" s="80"/>
      <c r="FBU177" s="80"/>
      <c r="FBV177" s="80"/>
      <c r="FBW177" s="80"/>
      <c r="FBX177" s="80"/>
      <c r="FBY177" s="80"/>
      <c r="FBZ177" s="80"/>
      <c r="FCA177" s="80"/>
      <c r="FCB177" s="80"/>
      <c r="FCC177" s="80"/>
      <c r="FCD177" s="80"/>
      <c r="FCE177" s="80"/>
      <c r="FCF177" s="80"/>
      <c r="FCG177" s="80"/>
      <c r="FCH177" s="80"/>
      <c r="FCI177" s="80"/>
      <c r="FCJ177" s="80"/>
      <c r="FCK177" s="80"/>
      <c r="FCL177" s="80"/>
      <c r="FCM177" s="80"/>
      <c r="FCN177" s="80"/>
      <c r="FCO177" s="80"/>
      <c r="FCP177" s="80"/>
      <c r="FCQ177" s="80"/>
      <c r="FCR177" s="80"/>
      <c r="FCS177" s="80"/>
      <c r="FCT177" s="80"/>
      <c r="FCU177" s="80"/>
      <c r="FCV177" s="80"/>
      <c r="FCW177" s="80"/>
      <c r="FCX177" s="80"/>
      <c r="FCY177" s="80"/>
      <c r="FCZ177" s="80"/>
      <c r="FDA177" s="80"/>
      <c r="FDB177" s="80"/>
      <c r="FDC177" s="80"/>
      <c r="FDD177" s="80"/>
      <c r="FDE177" s="80"/>
      <c r="FDF177" s="80"/>
      <c r="FDG177" s="80"/>
      <c r="FDH177" s="80"/>
      <c r="FDI177" s="80"/>
      <c r="FDJ177" s="80"/>
      <c r="FDK177" s="80"/>
      <c r="FDL177" s="80"/>
      <c r="FDM177" s="80"/>
      <c r="FDN177" s="80"/>
      <c r="FDO177" s="80"/>
      <c r="FDP177" s="80"/>
      <c r="FDQ177" s="80"/>
      <c r="FDR177" s="80"/>
      <c r="FDS177" s="80"/>
      <c r="FDT177" s="80"/>
      <c r="FDU177" s="80"/>
      <c r="FDV177" s="80"/>
      <c r="FDW177" s="80"/>
      <c r="FDX177" s="80"/>
      <c r="FDY177" s="80"/>
      <c r="FDZ177" s="80"/>
      <c r="FEA177" s="80"/>
      <c r="FEB177" s="80"/>
      <c r="FEC177" s="80"/>
      <c r="FED177" s="80"/>
      <c r="FEE177" s="80"/>
      <c r="FEF177" s="80"/>
      <c r="FEG177" s="80"/>
      <c r="FEH177" s="80"/>
      <c r="FEI177" s="80"/>
      <c r="FEJ177" s="80"/>
      <c r="FEK177" s="80"/>
      <c r="FEL177" s="80"/>
      <c r="FEM177" s="80"/>
      <c r="FEN177" s="80"/>
      <c r="FEO177" s="80"/>
      <c r="FEP177" s="80"/>
      <c r="FEQ177" s="80"/>
      <c r="FER177" s="80"/>
      <c r="FES177" s="80"/>
      <c r="FET177" s="80"/>
      <c r="FEU177" s="80"/>
      <c r="FEV177" s="80"/>
      <c r="FEW177" s="80"/>
      <c r="FEX177" s="80"/>
      <c r="FEY177" s="80"/>
      <c r="FEZ177" s="80"/>
      <c r="FFA177" s="80"/>
      <c r="FFB177" s="80"/>
      <c r="FFC177" s="80"/>
      <c r="FFD177" s="80"/>
      <c r="FFE177" s="80"/>
      <c r="FFF177" s="80"/>
      <c r="FFG177" s="80"/>
      <c r="FFH177" s="80"/>
      <c r="FFI177" s="80"/>
      <c r="FFJ177" s="80"/>
      <c r="FFK177" s="80"/>
      <c r="FFL177" s="80"/>
      <c r="FFM177" s="80"/>
      <c r="FFN177" s="80"/>
      <c r="FFO177" s="80"/>
      <c r="FFP177" s="80"/>
      <c r="FFQ177" s="80"/>
      <c r="FFR177" s="80"/>
      <c r="FFS177" s="80"/>
      <c r="FFT177" s="80"/>
      <c r="FFU177" s="80"/>
      <c r="FFV177" s="80"/>
      <c r="FFW177" s="80"/>
      <c r="FFX177" s="80"/>
      <c r="FFY177" s="80"/>
      <c r="FFZ177" s="80"/>
      <c r="FGA177" s="80"/>
      <c r="FGB177" s="80"/>
      <c r="FGC177" s="80"/>
      <c r="FGD177" s="80"/>
      <c r="FGE177" s="80"/>
      <c r="FGF177" s="80"/>
      <c r="FGG177" s="80"/>
      <c r="FGH177" s="80"/>
      <c r="FGI177" s="80"/>
      <c r="FGJ177" s="80"/>
      <c r="FGK177" s="80"/>
      <c r="FGL177" s="80"/>
      <c r="FGM177" s="80"/>
      <c r="FGN177" s="80"/>
      <c r="FGO177" s="80"/>
      <c r="FGP177" s="80"/>
      <c r="FGQ177" s="80"/>
      <c r="FGR177" s="80"/>
      <c r="FGS177" s="80"/>
      <c r="FGT177" s="80"/>
      <c r="FGU177" s="80"/>
      <c r="FGV177" s="80"/>
      <c r="FGW177" s="80"/>
      <c r="FGX177" s="80"/>
      <c r="FGY177" s="80"/>
      <c r="FGZ177" s="80"/>
      <c r="FHA177" s="80"/>
      <c r="FHB177" s="80"/>
      <c r="FHC177" s="80"/>
      <c r="FHD177" s="80"/>
      <c r="FHE177" s="80"/>
      <c r="FHF177" s="80"/>
      <c r="FHG177" s="80"/>
      <c r="FHH177" s="80"/>
      <c r="FHI177" s="80"/>
      <c r="FHJ177" s="80"/>
      <c r="FHK177" s="80"/>
      <c r="FHL177" s="80"/>
      <c r="FHM177" s="80"/>
      <c r="FHN177" s="80"/>
      <c r="FHO177" s="80"/>
      <c r="FHP177" s="80"/>
      <c r="FHQ177" s="80"/>
      <c r="FHR177" s="80"/>
      <c r="FHS177" s="80"/>
      <c r="FHT177" s="80"/>
      <c r="FHU177" s="80"/>
      <c r="FHV177" s="80"/>
      <c r="FHW177" s="80"/>
      <c r="FHX177" s="80"/>
      <c r="FHY177" s="80"/>
      <c r="FHZ177" s="80"/>
      <c r="FIA177" s="80"/>
      <c r="FIB177" s="80"/>
      <c r="FIC177" s="80"/>
      <c r="FID177" s="80"/>
      <c r="FIE177" s="80"/>
      <c r="FIF177" s="80"/>
      <c r="FIG177" s="80"/>
      <c r="FIH177" s="80"/>
      <c r="FII177" s="80"/>
      <c r="FIJ177" s="80"/>
      <c r="FIK177" s="80"/>
      <c r="FIL177" s="80"/>
      <c r="FIM177" s="80"/>
      <c r="FIN177" s="80"/>
      <c r="FIO177" s="80"/>
      <c r="FIP177" s="80"/>
      <c r="FIQ177" s="80"/>
      <c r="FIR177" s="80"/>
      <c r="FIS177" s="80"/>
      <c r="FIT177" s="80"/>
      <c r="FIU177" s="80"/>
      <c r="FIV177" s="80"/>
      <c r="FIW177" s="80"/>
      <c r="FIX177" s="80"/>
      <c r="FIY177" s="80"/>
      <c r="FIZ177" s="80"/>
      <c r="FJA177" s="80"/>
      <c r="FJB177" s="80"/>
      <c r="FJC177" s="80"/>
      <c r="FJD177" s="80"/>
      <c r="FJE177" s="80"/>
      <c r="FJF177" s="80"/>
      <c r="FJG177" s="80"/>
      <c r="FJH177" s="80"/>
      <c r="FJI177" s="80"/>
      <c r="FJJ177" s="80"/>
      <c r="FJK177" s="80"/>
      <c r="FJL177" s="80"/>
      <c r="FJM177" s="80"/>
      <c r="FJN177" s="80"/>
      <c r="FJO177" s="80"/>
      <c r="FJP177" s="80"/>
      <c r="FJQ177" s="80"/>
      <c r="FJR177" s="80"/>
      <c r="FJS177" s="80"/>
      <c r="FJT177" s="80"/>
      <c r="FJU177" s="80"/>
      <c r="FJV177" s="80"/>
      <c r="FJW177" s="80"/>
      <c r="FJX177" s="80"/>
      <c r="FJY177" s="80"/>
      <c r="FJZ177" s="80"/>
      <c r="FKA177" s="80"/>
      <c r="FKB177" s="80"/>
      <c r="FKC177" s="80"/>
      <c r="FKD177" s="80"/>
      <c r="FKE177" s="80"/>
      <c r="FKF177" s="80"/>
      <c r="FKG177" s="80"/>
      <c r="FKH177" s="80"/>
      <c r="FKI177" s="80"/>
      <c r="FKJ177" s="80"/>
      <c r="FKK177" s="80"/>
      <c r="FKL177" s="80"/>
      <c r="FKM177" s="80"/>
      <c r="FKN177" s="80"/>
      <c r="FKO177" s="80"/>
      <c r="FKP177" s="80"/>
      <c r="FKQ177" s="80"/>
      <c r="FKR177" s="80"/>
      <c r="FKS177" s="80"/>
      <c r="FKT177" s="80"/>
      <c r="FKU177" s="80"/>
      <c r="FKV177" s="80"/>
      <c r="FKW177" s="80"/>
      <c r="FKX177" s="80"/>
      <c r="FKY177" s="80"/>
      <c r="FKZ177" s="80"/>
      <c r="FLA177" s="80"/>
      <c r="FLB177" s="80"/>
      <c r="FLC177" s="80"/>
      <c r="FLD177" s="80"/>
      <c r="FLE177" s="80"/>
      <c r="FLF177" s="80"/>
      <c r="FLG177" s="80"/>
      <c r="FLH177" s="80"/>
      <c r="FLI177" s="80"/>
      <c r="FLJ177" s="80"/>
      <c r="FLK177" s="80"/>
      <c r="FLL177" s="80"/>
      <c r="FLM177" s="80"/>
      <c r="FLN177" s="80"/>
      <c r="FLO177" s="80"/>
      <c r="FLP177" s="80"/>
      <c r="FLQ177" s="80"/>
      <c r="FLR177" s="80"/>
      <c r="FLS177" s="80"/>
      <c r="FLT177" s="80"/>
      <c r="FLU177" s="80"/>
      <c r="FLV177" s="80"/>
      <c r="FLW177" s="80"/>
      <c r="FLX177" s="80"/>
      <c r="FLY177" s="80"/>
      <c r="FLZ177" s="80"/>
      <c r="FMA177" s="80"/>
      <c r="FMB177" s="80"/>
      <c r="FMC177" s="80"/>
      <c r="FMD177" s="80"/>
      <c r="FME177" s="80"/>
      <c r="FMF177" s="80"/>
      <c r="FMG177" s="80"/>
      <c r="FMH177" s="80"/>
      <c r="FMI177" s="80"/>
      <c r="FMJ177" s="80"/>
      <c r="FMK177" s="80"/>
      <c r="FML177" s="80"/>
      <c r="FMM177" s="80"/>
      <c r="FMN177" s="80"/>
      <c r="FMO177" s="80"/>
      <c r="FMP177" s="80"/>
      <c r="FMQ177" s="80"/>
      <c r="FMR177" s="80"/>
      <c r="FMS177" s="80"/>
      <c r="FMT177" s="80"/>
      <c r="FMU177" s="80"/>
      <c r="FMV177" s="80"/>
      <c r="FMW177" s="80"/>
      <c r="FMX177" s="80"/>
      <c r="FMY177" s="80"/>
      <c r="FMZ177" s="80"/>
      <c r="FNA177" s="80"/>
      <c r="FNB177" s="80"/>
      <c r="FNC177" s="80"/>
      <c r="FND177" s="80"/>
      <c r="FNE177" s="80"/>
      <c r="FNF177" s="80"/>
      <c r="FNG177" s="80"/>
      <c r="FNH177" s="80"/>
      <c r="FNI177" s="80"/>
      <c r="FNJ177" s="80"/>
      <c r="FNK177" s="80"/>
      <c r="FNL177" s="80"/>
      <c r="FNM177" s="80"/>
      <c r="FNN177" s="80"/>
      <c r="FNO177" s="80"/>
      <c r="FNP177" s="80"/>
      <c r="FNQ177" s="80"/>
      <c r="FNR177" s="80"/>
      <c r="FNS177" s="80"/>
      <c r="FNT177" s="80"/>
      <c r="FNU177" s="80"/>
      <c r="FNV177" s="80"/>
      <c r="FNW177" s="80"/>
      <c r="FNX177" s="80"/>
      <c r="FNY177" s="80"/>
      <c r="FNZ177" s="80"/>
      <c r="FOA177" s="80"/>
      <c r="FOB177" s="80"/>
      <c r="FOC177" s="80"/>
      <c r="FOD177" s="80"/>
      <c r="FOE177" s="80"/>
      <c r="FOF177" s="80"/>
      <c r="FOG177" s="80"/>
      <c r="FOH177" s="80"/>
      <c r="FOI177" s="80"/>
      <c r="FOJ177" s="80"/>
      <c r="FOK177" s="80"/>
      <c r="FOL177" s="80"/>
      <c r="FOM177" s="80"/>
      <c r="FON177" s="80"/>
      <c r="FOO177" s="80"/>
      <c r="FOP177" s="80"/>
      <c r="FOQ177" s="80"/>
      <c r="FOR177" s="80"/>
      <c r="FOS177" s="80"/>
      <c r="FOT177" s="80"/>
      <c r="FOU177" s="80"/>
      <c r="FOV177" s="80"/>
      <c r="FOW177" s="80"/>
      <c r="FOX177" s="80"/>
      <c r="FOY177" s="80"/>
      <c r="FOZ177" s="80"/>
      <c r="FPA177" s="80"/>
      <c r="FPB177" s="80"/>
      <c r="FPC177" s="80"/>
      <c r="FPD177" s="80"/>
      <c r="FPE177" s="80"/>
      <c r="FPF177" s="80"/>
      <c r="FPG177" s="80"/>
      <c r="FPH177" s="80"/>
      <c r="FPI177" s="80"/>
      <c r="FPJ177" s="80"/>
      <c r="FPK177" s="80"/>
      <c r="FPL177" s="80"/>
      <c r="FPM177" s="80"/>
      <c r="FPN177" s="80"/>
      <c r="FPO177" s="80"/>
      <c r="FPP177" s="80"/>
      <c r="FPQ177" s="80"/>
      <c r="FPR177" s="80"/>
      <c r="FPS177" s="80"/>
      <c r="FPT177" s="80"/>
      <c r="FPU177" s="80"/>
      <c r="FPV177" s="80"/>
      <c r="FPW177" s="80"/>
      <c r="FPX177" s="80"/>
      <c r="FPY177" s="80"/>
      <c r="FPZ177" s="80"/>
      <c r="FQA177" s="80"/>
      <c r="FQB177" s="80"/>
      <c r="FQC177" s="80"/>
      <c r="FQD177" s="80"/>
      <c r="FQE177" s="80"/>
      <c r="FQF177" s="80"/>
      <c r="FQG177" s="80"/>
      <c r="FQH177" s="80"/>
      <c r="FQI177" s="80"/>
      <c r="FQJ177" s="80"/>
      <c r="FQK177" s="80"/>
      <c r="FQL177" s="80"/>
      <c r="FQM177" s="80"/>
      <c r="FQN177" s="80"/>
      <c r="FQO177" s="80"/>
      <c r="FQP177" s="80"/>
      <c r="FQQ177" s="80"/>
      <c r="FQR177" s="80"/>
      <c r="FQS177" s="80"/>
      <c r="FQT177" s="80"/>
      <c r="FQU177" s="80"/>
      <c r="FQV177" s="80"/>
      <c r="FQW177" s="80"/>
      <c r="FQX177" s="80"/>
      <c r="FQY177" s="80"/>
      <c r="FQZ177" s="80"/>
      <c r="FRA177" s="80"/>
      <c r="FRB177" s="80"/>
      <c r="FRC177" s="80"/>
      <c r="FRD177" s="80"/>
      <c r="FRE177" s="80"/>
      <c r="FRF177" s="80"/>
      <c r="FRG177" s="80"/>
      <c r="FRH177" s="80"/>
      <c r="FRI177" s="80"/>
      <c r="FRJ177" s="80"/>
      <c r="FRK177" s="80"/>
      <c r="FRL177" s="80"/>
      <c r="FRM177" s="80"/>
      <c r="FRN177" s="80"/>
      <c r="FRO177" s="80"/>
      <c r="FRP177" s="80"/>
      <c r="FRQ177" s="80"/>
      <c r="FRR177" s="80"/>
      <c r="FRS177" s="80"/>
      <c r="FRT177" s="80"/>
      <c r="FRU177" s="80"/>
      <c r="FRV177" s="80"/>
      <c r="FRW177" s="80"/>
      <c r="FRX177" s="80"/>
      <c r="FRY177" s="80"/>
      <c r="FRZ177" s="80"/>
      <c r="FSA177" s="80"/>
      <c r="FSB177" s="80"/>
      <c r="FSC177" s="80"/>
      <c r="FSD177" s="80"/>
      <c r="FSE177" s="80"/>
      <c r="FSF177" s="80"/>
      <c r="FSG177" s="80"/>
      <c r="FSH177" s="80"/>
      <c r="FSI177" s="80"/>
      <c r="FSJ177" s="80"/>
      <c r="FSK177" s="80"/>
      <c r="FSL177" s="80"/>
      <c r="FSM177" s="80"/>
      <c r="FSN177" s="80"/>
      <c r="FSO177" s="80"/>
      <c r="FSP177" s="80"/>
      <c r="FSQ177" s="80"/>
      <c r="FSR177" s="80"/>
      <c r="FSS177" s="80"/>
      <c r="FST177" s="80"/>
      <c r="FSU177" s="80"/>
      <c r="FSV177" s="80"/>
      <c r="FSW177" s="80"/>
      <c r="FSX177" s="80"/>
      <c r="FSY177" s="80"/>
      <c r="FSZ177" s="80"/>
      <c r="FTA177" s="80"/>
      <c r="FTB177" s="80"/>
      <c r="FTC177" s="80"/>
      <c r="FTD177" s="80"/>
      <c r="FTE177" s="80"/>
      <c r="FTF177" s="80"/>
      <c r="FTG177" s="80"/>
      <c r="FTH177" s="80"/>
      <c r="FTI177" s="80"/>
      <c r="FTJ177" s="80"/>
      <c r="FTK177" s="80"/>
      <c r="FTL177" s="80"/>
      <c r="FTM177" s="80"/>
      <c r="FTN177" s="80"/>
      <c r="FTO177" s="80"/>
      <c r="FTP177" s="80"/>
      <c r="FTQ177" s="80"/>
      <c r="FTR177" s="80"/>
      <c r="FTS177" s="80"/>
      <c r="FTT177" s="80"/>
      <c r="FTU177" s="80"/>
      <c r="FTV177" s="80"/>
      <c r="FTW177" s="80"/>
      <c r="FTX177" s="80"/>
      <c r="FTY177" s="80"/>
      <c r="FTZ177" s="80"/>
      <c r="FUA177" s="80"/>
      <c r="FUB177" s="80"/>
      <c r="FUC177" s="80"/>
      <c r="FUD177" s="80"/>
      <c r="FUE177" s="80"/>
      <c r="FUF177" s="80"/>
      <c r="FUG177" s="80"/>
      <c r="FUH177" s="80"/>
      <c r="FUI177" s="80"/>
      <c r="FUJ177" s="80"/>
      <c r="FUK177" s="80"/>
      <c r="FUL177" s="80"/>
      <c r="FUM177" s="80"/>
      <c r="FUN177" s="80"/>
      <c r="FUO177" s="80"/>
      <c r="FUP177" s="80"/>
      <c r="FUQ177" s="80"/>
      <c r="FUR177" s="80"/>
      <c r="FUS177" s="80"/>
      <c r="FUT177" s="80"/>
      <c r="FUU177" s="80"/>
      <c r="FUV177" s="80"/>
      <c r="FUW177" s="80"/>
      <c r="FUX177" s="80"/>
      <c r="FUY177" s="80"/>
      <c r="FUZ177" s="80"/>
      <c r="FVA177" s="80"/>
      <c r="FVB177" s="80"/>
      <c r="FVC177" s="80"/>
      <c r="FVD177" s="80"/>
      <c r="FVE177" s="80"/>
      <c r="FVF177" s="80"/>
      <c r="FVG177" s="80"/>
      <c r="FVH177" s="80"/>
      <c r="FVI177" s="80"/>
      <c r="FVJ177" s="80"/>
      <c r="FVK177" s="80"/>
      <c r="FVL177" s="80"/>
      <c r="FVM177" s="80"/>
      <c r="FVN177" s="80"/>
      <c r="FVO177" s="80"/>
      <c r="FVP177" s="80"/>
      <c r="FVQ177" s="80"/>
      <c r="FVR177" s="80"/>
      <c r="FVS177" s="80"/>
      <c r="FVT177" s="80"/>
      <c r="FVU177" s="80"/>
      <c r="FVV177" s="80"/>
      <c r="FVW177" s="80"/>
      <c r="FVX177" s="80"/>
      <c r="FVY177" s="80"/>
      <c r="FVZ177" s="80"/>
      <c r="FWA177" s="80"/>
      <c r="FWB177" s="80"/>
      <c r="FWC177" s="80"/>
      <c r="FWD177" s="80"/>
      <c r="FWE177" s="80"/>
      <c r="FWF177" s="80"/>
      <c r="FWG177" s="80"/>
      <c r="FWH177" s="80"/>
      <c r="FWI177" s="80"/>
      <c r="FWJ177" s="80"/>
      <c r="FWK177" s="80"/>
      <c r="FWL177" s="80"/>
      <c r="FWM177" s="80"/>
      <c r="FWN177" s="80"/>
      <c r="FWO177" s="80"/>
      <c r="FWP177" s="80"/>
      <c r="FWQ177" s="80"/>
      <c r="FWR177" s="80"/>
      <c r="FWS177" s="80"/>
      <c r="FWT177" s="80"/>
      <c r="FWU177" s="80"/>
      <c r="FWV177" s="80"/>
      <c r="FWW177" s="80"/>
      <c r="FWX177" s="80"/>
      <c r="FWY177" s="80"/>
      <c r="FWZ177" s="80"/>
      <c r="FXA177" s="80"/>
      <c r="FXB177" s="80"/>
      <c r="FXC177" s="80"/>
      <c r="FXD177" s="80"/>
      <c r="FXE177" s="80"/>
      <c r="FXF177" s="80"/>
      <c r="FXG177" s="80"/>
      <c r="FXH177" s="80"/>
      <c r="FXI177" s="80"/>
      <c r="FXJ177" s="80"/>
      <c r="FXK177" s="80"/>
      <c r="FXL177" s="80"/>
      <c r="FXM177" s="80"/>
      <c r="FXN177" s="80"/>
      <c r="FXO177" s="80"/>
      <c r="FXP177" s="80"/>
      <c r="FXQ177" s="80"/>
      <c r="FXR177" s="80"/>
      <c r="FXS177" s="80"/>
      <c r="FXT177" s="80"/>
      <c r="FXU177" s="80"/>
      <c r="FXV177" s="80"/>
      <c r="FXW177" s="80"/>
      <c r="FXX177" s="80"/>
      <c r="FXY177" s="80"/>
      <c r="FXZ177" s="80"/>
      <c r="FYA177" s="80"/>
      <c r="FYB177" s="80"/>
      <c r="FYC177" s="80"/>
      <c r="FYD177" s="80"/>
      <c r="FYE177" s="80"/>
      <c r="FYF177" s="80"/>
      <c r="FYG177" s="80"/>
      <c r="FYH177" s="80"/>
      <c r="FYI177" s="80"/>
      <c r="FYJ177" s="80"/>
      <c r="FYK177" s="80"/>
      <c r="FYL177" s="80"/>
      <c r="FYM177" s="80"/>
      <c r="FYN177" s="80"/>
      <c r="FYO177" s="80"/>
      <c r="FYP177" s="80"/>
      <c r="FYQ177" s="80"/>
      <c r="FYR177" s="80"/>
      <c r="FYS177" s="80"/>
      <c r="FYT177" s="80"/>
      <c r="FYU177" s="80"/>
      <c r="FYV177" s="80"/>
      <c r="FYW177" s="80"/>
      <c r="FYX177" s="80"/>
      <c r="FYY177" s="80"/>
      <c r="FYZ177" s="80"/>
      <c r="FZA177" s="80"/>
      <c r="FZB177" s="80"/>
      <c r="FZC177" s="80"/>
      <c r="FZD177" s="80"/>
      <c r="FZE177" s="80"/>
      <c r="FZF177" s="80"/>
      <c r="FZG177" s="80"/>
      <c r="FZH177" s="80"/>
      <c r="FZI177" s="80"/>
      <c r="FZJ177" s="80"/>
      <c r="FZK177" s="80"/>
      <c r="FZL177" s="80"/>
      <c r="FZM177" s="80"/>
      <c r="FZN177" s="80"/>
      <c r="FZO177" s="80"/>
      <c r="FZP177" s="80"/>
      <c r="FZQ177" s="80"/>
      <c r="FZR177" s="80"/>
      <c r="FZS177" s="80"/>
      <c r="FZT177" s="80"/>
      <c r="FZU177" s="80"/>
      <c r="FZV177" s="80"/>
      <c r="FZW177" s="80"/>
      <c r="FZX177" s="80"/>
      <c r="FZY177" s="80"/>
      <c r="FZZ177" s="80"/>
      <c r="GAA177" s="80"/>
      <c r="GAB177" s="80"/>
      <c r="GAC177" s="80"/>
      <c r="GAD177" s="80"/>
      <c r="GAE177" s="80"/>
      <c r="GAF177" s="80"/>
      <c r="GAG177" s="80"/>
      <c r="GAH177" s="80"/>
      <c r="GAI177" s="80"/>
      <c r="GAJ177" s="80"/>
      <c r="GAK177" s="80"/>
      <c r="GAL177" s="80"/>
      <c r="GAM177" s="80"/>
      <c r="GAN177" s="80"/>
      <c r="GAO177" s="80"/>
      <c r="GAP177" s="80"/>
      <c r="GAQ177" s="80"/>
      <c r="GAR177" s="80"/>
      <c r="GAS177" s="80"/>
      <c r="GAT177" s="80"/>
      <c r="GAU177" s="80"/>
      <c r="GAV177" s="80"/>
      <c r="GAW177" s="80"/>
      <c r="GAX177" s="80"/>
      <c r="GAY177" s="80"/>
      <c r="GAZ177" s="80"/>
      <c r="GBA177" s="80"/>
      <c r="GBB177" s="80"/>
      <c r="GBC177" s="80"/>
      <c r="GBD177" s="80"/>
      <c r="GBE177" s="80"/>
      <c r="GBF177" s="80"/>
      <c r="GBG177" s="80"/>
      <c r="GBH177" s="80"/>
      <c r="GBI177" s="80"/>
      <c r="GBJ177" s="80"/>
      <c r="GBK177" s="80"/>
      <c r="GBL177" s="80"/>
      <c r="GBM177" s="80"/>
      <c r="GBN177" s="80"/>
      <c r="GBO177" s="80"/>
      <c r="GBP177" s="80"/>
      <c r="GBQ177" s="80"/>
      <c r="GBR177" s="80"/>
      <c r="GBS177" s="80"/>
      <c r="GBT177" s="80"/>
      <c r="GBU177" s="80"/>
      <c r="GBV177" s="80"/>
      <c r="GBW177" s="80"/>
      <c r="GBX177" s="80"/>
      <c r="GBY177" s="80"/>
      <c r="GBZ177" s="80"/>
      <c r="GCA177" s="80"/>
      <c r="GCB177" s="80"/>
      <c r="GCC177" s="80"/>
      <c r="GCD177" s="80"/>
      <c r="GCE177" s="80"/>
      <c r="GCF177" s="80"/>
      <c r="GCG177" s="80"/>
      <c r="GCH177" s="80"/>
      <c r="GCI177" s="80"/>
      <c r="GCJ177" s="80"/>
      <c r="GCK177" s="80"/>
      <c r="GCL177" s="80"/>
      <c r="GCM177" s="80"/>
      <c r="GCN177" s="80"/>
      <c r="GCO177" s="80"/>
      <c r="GCP177" s="80"/>
      <c r="GCQ177" s="80"/>
      <c r="GCR177" s="80"/>
      <c r="GCS177" s="80"/>
      <c r="GCT177" s="80"/>
      <c r="GCU177" s="80"/>
      <c r="GCV177" s="80"/>
      <c r="GCW177" s="80"/>
      <c r="GCX177" s="80"/>
      <c r="GCY177" s="80"/>
      <c r="GCZ177" s="80"/>
      <c r="GDA177" s="80"/>
      <c r="GDB177" s="80"/>
      <c r="GDC177" s="80"/>
      <c r="GDD177" s="80"/>
      <c r="GDE177" s="80"/>
      <c r="GDF177" s="80"/>
      <c r="GDG177" s="80"/>
      <c r="GDH177" s="80"/>
      <c r="GDI177" s="80"/>
      <c r="GDJ177" s="80"/>
      <c r="GDK177" s="80"/>
      <c r="GDL177" s="80"/>
      <c r="GDM177" s="80"/>
      <c r="GDN177" s="80"/>
      <c r="GDO177" s="80"/>
      <c r="GDP177" s="80"/>
      <c r="GDQ177" s="80"/>
      <c r="GDR177" s="80"/>
      <c r="GDS177" s="80"/>
      <c r="GDT177" s="80"/>
      <c r="GDU177" s="80"/>
      <c r="GDV177" s="80"/>
      <c r="GDW177" s="80"/>
      <c r="GDX177" s="80"/>
      <c r="GDY177" s="80"/>
      <c r="GDZ177" s="80"/>
      <c r="GEA177" s="80"/>
      <c r="GEB177" s="80"/>
      <c r="GEC177" s="80"/>
      <c r="GED177" s="80"/>
      <c r="GEE177" s="80"/>
      <c r="GEF177" s="80"/>
      <c r="GEG177" s="80"/>
      <c r="GEH177" s="80"/>
      <c r="GEI177" s="80"/>
      <c r="GEJ177" s="80"/>
      <c r="GEK177" s="80"/>
      <c r="GEL177" s="80"/>
      <c r="GEM177" s="80"/>
      <c r="GEN177" s="80"/>
      <c r="GEO177" s="80"/>
      <c r="GEP177" s="80"/>
      <c r="GEQ177" s="80"/>
      <c r="GER177" s="80"/>
      <c r="GES177" s="80"/>
      <c r="GET177" s="80"/>
      <c r="GEU177" s="80"/>
      <c r="GEV177" s="80"/>
      <c r="GEW177" s="80"/>
      <c r="GEX177" s="80"/>
      <c r="GEY177" s="80"/>
      <c r="GEZ177" s="80"/>
      <c r="GFA177" s="80"/>
      <c r="GFB177" s="80"/>
      <c r="GFC177" s="80"/>
      <c r="GFD177" s="80"/>
      <c r="GFE177" s="80"/>
      <c r="GFF177" s="80"/>
      <c r="GFG177" s="80"/>
      <c r="GFH177" s="80"/>
      <c r="GFI177" s="80"/>
      <c r="GFJ177" s="80"/>
      <c r="GFK177" s="80"/>
      <c r="GFL177" s="80"/>
      <c r="GFM177" s="80"/>
      <c r="GFN177" s="80"/>
      <c r="GFO177" s="80"/>
      <c r="GFP177" s="80"/>
      <c r="GFQ177" s="80"/>
      <c r="GFR177" s="80"/>
      <c r="GFS177" s="80"/>
      <c r="GFT177" s="80"/>
      <c r="GFU177" s="80"/>
      <c r="GFV177" s="80"/>
      <c r="GFW177" s="80"/>
      <c r="GFX177" s="80"/>
      <c r="GFY177" s="80"/>
      <c r="GFZ177" s="80"/>
      <c r="GGA177" s="80"/>
      <c r="GGB177" s="80"/>
      <c r="GGC177" s="80"/>
      <c r="GGD177" s="80"/>
      <c r="GGE177" s="80"/>
      <c r="GGF177" s="80"/>
      <c r="GGG177" s="80"/>
      <c r="GGH177" s="80"/>
      <c r="GGI177" s="80"/>
      <c r="GGJ177" s="80"/>
      <c r="GGK177" s="80"/>
      <c r="GGL177" s="80"/>
      <c r="GGM177" s="80"/>
      <c r="GGN177" s="80"/>
      <c r="GGO177" s="80"/>
      <c r="GGP177" s="80"/>
      <c r="GGQ177" s="80"/>
      <c r="GGR177" s="80"/>
      <c r="GGS177" s="80"/>
      <c r="GGT177" s="80"/>
      <c r="GGU177" s="80"/>
      <c r="GGV177" s="80"/>
      <c r="GGW177" s="80"/>
      <c r="GGX177" s="80"/>
      <c r="GGY177" s="80"/>
      <c r="GGZ177" s="80"/>
      <c r="GHA177" s="80"/>
      <c r="GHB177" s="80"/>
      <c r="GHC177" s="80"/>
      <c r="GHD177" s="80"/>
      <c r="GHE177" s="80"/>
      <c r="GHF177" s="80"/>
      <c r="GHG177" s="80"/>
      <c r="GHH177" s="80"/>
      <c r="GHI177" s="80"/>
      <c r="GHJ177" s="80"/>
      <c r="GHK177" s="80"/>
      <c r="GHL177" s="80"/>
      <c r="GHM177" s="80"/>
      <c r="GHN177" s="80"/>
      <c r="GHO177" s="80"/>
      <c r="GHP177" s="80"/>
      <c r="GHQ177" s="80"/>
      <c r="GHR177" s="80"/>
      <c r="GHS177" s="80"/>
      <c r="GHT177" s="80"/>
      <c r="GHU177" s="80"/>
      <c r="GHV177" s="80"/>
      <c r="GHW177" s="80"/>
      <c r="GHX177" s="80"/>
      <c r="GHY177" s="80"/>
      <c r="GHZ177" s="80"/>
      <c r="GIA177" s="80"/>
      <c r="GIB177" s="80"/>
      <c r="GIC177" s="80"/>
      <c r="GID177" s="80"/>
      <c r="GIE177" s="80"/>
      <c r="GIF177" s="80"/>
      <c r="GIG177" s="80"/>
      <c r="GIH177" s="80"/>
      <c r="GII177" s="80"/>
      <c r="GIJ177" s="80"/>
      <c r="GIK177" s="80"/>
      <c r="GIL177" s="80"/>
      <c r="GIM177" s="80"/>
      <c r="GIN177" s="80"/>
      <c r="GIO177" s="80"/>
      <c r="GIP177" s="80"/>
      <c r="GIQ177" s="80"/>
      <c r="GIR177" s="80"/>
      <c r="GIS177" s="80"/>
      <c r="GIT177" s="80"/>
      <c r="GIU177" s="80"/>
      <c r="GIV177" s="80"/>
      <c r="GIW177" s="80"/>
      <c r="GIX177" s="80"/>
      <c r="GIY177" s="80"/>
      <c r="GIZ177" s="80"/>
      <c r="GJA177" s="80"/>
      <c r="GJB177" s="80"/>
      <c r="GJC177" s="80"/>
      <c r="GJD177" s="80"/>
      <c r="GJE177" s="80"/>
      <c r="GJF177" s="80"/>
      <c r="GJG177" s="80"/>
      <c r="GJH177" s="80"/>
      <c r="GJI177" s="80"/>
      <c r="GJJ177" s="80"/>
      <c r="GJK177" s="80"/>
      <c r="GJL177" s="80"/>
      <c r="GJM177" s="80"/>
      <c r="GJN177" s="80"/>
      <c r="GJO177" s="80"/>
      <c r="GJP177" s="80"/>
      <c r="GJQ177" s="80"/>
      <c r="GJR177" s="80"/>
      <c r="GJS177" s="80"/>
      <c r="GJT177" s="80"/>
      <c r="GJU177" s="80"/>
      <c r="GJV177" s="80"/>
      <c r="GJW177" s="80"/>
      <c r="GJX177" s="80"/>
      <c r="GJY177" s="80"/>
      <c r="GJZ177" s="80"/>
      <c r="GKA177" s="80"/>
      <c r="GKB177" s="80"/>
      <c r="GKC177" s="80"/>
      <c r="GKD177" s="80"/>
      <c r="GKE177" s="80"/>
      <c r="GKF177" s="80"/>
      <c r="GKG177" s="80"/>
      <c r="GKH177" s="80"/>
      <c r="GKI177" s="80"/>
      <c r="GKJ177" s="80"/>
      <c r="GKK177" s="80"/>
      <c r="GKL177" s="80"/>
      <c r="GKM177" s="80"/>
      <c r="GKN177" s="80"/>
      <c r="GKO177" s="80"/>
      <c r="GKP177" s="80"/>
      <c r="GKQ177" s="80"/>
      <c r="GKR177" s="80"/>
      <c r="GKS177" s="80"/>
      <c r="GKT177" s="80"/>
      <c r="GKU177" s="80"/>
      <c r="GKV177" s="80"/>
      <c r="GKW177" s="80"/>
      <c r="GKX177" s="80"/>
      <c r="GKY177" s="80"/>
      <c r="GKZ177" s="80"/>
      <c r="GLA177" s="80"/>
      <c r="GLB177" s="80"/>
      <c r="GLC177" s="80"/>
      <c r="GLD177" s="80"/>
      <c r="GLE177" s="80"/>
      <c r="GLF177" s="80"/>
      <c r="GLG177" s="80"/>
      <c r="GLH177" s="80"/>
      <c r="GLI177" s="80"/>
      <c r="GLJ177" s="80"/>
      <c r="GLK177" s="80"/>
      <c r="GLL177" s="80"/>
      <c r="GLM177" s="80"/>
      <c r="GLN177" s="80"/>
      <c r="GLO177" s="80"/>
      <c r="GLP177" s="80"/>
      <c r="GLQ177" s="80"/>
      <c r="GLR177" s="80"/>
      <c r="GLS177" s="80"/>
      <c r="GLT177" s="80"/>
      <c r="GLU177" s="80"/>
      <c r="GLV177" s="80"/>
      <c r="GLW177" s="80"/>
      <c r="GLX177" s="80"/>
      <c r="GLY177" s="80"/>
      <c r="GLZ177" s="80"/>
      <c r="GMA177" s="80"/>
      <c r="GMB177" s="80"/>
      <c r="GMC177" s="80"/>
      <c r="GMD177" s="80"/>
      <c r="GME177" s="80"/>
      <c r="GMF177" s="80"/>
      <c r="GMG177" s="80"/>
      <c r="GMH177" s="80"/>
      <c r="GMI177" s="80"/>
      <c r="GMJ177" s="80"/>
      <c r="GMK177" s="80"/>
      <c r="GML177" s="80"/>
      <c r="GMM177" s="80"/>
      <c r="GMN177" s="80"/>
      <c r="GMO177" s="80"/>
      <c r="GMP177" s="80"/>
      <c r="GMQ177" s="80"/>
      <c r="GMR177" s="80"/>
      <c r="GMS177" s="80"/>
      <c r="GMT177" s="80"/>
      <c r="GMU177" s="80"/>
      <c r="GMV177" s="80"/>
      <c r="GMW177" s="80"/>
      <c r="GMX177" s="80"/>
      <c r="GMY177" s="80"/>
      <c r="GMZ177" s="80"/>
      <c r="GNA177" s="80"/>
      <c r="GNB177" s="80"/>
      <c r="GNC177" s="80"/>
      <c r="GND177" s="80"/>
      <c r="GNE177" s="80"/>
      <c r="GNF177" s="80"/>
      <c r="GNG177" s="80"/>
      <c r="GNH177" s="80"/>
      <c r="GNI177" s="80"/>
      <c r="GNJ177" s="80"/>
      <c r="GNK177" s="80"/>
      <c r="GNL177" s="80"/>
      <c r="GNM177" s="80"/>
      <c r="GNN177" s="80"/>
      <c r="GNO177" s="80"/>
      <c r="GNP177" s="80"/>
      <c r="GNQ177" s="80"/>
      <c r="GNR177" s="80"/>
      <c r="GNS177" s="80"/>
      <c r="GNT177" s="80"/>
      <c r="GNU177" s="80"/>
      <c r="GNV177" s="80"/>
      <c r="GNW177" s="80"/>
      <c r="GNX177" s="80"/>
      <c r="GNY177" s="80"/>
      <c r="GNZ177" s="80"/>
      <c r="GOA177" s="80"/>
      <c r="GOB177" s="80"/>
      <c r="GOC177" s="80"/>
      <c r="GOD177" s="80"/>
      <c r="GOE177" s="80"/>
      <c r="GOF177" s="80"/>
      <c r="GOG177" s="80"/>
      <c r="GOH177" s="80"/>
      <c r="GOI177" s="80"/>
      <c r="GOJ177" s="80"/>
      <c r="GOK177" s="80"/>
      <c r="GOL177" s="80"/>
      <c r="GOM177" s="80"/>
      <c r="GON177" s="80"/>
      <c r="GOO177" s="80"/>
      <c r="GOP177" s="80"/>
      <c r="GOQ177" s="80"/>
      <c r="GOR177" s="80"/>
      <c r="GOS177" s="80"/>
      <c r="GOT177" s="80"/>
      <c r="GOU177" s="80"/>
      <c r="GOV177" s="80"/>
      <c r="GOW177" s="80"/>
      <c r="GOX177" s="80"/>
      <c r="GOY177" s="80"/>
      <c r="GOZ177" s="80"/>
      <c r="GPA177" s="80"/>
      <c r="GPB177" s="80"/>
      <c r="GPC177" s="80"/>
      <c r="GPD177" s="80"/>
      <c r="GPE177" s="80"/>
      <c r="GPF177" s="80"/>
      <c r="GPG177" s="80"/>
      <c r="GPH177" s="80"/>
      <c r="GPI177" s="80"/>
      <c r="GPJ177" s="80"/>
      <c r="GPK177" s="80"/>
      <c r="GPL177" s="80"/>
      <c r="GPM177" s="80"/>
      <c r="GPN177" s="80"/>
      <c r="GPO177" s="80"/>
      <c r="GPP177" s="80"/>
      <c r="GPQ177" s="80"/>
      <c r="GPR177" s="80"/>
      <c r="GPS177" s="80"/>
      <c r="GPT177" s="80"/>
      <c r="GPU177" s="80"/>
      <c r="GPV177" s="80"/>
      <c r="GPW177" s="80"/>
      <c r="GPX177" s="80"/>
      <c r="GPY177" s="80"/>
      <c r="GPZ177" s="80"/>
      <c r="GQA177" s="80"/>
      <c r="GQB177" s="80"/>
      <c r="GQC177" s="80"/>
      <c r="GQD177" s="80"/>
      <c r="GQE177" s="80"/>
      <c r="GQF177" s="80"/>
      <c r="GQG177" s="80"/>
      <c r="GQH177" s="80"/>
      <c r="GQI177" s="80"/>
      <c r="GQJ177" s="80"/>
      <c r="GQK177" s="80"/>
      <c r="GQL177" s="80"/>
      <c r="GQM177" s="80"/>
      <c r="GQN177" s="80"/>
      <c r="GQO177" s="80"/>
      <c r="GQP177" s="80"/>
      <c r="GQQ177" s="80"/>
      <c r="GQR177" s="80"/>
      <c r="GQS177" s="80"/>
      <c r="GQT177" s="80"/>
      <c r="GQU177" s="80"/>
      <c r="GQV177" s="80"/>
      <c r="GQW177" s="80"/>
      <c r="GQX177" s="80"/>
      <c r="GQY177" s="80"/>
      <c r="GQZ177" s="80"/>
      <c r="GRA177" s="80"/>
      <c r="GRB177" s="80"/>
      <c r="GRC177" s="80"/>
      <c r="GRD177" s="80"/>
      <c r="GRE177" s="80"/>
      <c r="GRF177" s="80"/>
      <c r="GRG177" s="80"/>
      <c r="GRH177" s="80"/>
      <c r="GRI177" s="80"/>
      <c r="GRJ177" s="80"/>
      <c r="GRK177" s="80"/>
      <c r="GRL177" s="80"/>
      <c r="GRM177" s="80"/>
      <c r="GRN177" s="80"/>
      <c r="GRO177" s="80"/>
      <c r="GRP177" s="80"/>
      <c r="GRQ177" s="80"/>
      <c r="GRR177" s="80"/>
      <c r="GRS177" s="80"/>
      <c r="GRT177" s="80"/>
      <c r="GRU177" s="80"/>
      <c r="GRV177" s="80"/>
      <c r="GRW177" s="80"/>
      <c r="GRX177" s="80"/>
      <c r="GRY177" s="80"/>
      <c r="GRZ177" s="80"/>
      <c r="GSA177" s="80"/>
      <c r="GSB177" s="80"/>
      <c r="GSC177" s="80"/>
      <c r="GSD177" s="80"/>
      <c r="GSE177" s="80"/>
      <c r="GSF177" s="80"/>
      <c r="GSG177" s="80"/>
      <c r="GSH177" s="80"/>
      <c r="GSI177" s="80"/>
      <c r="GSJ177" s="80"/>
      <c r="GSK177" s="80"/>
      <c r="GSL177" s="80"/>
      <c r="GSM177" s="80"/>
      <c r="GSN177" s="80"/>
      <c r="GSO177" s="80"/>
      <c r="GSP177" s="80"/>
      <c r="GSQ177" s="80"/>
      <c r="GSR177" s="80"/>
      <c r="GSS177" s="80"/>
      <c r="GST177" s="80"/>
      <c r="GSU177" s="80"/>
      <c r="GSV177" s="80"/>
      <c r="GSW177" s="80"/>
      <c r="GSX177" s="80"/>
      <c r="GSY177" s="80"/>
      <c r="GSZ177" s="80"/>
      <c r="GTA177" s="80"/>
      <c r="GTB177" s="80"/>
      <c r="GTC177" s="80"/>
      <c r="GTD177" s="80"/>
      <c r="GTE177" s="80"/>
      <c r="GTF177" s="80"/>
      <c r="GTG177" s="80"/>
      <c r="GTH177" s="80"/>
      <c r="GTI177" s="80"/>
      <c r="GTJ177" s="80"/>
      <c r="GTK177" s="80"/>
      <c r="GTL177" s="80"/>
      <c r="GTM177" s="80"/>
      <c r="GTN177" s="80"/>
      <c r="GTO177" s="80"/>
      <c r="GTP177" s="80"/>
      <c r="GTQ177" s="80"/>
      <c r="GTR177" s="80"/>
      <c r="GTS177" s="80"/>
      <c r="GTT177" s="80"/>
      <c r="GTU177" s="80"/>
      <c r="GTV177" s="80"/>
      <c r="GTW177" s="80"/>
      <c r="GTX177" s="80"/>
      <c r="GTY177" s="80"/>
      <c r="GTZ177" s="80"/>
      <c r="GUA177" s="80"/>
      <c r="GUB177" s="80"/>
      <c r="GUC177" s="80"/>
      <c r="GUD177" s="80"/>
      <c r="GUE177" s="80"/>
      <c r="GUF177" s="80"/>
      <c r="GUG177" s="80"/>
      <c r="GUH177" s="80"/>
      <c r="GUI177" s="80"/>
      <c r="GUJ177" s="80"/>
      <c r="GUK177" s="80"/>
      <c r="GUL177" s="80"/>
      <c r="GUM177" s="80"/>
      <c r="GUN177" s="80"/>
      <c r="GUO177" s="80"/>
      <c r="GUP177" s="80"/>
      <c r="GUQ177" s="80"/>
      <c r="GUR177" s="80"/>
      <c r="GUS177" s="80"/>
      <c r="GUT177" s="80"/>
      <c r="GUU177" s="80"/>
      <c r="GUV177" s="80"/>
      <c r="GUW177" s="80"/>
      <c r="GUX177" s="80"/>
      <c r="GUY177" s="80"/>
      <c r="GUZ177" s="80"/>
      <c r="GVA177" s="80"/>
      <c r="GVB177" s="80"/>
      <c r="GVC177" s="80"/>
      <c r="GVD177" s="80"/>
      <c r="GVE177" s="80"/>
      <c r="GVF177" s="80"/>
      <c r="GVG177" s="80"/>
      <c r="GVH177" s="80"/>
      <c r="GVI177" s="80"/>
      <c r="GVJ177" s="80"/>
      <c r="GVK177" s="80"/>
      <c r="GVL177" s="80"/>
      <c r="GVM177" s="80"/>
      <c r="GVN177" s="80"/>
      <c r="GVO177" s="80"/>
      <c r="GVP177" s="80"/>
      <c r="GVQ177" s="80"/>
      <c r="GVR177" s="80"/>
      <c r="GVS177" s="80"/>
      <c r="GVT177" s="80"/>
      <c r="GVU177" s="80"/>
      <c r="GVV177" s="80"/>
      <c r="GVW177" s="80"/>
      <c r="GVX177" s="80"/>
      <c r="GVY177" s="80"/>
      <c r="GVZ177" s="80"/>
      <c r="GWA177" s="80"/>
      <c r="GWB177" s="80"/>
      <c r="GWC177" s="80"/>
      <c r="GWD177" s="80"/>
      <c r="GWE177" s="80"/>
      <c r="GWF177" s="80"/>
      <c r="GWG177" s="80"/>
      <c r="GWH177" s="80"/>
      <c r="GWI177" s="80"/>
      <c r="GWJ177" s="80"/>
      <c r="GWK177" s="80"/>
      <c r="GWL177" s="80"/>
      <c r="GWM177" s="80"/>
      <c r="GWN177" s="80"/>
      <c r="GWO177" s="80"/>
      <c r="GWP177" s="80"/>
      <c r="GWQ177" s="80"/>
      <c r="GWR177" s="80"/>
      <c r="GWS177" s="80"/>
      <c r="GWT177" s="80"/>
      <c r="GWU177" s="80"/>
      <c r="GWV177" s="80"/>
      <c r="GWW177" s="80"/>
      <c r="GWX177" s="80"/>
      <c r="GWY177" s="80"/>
      <c r="GWZ177" s="80"/>
      <c r="GXA177" s="80"/>
      <c r="GXB177" s="80"/>
      <c r="GXC177" s="80"/>
      <c r="GXD177" s="80"/>
      <c r="GXE177" s="80"/>
      <c r="GXF177" s="80"/>
      <c r="GXG177" s="80"/>
      <c r="GXH177" s="80"/>
      <c r="GXI177" s="80"/>
      <c r="GXJ177" s="80"/>
      <c r="GXK177" s="80"/>
      <c r="GXL177" s="80"/>
      <c r="GXM177" s="80"/>
      <c r="GXN177" s="80"/>
      <c r="GXO177" s="80"/>
      <c r="GXP177" s="80"/>
      <c r="GXQ177" s="80"/>
      <c r="GXR177" s="80"/>
      <c r="GXS177" s="80"/>
      <c r="GXT177" s="80"/>
      <c r="GXU177" s="80"/>
      <c r="GXV177" s="80"/>
      <c r="GXW177" s="80"/>
      <c r="GXX177" s="80"/>
      <c r="GXY177" s="80"/>
      <c r="GXZ177" s="80"/>
      <c r="GYA177" s="80"/>
      <c r="GYB177" s="80"/>
      <c r="GYC177" s="80"/>
      <c r="GYD177" s="80"/>
      <c r="GYE177" s="80"/>
      <c r="GYF177" s="80"/>
      <c r="GYG177" s="80"/>
      <c r="GYH177" s="80"/>
      <c r="GYI177" s="80"/>
      <c r="GYJ177" s="80"/>
      <c r="GYK177" s="80"/>
      <c r="GYL177" s="80"/>
      <c r="GYM177" s="80"/>
      <c r="GYN177" s="80"/>
      <c r="GYO177" s="80"/>
      <c r="GYP177" s="80"/>
      <c r="GYQ177" s="80"/>
      <c r="GYR177" s="80"/>
      <c r="GYS177" s="80"/>
      <c r="GYT177" s="80"/>
      <c r="GYU177" s="80"/>
      <c r="GYV177" s="80"/>
      <c r="GYW177" s="80"/>
      <c r="GYX177" s="80"/>
      <c r="GYY177" s="80"/>
      <c r="GYZ177" s="80"/>
      <c r="GZA177" s="80"/>
      <c r="GZB177" s="80"/>
      <c r="GZC177" s="80"/>
      <c r="GZD177" s="80"/>
      <c r="GZE177" s="80"/>
      <c r="GZF177" s="80"/>
      <c r="GZG177" s="80"/>
      <c r="GZH177" s="80"/>
      <c r="GZI177" s="80"/>
      <c r="GZJ177" s="80"/>
      <c r="GZK177" s="80"/>
      <c r="GZL177" s="80"/>
      <c r="GZM177" s="80"/>
      <c r="GZN177" s="80"/>
      <c r="GZO177" s="80"/>
      <c r="GZP177" s="80"/>
      <c r="GZQ177" s="80"/>
      <c r="GZR177" s="80"/>
      <c r="GZS177" s="80"/>
      <c r="GZT177" s="80"/>
      <c r="GZU177" s="80"/>
      <c r="GZV177" s="80"/>
      <c r="GZW177" s="80"/>
      <c r="GZX177" s="80"/>
      <c r="GZY177" s="80"/>
      <c r="GZZ177" s="80"/>
      <c r="HAA177" s="80"/>
      <c r="HAB177" s="80"/>
      <c r="HAC177" s="80"/>
      <c r="HAD177" s="80"/>
      <c r="HAE177" s="80"/>
      <c r="HAF177" s="80"/>
      <c r="HAG177" s="80"/>
      <c r="HAH177" s="80"/>
      <c r="HAI177" s="80"/>
      <c r="HAJ177" s="80"/>
      <c r="HAK177" s="80"/>
      <c r="HAL177" s="80"/>
      <c r="HAM177" s="80"/>
      <c r="HAN177" s="80"/>
      <c r="HAO177" s="80"/>
      <c r="HAP177" s="80"/>
      <c r="HAQ177" s="80"/>
      <c r="HAR177" s="80"/>
      <c r="HAS177" s="80"/>
      <c r="HAT177" s="80"/>
      <c r="HAU177" s="80"/>
      <c r="HAV177" s="80"/>
      <c r="HAW177" s="80"/>
      <c r="HAX177" s="80"/>
      <c r="HAY177" s="80"/>
      <c r="HAZ177" s="80"/>
      <c r="HBA177" s="80"/>
      <c r="HBB177" s="80"/>
      <c r="HBC177" s="80"/>
      <c r="HBD177" s="80"/>
      <c r="HBE177" s="80"/>
      <c r="HBF177" s="80"/>
      <c r="HBG177" s="80"/>
      <c r="HBH177" s="80"/>
      <c r="HBI177" s="80"/>
      <c r="HBJ177" s="80"/>
      <c r="HBK177" s="80"/>
      <c r="HBL177" s="80"/>
      <c r="HBM177" s="80"/>
      <c r="HBN177" s="80"/>
      <c r="HBO177" s="80"/>
      <c r="HBP177" s="80"/>
      <c r="HBQ177" s="80"/>
      <c r="HBR177" s="80"/>
      <c r="HBS177" s="80"/>
      <c r="HBT177" s="80"/>
      <c r="HBU177" s="80"/>
      <c r="HBV177" s="80"/>
      <c r="HBW177" s="80"/>
      <c r="HBX177" s="80"/>
      <c r="HBY177" s="80"/>
      <c r="HBZ177" s="80"/>
      <c r="HCA177" s="80"/>
      <c r="HCB177" s="80"/>
      <c r="HCC177" s="80"/>
      <c r="HCD177" s="80"/>
      <c r="HCE177" s="80"/>
      <c r="HCF177" s="80"/>
      <c r="HCG177" s="80"/>
      <c r="HCH177" s="80"/>
      <c r="HCI177" s="80"/>
      <c r="HCJ177" s="80"/>
      <c r="HCK177" s="80"/>
      <c r="HCL177" s="80"/>
      <c r="HCM177" s="80"/>
      <c r="HCN177" s="80"/>
      <c r="HCO177" s="80"/>
      <c r="HCP177" s="80"/>
      <c r="HCQ177" s="80"/>
      <c r="HCR177" s="80"/>
      <c r="HCS177" s="80"/>
      <c r="HCT177" s="80"/>
      <c r="HCU177" s="80"/>
      <c r="HCV177" s="80"/>
      <c r="HCW177" s="80"/>
      <c r="HCX177" s="80"/>
      <c r="HCY177" s="80"/>
      <c r="HCZ177" s="80"/>
      <c r="HDA177" s="80"/>
      <c r="HDB177" s="80"/>
      <c r="HDC177" s="80"/>
      <c r="HDD177" s="80"/>
      <c r="HDE177" s="80"/>
      <c r="HDF177" s="80"/>
      <c r="HDG177" s="80"/>
      <c r="HDH177" s="80"/>
      <c r="HDI177" s="80"/>
      <c r="HDJ177" s="80"/>
      <c r="HDK177" s="80"/>
      <c r="HDL177" s="80"/>
      <c r="HDM177" s="80"/>
      <c r="HDN177" s="80"/>
      <c r="HDO177" s="80"/>
      <c r="HDP177" s="80"/>
      <c r="HDQ177" s="80"/>
      <c r="HDR177" s="80"/>
      <c r="HDS177" s="80"/>
      <c r="HDT177" s="80"/>
      <c r="HDU177" s="80"/>
      <c r="HDV177" s="80"/>
      <c r="HDW177" s="80"/>
      <c r="HDX177" s="80"/>
      <c r="HDY177" s="80"/>
      <c r="HDZ177" s="80"/>
      <c r="HEA177" s="80"/>
      <c r="HEB177" s="80"/>
      <c r="HEC177" s="80"/>
      <c r="HED177" s="80"/>
      <c r="HEE177" s="80"/>
      <c r="HEF177" s="80"/>
      <c r="HEG177" s="80"/>
      <c r="HEH177" s="80"/>
      <c r="HEI177" s="80"/>
      <c r="HEJ177" s="80"/>
      <c r="HEK177" s="80"/>
      <c r="HEL177" s="80"/>
      <c r="HEM177" s="80"/>
      <c r="HEN177" s="80"/>
      <c r="HEO177" s="80"/>
      <c r="HEP177" s="80"/>
      <c r="HEQ177" s="80"/>
      <c r="HER177" s="80"/>
      <c r="HES177" s="80"/>
      <c r="HET177" s="80"/>
      <c r="HEU177" s="80"/>
      <c r="HEV177" s="80"/>
      <c r="HEW177" s="80"/>
      <c r="HEX177" s="80"/>
      <c r="HEY177" s="80"/>
      <c r="HEZ177" s="80"/>
      <c r="HFA177" s="80"/>
      <c r="HFB177" s="80"/>
      <c r="HFC177" s="80"/>
      <c r="HFD177" s="80"/>
      <c r="HFE177" s="80"/>
      <c r="HFF177" s="80"/>
      <c r="HFG177" s="80"/>
      <c r="HFH177" s="80"/>
      <c r="HFI177" s="80"/>
      <c r="HFJ177" s="80"/>
      <c r="HFK177" s="80"/>
      <c r="HFL177" s="80"/>
      <c r="HFM177" s="80"/>
      <c r="HFN177" s="80"/>
      <c r="HFO177" s="80"/>
      <c r="HFP177" s="80"/>
      <c r="HFQ177" s="80"/>
      <c r="HFR177" s="80"/>
      <c r="HFS177" s="80"/>
      <c r="HFT177" s="80"/>
      <c r="HFU177" s="80"/>
      <c r="HFV177" s="80"/>
      <c r="HFW177" s="80"/>
      <c r="HFX177" s="80"/>
      <c r="HFY177" s="80"/>
      <c r="HFZ177" s="80"/>
      <c r="HGA177" s="80"/>
      <c r="HGB177" s="80"/>
      <c r="HGC177" s="80"/>
      <c r="HGD177" s="80"/>
      <c r="HGE177" s="80"/>
      <c r="HGF177" s="80"/>
      <c r="HGG177" s="80"/>
      <c r="HGH177" s="80"/>
      <c r="HGI177" s="80"/>
      <c r="HGJ177" s="80"/>
      <c r="HGK177" s="80"/>
      <c r="HGL177" s="80"/>
      <c r="HGM177" s="80"/>
      <c r="HGN177" s="80"/>
      <c r="HGO177" s="80"/>
      <c r="HGP177" s="80"/>
      <c r="HGQ177" s="80"/>
      <c r="HGR177" s="80"/>
      <c r="HGS177" s="80"/>
      <c r="HGT177" s="80"/>
      <c r="HGU177" s="80"/>
      <c r="HGV177" s="80"/>
      <c r="HGW177" s="80"/>
      <c r="HGX177" s="80"/>
      <c r="HGY177" s="80"/>
      <c r="HGZ177" s="80"/>
      <c r="HHA177" s="80"/>
      <c r="HHB177" s="80"/>
      <c r="HHC177" s="80"/>
      <c r="HHD177" s="80"/>
      <c r="HHE177" s="80"/>
      <c r="HHF177" s="80"/>
      <c r="HHG177" s="80"/>
      <c r="HHH177" s="80"/>
      <c r="HHI177" s="80"/>
      <c r="HHJ177" s="80"/>
      <c r="HHK177" s="80"/>
      <c r="HHL177" s="80"/>
      <c r="HHM177" s="80"/>
      <c r="HHN177" s="80"/>
      <c r="HHO177" s="80"/>
      <c r="HHP177" s="80"/>
      <c r="HHQ177" s="80"/>
      <c r="HHR177" s="80"/>
      <c r="HHS177" s="80"/>
      <c r="HHT177" s="80"/>
      <c r="HHU177" s="80"/>
      <c r="HHV177" s="80"/>
      <c r="HHW177" s="80"/>
      <c r="HHX177" s="80"/>
      <c r="HHY177" s="80"/>
      <c r="HHZ177" s="80"/>
      <c r="HIA177" s="80"/>
      <c r="HIB177" s="80"/>
      <c r="HIC177" s="80"/>
      <c r="HID177" s="80"/>
      <c r="HIE177" s="80"/>
      <c r="HIF177" s="80"/>
      <c r="HIG177" s="80"/>
      <c r="HIH177" s="80"/>
      <c r="HII177" s="80"/>
      <c r="HIJ177" s="80"/>
      <c r="HIK177" s="80"/>
      <c r="HIL177" s="80"/>
      <c r="HIM177" s="80"/>
      <c r="HIN177" s="80"/>
      <c r="HIO177" s="80"/>
      <c r="HIP177" s="80"/>
      <c r="HIQ177" s="80"/>
      <c r="HIR177" s="80"/>
      <c r="HIS177" s="80"/>
      <c r="HIT177" s="80"/>
      <c r="HIU177" s="80"/>
      <c r="HIV177" s="80"/>
      <c r="HIW177" s="80"/>
      <c r="HIX177" s="80"/>
      <c r="HIY177" s="80"/>
      <c r="HIZ177" s="80"/>
      <c r="HJA177" s="80"/>
      <c r="HJB177" s="80"/>
      <c r="HJC177" s="80"/>
      <c r="HJD177" s="80"/>
      <c r="HJE177" s="80"/>
      <c r="HJF177" s="80"/>
      <c r="HJG177" s="80"/>
      <c r="HJH177" s="80"/>
      <c r="HJI177" s="80"/>
      <c r="HJJ177" s="80"/>
      <c r="HJK177" s="80"/>
      <c r="HJL177" s="80"/>
      <c r="HJM177" s="80"/>
      <c r="HJN177" s="80"/>
      <c r="HJO177" s="80"/>
      <c r="HJP177" s="80"/>
      <c r="HJQ177" s="80"/>
      <c r="HJR177" s="80"/>
      <c r="HJS177" s="80"/>
      <c r="HJT177" s="80"/>
      <c r="HJU177" s="80"/>
      <c r="HJV177" s="80"/>
      <c r="HJW177" s="80"/>
      <c r="HJX177" s="80"/>
      <c r="HJY177" s="80"/>
      <c r="HJZ177" s="80"/>
      <c r="HKA177" s="80"/>
      <c r="HKB177" s="80"/>
      <c r="HKC177" s="80"/>
      <c r="HKD177" s="80"/>
      <c r="HKE177" s="80"/>
      <c r="HKF177" s="80"/>
      <c r="HKG177" s="80"/>
      <c r="HKH177" s="80"/>
      <c r="HKI177" s="80"/>
      <c r="HKJ177" s="80"/>
      <c r="HKK177" s="80"/>
      <c r="HKL177" s="80"/>
      <c r="HKM177" s="80"/>
      <c r="HKN177" s="80"/>
      <c r="HKO177" s="80"/>
      <c r="HKP177" s="80"/>
      <c r="HKQ177" s="80"/>
      <c r="HKR177" s="80"/>
      <c r="HKS177" s="80"/>
      <c r="HKT177" s="80"/>
      <c r="HKU177" s="80"/>
      <c r="HKV177" s="80"/>
      <c r="HKW177" s="80"/>
      <c r="HKX177" s="80"/>
      <c r="HKY177" s="80"/>
      <c r="HKZ177" s="80"/>
      <c r="HLA177" s="80"/>
      <c r="HLB177" s="80"/>
      <c r="HLC177" s="80"/>
      <c r="HLD177" s="80"/>
      <c r="HLE177" s="80"/>
      <c r="HLF177" s="80"/>
      <c r="HLG177" s="80"/>
      <c r="HLH177" s="80"/>
      <c r="HLI177" s="80"/>
      <c r="HLJ177" s="80"/>
      <c r="HLK177" s="80"/>
      <c r="HLL177" s="80"/>
      <c r="HLM177" s="80"/>
      <c r="HLN177" s="80"/>
      <c r="HLO177" s="80"/>
      <c r="HLP177" s="80"/>
      <c r="HLQ177" s="80"/>
      <c r="HLR177" s="80"/>
      <c r="HLS177" s="80"/>
      <c r="HLT177" s="80"/>
      <c r="HLU177" s="80"/>
      <c r="HLV177" s="80"/>
      <c r="HLW177" s="80"/>
      <c r="HLX177" s="80"/>
      <c r="HLY177" s="80"/>
      <c r="HLZ177" s="80"/>
      <c r="HMA177" s="80"/>
      <c r="HMB177" s="80"/>
      <c r="HMC177" s="80"/>
      <c r="HMD177" s="80"/>
      <c r="HME177" s="80"/>
      <c r="HMF177" s="80"/>
      <c r="HMG177" s="80"/>
      <c r="HMH177" s="80"/>
      <c r="HMI177" s="80"/>
      <c r="HMJ177" s="80"/>
      <c r="HMK177" s="80"/>
      <c r="HML177" s="80"/>
      <c r="HMM177" s="80"/>
      <c r="HMN177" s="80"/>
      <c r="HMO177" s="80"/>
      <c r="HMP177" s="80"/>
      <c r="HMQ177" s="80"/>
      <c r="HMR177" s="80"/>
      <c r="HMS177" s="80"/>
      <c r="HMT177" s="80"/>
      <c r="HMU177" s="80"/>
      <c r="HMV177" s="80"/>
      <c r="HMW177" s="80"/>
      <c r="HMX177" s="80"/>
      <c r="HMY177" s="80"/>
      <c r="HMZ177" s="80"/>
      <c r="HNA177" s="80"/>
      <c r="HNB177" s="80"/>
      <c r="HNC177" s="80"/>
      <c r="HND177" s="80"/>
      <c r="HNE177" s="80"/>
      <c r="HNF177" s="80"/>
      <c r="HNG177" s="80"/>
      <c r="HNH177" s="80"/>
      <c r="HNI177" s="80"/>
      <c r="HNJ177" s="80"/>
      <c r="HNK177" s="80"/>
      <c r="HNL177" s="80"/>
      <c r="HNM177" s="80"/>
      <c r="HNN177" s="80"/>
      <c r="HNO177" s="80"/>
      <c r="HNP177" s="80"/>
      <c r="HNQ177" s="80"/>
      <c r="HNR177" s="80"/>
      <c r="HNS177" s="80"/>
      <c r="HNT177" s="80"/>
      <c r="HNU177" s="80"/>
      <c r="HNV177" s="80"/>
      <c r="HNW177" s="80"/>
      <c r="HNX177" s="80"/>
      <c r="HNY177" s="80"/>
      <c r="HNZ177" s="80"/>
      <c r="HOA177" s="80"/>
      <c r="HOB177" s="80"/>
      <c r="HOC177" s="80"/>
      <c r="HOD177" s="80"/>
      <c r="HOE177" s="80"/>
      <c r="HOF177" s="80"/>
      <c r="HOG177" s="80"/>
      <c r="HOH177" s="80"/>
      <c r="HOI177" s="80"/>
      <c r="HOJ177" s="80"/>
      <c r="HOK177" s="80"/>
      <c r="HOL177" s="80"/>
      <c r="HOM177" s="80"/>
      <c r="HON177" s="80"/>
      <c r="HOO177" s="80"/>
      <c r="HOP177" s="80"/>
      <c r="HOQ177" s="80"/>
      <c r="HOR177" s="80"/>
      <c r="HOS177" s="80"/>
      <c r="HOT177" s="80"/>
      <c r="HOU177" s="80"/>
      <c r="HOV177" s="80"/>
      <c r="HOW177" s="80"/>
      <c r="HOX177" s="80"/>
      <c r="HOY177" s="80"/>
      <c r="HOZ177" s="80"/>
      <c r="HPA177" s="80"/>
      <c r="HPB177" s="80"/>
      <c r="HPC177" s="80"/>
      <c r="HPD177" s="80"/>
      <c r="HPE177" s="80"/>
      <c r="HPF177" s="80"/>
      <c r="HPG177" s="80"/>
      <c r="HPH177" s="80"/>
      <c r="HPI177" s="80"/>
      <c r="HPJ177" s="80"/>
      <c r="HPK177" s="80"/>
      <c r="HPL177" s="80"/>
      <c r="HPM177" s="80"/>
      <c r="HPN177" s="80"/>
      <c r="HPO177" s="80"/>
      <c r="HPP177" s="80"/>
      <c r="HPQ177" s="80"/>
      <c r="HPR177" s="80"/>
      <c r="HPS177" s="80"/>
      <c r="HPT177" s="80"/>
      <c r="HPU177" s="80"/>
      <c r="HPV177" s="80"/>
      <c r="HPW177" s="80"/>
      <c r="HPX177" s="80"/>
      <c r="HPY177" s="80"/>
      <c r="HPZ177" s="80"/>
      <c r="HQA177" s="80"/>
      <c r="HQB177" s="80"/>
      <c r="HQC177" s="80"/>
      <c r="HQD177" s="80"/>
      <c r="HQE177" s="80"/>
      <c r="HQF177" s="80"/>
      <c r="HQG177" s="80"/>
      <c r="HQH177" s="80"/>
      <c r="HQI177" s="80"/>
      <c r="HQJ177" s="80"/>
      <c r="HQK177" s="80"/>
      <c r="HQL177" s="80"/>
      <c r="HQM177" s="80"/>
      <c r="HQN177" s="80"/>
      <c r="HQO177" s="80"/>
      <c r="HQP177" s="80"/>
      <c r="HQQ177" s="80"/>
      <c r="HQR177" s="80"/>
      <c r="HQS177" s="80"/>
      <c r="HQT177" s="80"/>
      <c r="HQU177" s="80"/>
      <c r="HQV177" s="80"/>
      <c r="HQW177" s="80"/>
      <c r="HQX177" s="80"/>
      <c r="HQY177" s="80"/>
      <c r="HQZ177" s="80"/>
      <c r="HRA177" s="80"/>
      <c r="HRB177" s="80"/>
      <c r="HRC177" s="80"/>
      <c r="HRD177" s="80"/>
      <c r="HRE177" s="80"/>
      <c r="HRF177" s="80"/>
      <c r="HRG177" s="80"/>
      <c r="HRH177" s="80"/>
      <c r="HRI177" s="80"/>
      <c r="HRJ177" s="80"/>
      <c r="HRK177" s="80"/>
      <c r="HRL177" s="80"/>
      <c r="HRM177" s="80"/>
      <c r="HRN177" s="80"/>
      <c r="HRO177" s="80"/>
      <c r="HRP177" s="80"/>
      <c r="HRQ177" s="80"/>
      <c r="HRR177" s="80"/>
      <c r="HRS177" s="80"/>
      <c r="HRT177" s="80"/>
      <c r="HRU177" s="80"/>
      <c r="HRV177" s="80"/>
      <c r="HRW177" s="80"/>
      <c r="HRX177" s="80"/>
      <c r="HRY177" s="80"/>
      <c r="HRZ177" s="80"/>
      <c r="HSA177" s="80"/>
      <c r="HSB177" s="80"/>
      <c r="HSC177" s="80"/>
      <c r="HSD177" s="80"/>
      <c r="HSE177" s="80"/>
      <c r="HSF177" s="80"/>
      <c r="HSG177" s="80"/>
      <c r="HSH177" s="80"/>
      <c r="HSI177" s="80"/>
      <c r="HSJ177" s="80"/>
      <c r="HSK177" s="80"/>
      <c r="HSL177" s="80"/>
      <c r="HSM177" s="80"/>
      <c r="HSN177" s="80"/>
      <c r="HSO177" s="80"/>
      <c r="HSP177" s="80"/>
      <c r="HSQ177" s="80"/>
      <c r="HSR177" s="80"/>
      <c r="HSS177" s="80"/>
      <c r="HST177" s="80"/>
      <c r="HSU177" s="80"/>
      <c r="HSV177" s="80"/>
      <c r="HSW177" s="80"/>
      <c r="HSX177" s="80"/>
      <c r="HSY177" s="80"/>
      <c r="HSZ177" s="80"/>
      <c r="HTA177" s="80"/>
      <c r="HTB177" s="80"/>
      <c r="HTC177" s="80"/>
      <c r="HTD177" s="80"/>
      <c r="HTE177" s="80"/>
      <c r="HTF177" s="80"/>
      <c r="HTG177" s="80"/>
      <c r="HTH177" s="80"/>
      <c r="HTI177" s="80"/>
      <c r="HTJ177" s="80"/>
      <c r="HTK177" s="80"/>
      <c r="HTL177" s="80"/>
      <c r="HTM177" s="80"/>
      <c r="HTN177" s="80"/>
      <c r="HTO177" s="80"/>
      <c r="HTP177" s="80"/>
      <c r="HTQ177" s="80"/>
      <c r="HTR177" s="80"/>
      <c r="HTS177" s="80"/>
      <c r="HTT177" s="80"/>
      <c r="HTU177" s="80"/>
      <c r="HTV177" s="80"/>
      <c r="HTW177" s="80"/>
      <c r="HTX177" s="80"/>
      <c r="HTY177" s="80"/>
      <c r="HTZ177" s="80"/>
      <c r="HUA177" s="80"/>
      <c r="HUB177" s="80"/>
      <c r="HUC177" s="80"/>
      <c r="HUD177" s="80"/>
      <c r="HUE177" s="80"/>
      <c r="HUF177" s="80"/>
      <c r="HUG177" s="80"/>
      <c r="HUH177" s="80"/>
      <c r="HUI177" s="80"/>
      <c r="HUJ177" s="80"/>
      <c r="HUK177" s="80"/>
      <c r="HUL177" s="80"/>
      <c r="HUM177" s="80"/>
      <c r="HUN177" s="80"/>
      <c r="HUO177" s="80"/>
      <c r="HUP177" s="80"/>
      <c r="HUQ177" s="80"/>
      <c r="HUR177" s="80"/>
      <c r="HUS177" s="80"/>
      <c r="HUT177" s="80"/>
      <c r="HUU177" s="80"/>
      <c r="HUV177" s="80"/>
      <c r="HUW177" s="80"/>
      <c r="HUX177" s="80"/>
      <c r="HUY177" s="80"/>
      <c r="HUZ177" s="80"/>
      <c r="HVA177" s="80"/>
      <c r="HVB177" s="80"/>
      <c r="HVC177" s="80"/>
      <c r="HVD177" s="80"/>
      <c r="HVE177" s="80"/>
      <c r="HVF177" s="80"/>
      <c r="HVG177" s="80"/>
      <c r="HVH177" s="80"/>
      <c r="HVI177" s="80"/>
      <c r="HVJ177" s="80"/>
      <c r="HVK177" s="80"/>
      <c r="HVL177" s="80"/>
      <c r="HVM177" s="80"/>
      <c r="HVN177" s="80"/>
      <c r="HVO177" s="80"/>
      <c r="HVP177" s="80"/>
      <c r="HVQ177" s="80"/>
      <c r="HVR177" s="80"/>
      <c r="HVS177" s="80"/>
      <c r="HVT177" s="80"/>
      <c r="HVU177" s="80"/>
      <c r="HVV177" s="80"/>
      <c r="HVW177" s="80"/>
      <c r="HVX177" s="80"/>
      <c r="HVY177" s="80"/>
      <c r="HVZ177" s="80"/>
      <c r="HWA177" s="80"/>
      <c r="HWB177" s="80"/>
      <c r="HWC177" s="80"/>
      <c r="HWD177" s="80"/>
      <c r="HWE177" s="80"/>
      <c r="HWF177" s="80"/>
      <c r="HWG177" s="80"/>
      <c r="HWH177" s="80"/>
      <c r="HWI177" s="80"/>
      <c r="HWJ177" s="80"/>
      <c r="HWK177" s="80"/>
      <c r="HWL177" s="80"/>
      <c r="HWM177" s="80"/>
      <c r="HWN177" s="80"/>
      <c r="HWO177" s="80"/>
      <c r="HWP177" s="80"/>
      <c r="HWQ177" s="80"/>
      <c r="HWR177" s="80"/>
      <c r="HWS177" s="80"/>
      <c r="HWT177" s="80"/>
      <c r="HWU177" s="80"/>
      <c r="HWV177" s="80"/>
      <c r="HWW177" s="80"/>
      <c r="HWX177" s="80"/>
      <c r="HWY177" s="80"/>
      <c r="HWZ177" s="80"/>
      <c r="HXA177" s="80"/>
      <c r="HXB177" s="80"/>
      <c r="HXC177" s="80"/>
      <c r="HXD177" s="80"/>
      <c r="HXE177" s="80"/>
      <c r="HXF177" s="80"/>
      <c r="HXG177" s="80"/>
      <c r="HXH177" s="80"/>
      <c r="HXI177" s="80"/>
      <c r="HXJ177" s="80"/>
      <c r="HXK177" s="80"/>
      <c r="HXL177" s="80"/>
      <c r="HXM177" s="80"/>
      <c r="HXN177" s="80"/>
      <c r="HXO177" s="80"/>
      <c r="HXP177" s="80"/>
      <c r="HXQ177" s="80"/>
      <c r="HXR177" s="80"/>
      <c r="HXS177" s="80"/>
      <c r="HXT177" s="80"/>
      <c r="HXU177" s="80"/>
      <c r="HXV177" s="80"/>
      <c r="HXW177" s="80"/>
      <c r="HXX177" s="80"/>
      <c r="HXY177" s="80"/>
      <c r="HXZ177" s="80"/>
      <c r="HYA177" s="80"/>
      <c r="HYB177" s="80"/>
      <c r="HYC177" s="80"/>
      <c r="HYD177" s="80"/>
      <c r="HYE177" s="80"/>
      <c r="HYF177" s="80"/>
      <c r="HYG177" s="80"/>
      <c r="HYH177" s="80"/>
      <c r="HYI177" s="80"/>
      <c r="HYJ177" s="80"/>
      <c r="HYK177" s="80"/>
      <c r="HYL177" s="80"/>
      <c r="HYM177" s="80"/>
      <c r="HYN177" s="80"/>
      <c r="HYO177" s="80"/>
      <c r="HYP177" s="80"/>
      <c r="HYQ177" s="80"/>
      <c r="HYR177" s="80"/>
      <c r="HYS177" s="80"/>
      <c r="HYT177" s="80"/>
      <c r="HYU177" s="80"/>
      <c r="HYV177" s="80"/>
      <c r="HYW177" s="80"/>
      <c r="HYX177" s="80"/>
      <c r="HYY177" s="80"/>
      <c r="HYZ177" s="80"/>
      <c r="HZA177" s="80"/>
      <c r="HZB177" s="80"/>
      <c r="HZC177" s="80"/>
      <c r="HZD177" s="80"/>
      <c r="HZE177" s="80"/>
      <c r="HZF177" s="80"/>
      <c r="HZG177" s="80"/>
      <c r="HZH177" s="80"/>
      <c r="HZI177" s="80"/>
      <c r="HZJ177" s="80"/>
      <c r="HZK177" s="80"/>
      <c r="HZL177" s="80"/>
      <c r="HZM177" s="80"/>
      <c r="HZN177" s="80"/>
      <c r="HZO177" s="80"/>
      <c r="HZP177" s="80"/>
      <c r="HZQ177" s="80"/>
      <c r="HZR177" s="80"/>
      <c r="HZS177" s="80"/>
      <c r="HZT177" s="80"/>
      <c r="HZU177" s="80"/>
      <c r="HZV177" s="80"/>
      <c r="HZW177" s="80"/>
      <c r="HZX177" s="80"/>
      <c r="HZY177" s="80"/>
      <c r="HZZ177" s="80"/>
      <c r="IAA177" s="80"/>
      <c r="IAB177" s="80"/>
      <c r="IAC177" s="80"/>
      <c r="IAD177" s="80"/>
      <c r="IAE177" s="80"/>
      <c r="IAF177" s="80"/>
      <c r="IAG177" s="80"/>
      <c r="IAH177" s="80"/>
      <c r="IAI177" s="80"/>
      <c r="IAJ177" s="80"/>
      <c r="IAK177" s="80"/>
      <c r="IAL177" s="80"/>
      <c r="IAM177" s="80"/>
      <c r="IAN177" s="80"/>
      <c r="IAO177" s="80"/>
      <c r="IAP177" s="80"/>
      <c r="IAQ177" s="80"/>
      <c r="IAR177" s="80"/>
      <c r="IAS177" s="80"/>
      <c r="IAT177" s="80"/>
      <c r="IAU177" s="80"/>
      <c r="IAV177" s="80"/>
      <c r="IAW177" s="80"/>
      <c r="IAX177" s="80"/>
      <c r="IAY177" s="80"/>
      <c r="IAZ177" s="80"/>
      <c r="IBA177" s="80"/>
      <c r="IBB177" s="80"/>
      <c r="IBC177" s="80"/>
      <c r="IBD177" s="80"/>
      <c r="IBE177" s="80"/>
      <c r="IBF177" s="80"/>
      <c r="IBG177" s="80"/>
      <c r="IBH177" s="80"/>
      <c r="IBI177" s="80"/>
      <c r="IBJ177" s="80"/>
      <c r="IBK177" s="80"/>
      <c r="IBL177" s="80"/>
      <c r="IBM177" s="80"/>
      <c r="IBN177" s="80"/>
      <c r="IBO177" s="80"/>
      <c r="IBP177" s="80"/>
      <c r="IBQ177" s="80"/>
      <c r="IBR177" s="80"/>
      <c r="IBS177" s="80"/>
      <c r="IBT177" s="80"/>
      <c r="IBU177" s="80"/>
      <c r="IBV177" s="80"/>
      <c r="IBW177" s="80"/>
      <c r="IBX177" s="80"/>
      <c r="IBY177" s="80"/>
      <c r="IBZ177" s="80"/>
      <c r="ICA177" s="80"/>
      <c r="ICB177" s="80"/>
      <c r="ICC177" s="80"/>
      <c r="ICD177" s="80"/>
      <c r="ICE177" s="80"/>
      <c r="ICF177" s="80"/>
      <c r="ICG177" s="80"/>
      <c r="ICH177" s="80"/>
      <c r="ICI177" s="80"/>
      <c r="ICJ177" s="80"/>
      <c r="ICK177" s="80"/>
      <c r="ICL177" s="80"/>
      <c r="ICM177" s="80"/>
      <c r="ICN177" s="80"/>
      <c r="ICO177" s="80"/>
      <c r="ICP177" s="80"/>
      <c r="ICQ177" s="80"/>
      <c r="ICR177" s="80"/>
      <c r="ICS177" s="80"/>
      <c r="ICT177" s="80"/>
      <c r="ICU177" s="80"/>
      <c r="ICV177" s="80"/>
      <c r="ICW177" s="80"/>
      <c r="ICX177" s="80"/>
      <c r="ICY177" s="80"/>
      <c r="ICZ177" s="80"/>
      <c r="IDA177" s="80"/>
      <c r="IDB177" s="80"/>
      <c r="IDC177" s="80"/>
      <c r="IDD177" s="80"/>
      <c r="IDE177" s="80"/>
      <c r="IDF177" s="80"/>
      <c r="IDG177" s="80"/>
      <c r="IDH177" s="80"/>
      <c r="IDI177" s="80"/>
      <c r="IDJ177" s="80"/>
      <c r="IDK177" s="80"/>
      <c r="IDL177" s="80"/>
      <c r="IDM177" s="80"/>
      <c r="IDN177" s="80"/>
      <c r="IDO177" s="80"/>
      <c r="IDP177" s="80"/>
      <c r="IDQ177" s="80"/>
      <c r="IDR177" s="80"/>
      <c r="IDS177" s="80"/>
      <c r="IDT177" s="80"/>
      <c r="IDU177" s="80"/>
      <c r="IDV177" s="80"/>
      <c r="IDW177" s="80"/>
      <c r="IDX177" s="80"/>
      <c r="IDY177" s="80"/>
      <c r="IDZ177" s="80"/>
      <c r="IEA177" s="80"/>
      <c r="IEB177" s="80"/>
      <c r="IEC177" s="80"/>
      <c r="IED177" s="80"/>
      <c r="IEE177" s="80"/>
      <c r="IEF177" s="80"/>
      <c r="IEG177" s="80"/>
      <c r="IEH177" s="80"/>
      <c r="IEI177" s="80"/>
      <c r="IEJ177" s="80"/>
      <c r="IEK177" s="80"/>
      <c r="IEL177" s="80"/>
      <c r="IEM177" s="80"/>
      <c r="IEN177" s="80"/>
      <c r="IEO177" s="80"/>
      <c r="IEP177" s="80"/>
      <c r="IEQ177" s="80"/>
      <c r="IER177" s="80"/>
      <c r="IES177" s="80"/>
      <c r="IET177" s="80"/>
      <c r="IEU177" s="80"/>
      <c r="IEV177" s="80"/>
      <c r="IEW177" s="80"/>
      <c r="IEX177" s="80"/>
      <c r="IEY177" s="80"/>
      <c r="IEZ177" s="80"/>
      <c r="IFA177" s="80"/>
      <c r="IFB177" s="80"/>
      <c r="IFC177" s="80"/>
      <c r="IFD177" s="80"/>
      <c r="IFE177" s="80"/>
      <c r="IFF177" s="80"/>
      <c r="IFG177" s="80"/>
      <c r="IFH177" s="80"/>
      <c r="IFI177" s="80"/>
      <c r="IFJ177" s="80"/>
      <c r="IFK177" s="80"/>
      <c r="IFL177" s="80"/>
      <c r="IFM177" s="80"/>
      <c r="IFN177" s="80"/>
      <c r="IFO177" s="80"/>
      <c r="IFP177" s="80"/>
      <c r="IFQ177" s="80"/>
      <c r="IFR177" s="80"/>
      <c r="IFS177" s="80"/>
      <c r="IFT177" s="80"/>
      <c r="IFU177" s="80"/>
      <c r="IFV177" s="80"/>
      <c r="IFW177" s="80"/>
      <c r="IFX177" s="80"/>
      <c r="IFY177" s="80"/>
      <c r="IFZ177" s="80"/>
      <c r="IGA177" s="80"/>
      <c r="IGB177" s="80"/>
      <c r="IGC177" s="80"/>
      <c r="IGD177" s="80"/>
      <c r="IGE177" s="80"/>
      <c r="IGF177" s="80"/>
      <c r="IGG177" s="80"/>
      <c r="IGH177" s="80"/>
      <c r="IGI177" s="80"/>
      <c r="IGJ177" s="80"/>
      <c r="IGK177" s="80"/>
      <c r="IGL177" s="80"/>
      <c r="IGM177" s="80"/>
      <c r="IGN177" s="80"/>
      <c r="IGO177" s="80"/>
      <c r="IGP177" s="80"/>
      <c r="IGQ177" s="80"/>
      <c r="IGR177" s="80"/>
      <c r="IGS177" s="80"/>
      <c r="IGT177" s="80"/>
      <c r="IGU177" s="80"/>
      <c r="IGV177" s="80"/>
      <c r="IGW177" s="80"/>
      <c r="IGX177" s="80"/>
      <c r="IGY177" s="80"/>
      <c r="IGZ177" s="80"/>
      <c r="IHA177" s="80"/>
      <c r="IHB177" s="80"/>
      <c r="IHC177" s="80"/>
      <c r="IHD177" s="80"/>
      <c r="IHE177" s="80"/>
      <c r="IHF177" s="80"/>
      <c r="IHG177" s="80"/>
      <c r="IHH177" s="80"/>
      <c r="IHI177" s="80"/>
      <c r="IHJ177" s="80"/>
      <c r="IHK177" s="80"/>
      <c r="IHL177" s="80"/>
      <c r="IHM177" s="80"/>
      <c r="IHN177" s="80"/>
      <c r="IHO177" s="80"/>
      <c r="IHP177" s="80"/>
      <c r="IHQ177" s="80"/>
      <c r="IHR177" s="80"/>
      <c r="IHS177" s="80"/>
      <c r="IHT177" s="80"/>
      <c r="IHU177" s="80"/>
      <c r="IHV177" s="80"/>
      <c r="IHW177" s="80"/>
      <c r="IHX177" s="80"/>
      <c r="IHY177" s="80"/>
      <c r="IHZ177" s="80"/>
      <c r="IIA177" s="80"/>
      <c r="IIB177" s="80"/>
      <c r="IIC177" s="80"/>
      <c r="IID177" s="80"/>
      <c r="IIE177" s="80"/>
      <c r="IIF177" s="80"/>
      <c r="IIG177" s="80"/>
      <c r="IIH177" s="80"/>
      <c r="III177" s="80"/>
      <c r="IIJ177" s="80"/>
      <c r="IIK177" s="80"/>
      <c r="IIL177" s="80"/>
      <c r="IIM177" s="80"/>
      <c r="IIN177" s="80"/>
      <c r="IIO177" s="80"/>
      <c r="IIP177" s="80"/>
      <c r="IIQ177" s="80"/>
      <c r="IIR177" s="80"/>
      <c r="IIS177" s="80"/>
      <c r="IIT177" s="80"/>
      <c r="IIU177" s="80"/>
      <c r="IIV177" s="80"/>
      <c r="IIW177" s="80"/>
      <c r="IIX177" s="80"/>
      <c r="IIY177" s="80"/>
      <c r="IIZ177" s="80"/>
      <c r="IJA177" s="80"/>
      <c r="IJB177" s="80"/>
      <c r="IJC177" s="80"/>
      <c r="IJD177" s="80"/>
      <c r="IJE177" s="80"/>
      <c r="IJF177" s="80"/>
      <c r="IJG177" s="80"/>
      <c r="IJH177" s="80"/>
      <c r="IJI177" s="80"/>
      <c r="IJJ177" s="80"/>
      <c r="IJK177" s="80"/>
      <c r="IJL177" s="80"/>
      <c r="IJM177" s="80"/>
      <c r="IJN177" s="80"/>
      <c r="IJO177" s="80"/>
      <c r="IJP177" s="80"/>
      <c r="IJQ177" s="80"/>
      <c r="IJR177" s="80"/>
      <c r="IJS177" s="80"/>
      <c r="IJT177" s="80"/>
      <c r="IJU177" s="80"/>
      <c r="IJV177" s="80"/>
      <c r="IJW177" s="80"/>
      <c r="IJX177" s="80"/>
      <c r="IJY177" s="80"/>
      <c r="IJZ177" s="80"/>
      <c r="IKA177" s="80"/>
      <c r="IKB177" s="80"/>
      <c r="IKC177" s="80"/>
      <c r="IKD177" s="80"/>
      <c r="IKE177" s="80"/>
      <c r="IKF177" s="80"/>
      <c r="IKG177" s="80"/>
      <c r="IKH177" s="80"/>
      <c r="IKI177" s="80"/>
      <c r="IKJ177" s="80"/>
      <c r="IKK177" s="80"/>
      <c r="IKL177" s="80"/>
      <c r="IKM177" s="80"/>
      <c r="IKN177" s="80"/>
      <c r="IKO177" s="80"/>
      <c r="IKP177" s="80"/>
      <c r="IKQ177" s="80"/>
      <c r="IKR177" s="80"/>
      <c r="IKS177" s="80"/>
      <c r="IKT177" s="80"/>
      <c r="IKU177" s="80"/>
      <c r="IKV177" s="80"/>
      <c r="IKW177" s="80"/>
      <c r="IKX177" s="80"/>
      <c r="IKY177" s="80"/>
      <c r="IKZ177" s="80"/>
      <c r="ILA177" s="80"/>
      <c r="ILB177" s="80"/>
      <c r="ILC177" s="80"/>
      <c r="ILD177" s="80"/>
      <c r="ILE177" s="80"/>
      <c r="ILF177" s="80"/>
      <c r="ILG177" s="80"/>
      <c r="ILH177" s="80"/>
      <c r="ILI177" s="80"/>
      <c r="ILJ177" s="80"/>
      <c r="ILK177" s="80"/>
      <c r="ILL177" s="80"/>
      <c r="ILM177" s="80"/>
      <c r="ILN177" s="80"/>
      <c r="ILO177" s="80"/>
      <c r="ILP177" s="80"/>
      <c r="ILQ177" s="80"/>
      <c r="ILR177" s="80"/>
      <c r="ILS177" s="80"/>
      <c r="ILT177" s="80"/>
      <c r="ILU177" s="80"/>
      <c r="ILV177" s="80"/>
      <c r="ILW177" s="80"/>
      <c r="ILX177" s="80"/>
      <c r="ILY177" s="80"/>
      <c r="ILZ177" s="80"/>
      <c r="IMA177" s="80"/>
      <c r="IMB177" s="80"/>
      <c r="IMC177" s="80"/>
      <c r="IMD177" s="80"/>
      <c r="IME177" s="80"/>
      <c r="IMF177" s="80"/>
      <c r="IMG177" s="80"/>
      <c r="IMH177" s="80"/>
      <c r="IMI177" s="80"/>
      <c r="IMJ177" s="80"/>
      <c r="IMK177" s="80"/>
      <c r="IML177" s="80"/>
      <c r="IMM177" s="80"/>
      <c r="IMN177" s="80"/>
      <c r="IMO177" s="80"/>
      <c r="IMP177" s="80"/>
      <c r="IMQ177" s="80"/>
      <c r="IMR177" s="80"/>
      <c r="IMS177" s="80"/>
      <c r="IMT177" s="80"/>
      <c r="IMU177" s="80"/>
      <c r="IMV177" s="80"/>
      <c r="IMW177" s="80"/>
      <c r="IMX177" s="80"/>
      <c r="IMY177" s="80"/>
      <c r="IMZ177" s="80"/>
      <c r="INA177" s="80"/>
      <c r="INB177" s="80"/>
      <c r="INC177" s="80"/>
      <c r="IND177" s="80"/>
      <c r="INE177" s="80"/>
      <c r="INF177" s="80"/>
      <c r="ING177" s="80"/>
      <c r="INH177" s="80"/>
      <c r="INI177" s="80"/>
      <c r="INJ177" s="80"/>
      <c r="INK177" s="80"/>
      <c r="INL177" s="80"/>
      <c r="INM177" s="80"/>
      <c r="INN177" s="80"/>
      <c r="INO177" s="80"/>
      <c r="INP177" s="80"/>
      <c r="INQ177" s="80"/>
      <c r="INR177" s="80"/>
      <c r="INS177" s="80"/>
      <c r="INT177" s="80"/>
      <c r="INU177" s="80"/>
      <c r="INV177" s="80"/>
      <c r="INW177" s="80"/>
      <c r="INX177" s="80"/>
      <c r="INY177" s="80"/>
      <c r="INZ177" s="80"/>
      <c r="IOA177" s="80"/>
      <c r="IOB177" s="80"/>
      <c r="IOC177" s="80"/>
      <c r="IOD177" s="80"/>
      <c r="IOE177" s="80"/>
      <c r="IOF177" s="80"/>
      <c r="IOG177" s="80"/>
      <c r="IOH177" s="80"/>
      <c r="IOI177" s="80"/>
      <c r="IOJ177" s="80"/>
      <c r="IOK177" s="80"/>
      <c r="IOL177" s="80"/>
      <c r="IOM177" s="80"/>
      <c r="ION177" s="80"/>
      <c r="IOO177" s="80"/>
      <c r="IOP177" s="80"/>
      <c r="IOQ177" s="80"/>
      <c r="IOR177" s="80"/>
      <c r="IOS177" s="80"/>
      <c r="IOT177" s="80"/>
      <c r="IOU177" s="80"/>
      <c r="IOV177" s="80"/>
      <c r="IOW177" s="80"/>
      <c r="IOX177" s="80"/>
      <c r="IOY177" s="80"/>
      <c r="IOZ177" s="80"/>
      <c r="IPA177" s="80"/>
      <c r="IPB177" s="80"/>
      <c r="IPC177" s="80"/>
      <c r="IPD177" s="80"/>
      <c r="IPE177" s="80"/>
      <c r="IPF177" s="80"/>
      <c r="IPG177" s="80"/>
      <c r="IPH177" s="80"/>
      <c r="IPI177" s="80"/>
      <c r="IPJ177" s="80"/>
      <c r="IPK177" s="80"/>
      <c r="IPL177" s="80"/>
      <c r="IPM177" s="80"/>
      <c r="IPN177" s="80"/>
      <c r="IPO177" s="80"/>
      <c r="IPP177" s="80"/>
      <c r="IPQ177" s="80"/>
      <c r="IPR177" s="80"/>
      <c r="IPS177" s="80"/>
      <c r="IPT177" s="80"/>
      <c r="IPU177" s="80"/>
      <c r="IPV177" s="80"/>
      <c r="IPW177" s="80"/>
      <c r="IPX177" s="80"/>
      <c r="IPY177" s="80"/>
      <c r="IPZ177" s="80"/>
      <c r="IQA177" s="80"/>
      <c r="IQB177" s="80"/>
      <c r="IQC177" s="80"/>
      <c r="IQD177" s="80"/>
      <c r="IQE177" s="80"/>
      <c r="IQF177" s="80"/>
      <c r="IQG177" s="80"/>
      <c r="IQH177" s="80"/>
      <c r="IQI177" s="80"/>
      <c r="IQJ177" s="80"/>
      <c r="IQK177" s="80"/>
      <c r="IQL177" s="80"/>
      <c r="IQM177" s="80"/>
      <c r="IQN177" s="80"/>
      <c r="IQO177" s="80"/>
      <c r="IQP177" s="80"/>
      <c r="IQQ177" s="80"/>
      <c r="IQR177" s="80"/>
      <c r="IQS177" s="80"/>
      <c r="IQT177" s="80"/>
      <c r="IQU177" s="80"/>
      <c r="IQV177" s="80"/>
      <c r="IQW177" s="80"/>
      <c r="IQX177" s="80"/>
      <c r="IQY177" s="80"/>
      <c r="IQZ177" s="80"/>
      <c r="IRA177" s="80"/>
      <c r="IRB177" s="80"/>
      <c r="IRC177" s="80"/>
      <c r="IRD177" s="80"/>
      <c r="IRE177" s="80"/>
      <c r="IRF177" s="80"/>
      <c r="IRG177" s="80"/>
      <c r="IRH177" s="80"/>
      <c r="IRI177" s="80"/>
      <c r="IRJ177" s="80"/>
      <c r="IRK177" s="80"/>
      <c r="IRL177" s="80"/>
      <c r="IRM177" s="80"/>
      <c r="IRN177" s="80"/>
      <c r="IRO177" s="80"/>
      <c r="IRP177" s="80"/>
      <c r="IRQ177" s="80"/>
      <c r="IRR177" s="80"/>
      <c r="IRS177" s="80"/>
      <c r="IRT177" s="80"/>
      <c r="IRU177" s="80"/>
      <c r="IRV177" s="80"/>
      <c r="IRW177" s="80"/>
      <c r="IRX177" s="80"/>
      <c r="IRY177" s="80"/>
      <c r="IRZ177" s="80"/>
      <c r="ISA177" s="80"/>
      <c r="ISB177" s="80"/>
      <c r="ISC177" s="80"/>
      <c r="ISD177" s="80"/>
      <c r="ISE177" s="80"/>
      <c r="ISF177" s="80"/>
      <c r="ISG177" s="80"/>
      <c r="ISH177" s="80"/>
      <c r="ISI177" s="80"/>
      <c r="ISJ177" s="80"/>
      <c r="ISK177" s="80"/>
      <c r="ISL177" s="80"/>
      <c r="ISM177" s="80"/>
      <c r="ISN177" s="80"/>
      <c r="ISO177" s="80"/>
      <c r="ISP177" s="80"/>
      <c r="ISQ177" s="80"/>
      <c r="ISR177" s="80"/>
      <c r="ISS177" s="80"/>
      <c r="IST177" s="80"/>
      <c r="ISU177" s="80"/>
      <c r="ISV177" s="80"/>
      <c r="ISW177" s="80"/>
      <c r="ISX177" s="80"/>
      <c r="ISY177" s="80"/>
      <c r="ISZ177" s="80"/>
      <c r="ITA177" s="80"/>
      <c r="ITB177" s="80"/>
      <c r="ITC177" s="80"/>
      <c r="ITD177" s="80"/>
      <c r="ITE177" s="80"/>
      <c r="ITF177" s="80"/>
      <c r="ITG177" s="80"/>
      <c r="ITH177" s="80"/>
      <c r="ITI177" s="80"/>
      <c r="ITJ177" s="80"/>
      <c r="ITK177" s="80"/>
      <c r="ITL177" s="80"/>
      <c r="ITM177" s="80"/>
      <c r="ITN177" s="80"/>
      <c r="ITO177" s="80"/>
      <c r="ITP177" s="80"/>
      <c r="ITQ177" s="80"/>
      <c r="ITR177" s="80"/>
      <c r="ITS177" s="80"/>
      <c r="ITT177" s="80"/>
      <c r="ITU177" s="80"/>
      <c r="ITV177" s="80"/>
      <c r="ITW177" s="80"/>
      <c r="ITX177" s="80"/>
      <c r="ITY177" s="80"/>
      <c r="ITZ177" s="80"/>
      <c r="IUA177" s="80"/>
      <c r="IUB177" s="80"/>
      <c r="IUC177" s="80"/>
      <c r="IUD177" s="80"/>
      <c r="IUE177" s="80"/>
      <c r="IUF177" s="80"/>
      <c r="IUG177" s="80"/>
      <c r="IUH177" s="80"/>
      <c r="IUI177" s="80"/>
      <c r="IUJ177" s="80"/>
      <c r="IUK177" s="80"/>
      <c r="IUL177" s="80"/>
      <c r="IUM177" s="80"/>
      <c r="IUN177" s="80"/>
      <c r="IUO177" s="80"/>
      <c r="IUP177" s="80"/>
      <c r="IUQ177" s="80"/>
      <c r="IUR177" s="80"/>
      <c r="IUS177" s="80"/>
      <c r="IUT177" s="80"/>
      <c r="IUU177" s="80"/>
      <c r="IUV177" s="80"/>
      <c r="IUW177" s="80"/>
      <c r="IUX177" s="80"/>
      <c r="IUY177" s="80"/>
      <c r="IUZ177" s="80"/>
      <c r="IVA177" s="80"/>
      <c r="IVB177" s="80"/>
      <c r="IVC177" s="80"/>
      <c r="IVD177" s="80"/>
      <c r="IVE177" s="80"/>
      <c r="IVF177" s="80"/>
      <c r="IVG177" s="80"/>
      <c r="IVH177" s="80"/>
      <c r="IVI177" s="80"/>
      <c r="IVJ177" s="80"/>
      <c r="IVK177" s="80"/>
      <c r="IVL177" s="80"/>
      <c r="IVM177" s="80"/>
      <c r="IVN177" s="80"/>
      <c r="IVO177" s="80"/>
      <c r="IVP177" s="80"/>
      <c r="IVQ177" s="80"/>
      <c r="IVR177" s="80"/>
      <c r="IVS177" s="80"/>
      <c r="IVT177" s="80"/>
      <c r="IVU177" s="80"/>
      <c r="IVV177" s="80"/>
      <c r="IVW177" s="80"/>
      <c r="IVX177" s="80"/>
      <c r="IVY177" s="80"/>
      <c r="IVZ177" s="80"/>
      <c r="IWA177" s="80"/>
      <c r="IWB177" s="80"/>
      <c r="IWC177" s="80"/>
      <c r="IWD177" s="80"/>
      <c r="IWE177" s="80"/>
      <c r="IWF177" s="80"/>
      <c r="IWG177" s="80"/>
      <c r="IWH177" s="80"/>
      <c r="IWI177" s="80"/>
      <c r="IWJ177" s="80"/>
      <c r="IWK177" s="80"/>
      <c r="IWL177" s="80"/>
      <c r="IWM177" s="80"/>
      <c r="IWN177" s="80"/>
      <c r="IWO177" s="80"/>
      <c r="IWP177" s="80"/>
      <c r="IWQ177" s="80"/>
      <c r="IWR177" s="80"/>
      <c r="IWS177" s="80"/>
      <c r="IWT177" s="80"/>
      <c r="IWU177" s="80"/>
      <c r="IWV177" s="80"/>
      <c r="IWW177" s="80"/>
      <c r="IWX177" s="80"/>
      <c r="IWY177" s="80"/>
      <c r="IWZ177" s="80"/>
      <c r="IXA177" s="80"/>
      <c r="IXB177" s="80"/>
      <c r="IXC177" s="80"/>
      <c r="IXD177" s="80"/>
      <c r="IXE177" s="80"/>
      <c r="IXF177" s="80"/>
      <c r="IXG177" s="80"/>
      <c r="IXH177" s="80"/>
      <c r="IXI177" s="80"/>
      <c r="IXJ177" s="80"/>
      <c r="IXK177" s="80"/>
      <c r="IXL177" s="80"/>
      <c r="IXM177" s="80"/>
      <c r="IXN177" s="80"/>
      <c r="IXO177" s="80"/>
      <c r="IXP177" s="80"/>
      <c r="IXQ177" s="80"/>
      <c r="IXR177" s="80"/>
      <c r="IXS177" s="80"/>
      <c r="IXT177" s="80"/>
      <c r="IXU177" s="80"/>
      <c r="IXV177" s="80"/>
      <c r="IXW177" s="80"/>
      <c r="IXX177" s="80"/>
      <c r="IXY177" s="80"/>
      <c r="IXZ177" s="80"/>
      <c r="IYA177" s="80"/>
      <c r="IYB177" s="80"/>
      <c r="IYC177" s="80"/>
      <c r="IYD177" s="80"/>
      <c r="IYE177" s="80"/>
      <c r="IYF177" s="80"/>
      <c r="IYG177" s="80"/>
      <c r="IYH177" s="80"/>
      <c r="IYI177" s="80"/>
      <c r="IYJ177" s="80"/>
      <c r="IYK177" s="80"/>
      <c r="IYL177" s="80"/>
      <c r="IYM177" s="80"/>
      <c r="IYN177" s="80"/>
      <c r="IYO177" s="80"/>
      <c r="IYP177" s="80"/>
      <c r="IYQ177" s="80"/>
      <c r="IYR177" s="80"/>
      <c r="IYS177" s="80"/>
      <c r="IYT177" s="80"/>
      <c r="IYU177" s="80"/>
      <c r="IYV177" s="80"/>
      <c r="IYW177" s="80"/>
      <c r="IYX177" s="80"/>
      <c r="IYY177" s="80"/>
      <c r="IYZ177" s="80"/>
      <c r="IZA177" s="80"/>
      <c r="IZB177" s="80"/>
      <c r="IZC177" s="80"/>
      <c r="IZD177" s="80"/>
      <c r="IZE177" s="80"/>
      <c r="IZF177" s="80"/>
      <c r="IZG177" s="80"/>
      <c r="IZH177" s="80"/>
      <c r="IZI177" s="80"/>
      <c r="IZJ177" s="80"/>
      <c r="IZK177" s="80"/>
      <c r="IZL177" s="80"/>
      <c r="IZM177" s="80"/>
      <c r="IZN177" s="80"/>
      <c r="IZO177" s="80"/>
      <c r="IZP177" s="80"/>
      <c r="IZQ177" s="80"/>
      <c r="IZR177" s="80"/>
      <c r="IZS177" s="80"/>
      <c r="IZT177" s="80"/>
      <c r="IZU177" s="80"/>
      <c r="IZV177" s="80"/>
      <c r="IZW177" s="80"/>
      <c r="IZX177" s="80"/>
      <c r="IZY177" s="80"/>
      <c r="IZZ177" s="80"/>
      <c r="JAA177" s="80"/>
      <c r="JAB177" s="80"/>
      <c r="JAC177" s="80"/>
      <c r="JAD177" s="80"/>
      <c r="JAE177" s="80"/>
      <c r="JAF177" s="80"/>
      <c r="JAG177" s="80"/>
      <c r="JAH177" s="80"/>
      <c r="JAI177" s="80"/>
      <c r="JAJ177" s="80"/>
      <c r="JAK177" s="80"/>
      <c r="JAL177" s="80"/>
      <c r="JAM177" s="80"/>
      <c r="JAN177" s="80"/>
      <c r="JAO177" s="80"/>
      <c r="JAP177" s="80"/>
      <c r="JAQ177" s="80"/>
      <c r="JAR177" s="80"/>
      <c r="JAS177" s="80"/>
      <c r="JAT177" s="80"/>
      <c r="JAU177" s="80"/>
      <c r="JAV177" s="80"/>
      <c r="JAW177" s="80"/>
      <c r="JAX177" s="80"/>
      <c r="JAY177" s="80"/>
      <c r="JAZ177" s="80"/>
      <c r="JBA177" s="80"/>
      <c r="JBB177" s="80"/>
      <c r="JBC177" s="80"/>
      <c r="JBD177" s="80"/>
      <c r="JBE177" s="80"/>
      <c r="JBF177" s="80"/>
      <c r="JBG177" s="80"/>
      <c r="JBH177" s="80"/>
      <c r="JBI177" s="80"/>
      <c r="JBJ177" s="80"/>
      <c r="JBK177" s="80"/>
      <c r="JBL177" s="80"/>
      <c r="JBM177" s="80"/>
      <c r="JBN177" s="80"/>
      <c r="JBO177" s="80"/>
      <c r="JBP177" s="80"/>
      <c r="JBQ177" s="80"/>
      <c r="JBR177" s="80"/>
      <c r="JBS177" s="80"/>
      <c r="JBT177" s="80"/>
      <c r="JBU177" s="80"/>
      <c r="JBV177" s="80"/>
      <c r="JBW177" s="80"/>
      <c r="JBX177" s="80"/>
      <c r="JBY177" s="80"/>
      <c r="JBZ177" s="80"/>
      <c r="JCA177" s="80"/>
      <c r="JCB177" s="80"/>
      <c r="JCC177" s="80"/>
      <c r="JCD177" s="80"/>
      <c r="JCE177" s="80"/>
      <c r="JCF177" s="80"/>
      <c r="JCG177" s="80"/>
      <c r="JCH177" s="80"/>
      <c r="JCI177" s="80"/>
      <c r="JCJ177" s="80"/>
      <c r="JCK177" s="80"/>
      <c r="JCL177" s="80"/>
      <c r="JCM177" s="80"/>
      <c r="JCN177" s="80"/>
      <c r="JCO177" s="80"/>
      <c r="JCP177" s="80"/>
      <c r="JCQ177" s="80"/>
      <c r="JCR177" s="80"/>
      <c r="JCS177" s="80"/>
      <c r="JCT177" s="80"/>
      <c r="JCU177" s="80"/>
      <c r="JCV177" s="80"/>
      <c r="JCW177" s="80"/>
      <c r="JCX177" s="80"/>
      <c r="JCY177" s="80"/>
      <c r="JCZ177" s="80"/>
      <c r="JDA177" s="80"/>
      <c r="JDB177" s="80"/>
      <c r="JDC177" s="80"/>
      <c r="JDD177" s="80"/>
      <c r="JDE177" s="80"/>
      <c r="JDF177" s="80"/>
      <c r="JDG177" s="80"/>
      <c r="JDH177" s="80"/>
      <c r="JDI177" s="80"/>
      <c r="JDJ177" s="80"/>
      <c r="JDK177" s="80"/>
      <c r="JDL177" s="80"/>
      <c r="JDM177" s="80"/>
      <c r="JDN177" s="80"/>
      <c r="JDO177" s="80"/>
      <c r="JDP177" s="80"/>
      <c r="JDQ177" s="80"/>
      <c r="JDR177" s="80"/>
      <c r="JDS177" s="80"/>
      <c r="JDT177" s="80"/>
      <c r="JDU177" s="80"/>
      <c r="JDV177" s="80"/>
      <c r="JDW177" s="80"/>
      <c r="JDX177" s="80"/>
      <c r="JDY177" s="80"/>
      <c r="JDZ177" s="80"/>
      <c r="JEA177" s="80"/>
      <c r="JEB177" s="80"/>
      <c r="JEC177" s="80"/>
      <c r="JED177" s="80"/>
      <c r="JEE177" s="80"/>
      <c r="JEF177" s="80"/>
      <c r="JEG177" s="80"/>
      <c r="JEH177" s="80"/>
      <c r="JEI177" s="80"/>
      <c r="JEJ177" s="80"/>
      <c r="JEK177" s="80"/>
      <c r="JEL177" s="80"/>
      <c r="JEM177" s="80"/>
      <c r="JEN177" s="80"/>
      <c r="JEO177" s="80"/>
      <c r="JEP177" s="80"/>
      <c r="JEQ177" s="80"/>
      <c r="JER177" s="80"/>
      <c r="JES177" s="80"/>
      <c r="JET177" s="80"/>
      <c r="JEU177" s="80"/>
      <c r="JEV177" s="80"/>
      <c r="JEW177" s="80"/>
      <c r="JEX177" s="80"/>
      <c r="JEY177" s="80"/>
      <c r="JEZ177" s="80"/>
      <c r="JFA177" s="80"/>
      <c r="JFB177" s="80"/>
      <c r="JFC177" s="80"/>
      <c r="JFD177" s="80"/>
      <c r="JFE177" s="80"/>
      <c r="JFF177" s="80"/>
      <c r="JFG177" s="80"/>
      <c r="JFH177" s="80"/>
      <c r="JFI177" s="80"/>
      <c r="JFJ177" s="80"/>
      <c r="JFK177" s="80"/>
      <c r="JFL177" s="80"/>
      <c r="JFM177" s="80"/>
      <c r="JFN177" s="80"/>
      <c r="JFO177" s="80"/>
      <c r="JFP177" s="80"/>
      <c r="JFQ177" s="80"/>
      <c r="JFR177" s="80"/>
      <c r="JFS177" s="80"/>
      <c r="JFT177" s="80"/>
      <c r="JFU177" s="80"/>
      <c r="JFV177" s="80"/>
      <c r="JFW177" s="80"/>
      <c r="JFX177" s="80"/>
      <c r="JFY177" s="80"/>
      <c r="JFZ177" s="80"/>
      <c r="JGA177" s="80"/>
      <c r="JGB177" s="80"/>
      <c r="JGC177" s="80"/>
      <c r="JGD177" s="80"/>
      <c r="JGE177" s="80"/>
      <c r="JGF177" s="80"/>
      <c r="JGG177" s="80"/>
      <c r="JGH177" s="80"/>
      <c r="JGI177" s="80"/>
      <c r="JGJ177" s="80"/>
      <c r="JGK177" s="80"/>
      <c r="JGL177" s="80"/>
      <c r="JGM177" s="80"/>
      <c r="JGN177" s="80"/>
      <c r="JGO177" s="80"/>
      <c r="JGP177" s="80"/>
      <c r="JGQ177" s="80"/>
      <c r="JGR177" s="80"/>
      <c r="JGS177" s="80"/>
      <c r="JGT177" s="80"/>
      <c r="JGU177" s="80"/>
      <c r="JGV177" s="80"/>
      <c r="JGW177" s="80"/>
      <c r="JGX177" s="80"/>
      <c r="JGY177" s="80"/>
      <c r="JGZ177" s="80"/>
      <c r="JHA177" s="80"/>
      <c r="JHB177" s="80"/>
      <c r="JHC177" s="80"/>
      <c r="JHD177" s="80"/>
      <c r="JHE177" s="80"/>
      <c r="JHF177" s="80"/>
      <c r="JHG177" s="80"/>
      <c r="JHH177" s="80"/>
      <c r="JHI177" s="80"/>
      <c r="JHJ177" s="80"/>
      <c r="JHK177" s="80"/>
      <c r="JHL177" s="80"/>
      <c r="JHM177" s="80"/>
      <c r="JHN177" s="80"/>
      <c r="JHO177" s="80"/>
      <c r="JHP177" s="80"/>
      <c r="JHQ177" s="80"/>
      <c r="JHR177" s="80"/>
      <c r="JHS177" s="80"/>
      <c r="JHT177" s="80"/>
      <c r="JHU177" s="80"/>
      <c r="JHV177" s="80"/>
      <c r="JHW177" s="80"/>
      <c r="JHX177" s="80"/>
      <c r="JHY177" s="80"/>
      <c r="JHZ177" s="80"/>
      <c r="JIA177" s="80"/>
      <c r="JIB177" s="80"/>
      <c r="JIC177" s="80"/>
      <c r="JID177" s="80"/>
      <c r="JIE177" s="80"/>
      <c r="JIF177" s="80"/>
      <c r="JIG177" s="80"/>
      <c r="JIH177" s="80"/>
      <c r="JII177" s="80"/>
      <c r="JIJ177" s="80"/>
      <c r="JIK177" s="80"/>
      <c r="JIL177" s="80"/>
      <c r="JIM177" s="80"/>
      <c r="JIN177" s="80"/>
      <c r="JIO177" s="80"/>
      <c r="JIP177" s="80"/>
      <c r="JIQ177" s="80"/>
      <c r="JIR177" s="80"/>
      <c r="JIS177" s="80"/>
      <c r="JIT177" s="80"/>
      <c r="JIU177" s="80"/>
      <c r="JIV177" s="80"/>
      <c r="JIW177" s="80"/>
      <c r="JIX177" s="80"/>
      <c r="JIY177" s="80"/>
      <c r="JIZ177" s="80"/>
      <c r="JJA177" s="80"/>
      <c r="JJB177" s="80"/>
      <c r="JJC177" s="80"/>
      <c r="JJD177" s="80"/>
      <c r="JJE177" s="80"/>
      <c r="JJF177" s="80"/>
      <c r="JJG177" s="80"/>
      <c r="JJH177" s="80"/>
      <c r="JJI177" s="80"/>
      <c r="JJJ177" s="80"/>
      <c r="JJK177" s="80"/>
      <c r="JJL177" s="80"/>
      <c r="JJM177" s="80"/>
      <c r="JJN177" s="80"/>
      <c r="JJO177" s="80"/>
      <c r="JJP177" s="80"/>
      <c r="JJQ177" s="80"/>
      <c r="JJR177" s="80"/>
      <c r="JJS177" s="80"/>
      <c r="JJT177" s="80"/>
      <c r="JJU177" s="80"/>
      <c r="JJV177" s="80"/>
      <c r="JJW177" s="80"/>
      <c r="JJX177" s="80"/>
      <c r="JJY177" s="80"/>
      <c r="JJZ177" s="80"/>
      <c r="JKA177" s="80"/>
      <c r="JKB177" s="80"/>
      <c r="JKC177" s="80"/>
      <c r="JKD177" s="80"/>
      <c r="JKE177" s="80"/>
      <c r="JKF177" s="80"/>
      <c r="JKG177" s="80"/>
      <c r="JKH177" s="80"/>
      <c r="JKI177" s="80"/>
      <c r="JKJ177" s="80"/>
      <c r="JKK177" s="80"/>
      <c r="JKL177" s="80"/>
      <c r="JKM177" s="80"/>
      <c r="JKN177" s="80"/>
      <c r="JKO177" s="80"/>
      <c r="JKP177" s="80"/>
      <c r="JKQ177" s="80"/>
      <c r="JKR177" s="80"/>
      <c r="JKS177" s="80"/>
      <c r="JKT177" s="80"/>
      <c r="JKU177" s="80"/>
      <c r="JKV177" s="80"/>
      <c r="JKW177" s="80"/>
      <c r="JKX177" s="80"/>
      <c r="JKY177" s="80"/>
      <c r="JKZ177" s="80"/>
      <c r="JLA177" s="80"/>
      <c r="JLB177" s="80"/>
      <c r="JLC177" s="80"/>
      <c r="JLD177" s="80"/>
      <c r="JLE177" s="80"/>
      <c r="JLF177" s="80"/>
      <c r="JLG177" s="80"/>
      <c r="JLH177" s="80"/>
      <c r="JLI177" s="80"/>
      <c r="JLJ177" s="80"/>
      <c r="JLK177" s="80"/>
      <c r="JLL177" s="80"/>
      <c r="JLM177" s="80"/>
      <c r="JLN177" s="80"/>
      <c r="JLO177" s="80"/>
      <c r="JLP177" s="80"/>
      <c r="JLQ177" s="80"/>
      <c r="JLR177" s="80"/>
      <c r="JLS177" s="80"/>
      <c r="JLT177" s="80"/>
      <c r="JLU177" s="80"/>
      <c r="JLV177" s="80"/>
      <c r="JLW177" s="80"/>
      <c r="JLX177" s="80"/>
      <c r="JLY177" s="80"/>
      <c r="JLZ177" s="80"/>
      <c r="JMA177" s="80"/>
      <c r="JMB177" s="80"/>
      <c r="JMC177" s="80"/>
      <c r="JMD177" s="80"/>
      <c r="JME177" s="80"/>
      <c r="JMF177" s="80"/>
      <c r="JMG177" s="80"/>
      <c r="JMH177" s="80"/>
      <c r="JMI177" s="80"/>
      <c r="JMJ177" s="80"/>
      <c r="JMK177" s="80"/>
      <c r="JML177" s="80"/>
      <c r="JMM177" s="80"/>
      <c r="JMN177" s="80"/>
      <c r="JMO177" s="80"/>
      <c r="JMP177" s="80"/>
      <c r="JMQ177" s="80"/>
      <c r="JMR177" s="80"/>
      <c r="JMS177" s="80"/>
      <c r="JMT177" s="80"/>
      <c r="JMU177" s="80"/>
      <c r="JMV177" s="80"/>
      <c r="JMW177" s="80"/>
      <c r="JMX177" s="80"/>
      <c r="JMY177" s="80"/>
      <c r="JMZ177" s="80"/>
      <c r="JNA177" s="80"/>
      <c r="JNB177" s="80"/>
      <c r="JNC177" s="80"/>
      <c r="JND177" s="80"/>
      <c r="JNE177" s="80"/>
      <c r="JNF177" s="80"/>
      <c r="JNG177" s="80"/>
      <c r="JNH177" s="80"/>
      <c r="JNI177" s="80"/>
      <c r="JNJ177" s="80"/>
      <c r="JNK177" s="80"/>
      <c r="JNL177" s="80"/>
      <c r="JNM177" s="80"/>
      <c r="JNN177" s="80"/>
      <c r="JNO177" s="80"/>
      <c r="JNP177" s="80"/>
      <c r="JNQ177" s="80"/>
      <c r="JNR177" s="80"/>
      <c r="JNS177" s="80"/>
      <c r="JNT177" s="80"/>
      <c r="JNU177" s="80"/>
      <c r="JNV177" s="80"/>
      <c r="JNW177" s="80"/>
      <c r="JNX177" s="80"/>
      <c r="JNY177" s="80"/>
      <c r="JNZ177" s="80"/>
      <c r="JOA177" s="80"/>
      <c r="JOB177" s="80"/>
      <c r="JOC177" s="80"/>
      <c r="JOD177" s="80"/>
      <c r="JOE177" s="80"/>
      <c r="JOF177" s="80"/>
      <c r="JOG177" s="80"/>
      <c r="JOH177" s="80"/>
      <c r="JOI177" s="80"/>
      <c r="JOJ177" s="80"/>
      <c r="JOK177" s="80"/>
      <c r="JOL177" s="80"/>
      <c r="JOM177" s="80"/>
      <c r="JON177" s="80"/>
      <c r="JOO177" s="80"/>
      <c r="JOP177" s="80"/>
      <c r="JOQ177" s="80"/>
      <c r="JOR177" s="80"/>
      <c r="JOS177" s="80"/>
      <c r="JOT177" s="80"/>
      <c r="JOU177" s="80"/>
      <c r="JOV177" s="80"/>
      <c r="JOW177" s="80"/>
      <c r="JOX177" s="80"/>
      <c r="JOY177" s="80"/>
      <c r="JOZ177" s="80"/>
      <c r="JPA177" s="80"/>
      <c r="JPB177" s="80"/>
      <c r="JPC177" s="80"/>
      <c r="JPD177" s="80"/>
      <c r="JPE177" s="80"/>
      <c r="JPF177" s="80"/>
      <c r="JPG177" s="80"/>
      <c r="JPH177" s="80"/>
      <c r="JPI177" s="80"/>
      <c r="JPJ177" s="80"/>
      <c r="JPK177" s="80"/>
      <c r="JPL177" s="80"/>
      <c r="JPM177" s="80"/>
      <c r="JPN177" s="80"/>
      <c r="JPO177" s="80"/>
      <c r="JPP177" s="80"/>
      <c r="JPQ177" s="80"/>
      <c r="JPR177" s="80"/>
      <c r="JPS177" s="80"/>
      <c r="JPT177" s="80"/>
      <c r="JPU177" s="80"/>
      <c r="JPV177" s="80"/>
      <c r="JPW177" s="80"/>
      <c r="JPX177" s="80"/>
      <c r="JPY177" s="80"/>
      <c r="JPZ177" s="80"/>
      <c r="JQA177" s="80"/>
      <c r="JQB177" s="80"/>
      <c r="JQC177" s="80"/>
      <c r="JQD177" s="80"/>
      <c r="JQE177" s="80"/>
      <c r="JQF177" s="80"/>
      <c r="JQG177" s="80"/>
      <c r="JQH177" s="80"/>
      <c r="JQI177" s="80"/>
      <c r="JQJ177" s="80"/>
      <c r="JQK177" s="80"/>
      <c r="JQL177" s="80"/>
      <c r="JQM177" s="80"/>
      <c r="JQN177" s="80"/>
      <c r="JQO177" s="80"/>
      <c r="JQP177" s="80"/>
      <c r="JQQ177" s="80"/>
      <c r="JQR177" s="80"/>
      <c r="JQS177" s="80"/>
      <c r="JQT177" s="80"/>
      <c r="JQU177" s="80"/>
      <c r="JQV177" s="80"/>
      <c r="JQW177" s="80"/>
      <c r="JQX177" s="80"/>
      <c r="JQY177" s="80"/>
      <c r="JQZ177" s="80"/>
      <c r="JRA177" s="80"/>
      <c r="JRB177" s="80"/>
      <c r="JRC177" s="80"/>
      <c r="JRD177" s="80"/>
      <c r="JRE177" s="80"/>
      <c r="JRF177" s="80"/>
      <c r="JRG177" s="80"/>
      <c r="JRH177" s="80"/>
      <c r="JRI177" s="80"/>
      <c r="JRJ177" s="80"/>
      <c r="JRK177" s="80"/>
      <c r="JRL177" s="80"/>
      <c r="JRM177" s="80"/>
      <c r="JRN177" s="80"/>
      <c r="JRO177" s="80"/>
      <c r="JRP177" s="80"/>
      <c r="JRQ177" s="80"/>
      <c r="JRR177" s="80"/>
      <c r="JRS177" s="80"/>
      <c r="JRT177" s="80"/>
      <c r="JRU177" s="80"/>
      <c r="JRV177" s="80"/>
      <c r="JRW177" s="80"/>
      <c r="JRX177" s="80"/>
      <c r="JRY177" s="80"/>
      <c r="JRZ177" s="80"/>
      <c r="JSA177" s="80"/>
      <c r="JSB177" s="80"/>
      <c r="JSC177" s="80"/>
      <c r="JSD177" s="80"/>
      <c r="JSE177" s="80"/>
      <c r="JSF177" s="80"/>
      <c r="JSG177" s="80"/>
      <c r="JSH177" s="80"/>
      <c r="JSI177" s="80"/>
      <c r="JSJ177" s="80"/>
      <c r="JSK177" s="80"/>
      <c r="JSL177" s="80"/>
      <c r="JSM177" s="80"/>
      <c r="JSN177" s="80"/>
      <c r="JSO177" s="80"/>
      <c r="JSP177" s="80"/>
      <c r="JSQ177" s="80"/>
      <c r="JSR177" s="80"/>
      <c r="JSS177" s="80"/>
      <c r="JST177" s="80"/>
      <c r="JSU177" s="80"/>
      <c r="JSV177" s="80"/>
      <c r="JSW177" s="80"/>
      <c r="JSX177" s="80"/>
      <c r="JSY177" s="80"/>
      <c r="JSZ177" s="80"/>
      <c r="JTA177" s="80"/>
      <c r="JTB177" s="80"/>
      <c r="JTC177" s="80"/>
      <c r="JTD177" s="80"/>
      <c r="JTE177" s="80"/>
      <c r="JTF177" s="80"/>
      <c r="JTG177" s="80"/>
      <c r="JTH177" s="80"/>
      <c r="JTI177" s="80"/>
      <c r="JTJ177" s="80"/>
      <c r="JTK177" s="80"/>
      <c r="JTL177" s="80"/>
      <c r="JTM177" s="80"/>
      <c r="JTN177" s="80"/>
      <c r="JTO177" s="80"/>
      <c r="JTP177" s="80"/>
      <c r="JTQ177" s="80"/>
      <c r="JTR177" s="80"/>
      <c r="JTS177" s="80"/>
      <c r="JTT177" s="80"/>
      <c r="JTU177" s="80"/>
      <c r="JTV177" s="80"/>
      <c r="JTW177" s="80"/>
      <c r="JTX177" s="80"/>
      <c r="JTY177" s="80"/>
      <c r="JTZ177" s="80"/>
      <c r="JUA177" s="80"/>
      <c r="JUB177" s="80"/>
      <c r="JUC177" s="80"/>
      <c r="JUD177" s="80"/>
      <c r="JUE177" s="80"/>
      <c r="JUF177" s="80"/>
      <c r="JUG177" s="80"/>
      <c r="JUH177" s="80"/>
      <c r="JUI177" s="80"/>
      <c r="JUJ177" s="80"/>
      <c r="JUK177" s="80"/>
      <c r="JUL177" s="80"/>
      <c r="JUM177" s="80"/>
      <c r="JUN177" s="80"/>
      <c r="JUO177" s="80"/>
      <c r="JUP177" s="80"/>
      <c r="JUQ177" s="80"/>
      <c r="JUR177" s="80"/>
      <c r="JUS177" s="80"/>
      <c r="JUT177" s="80"/>
      <c r="JUU177" s="80"/>
      <c r="JUV177" s="80"/>
      <c r="JUW177" s="80"/>
      <c r="JUX177" s="80"/>
      <c r="JUY177" s="80"/>
      <c r="JUZ177" s="80"/>
      <c r="JVA177" s="80"/>
      <c r="JVB177" s="80"/>
      <c r="JVC177" s="80"/>
      <c r="JVD177" s="80"/>
      <c r="JVE177" s="80"/>
      <c r="JVF177" s="80"/>
      <c r="JVG177" s="80"/>
      <c r="JVH177" s="80"/>
      <c r="JVI177" s="80"/>
      <c r="JVJ177" s="80"/>
      <c r="JVK177" s="80"/>
      <c r="JVL177" s="80"/>
      <c r="JVM177" s="80"/>
      <c r="JVN177" s="80"/>
      <c r="JVO177" s="80"/>
      <c r="JVP177" s="80"/>
      <c r="JVQ177" s="80"/>
      <c r="JVR177" s="80"/>
      <c r="JVS177" s="80"/>
      <c r="JVT177" s="80"/>
      <c r="JVU177" s="80"/>
      <c r="JVV177" s="80"/>
      <c r="JVW177" s="80"/>
      <c r="JVX177" s="80"/>
      <c r="JVY177" s="80"/>
      <c r="JVZ177" s="80"/>
      <c r="JWA177" s="80"/>
      <c r="JWB177" s="80"/>
      <c r="JWC177" s="80"/>
      <c r="JWD177" s="80"/>
      <c r="JWE177" s="80"/>
      <c r="JWF177" s="80"/>
      <c r="JWG177" s="80"/>
      <c r="JWH177" s="80"/>
      <c r="JWI177" s="80"/>
      <c r="JWJ177" s="80"/>
      <c r="JWK177" s="80"/>
      <c r="JWL177" s="80"/>
      <c r="JWM177" s="80"/>
      <c r="JWN177" s="80"/>
      <c r="JWO177" s="80"/>
      <c r="JWP177" s="80"/>
      <c r="JWQ177" s="80"/>
      <c r="JWR177" s="80"/>
      <c r="JWS177" s="80"/>
      <c r="JWT177" s="80"/>
      <c r="JWU177" s="80"/>
      <c r="JWV177" s="80"/>
      <c r="JWW177" s="80"/>
      <c r="JWX177" s="80"/>
      <c r="JWY177" s="80"/>
      <c r="JWZ177" s="80"/>
      <c r="JXA177" s="80"/>
      <c r="JXB177" s="80"/>
      <c r="JXC177" s="80"/>
      <c r="JXD177" s="80"/>
      <c r="JXE177" s="80"/>
      <c r="JXF177" s="80"/>
      <c r="JXG177" s="80"/>
      <c r="JXH177" s="80"/>
      <c r="JXI177" s="80"/>
      <c r="JXJ177" s="80"/>
      <c r="JXK177" s="80"/>
      <c r="JXL177" s="80"/>
      <c r="JXM177" s="80"/>
      <c r="JXN177" s="80"/>
      <c r="JXO177" s="80"/>
      <c r="JXP177" s="80"/>
      <c r="JXQ177" s="80"/>
      <c r="JXR177" s="80"/>
      <c r="JXS177" s="80"/>
      <c r="JXT177" s="80"/>
      <c r="JXU177" s="80"/>
      <c r="JXV177" s="80"/>
      <c r="JXW177" s="80"/>
      <c r="JXX177" s="80"/>
      <c r="JXY177" s="80"/>
      <c r="JXZ177" s="80"/>
      <c r="JYA177" s="80"/>
      <c r="JYB177" s="80"/>
      <c r="JYC177" s="80"/>
      <c r="JYD177" s="80"/>
      <c r="JYE177" s="80"/>
      <c r="JYF177" s="80"/>
      <c r="JYG177" s="80"/>
      <c r="JYH177" s="80"/>
      <c r="JYI177" s="80"/>
      <c r="JYJ177" s="80"/>
      <c r="JYK177" s="80"/>
      <c r="JYL177" s="80"/>
      <c r="JYM177" s="80"/>
      <c r="JYN177" s="80"/>
      <c r="JYO177" s="80"/>
      <c r="JYP177" s="80"/>
      <c r="JYQ177" s="80"/>
      <c r="JYR177" s="80"/>
      <c r="JYS177" s="80"/>
      <c r="JYT177" s="80"/>
      <c r="JYU177" s="80"/>
      <c r="JYV177" s="80"/>
      <c r="JYW177" s="80"/>
      <c r="JYX177" s="80"/>
      <c r="JYY177" s="80"/>
      <c r="JYZ177" s="80"/>
      <c r="JZA177" s="80"/>
      <c r="JZB177" s="80"/>
      <c r="JZC177" s="80"/>
      <c r="JZD177" s="80"/>
      <c r="JZE177" s="80"/>
      <c r="JZF177" s="80"/>
      <c r="JZG177" s="80"/>
      <c r="JZH177" s="80"/>
      <c r="JZI177" s="80"/>
      <c r="JZJ177" s="80"/>
      <c r="JZK177" s="80"/>
      <c r="JZL177" s="80"/>
      <c r="JZM177" s="80"/>
      <c r="JZN177" s="80"/>
      <c r="JZO177" s="80"/>
      <c r="JZP177" s="80"/>
      <c r="JZQ177" s="80"/>
      <c r="JZR177" s="80"/>
      <c r="JZS177" s="80"/>
      <c r="JZT177" s="80"/>
      <c r="JZU177" s="80"/>
      <c r="JZV177" s="80"/>
      <c r="JZW177" s="80"/>
      <c r="JZX177" s="80"/>
      <c r="JZY177" s="80"/>
      <c r="JZZ177" s="80"/>
      <c r="KAA177" s="80"/>
      <c r="KAB177" s="80"/>
      <c r="KAC177" s="80"/>
      <c r="KAD177" s="80"/>
      <c r="KAE177" s="80"/>
      <c r="KAF177" s="80"/>
      <c r="KAG177" s="80"/>
      <c r="KAH177" s="80"/>
      <c r="KAI177" s="80"/>
      <c r="KAJ177" s="80"/>
      <c r="KAK177" s="80"/>
      <c r="KAL177" s="80"/>
      <c r="KAM177" s="80"/>
      <c r="KAN177" s="80"/>
      <c r="KAO177" s="80"/>
      <c r="KAP177" s="80"/>
      <c r="KAQ177" s="80"/>
      <c r="KAR177" s="80"/>
      <c r="KAS177" s="80"/>
      <c r="KAT177" s="80"/>
      <c r="KAU177" s="80"/>
      <c r="KAV177" s="80"/>
      <c r="KAW177" s="80"/>
      <c r="KAX177" s="80"/>
      <c r="KAY177" s="80"/>
      <c r="KAZ177" s="80"/>
      <c r="KBA177" s="80"/>
      <c r="KBB177" s="80"/>
      <c r="KBC177" s="80"/>
      <c r="KBD177" s="80"/>
      <c r="KBE177" s="80"/>
      <c r="KBF177" s="80"/>
      <c r="KBG177" s="80"/>
      <c r="KBH177" s="80"/>
      <c r="KBI177" s="80"/>
      <c r="KBJ177" s="80"/>
      <c r="KBK177" s="80"/>
      <c r="KBL177" s="80"/>
      <c r="KBM177" s="80"/>
      <c r="KBN177" s="80"/>
      <c r="KBO177" s="80"/>
      <c r="KBP177" s="80"/>
      <c r="KBQ177" s="80"/>
      <c r="KBR177" s="80"/>
      <c r="KBS177" s="80"/>
      <c r="KBT177" s="80"/>
      <c r="KBU177" s="80"/>
      <c r="KBV177" s="80"/>
      <c r="KBW177" s="80"/>
      <c r="KBX177" s="80"/>
      <c r="KBY177" s="80"/>
      <c r="KBZ177" s="80"/>
      <c r="KCA177" s="80"/>
      <c r="KCB177" s="80"/>
      <c r="KCC177" s="80"/>
      <c r="KCD177" s="80"/>
      <c r="KCE177" s="80"/>
      <c r="KCF177" s="80"/>
      <c r="KCG177" s="80"/>
      <c r="KCH177" s="80"/>
      <c r="KCI177" s="80"/>
      <c r="KCJ177" s="80"/>
      <c r="KCK177" s="80"/>
      <c r="KCL177" s="80"/>
      <c r="KCM177" s="80"/>
      <c r="KCN177" s="80"/>
      <c r="KCO177" s="80"/>
      <c r="KCP177" s="80"/>
      <c r="KCQ177" s="80"/>
      <c r="KCR177" s="80"/>
      <c r="KCS177" s="80"/>
      <c r="KCT177" s="80"/>
      <c r="KCU177" s="80"/>
      <c r="KCV177" s="80"/>
      <c r="KCW177" s="80"/>
      <c r="KCX177" s="80"/>
      <c r="KCY177" s="80"/>
      <c r="KCZ177" s="80"/>
      <c r="KDA177" s="80"/>
      <c r="KDB177" s="80"/>
      <c r="KDC177" s="80"/>
      <c r="KDD177" s="80"/>
      <c r="KDE177" s="80"/>
      <c r="KDF177" s="80"/>
      <c r="KDG177" s="80"/>
      <c r="KDH177" s="80"/>
      <c r="KDI177" s="80"/>
      <c r="KDJ177" s="80"/>
      <c r="KDK177" s="80"/>
      <c r="KDL177" s="80"/>
      <c r="KDM177" s="80"/>
      <c r="KDN177" s="80"/>
      <c r="KDO177" s="80"/>
      <c r="KDP177" s="80"/>
      <c r="KDQ177" s="80"/>
      <c r="KDR177" s="80"/>
      <c r="KDS177" s="80"/>
      <c r="KDT177" s="80"/>
      <c r="KDU177" s="80"/>
      <c r="KDV177" s="80"/>
      <c r="KDW177" s="80"/>
      <c r="KDX177" s="80"/>
      <c r="KDY177" s="80"/>
      <c r="KDZ177" s="80"/>
      <c r="KEA177" s="80"/>
      <c r="KEB177" s="80"/>
      <c r="KEC177" s="80"/>
      <c r="KED177" s="80"/>
      <c r="KEE177" s="80"/>
      <c r="KEF177" s="80"/>
      <c r="KEG177" s="80"/>
      <c r="KEH177" s="80"/>
      <c r="KEI177" s="80"/>
      <c r="KEJ177" s="80"/>
      <c r="KEK177" s="80"/>
      <c r="KEL177" s="80"/>
      <c r="KEM177" s="80"/>
      <c r="KEN177" s="80"/>
      <c r="KEO177" s="80"/>
      <c r="KEP177" s="80"/>
      <c r="KEQ177" s="80"/>
      <c r="KER177" s="80"/>
      <c r="KES177" s="80"/>
      <c r="KET177" s="80"/>
      <c r="KEU177" s="80"/>
      <c r="KEV177" s="80"/>
      <c r="KEW177" s="80"/>
      <c r="KEX177" s="80"/>
      <c r="KEY177" s="80"/>
      <c r="KEZ177" s="80"/>
      <c r="KFA177" s="80"/>
      <c r="KFB177" s="80"/>
      <c r="KFC177" s="80"/>
      <c r="KFD177" s="80"/>
      <c r="KFE177" s="80"/>
      <c r="KFF177" s="80"/>
      <c r="KFG177" s="80"/>
      <c r="KFH177" s="80"/>
      <c r="KFI177" s="80"/>
      <c r="KFJ177" s="80"/>
      <c r="KFK177" s="80"/>
      <c r="KFL177" s="80"/>
      <c r="KFM177" s="80"/>
      <c r="KFN177" s="80"/>
      <c r="KFO177" s="80"/>
      <c r="KFP177" s="80"/>
      <c r="KFQ177" s="80"/>
      <c r="KFR177" s="80"/>
      <c r="KFS177" s="80"/>
      <c r="KFT177" s="80"/>
      <c r="KFU177" s="80"/>
      <c r="KFV177" s="80"/>
      <c r="KFW177" s="80"/>
      <c r="KFX177" s="80"/>
      <c r="KFY177" s="80"/>
      <c r="KFZ177" s="80"/>
      <c r="KGA177" s="80"/>
      <c r="KGB177" s="80"/>
      <c r="KGC177" s="80"/>
      <c r="KGD177" s="80"/>
      <c r="KGE177" s="80"/>
      <c r="KGF177" s="80"/>
      <c r="KGG177" s="80"/>
      <c r="KGH177" s="80"/>
      <c r="KGI177" s="80"/>
      <c r="KGJ177" s="80"/>
      <c r="KGK177" s="80"/>
      <c r="KGL177" s="80"/>
      <c r="KGM177" s="80"/>
      <c r="KGN177" s="80"/>
      <c r="KGO177" s="80"/>
      <c r="KGP177" s="80"/>
      <c r="KGQ177" s="80"/>
      <c r="KGR177" s="80"/>
      <c r="KGS177" s="80"/>
      <c r="KGT177" s="80"/>
      <c r="KGU177" s="80"/>
      <c r="KGV177" s="80"/>
      <c r="KGW177" s="80"/>
      <c r="KGX177" s="80"/>
      <c r="KGY177" s="80"/>
      <c r="KGZ177" s="80"/>
      <c r="KHA177" s="80"/>
      <c r="KHB177" s="80"/>
      <c r="KHC177" s="80"/>
      <c r="KHD177" s="80"/>
      <c r="KHE177" s="80"/>
      <c r="KHF177" s="80"/>
      <c r="KHG177" s="80"/>
      <c r="KHH177" s="80"/>
      <c r="KHI177" s="80"/>
      <c r="KHJ177" s="80"/>
      <c r="KHK177" s="80"/>
      <c r="KHL177" s="80"/>
      <c r="KHM177" s="80"/>
      <c r="KHN177" s="80"/>
      <c r="KHO177" s="80"/>
      <c r="KHP177" s="80"/>
      <c r="KHQ177" s="80"/>
      <c r="KHR177" s="80"/>
      <c r="KHS177" s="80"/>
      <c r="KHT177" s="80"/>
      <c r="KHU177" s="80"/>
      <c r="KHV177" s="80"/>
      <c r="KHW177" s="80"/>
      <c r="KHX177" s="80"/>
      <c r="KHY177" s="80"/>
      <c r="KHZ177" s="80"/>
      <c r="KIA177" s="80"/>
      <c r="KIB177" s="80"/>
      <c r="KIC177" s="80"/>
      <c r="KID177" s="80"/>
      <c r="KIE177" s="80"/>
      <c r="KIF177" s="80"/>
      <c r="KIG177" s="80"/>
      <c r="KIH177" s="80"/>
      <c r="KII177" s="80"/>
      <c r="KIJ177" s="80"/>
      <c r="KIK177" s="80"/>
      <c r="KIL177" s="80"/>
      <c r="KIM177" s="80"/>
      <c r="KIN177" s="80"/>
      <c r="KIO177" s="80"/>
      <c r="KIP177" s="80"/>
      <c r="KIQ177" s="80"/>
      <c r="KIR177" s="80"/>
      <c r="KIS177" s="80"/>
      <c r="KIT177" s="80"/>
      <c r="KIU177" s="80"/>
      <c r="KIV177" s="80"/>
      <c r="KIW177" s="80"/>
      <c r="KIX177" s="80"/>
      <c r="KIY177" s="80"/>
      <c r="KIZ177" s="80"/>
      <c r="KJA177" s="80"/>
      <c r="KJB177" s="80"/>
      <c r="KJC177" s="80"/>
      <c r="KJD177" s="80"/>
      <c r="KJE177" s="80"/>
      <c r="KJF177" s="80"/>
      <c r="KJG177" s="80"/>
      <c r="KJH177" s="80"/>
      <c r="KJI177" s="80"/>
      <c r="KJJ177" s="80"/>
      <c r="KJK177" s="80"/>
      <c r="KJL177" s="80"/>
      <c r="KJM177" s="80"/>
      <c r="KJN177" s="80"/>
      <c r="KJO177" s="80"/>
      <c r="KJP177" s="80"/>
      <c r="KJQ177" s="80"/>
      <c r="KJR177" s="80"/>
      <c r="KJS177" s="80"/>
      <c r="KJT177" s="80"/>
      <c r="KJU177" s="80"/>
      <c r="KJV177" s="80"/>
      <c r="KJW177" s="80"/>
      <c r="KJX177" s="80"/>
      <c r="KJY177" s="80"/>
      <c r="KJZ177" s="80"/>
      <c r="KKA177" s="80"/>
      <c r="KKB177" s="80"/>
      <c r="KKC177" s="80"/>
      <c r="KKD177" s="80"/>
      <c r="KKE177" s="80"/>
      <c r="KKF177" s="80"/>
      <c r="KKG177" s="80"/>
      <c r="KKH177" s="80"/>
      <c r="KKI177" s="80"/>
      <c r="KKJ177" s="80"/>
      <c r="KKK177" s="80"/>
      <c r="KKL177" s="80"/>
      <c r="KKM177" s="80"/>
      <c r="KKN177" s="80"/>
      <c r="KKO177" s="80"/>
      <c r="KKP177" s="80"/>
      <c r="KKQ177" s="80"/>
      <c r="KKR177" s="80"/>
      <c r="KKS177" s="80"/>
      <c r="KKT177" s="80"/>
      <c r="KKU177" s="80"/>
      <c r="KKV177" s="80"/>
      <c r="KKW177" s="80"/>
      <c r="KKX177" s="80"/>
      <c r="KKY177" s="80"/>
      <c r="KKZ177" s="80"/>
      <c r="KLA177" s="80"/>
      <c r="KLB177" s="80"/>
      <c r="KLC177" s="80"/>
      <c r="KLD177" s="80"/>
      <c r="KLE177" s="80"/>
      <c r="KLF177" s="80"/>
      <c r="KLG177" s="80"/>
      <c r="KLH177" s="80"/>
      <c r="KLI177" s="80"/>
      <c r="KLJ177" s="80"/>
      <c r="KLK177" s="80"/>
      <c r="KLL177" s="80"/>
      <c r="KLM177" s="80"/>
      <c r="KLN177" s="80"/>
      <c r="KLO177" s="80"/>
      <c r="KLP177" s="80"/>
      <c r="KLQ177" s="80"/>
      <c r="KLR177" s="80"/>
      <c r="KLS177" s="80"/>
      <c r="KLT177" s="80"/>
      <c r="KLU177" s="80"/>
      <c r="KLV177" s="80"/>
      <c r="KLW177" s="80"/>
      <c r="KLX177" s="80"/>
      <c r="KLY177" s="80"/>
      <c r="KLZ177" s="80"/>
      <c r="KMA177" s="80"/>
      <c r="KMB177" s="80"/>
      <c r="KMC177" s="80"/>
      <c r="KMD177" s="80"/>
      <c r="KME177" s="80"/>
      <c r="KMF177" s="80"/>
      <c r="KMG177" s="80"/>
      <c r="KMH177" s="80"/>
      <c r="KMI177" s="80"/>
      <c r="KMJ177" s="80"/>
      <c r="KMK177" s="80"/>
      <c r="KML177" s="80"/>
      <c r="KMM177" s="80"/>
      <c r="KMN177" s="80"/>
      <c r="KMO177" s="80"/>
      <c r="KMP177" s="80"/>
      <c r="KMQ177" s="80"/>
      <c r="KMR177" s="80"/>
      <c r="KMS177" s="80"/>
      <c r="KMT177" s="80"/>
      <c r="KMU177" s="80"/>
      <c r="KMV177" s="80"/>
      <c r="KMW177" s="80"/>
      <c r="KMX177" s="80"/>
      <c r="KMY177" s="80"/>
      <c r="KMZ177" s="80"/>
      <c r="KNA177" s="80"/>
      <c r="KNB177" s="80"/>
      <c r="KNC177" s="80"/>
      <c r="KND177" s="80"/>
      <c r="KNE177" s="80"/>
      <c r="KNF177" s="80"/>
      <c r="KNG177" s="80"/>
      <c r="KNH177" s="80"/>
      <c r="KNI177" s="80"/>
      <c r="KNJ177" s="80"/>
      <c r="KNK177" s="80"/>
      <c r="KNL177" s="80"/>
      <c r="KNM177" s="80"/>
      <c r="KNN177" s="80"/>
      <c r="KNO177" s="80"/>
      <c r="KNP177" s="80"/>
      <c r="KNQ177" s="80"/>
      <c r="KNR177" s="80"/>
      <c r="KNS177" s="80"/>
      <c r="KNT177" s="80"/>
      <c r="KNU177" s="80"/>
      <c r="KNV177" s="80"/>
      <c r="KNW177" s="80"/>
      <c r="KNX177" s="80"/>
      <c r="KNY177" s="80"/>
      <c r="KNZ177" s="80"/>
      <c r="KOA177" s="80"/>
      <c r="KOB177" s="80"/>
      <c r="KOC177" s="80"/>
      <c r="KOD177" s="80"/>
      <c r="KOE177" s="80"/>
      <c r="KOF177" s="80"/>
      <c r="KOG177" s="80"/>
      <c r="KOH177" s="80"/>
      <c r="KOI177" s="80"/>
      <c r="KOJ177" s="80"/>
      <c r="KOK177" s="80"/>
      <c r="KOL177" s="80"/>
      <c r="KOM177" s="80"/>
      <c r="KON177" s="80"/>
      <c r="KOO177" s="80"/>
      <c r="KOP177" s="80"/>
      <c r="KOQ177" s="80"/>
      <c r="KOR177" s="80"/>
      <c r="KOS177" s="80"/>
      <c r="KOT177" s="80"/>
      <c r="KOU177" s="80"/>
      <c r="KOV177" s="80"/>
      <c r="KOW177" s="80"/>
      <c r="KOX177" s="80"/>
      <c r="KOY177" s="80"/>
      <c r="KOZ177" s="80"/>
      <c r="KPA177" s="80"/>
      <c r="KPB177" s="80"/>
      <c r="KPC177" s="80"/>
      <c r="KPD177" s="80"/>
      <c r="KPE177" s="80"/>
      <c r="KPF177" s="80"/>
      <c r="KPG177" s="80"/>
      <c r="KPH177" s="80"/>
      <c r="KPI177" s="80"/>
      <c r="KPJ177" s="80"/>
      <c r="KPK177" s="80"/>
      <c r="KPL177" s="80"/>
      <c r="KPM177" s="80"/>
      <c r="KPN177" s="80"/>
      <c r="KPO177" s="80"/>
      <c r="KPP177" s="80"/>
      <c r="KPQ177" s="80"/>
      <c r="KPR177" s="80"/>
      <c r="KPS177" s="80"/>
      <c r="KPT177" s="80"/>
      <c r="KPU177" s="80"/>
      <c r="KPV177" s="80"/>
      <c r="KPW177" s="80"/>
      <c r="KPX177" s="80"/>
      <c r="KPY177" s="80"/>
      <c r="KPZ177" s="80"/>
      <c r="KQA177" s="80"/>
      <c r="KQB177" s="80"/>
      <c r="KQC177" s="80"/>
      <c r="KQD177" s="80"/>
      <c r="KQE177" s="80"/>
      <c r="KQF177" s="80"/>
      <c r="KQG177" s="80"/>
      <c r="KQH177" s="80"/>
      <c r="KQI177" s="80"/>
      <c r="KQJ177" s="80"/>
      <c r="KQK177" s="80"/>
      <c r="KQL177" s="80"/>
      <c r="KQM177" s="80"/>
      <c r="KQN177" s="80"/>
      <c r="KQO177" s="80"/>
      <c r="KQP177" s="80"/>
      <c r="KQQ177" s="80"/>
      <c r="KQR177" s="80"/>
      <c r="KQS177" s="80"/>
      <c r="KQT177" s="80"/>
      <c r="KQU177" s="80"/>
      <c r="KQV177" s="80"/>
      <c r="KQW177" s="80"/>
      <c r="KQX177" s="80"/>
      <c r="KQY177" s="80"/>
      <c r="KQZ177" s="80"/>
      <c r="KRA177" s="80"/>
      <c r="KRB177" s="80"/>
      <c r="KRC177" s="80"/>
      <c r="KRD177" s="80"/>
      <c r="KRE177" s="80"/>
      <c r="KRF177" s="80"/>
      <c r="KRG177" s="80"/>
      <c r="KRH177" s="80"/>
      <c r="KRI177" s="80"/>
      <c r="KRJ177" s="80"/>
      <c r="KRK177" s="80"/>
      <c r="KRL177" s="80"/>
      <c r="KRM177" s="80"/>
      <c r="KRN177" s="80"/>
      <c r="KRO177" s="80"/>
      <c r="KRP177" s="80"/>
      <c r="KRQ177" s="80"/>
      <c r="KRR177" s="80"/>
      <c r="KRS177" s="80"/>
      <c r="KRT177" s="80"/>
      <c r="KRU177" s="80"/>
      <c r="KRV177" s="80"/>
      <c r="KRW177" s="80"/>
      <c r="KRX177" s="80"/>
      <c r="KRY177" s="80"/>
      <c r="KRZ177" s="80"/>
      <c r="KSA177" s="80"/>
      <c r="KSB177" s="80"/>
      <c r="KSC177" s="80"/>
      <c r="KSD177" s="80"/>
      <c r="KSE177" s="80"/>
      <c r="KSF177" s="80"/>
      <c r="KSG177" s="80"/>
      <c r="KSH177" s="80"/>
      <c r="KSI177" s="80"/>
      <c r="KSJ177" s="80"/>
      <c r="KSK177" s="80"/>
      <c r="KSL177" s="80"/>
      <c r="KSM177" s="80"/>
      <c r="KSN177" s="80"/>
      <c r="KSO177" s="80"/>
      <c r="KSP177" s="80"/>
      <c r="KSQ177" s="80"/>
      <c r="KSR177" s="80"/>
      <c r="KSS177" s="80"/>
      <c r="KST177" s="80"/>
      <c r="KSU177" s="80"/>
      <c r="KSV177" s="80"/>
      <c r="KSW177" s="80"/>
      <c r="KSX177" s="80"/>
      <c r="KSY177" s="80"/>
      <c r="KSZ177" s="80"/>
      <c r="KTA177" s="80"/>
      <c r="KTB177" s="80"/>
      <c r="KTC177" s="80"/>
      <c r="KTD177" s="80"/>
      <c r="KTE177" s="80"/>
      <c r="KTF177" s="80"/>
      <c r="KTG177" s="80"/>
      <c r="KTH177" s="80"/>
      <c r="KTI177" s="80"/>
      <c r="KTJ177" s="80"/>
      <c r="KTK177" s="80"/>
      <c r="KTL177" s="80"/>
      <c r="KTM177" s="80"/>
      <c r="KTN177" s="80"/>
      <c r="KTO177" s="80"/>
      <c r="KTP177" s="80"/>
      <c r="KTQ177" s="80"/>
      <c r="KTR177" s="80"/>
      <c r="KTS177" s="80"/>
      <c r="KTT177" s="80"/>
      <c r="KTU177" s="80"/>
      <c r="KTV177" s="80"/>
      <c r="KTW177" s="80"/>
      <c r="KTX177" s="80"/>
      <c r="KTY177" s="80"/>
      <c r="KTZ177" s="80"/>
      <c r="KUA177" s="80"/>
      <c r="KUB177" s="80"/>
      <c r="KUC177" s="80"/>
      <c r="KUD177" s="80"/>
      <c r="KUE177" s="80"/>
      <c r="KUF177" s="80"/>
      <c r="KUG177" s="80"/>
      <c r="KUH177" s="80"/>
      <c r="KUI177" s="80"/>
      <c r="KUJ177" s="80"/>
      <c r="KUK177" s="80"/>
      <c r="KUL177" s="80"/>
      <c r="KUM177" s="80"/>
      <c r="KUN177" s="80"/>
      <c r="KUO177" s="80"/>
      <c r="KUP177" s="80"/>
      <c r="KUQ177" s="80"/>
      <c r="KUR177" s="80"/>
      <c r="KUS177" s="80"/>
      <c r="KUT177" s="80"/>
      <c r="KUU177" s="80"/>
      <c r="KUV177" s="80"/>
      <c r="KUW177" s="80"/>
      <c r="KUX177" s="80"/>
      <c r="KUY177" s="80"/>
      <c r="KUZ177" s="80"/>
      <c r="KVA177" s="80"/>
      <c r="KVB177" s="80"/>
      <c r="KVC177" s="80"/>
      <c r="KVD177" s="80"/>
      <c r="KVE177" s="80"/>
      <c r="KVF177" s="80"/>
      <c r="KVG177" s="80"/>
      <c r="KVH177" s="80"/>
      <c r="KVI177" s="80"/>
      <c r="KVJ177" s="80"/>
      <c r="KVK177" s="80"/>
      <c r="KVL177" s="80"/>
      <c r="KVM177" s="80"/>
      <c r="KVN177" s="80"/>
      <c r="KVO177" s="80"/>
      <c r="KVP177" s="80"/>
      <c r="KVQ177" s="80"/>
      <c r="KVR177" s="80"/>
      <c r="KVS177" s="80"/>
      <c r="KVT177" s="80"/>
      <c r="KVU177" s="80"/>
      <c r="KVV177" s="80"/>
      <c r="KVW177" s="80"/>
      <c r="KVX177" s="80"/>
      <c r="KVY177" s="80"/>
      <c r="KVZ177" s="80"/>
      <c r="KWA177" s="80"/>
      <c r="KWB177" s="80"/>
      <c r="KWC177" s="80"/>
      <c r="KWD177" s="80"/>
      <c r="KWE177" s="80"/>
      <c r="KWF177" s="80"/>
      <c r="KWG177" s="80"/>
      <c r="KWH177" s="80"/>
      <c r="KWI177" s="80"/>
      <c r="KWJ177" s="80"/>
      <c r="KWK177" s="80"/>
      <c r="KWL177" s="80"/>
      <c r="KWM177" s="80"/>
      <c r="KWN177" s="80"/>
      <c r="KWO177" s="80"/>
      <c r="KWP177" s="80"/>
      <c r="KWQ177" s="80"/>
      <c r="KWR177" s="80"/>
      <c r="KWS177" s="80"/>
      <c r="KWT177" s="80"/>
      <c r="KWU177" s="80"/>
      <c r="KWV177" s="80"/>
      <c r="KWW177" s="80"/>
      <c r="KWX177" s="80"/>
      <c r="KWY177" s="80"/>
      <c r="KWZ177" s="80"/>
      <c r="KXA177" s="80"/>
      <c r="KXB177" s="80"/>
      <c r="KXC177" s="80"/>
      <c r="KXD177" s="80"/>
      <c r="KXE177" s="80"/>
      <c r="KXF177" s="80"/>
      <c r="KXG177" s="80"/>
      <c r="KXH177" s="80"/>
      <c r="KXI177" s="80"/>
      <c r="KXJ177" s="80"/>
      <c r="KXK177" s="80"/>
      <c r="KXL177" s="80"/>
      <c r="KXM177" s="80"/>
      <c r="KXN177" s="80"/>
      <c r="KXO177" s="80"/>
      <c r="KXP177" s="80"/>
      <c r="KXQ177" s="80"/>
      <c r="KXR177" s="80"/>
      <c r="KXS177" s="80"/>
      <c r="KXT177" s="80"/>
      <c r="KXU177" s="80"/>
      <c r="KXV177" s="80"/>
      <c r="KXW177" s="80"/>
      <c r="KXX177" s="80"/>
      <c r="KXY177" s="80"/>
      <c r="KXZ177" s="80"/>
      <c r="KYA177" s="80"/>
      <c r="KYB177" s="80"/>
      <c r="KYC177" s="80"/>
      <c r="KYD177" s="80"/>
      <c r="KYE177" s="80"/>
      <c r="KYF177" s="80"/>
      <c r="KYG177" s="80"/>
      <c r="KYH177" s="80"/>
      <c r="KYI177" s="80"/>
      <c r="KYJ177" s="80"/>
      <c r="KYK177" s="80"/>
      <c r="KYL177" s="80"/>
      <c r="KYM177" s="80"/>
      <c r="KYN177" s="80"/>
      <c r="KYO177" s="80"/>
      <c r="KYP177" s="80"/>
      <c r="KYQ177" s="80"/>
      <c r="KYR177" s="80"/>
      <c r="KYS177" s="80"/>
      <c r="KYT177" s="80"/>
      <c r="KYU177" s="80"/>
      <c r="KYV177" s="80"/>
      <c r="KYW177" s="80"/>
      <c r="KYX177" s="80"/>
      <c r="KYY177" s="80"/>
      <c r="KYZ177" s="80"/>
      <c r="KZA177" s="80"/>
      <c r="KZB177" s="80"/>
      <c r="KZC177" s="80"/>
      <c r="KZD177" s="80"/>
      <c r="KZE177" s="80"/>
      <c r="KZF177" s="80"/>
      <c r="KZG177" s="80"/>
      <c r="KZH177" s="80"/>
      <c r="KZI177" s="80"/>
      <c r="KZJ177" s="80"/>
      <c r="KZK177" s="80"/>
      <c r="KZL177" s="80"/>
      <c r="KZM177" s="80"/>
      <c r="KZN177" s="80"/>
      <c r="KZO177" s="80"/>
      <c r="KZP177" s="80"/>
      <c r="KZQ177" s="80"/>
      <c r="KZR177" s="80"/>
      <c r="KZS177" s="80"/>
      <c r="KZT177" s="80"/>
      <c r="KZU177" s="80"/>
      <c r="KZV177" s="80"/>
      <c r="KZW177" s="80"/>
      <c r="KZX177" s="80"/>
      <c r="KZY177" s="80"/>
      <c r="KZZ177" s="80"/>
      <c r="LAA177" s="80"/>
      <c r="LAB177" s="80"/>
      <c r="LAC177" s="80"/>
      <c r="LAD177" s="80"/>
      <c r="LAE177" s="80"/>
      <c r="LAF177" s="80"/>
      <c r="LAG177" s="80"/>
      <c r="LAH177" s="80"/>
      <c r="LAI177" s="80"/>
      <c r="LAJ177" s="80"/>
      <c r="LAK177" s="80"/>
      <c r="LAL177" s="80"/>
      <c r="LAM177" s="80"/>
      <c r="LAN177" s="80"/>
      <c r="LAO177" s="80"/>
      <c r="LAP177" s="80"/>
      <c r="LAQ177" s="80"/>
      <c r="LAR177" s="80"/>
      <c r="LAS177" s="80"/>
      <c r="LAT177" s="80"/>
      <c r="LAU177" s="80"/>
      <c r="LAV177" s="80"/>
      <c r="LAW177" s="80"/>
      <c r="LAX177" s="80"/>
      <c r="LAY177" s="80"/>
      <c r="LAZ177" s="80"/>
      <c r="LBA177" s="80"/>
      <c r="LBB177" s="80"/>
      <c r="LBC177" s="80"/>
      <c r="LBD177" s="80"/>
      <c r="LBE177" s="80"/>
      <c r="LBF177" s="80"/>
      <c r="LBG177" s="80"/>
      <c r="LBH177" s="80"/>
      <c r="LBI177" s="80"/>
      <c r="LBJ177" s="80"/>
      <c r="LBK177" s="80"/>
      <c r="LBL177" s="80"/>
      <c r="LBM177" s="80"/>
      <c r="LBN177" s="80"/>
      <c r="LBO177" s="80"/>
      <c r="LBP177" s="80"/>
      <c r="LBQ177" s="80"/>
      <c r="LBR177" s="80"/>
      <c r="LBS177" s="80"/>
      <c r="LBT177" s="80"/>
      <c r="LBU177" s="80"/>
      <c r="LBV177" s="80"/>
      <c r="LBW177" s="80"/>
      <c r="LBX177" s="80"/>
      <c r="LBY177" s="80"/>
      <c r="LBZ177" s="80"/>
      <c r="LCA177" s="80"/>
      <c r="LCB177" s="80"/>
      <c r="LCC177" s="80"/>
      <c r="LCD177" s="80"/>
      <c r="LCE177" s="80"/>
      <c r="LCF177" s="80"/>
      <c r="LCG177" s="80"/>
      <c r="LCH177" s="80"/>
      <c r="LCI177" s="80"/>
      <c r="LCJ177" s="80"/>
      <c r="LCK177" s="80"/>
      <c r="LCL177" s="80"/>
      <c r="LCM177" s="80"/>
      <c r="LCN177" s="80"/>
      <c r="LCO177" s="80"/>
      <c r="LCP177" s="80"/>
      <c r="LCQ177" s="80"/>
      <c r="LCR177" s="80"/>
      <c r="LCS177" s="80"/>
      <c r="LCT177" s="80"/>
      <c r="LCU177" s="80"/>
      <c r="LCV177" s="80"/>
      <c r="LCW177" s="80"/>
      <c r="LCX177" s="80"/>
      <c r="LCY177" s="80"/>
      <c r="LCZ177" s="80"/>
      <c r="LDA177" s="80"/>
      <c r="LDB177" s="80"/>
      <c r="LDC177" s="80"/>
      <c r="LDD177" s="80"/>
      <c r="LDE177" s="80"/>
      <c r="LDF177" s="80"/>
      <c r="LDG177" s="80"/>
      <c r="LDH177" s="80"/>
      <c r="LDI177" s="80"/>
      <c r="LDJ177" s="80"/>
      <c r="LDK177" s="80"/>
      <c r="LDL177" s="80"/>
      <c r="LDM177" s="80"/>
      <c r="LDN177" s="80"/>
      <c r="LDO177" s="80"/>
      <c r="LDP177" s="80"/>
      <c r="LDQ177" s="80"/>
      <c r="LDR177" s="80"/>
      <c r="LDS177" s="80"/>
      <c r="LDT177" s="80"/>
      <c r="LDU177" s="80"/>
      <c r="LDV177" s="80"/>
      <c r="LDW177" s="80"/>
      <c r="LDX177" s="80"/>
      <c r="LDY177" s="80"/>
      <c r="LDZ177" s="80"/>
      <c r="LEA177" s="80"/>
      <c r="LEB177" s="80"/>
      <c r="LEC177" s="80"/>
      <c r="LED177" s="80"/>
      <c r="LEE177" s="80"/>
      <c r="LEF177" s="80"/>
      <c r="LEG177" s="80"/>
      <c r="LEH177" s="80"/>
      <c r="LEI177" s="80"/>
      <c r="LEJ177" s="80"/>
      <c r="LEK177" s="80"/>
      <c r="LEL177" s="80"/>
      <c r="LEM177" s="80"/>
      <c r="LEN177" s="80"/>
      <c r="LEO177" s="80"/>
      <c r="LEP177" s="80"/>
      <c r="LEQ177" s="80"/>
      <c r="LER177" s="80"/>
      <c r="LES177" s="80"/>
      <c r="LET177" s="80"/>
      <c r="LEU177" s="80"/>
      <c r="LEV177" s="80"/>
      <c r="LEW177" s="80"/>
      <c r="LEX177" s="80"/>
      <c r="LEY177" s="80"/>
      <c r="LEZ177" s="80"/>
      <c r="LFA177" s="80"/>
      <c r="LFB177" s="80"/>
      <c r="LFC177" s="80"/>
      <c r="LFD177" s="80"/>
      <c r="LFE177" s="80"/>
      <c r="LFF177" s="80"/>
      <c r="LFG177" s="80"/>
      <c r="LFH177" s="80"/>
      <c r="LFI177" s="80"/>
      <c r="LFJ177" s="80"/>
      <c r="LFK177" s="80"/>
      <c r="LFL177" s="80"/>
      <c r="LFM177" s="80"/>
      <c r="LFN177" s="80"/>
      <c r="LFO177" s="80"/>
      <c r="LFP177" s="80"/>
      <c r="LFQ177" s="80"/>
      <c r="LFR177" s="80"/>
      <c r="LFS177" s="80"/>
      <c r="LFT177" s="80"/>
      <c r="LFU177" s="80"/>
      <c r="LFV177" s="80"/>
      <c r="LFW177" s="80"/>
      <c r="LFX177" s="80"/>
      <c r="LFY177" s="80"/>
      <c r="LFZ177" s="80"/>
      <c r="LGA177" s="80"/>
      <c r="LGB177" s="80"/>
      <c r="LGC177" s="80"/>
      <c r="LGD177" s="80"/>
      <c r="LGE177" s="80"/>
      <c r="LGF177" s="80"/>
      <c r="LGG177" s="80"/>
      <c r="LGH177" s="80"/>
      <c r="LGI177" s="80"/>
      <c r="LGJ177" s="80"/>
      <c r="LGK177" s="80"/>
      <c r="LGL177" s="80"/>
      <c r="LGM177" s="80"/>
      <c r="LGN177" s="80"/>
      <c r="LGO177" s="80"/>
      <c r="LGP177" s="80"/>
      <c r="LGQ177" s="80"/>
      <c r="LGR177" s="80"/>
      <c r="LGS177" s="80"/>
      <c r="LGT177" s="80"/>
      <c r="LGU177" s="80"/>
      <c r="LGV177" s="80"/>
      <c r="LGW177" s="80"/>
      <c r="LGX177" s="80"/>
      <c r="LGY177" s="80"/>
      <c r="LGZ177" s="80"/>
      <c r="LHA177" s="80"/>
      <c r="LHB177" s="80"/>
      <c r="LHC177" s="80"/>
      <c r="LHD177" s="80"/>
      <c r="LHE177" s="80"/>
      <c r="LHF177" s="80"/>
      <c r="LHG177" s="80"/>
      <c r="LHH177" s="80"/>
      <c r="LHI177" s="80"/>
      <c r="LHJ177" s="80"/>
      <c r="LHK177" s="80"/>
      <c r="LHL177" s="80"/>
      <c r="LHM177" s="80"/>
      <c r="LHN177" s="80"/>
      <c r="LHO177" s="80"/>
      <c r="LHP177" s="80"/>
      <c r="LHQ177" s="80"/>
      <c r="LHR177" s="80"/>
      <c r="LHS177" s="80"/>
      <c r="LHT177" s="80"/>
      <c r="LHU177" s="80"/>
      <c r="LHV177" s="80"/>
      <c r="LHW177" s="80"/>
      <c r="LHX177" s="80"/>
      <c r="LHY177" s="80"/>
      <c r="LHZ177" s="80"/>
      <c r="LIA177" s="80"/>
      <c r="LIB177" s="80"/>
      <c r="LIC177" s="80"/>
      <c r="LID177" s="80"/>
      <c r="LIE177" s="80"/>
      <c r="LIF177" s="80"/>
      <c r="LIG177" s="80"/>
      <c r="LIH177" s="80"/>
      <c r="LII177" s="80"/>
      <c r="LIJ177" s="80"/>
      <c r="LIK177" s="80"/>
      <c r="LIL177" s="80"/>
      <c r="LIM177" s="80"/>
      <c r="LIN177" s="80"/>
      <c r="LIO177" s="80"/>
      <c r="LIP177" s="80"/>
      <c r="LIQ177" s="80"/>
      <c r="LIR177" s="80"/>
      <c r="LIS177" s="80"/>
      <c r="LIT177" s="80"/>
      <c r="LIU177" s="80"/>
      <c r="LIV177" s="80"/>
      <c r="LIW177" s="80"/>
      <c r="LIX177" s="80"/>
      <c r="LIY177" s="80"/>
      <c r="LIZ177" s="80"/>
      <c r="LJA177" s="80"/>
      <c r="LJB177" s="80"/>
      <c r="LJC177" s="80"/>
      <c r="LJD177" s="80"/>
      <c r="LJE177" s="80"/>
      <c r="LJF177" s="80"/>
      <c r="LJG177" s="80"/>
      <c r="LJH177" s="80"/>
      <c r="LJI177" s="80"/>
      <c r="LJJ177" s="80"/>
      <c r="LJK177" s="80"/>
      <c r="LJL177" s="80"/>
      <c r="LJM177" s="80"/>
      <c r="LJN177" s="80"/>
      <c r="LJO177" s="80"/>
      <c r="LJP177" s="80"/>
      <c r="LJQ177" s="80"/>
      <c r="LJR177" s="80"/>
      <c r="LJS177" s="80"/>
      <c r="LJT177" s="80"/>
      <c r="LJU177" s="80"/>
      <c r="LJV177" s="80"/>
      <c r="LJW177" s="80"/>
      <c r="LJX177" s="80"/>
      <c r="LJY177" s="80"/>
      <c r="LJZ177" s="80"/>
      <c r="LKA177" s="80"/>
      <c r="LKB177" s="80"/>
      <c r="LKC177" s="80"/>
      <c r="LKD177" s="80"/>
      <c r="LKE177" s="80"/>
      <c r="LKF177" s="80"/>
      <c r="LKG177" s="80"/>
      <c r="LKH177" s="80"/>
      <c r="LKI177" s="80"/>
      <c r="LKJ177" s="80"/>
      <c r="LKK177" s="80"/>
      <c r="LKL177" s="80"/>
      <c r="LKM177" s="80"/>
      <c r="LKN177" s="80"/>
      <c r="LKO177" s="80"/>
      <c r="LKP177" s="80"/>
      <c r="LKQ177" s="80"/>
      <c r="LKR177" s="80"/>
      <c r="LKS177" s="80"/>
      <c r="LKT177" s="80"/>
      <c r="LKU177" s="80"/>
      <c r="LKV177" s="80"/>
      <c r="LKW177" s="80"/>
      <c r="LKX177" s="80"/>
      <c r="LKY177" s="80"/>
      <c r="LKZ177" s="80"/>
      <c r="LLA177" s="80"/>
      <c r="LLB177" s="80"/>
      <c r="LLC177" s="80"/>
      <c r="LLD177" s="80"/>
      <c r="LLE177" s="80"/>
      <c r="LLF177" s="80"/>
      <c r="LLG177" s="80"/>
      <c r="LLH177" s="80"/>
      <c r="LLI177" s="80"/>
      <c r="LLJ177" s="80"/>
      <c r="LLK177" s="80"/>
      <c r="LLL177" s="80"/>
      <c r="LLM177" s="80"/>
      <c r="LLN177" s="80"/>
      <c r="LLO177" s="80"/>
      <c r="LLP177" s="80"/>
      <c r="LLQ177" s="80"/>
      <c r="LLR177" s="80"/>
      <c r="LLS177" s="80"/>
      <c r="LLT177" s="80"/>
      <c r="LLU177" s="80"/>
      <c r="LLV177" s="80"/>
      <c r="LLW177" s="80"/>
      <c r="LLX177" s="80"/>
      <c r="LLY177" s="80"/>
      <c r="LLZ177" s="80"/>
      <c r="LMA177" s="80"/>
      <c r="LMB177" s="80"/>
      <c r="LMC177" s="80"/>
      <c r="LMD177" s="80"/>
      <c r="LME177" s="80"/>
      <c r="LMF177" s="80"/>
      <c r="LMG177" s="80"/>
      <c r="LMH177" s="80"/>
      <c r="LMI177" s="80"/>
      <c r="LMJ177" s="80"/>
      <c r="LMK177" s="80"/>
      <c r="LML177" s="80"/>
      <c r="LMM177" s="80"/>
      <c r="LMN177" s="80"/>
      <c r="LMO177" s="80"/>
      <c r="LMP177" s="80"/>
      <c r="LMQ177" s="80"/>
      <c r="LMR177" s="80"/>
      <c r="LMS177" s="80"/>
      <c r="LMT177" s="80"/>
      <c r="LMU177" s="80"/>
      <c r="LMV177" s="80"/>
      <c r="LMW177" s="80"/>
      <c r="LMX177" s="80"/>
      <c r="LMY177" s="80"/>
      <c r="LMZ177" s="80"/>
      <c r="LNA177" s="80"/>
      <c r="LNB177" s="80"/>
      <c r="LNC177" s="80"/>
      <c r="LND177" s="80"/>
      <c r="LNE177" s="80"/>
      <c r="LNF177" s="80"/>
      <c r="LNG177" s="80"/>
      <c r="LNH177" s="80"/>
      <c r="LNI177" s="80"/>
      <c r="LNJ177" s="80"/>
      <c r="LNK177" s="80"/>
      <c r="LNL177" s="80"/>
      <c r="LNM177" s="80"/>
      <c r="LNN177" s="80"/>
      <c r="LNO177" s="80"/>
      <c r="LNP177" s="80"/>
      <c r="LNQ177" s="80"/>
      <c r="LNR177" s="80"/>
      <c r="LNS177" s="80"/>
      <c r="LNT177" s="80"/>
      <c r="LNU177" s="80"/>
      <c r="LNV177" s="80"/>
      <c r="LNW177" s="80"/>
      <c r="LNX177" s="80"/>
      <c r="LNY177" s="80"/>
      <c r="LNZ177" s="80"/>
      <c r="LOA177" s="80"/>
      <c r="LOB177" s="80"/>
      <c r="LOC177" s="80"/>
      <c r="LOD177" s="80"/>
      <c r="LOE177" s="80"/>
      <c r="LOF177" s="80"/>
      <c r="LOG177" s="80"/>
      <c r="LOH177" s="80"/>
      <c r="LOI177" s="80"/>
      <c r="LOJ177" s="80"/>
      <c r="LOK177" s="80"/>
      <c r="LOL177" s="80"/>
      <c r="LOM177" s="80"/>
      <c r="LON177" s="80"/>
      <c r="LOO177" s="80"/>
      <c r="LOP177" s="80"/>
      <c r="LOQ177" s="80"/>
      <c r="LOR177" s="80"/>
      <c r="LOS177" s="80"/>
      <c r="LOT177" s="80"/>
      <c r="LOU177" s="80"/>
      <c r="LOV177" s="80"/>
      <c r="LOW177" s="80"/>
      <c r="LOX177" s="80"/>
      <c r="LOY177" s="80"/>
      <c r="LOZ177" s="80"/>
      <c r="LPA177" s="80"/>
      <c r="LPB177" s="80"/>
      <c r="LPC177" s="80"/>
      <c r="LPD177" s="80"/>
      <c r="LPE177" s="80"/>
      <c r="LPF177" s="80"/>
      <c r="LPG177" s="80"/>
      <c r="LPH177" s="80"/>
      <c r="LPI177" s="80"/>
      <c r="LPJ177" s="80"/>
      <c r="LPK177" s="80"/>
      <c r="LPL177" s="80"/>
      <c r="LPM177" s="80"/>
      <c r="LPN177" s="80"/>
      <c r="LPO177" s="80"/>
      <c r="LPP177" s="80"/>
      <c r="LPQ177" s="80"/>
      <c r="LPR177" s="80"/>
      <c r="LPS177" s="80"/>
      <c r="LPT177" s="80"/>
      <c r="LPU177" s="80"/>
      <c r="LPV177" s="80"/>
      <c r="LPW177" s="80"/>
      <c r="LPX177" s="80"/>
      <c r="LPY177" s="80"/>
      <c r="LPZ177" s="80"/>
      <c r="LQA177" s="80"/>
      <c r="LQB177" s="80"/>
      <c r="LQC177" s="80"/>
      <c r="LQD177" s="80"/>
      <c r="LQE177" s="80"/>
      <c r="LQF177" s="80"/>
      <c r="LQG177" s="80"/>
      <c r="LQH177" s="80"/>
      <c r="LQI177" s="80"/>
      <c r="LQJ177" s="80"/>
      <c r="LQK177" s="80"/>
      <c r="LQL177" s="80"/>
      <c r="LQM177" s="80"/>
      <c r="LQN177" s="80"/>
      <c r="LQO177" s="80"/>
      <c r="LQP177" s="80"/>
      <c r="LQQ177" s="80"/>
      <c r="LQR177" s="80"/>
      <c r="LQS177" s="80"/>
      <c r="LQT177" s="80"/>
      <c r="LQU177" s="80"/>
      <c r="LQV177" s="80"/>
      <c r="LQW177" s="80"/>
      <c r="LQX177" s="80"/>
      <c r="LQY177" s="80"/>
      <c r="LQZ177" s="80"/>
      <c r="LRA177" s="80"/>
      <c r="LRB177" s="80"/>
      <c r="LRC177" s="80"/>
      <c r="LRD177" s="80"/>
      <c r="LRE177" s="80"/>
      <c r="LRF177" s="80"/>
      <c r="LRG177" s="80"/>
      <c r="LRH177" s="80"/>
      <c r="LRI177" s="80"/>
      <c r="LRJ177" s="80"/>
      <c r="LRK177" s="80"/>
      <c r="LRL177" s="80"/>
      <c r="LRM177" s="80"/>
      <c r="LRN177" s="80"/>
      <c r="LRO177" s="80"/>
      <c r="LRP177" s="80"/>
      <c r="LRQ177" s="80"/>
      <c r="LRR177" s="80"/>
      <c r="LRS177" s="80"/>
      <c r="LRT177" s="80"/>
      <c r="LRU177" s="80"/>
      <c r="LRV177" s="80"/>
      <c r="LRW177" s="80"/>
      <c r="LRX177" s="80"/>
      <c r="LRY177" s="80"/>
      <c r="LRZ177" s="80"/>
      <c r="LSA177" s="80"/>
      <c r="LSB177" s="80"/>
      <c r="LSC177" s="80"/>
      <c r="LSD177" s="80"/>
      <c r="LSE177" s="80"/>
      <c r="LSF177" s="80"/>
      <c r="LSG177" s="80"/>
      <c r="LSH177" s="80"/>
      <c r="LSI177" s="80"/>
      <c r="LSJ177" s="80"/>
      <c r="LSK177" s="80"/>
      <c r="LSL177" s="80"/>
      <c r="LSM177" s="80"/>
      <c r="LSN177" s="80"/>
      <c r="LSO177" s="80"/>
      <c r="LSP177" s="80"/>
      <c r="LSQ177" s="80"/>
      <c r="LSR177" s="80"/>
      <c r="LSS177" s="80"/>
      <c r="LST177" s="80"/>
      <c r="LSU177" s="80"/>
      <c r="LSV177" s="80"/>
      <c r="LSW177" s="80"/>
      <c r="LSX177" s="80"/>
      <c r="LSY177" s="80"/>
      <c r="LSZ177" s="80"/>
      <c r="LTA177" s="80"/>
      <c r="LTB177" s="80"/>
      <c r="LTC177" s="80"/>
      <c r="LTD177" s="80"/>
      <c r="LTE177" s="80"/>
      <c r="LTF177" s="80"/>
      <c r="LTG177" s="80"/>
      <c r="LTH177" s="80"/>
      <c r="LTI177" s="80"/>
      <c r="LTJ177" s="80"/>
      <c r="LTK177" s="80"/>
      <c r="LTL177" s="80"/>
      <c r="LTM177" s="80"/>
      <c r="LTN177" s="80"/>
      <c r="LTO177" s="80"/>
      <c r="LTP177" s="80"/>
      <c r="LTQ177" s="80"/>
      <c r="LTR177" s="80"/>
      <c r="LTS177" s="80"/>
      <c r="LTT177" s="80"/>
      <c r="LTU177" s="80"/>
      <c r="LTV177" s="80"/>
      <c r="LTW177" s="80"/>
      <c r="LTX177" s="80"/>
      <c r="LTY177" s="80"/>
      <c r="LTZ177" s="80"/>
      <c r="LUA177" s="80"/>
      <c r="LUB177" s="80"/>
      <c r="LUC177" s="80"/>
      <c r="LUD177" s="80"/>
      <c r="LUE177" s="80"/>
      <c r="LUF177" s="80"/>
      <c r="LUG177" s="80"/>
      <c r="LUH177" s="80"/>
      <c r="LUI177" s="80"/>
      <c r="LUJ177" s="80"/>
      <c r="LUK177" s="80"/>
      <c r="LUL177" s="80"/>
      <c r="LUM177" s="80"/>
      <c r="LUN177" s="80"/>
      <c r="LUO177" s="80"/>
      <c r="LUP177" s="80"/>
      <c r="LUQ177" s="80"/>
      <c r="LUR177" s="80"/>
      <c r="LUS177" s="80"/>
      <c r="LUT177" s="80"/>
      <c r="LUU177" s="80"/>
      <c r="LUV177" s="80"/>
      <c r="LUW177" s="80"/>
      <c r="LUX177" s="80"/>
      <c r="LUY177" s="80"/>
      <c r="LUZ177" s="80"/>
      <c r="LVA177" s="80"/>
      <c r="LVB177" s="80"/>
      <c r="LVC177" s="80"/>
      <c r="LVD177" s="80"/>
      <c r="LVE177" s="80"/>
      <c r="LVF177" s="80"/>
      <c r="LVG177" s="80"/>
      <c r="LVH177" s="80"/>
      <c r="LVI177" s="80"/>
      <c r="LVJ177" s="80"/>
      <c r="LVK177" s="80"/>
      <c r="LVL177" s="80"/>
      <c r="LVM177" s="80"/>
      <c r="LVN177" s="80"/>
      <c r="LVO177" s="80"/>
      <c r="LVP177" s="80"/>
      <c r="LVQ177" s="80"/>
      <c r="LVR177" s="80"/>
      <c r="LVS177" s="80"/>
      <c r="LVT177" s="80"/>
      <c r="LVU177" s="80"/>
      <c r="LVV177" s="80"/>
      <c r="LVW177" s="80"/>
      <c r="LVX177" s="80"/>
      <c r="LVY177" s="80"/>
      <c r="LVZ177" s="80"/>
      <c r="LWA177" s="80"/>
      <c r="LWB177" s="80"/>
      <c r="LWC177" s="80"/>
      <c r="LWD177" s="80"/>
      <c r="LWE177" s="80"/>
      <c r="LWF177" s="80"/>
      <c r="LWG177" s="80"/>
      <c r="LWH177" s="80"/>
      <c r="LWI177" s="80"/>
      <c r="LWJ177" s="80"/>
      <c r="LWK177" s="80"/>
      <c r="LWL177" s="80"/>
      <c r="LWM177" s="80"/>
      <c r="LWN177" s="80"/>
      <c r="LWO177" s="80"/>
      <c r="LWP177" s="80"/>
      <c r="LWQ177" s="80"/>
      <c r="LWR177" s="80"/>
      <c r="LWS177" s="80"/>
      <c r="LWT177" s="80"/>
      <c r="LWU177" s="80"/>
      <c r="LWV177" s="80"/>
      <c r="LWW177" s="80"/>
      <c r="LWX177" s="80"/>
      <c r="LWY177" s="80"/>
      <c r="LWZ177" s="80"/>
      <c r="LXA177" s="80"/>
      <c r="LXB177" s="80"/>
      <c r="LXC177" s="80"/>
      <c r="LXD177" s="80"/>
      <c r="LXE177" s="80"/>
      <c r="LXF177" s="80"/>
      <c r="LXG177" s="80"/>
      <c r="LXH177" s="80"/>
      <c r="LXI177" s="80"/>
      <c r="LXJ177" s="80"/>
      <c r="LXK177" s="80"/>
      <c r="LXL177" s="80"/>
      <c r="LXM177" s="80"/>
      <c r="LXN177" s="80"/>
      <c r="LXO177" s="80"/>
      <c r="LXP177" s="80"/>
      <c r="LXQ177" s="80"/>
      <c r="LXR177" s="80"/>
      <c r="LXS177" s="80"/>
      <c r="LXT177" s="80"/>
      <c r="LXU177" s="80"/>
      <c r="LXV177" s="80"/>
      <c r="LXW177" s="80"/>
      <c r="LXX177" s="80"/>
      <c r="LXY177" s="80"/>
      <c r="LXZ177" s="80"/>
      <c r="LYA177" s="80"/>
      <c r="LYB177" s="80"/>
      <c r="LYC177" s="80"/>
      <c r="LYD177" s="80"/>
      <c r="LYE177" s="80"/>
      <c r="LYF177" s="80"/>
      <c r="LYG177" s="80"/>
      <c r="LYH177" s="80"/>
      <c r="LYI177" s="80"/>
      <c r="LYJ177" s="80"/>
      <c r="LYK177" s="80"/>
      <c r="LYL177" s="80"/>
      <c r="LYM177" s="80"/>
      <c r="LYN177" s="80"/>
      <c r="LYO177" s="80"/>
      <c r="LYP177" s="80"/>
      <c r="LYQ177" s="80"/>
      <c r="LYR177" s="80"/>
      <c r="LYS177" s="80"/>
      <c r="LYT177" s="80"/>
      <c r="LYU177" s="80"/>
      <c r="LYV177" s="80"/>
      <c r="LYW177" s="80"/>
      <c r="LYX177" s="80"/>
      <c r="LYY177" s="80"/>
      <c r="LYZ177" s="80"/>
      <c r="LZA177" s="80"/>
      <c r="LZB177" s="80"/>
      <c r="LZC177" s="80"/>
      <c r="LZD177" s="80"/>
      <c r="LZE177" s="80"/>
      <c r="LZF177" s="80"/>
      <c r="LZG177" s="80"/>
      <c r="LZH177" s="80"/>
      <c r="LZI177" s="80"/>
      <c r="LZJ177" s="80"/>
      <c r="LZK177" s="80"/>
      <c r="LZL177" s="80"/>
      <c r="LZM177" s="80"/>
      <c r="LZN177" s="80"/>
      <c r="LZO177" s="80"/>
      <c r="LZP177" s="80"/>
      <c r="LZQ177" s="80"/>
      <c r="LZR177" s="80"/>
      <c r="LZS177" s="80"/>
      <c r="LZT177" s="80"/>
      <c r="LZU177" s="80"/>
      <c r="LZV177" s="80"/>
      <c r="LZW177" s="80"/>
      <c r="LZX177" s="80"/>
      <c r="LZY177" s="80"/>
      <c r="LZZ177" s="80"/>
      <c r="MAA177" s="80"/>
      <c r="MAB177" s="80"/>
      <c r="MAC177" s="80"/>
      <c r="MAD177" s="80"/>
      <c r="MAE177" s="80"/>
      <c r="MAF177" s="80"/>
      <c r="MAG177" s="80"/>
      <c r="MAH177" s="80"/>
      <c r="MAI177" s="80"/>
      <c r="MAJ177" s="80"/>
      <c r="MAK177" s="80"/>
      <c r="MAL177" s="80"/>
      <c r="MAM177" s="80"/>
      <c r="MAN177" s="80"/>
      <c r="MAO177" s="80"/>
      <c r="MAP177" s="80"/>
      <c r="MAQ177" s="80"/>
      <c r="MAR177" s="80"/>
      <c r="MAS177" s="80"/>
      <c r="MAT177" s="80"/>
      <c r="MAU177" s="80"/>
      <c r="MAV177" s="80"/>
      <c r="MAW177" s="80"/>
      <c r="MAX177" s="80"/>
      <c r="MAY177" s="80"/>
      <c r="MAZ177" s="80"/>
      <c r="MBA177" s="80"/>
      <c r="MBB177" s="80"/>
      <c r="MBC177" s="80"/>
      <c r="MBD177" s="80"/>
      <c r="MBE177" s="80"/>
      <c r="MBF177" s="80"/>
      <c r="MBG177" s="80"/>
      <c r="MBH177" s="80"/>
      <c r="MBI177" s="80"/>
      <c r="MBJ177" s="80"/>
      <c r="MBK177" s="80"/>
      <c r="MBL177" s="80"/>
      <c r="MBM177" s="80"/>
      <c r="MBN177" s="80"/>
      <c r="MBO177" s="80"/>
      <c r="MBP177" s="80"/>
      <c r="MBQ177" s="80"/>
      <c r="MBR177" s="80"/>
      <c r="MBS177" s="80"/>
      <c r="MBT177" s="80"/>
      <c r="MBU177" s="80"/>
      <c r="MBV177" s="80"/>
      <c r="MBW177" s="80"/>
      <c r="MBX177" s="80"/>
      <c r="MBY177" s="80"/>
      <c r="MBZ177" s="80"/>
      <c r="MCA177" s="80"/>
      <c r="MCB177" s="80"/>
      <c r="MCC177" s="80"/>
      <c r="MCD177" s="80"/>
      <c r="MCE177" s="80"/>
      <c r="MCF177" s="80"/>
      <c r="MCG177" s="80"/>
      <c r="MCH177" s="80"/>
      <c r="MCI177" s="80"/>
      <c r="MCJ177" s="80"/>
      <c r="MCK177" s="80"/>
      <c r="MCL177" s="80"/>
      <c r="MCM177" s="80"/>
      <c r="MCN177" s="80"/>
      <c r="MCO177" s="80"/>
      <c r="MCP177" s="80"/>
      <c r="MCQ177" s="80"/>
      <c r="MCR177" s="80"/>
      <c r="MCS177" s="80"/>
      <c r="MCT177" s="80"/>
      <c r="MCU177" s="80"/>
      <c r="MCV177" s="80"/>
      <c r="MCW177" s="80"/>
      <c r="MCX177" s="80"/>
      <c r="MCY177" s="80"/>
      <c r="MCZ177" s="80"/>
      <c r="MDA177" s="80"/>
      <c r="MDB177" s="80"/>
      <c r="MDC177" s="80"/>
      <c r="MDD177" s="80"/>
      <c r="MDE177" s="80"/>
      <c r="MDF177" s="80"/>
      <c r="MDG177" s="80"/>
      <c r="MDH177" s="80"/>
      <c r="MDI177" s="80"/>
      <c r="MDJ177" s="80"/>
      <c r="MDK177" s="80"/>
      <c r="MDL177" s="80"/>
      <c r="MDM177" s="80"/>
      <c r="MDN177" s="80"/>
      <c r="MDO177" s="80"/>
      <c r="MDP177" s="80"/>
      <c r="MDQ177" s="80"/>
      <c r="MDR177" s="80"/>
      <c r="MDS177" s="80"/>
      <c r="MDT177" s="80"/>
      <c r="MDU177" s="80"/>
      <c r="MDV177" s="80"/>
      <c r="MDW177" s="80"/>
      <c r="MDX177" s="80"/>
      <c r="MDY177" s="80"/>
      <c r="MDZ177" s="80"/>
      <c r="MEA177" s="80"/>
      <c r="MEB177" s="80"/>
      <c r="MEC177" s="80"/>
      <c r="MED177" s="80"/>
      <c r="MEE177" s="80"/>
      <c r="MEF177" s="80"/>
      <c r="MEG177" s="80"/>
      <c r="MEH177" s="80"/>
      <c r="MEI177" s="80"/>
      <c r="MEJ177" s="80"/>
      <c r="MEK177" s="80"/>
      <c r="MEL177" s="80"/>
      <c r="MEM177" s="80"/>
      <c r="MEN177" s="80"/>
      <c r="MEO177" s="80"/>
      <c r="MEP177" s="80"/>
      <c r="MEQ177" s="80"/>
      <c r="MER177" s="80"/>
      <c r="MES177" s="80"/>
      <c r="MET177" s="80"/>
      <c r="MEU177" s="80"/>
      <c r="MEV177" s="80"/>
      <c r="MEW177" s="80"/>
      <c r="MEX177" s="80"/>
      <c r="MEY177" s="80"/>
      <c r="MEZ177" s="80"/>
      <c r="MFA177" s="80"/>
      <c r="MFB177" s="80"/>
      <c r="MFC177" s="80"/>
      <c r="MFD177" s="80"/>
      <c r="MFE177" s="80"/>
      <c r="MFF177" s="80"/>
      <c r="MFG177" s="80"/>
      <c r="MFH177" s="80"/>
      <c r="MFI177" s="80"/>
      <c r="MFJ177" s="80"/>
      <c r="MFK177" s="80"/>
      <c r="MFL177" s="80"/>
      <c r="MFM177" s="80"/>
      <c r="MFN177" s="80"/>
      <c r="MFO177" s="80"/>
      <c r="MFP177" s="80"/>
      <c r="MFQ177" s="80"/>
      <c r="MFR177" s="80"/>
      <c r="MFS177" s="80"/>
      <c r="MFT177" s="80"/>
      <c r="MFU177" s="80"/>
      <c r="MFV177" s="80"/>
      <c r="MFW177" s="80"/>
      <c r="MFX177" s="80"/>
      <c r="MFY177" s="80"/>
      <c r="MFZ177" s="80"/>
      <c r="MGA177" s="80"/>
      <c r="MGB177" s="80"/>
      <c r="MGC177" s="80"/>
      <c r="MGD177" s="80"/>
      <c r="MGE177" s="80"/>
      <c r="MGF177" s="80"/>
      <c r="MGG177" s="80"/>
      <c r="MGH177" s="80"/>
      <c r="MGI177" s="80"/>
      <c r="MGJ177" s="80"/>
      <c r="MGK177" s="80"/>
      <c r="MGL177" s="80"/>
      <c r="MGM177" s="80"/>
      <c r="MGN177" s="80"/>
      <c r="MGO177" s="80"/>
      <c r="MGP177" s="80"/>
      <c r="MGQ177" s="80"/>
      <c r="MGR177" s="80"/>
      <c r="MGS177" s="80"/>
      <c r="MGT177" s="80"/>
      <c r="MGU177" s="80"/>
      <c r="MGV177" s="80"/>
      <c r="MGW177" s="80"/>
      <c r="MGX177" s="80"/>
      <c r="MGY177" s="80"/>
      <c r="MGZ177" s="80"/>
      <c r="MHA177" s="80"/>
      <c r="MHB177" s="80"/>
      <c r="MHC177" s="80"/>
      <c r="MHD177" s="80"/>
      <c r="MHE177" s="80"/>
      <c r="MHF177" s="80"/>
      <c r="MHG177" s="80"/>
      <c r="MHH177" s="80"/>
      <c r="MHI177" s="80"/>
      <c r="MHJ177" s="80"/>
      <c r="MHK177" s="80"/>
      <c r="MHL177" s="80"/>
      <c r="MHM177" s="80"/>
      <c r="MHN177" s="80"/>
      <c r="MHO177" s="80"/>
      <c r="MHP177" s="80"/>
      <c r="MHQ177" s="80"/>
      <c r="MHR177" s="80"/>
      <c r="MHS177" s="80"/>
      <c r="MHT177" s="80"/>
      <c r="MHU177" s="80"/>
      <c r="MHV177" s="80"/>
      <c r="MHW177" s="80"/>
      <c r="MHX177" s="80"/>
      <c r="MHY177" s="80"/>
      <c r="MHZ177" s="80"/>
      <c r="MIA177" s="80"/>
      <c r="MIB177" s="80"/>
      <c r="MIC177" s="80"/>
      <c r="MID177" s="80"/>
      <c r="MIE177" s="80"/>
      <c r="MIF177" s="80"/>
      <c r="MIG177" s="80"/>
      <c r="MIH177" s="80"/>
      <c r="MII177" s="80"/>
      <c r="MIJ177" s="80"/>
      <c r="MIK177" s="80"/>
      <c r="MIL177" s="80"/>
      <c r="MIM177" s="80"/>
      <c r="MIN177" s="80"/>
      <c r="MIO177" s="80"/>
      <c r="MIP177" s="80"/>
      <c r="MIQ177" s="80"/>
      <c r="MIR177" s="80"/>
      <c r="MIS177" s="80"/>
      <c r="MIT177" s="80"/>
      <c r="MIU177" s="80"/>
      <c r="MIV177" s="80"/>
      <c r="MIW177" s="80"/>
      <c r="MIX177" s="80"/>
      <c r="MIY177" s="80"/>
      <c r="MIZ177" s="80"/>
      <c r="MJA177" s="80"/>
      <c r="MJB177" s="80"/>
      <c r="MJC177" s="80"/>
      <c r="MJD177" s="80"/>
      <c r="MJE177" s="80"/>
      <c r="MJF177" s="80"/>
      <c r="MJG177" s="80"/>
      <c r="MJH177" s="80"/>
      <c r="MJI177" s="80"/>
      <c r="MJJ177" s="80"/>
      <c r="MJK177" s="80"/>
      <c r="MJL177" s="80"/>
      <c r="MJM177" s="80"/>
      <c r="MJN177" s="80"/>
      <c r="MJO177" s="80"/>
      <c r="MJP177" s="80"/>
      <c r="MJQ177" s="80"/>
      <c r="MJR177" s="80"/>
      <c r="MJS177" s="80"/>
      <c r="MJT177" s="80"/>
      <c r="MJU177" s="80"/>
      <c r="MJV177" s="80"/>
      <c r="MJW177" s="80"/>
      <c r="MJX177" s="80"/>
      <c r="MJY177" s="80"/>
      <c r="MJZ177" s="80"/>
      <c r="MKA177" s="80"/>
      <c r="MKB177" s="80"/>
      <c r="MKC177" s="80"/>
      <c r="MKD177" s="80"/>
      <c r="MKE177" s="80"/>
      <c r="MKF177" s="80"/>
      <c r="MKG177" s="80"/>
      <c r="MKH177" s="80"/>
      <c r="MKI177" s="80"/>
      <c r="MKJ177" s="80"/>
      <c r="MKK177" s="80"/>
      <c r="MKL177" s="80"/>
      <c r="MKM177" s="80"/>
      <c r="MKN177" s="80"/>
      <c r="MKO177" s="80"/>
      <c r="MKP177" s="80"/>
      <c r="MKQ177" s="80"/>
      <c r="MKR177" s="80"/>
      <c r="MKS177" s="80"/>
      <c r="MKT177" s="80"/>
      <c r="MKU177" s="80"/>
      <c r="MKV177" s="80"/>
      <c r="MKW177" s="80"/>
      <c r="MKX177" s="80"/>
      <c r="MKY177" s="80"/>
      <c r="MKZ177" s="80"/>
      <c r="MLA177" s="80"/>
      <c r="MLB177" s="80"/>
      <c r="MLC177" s="80"/>
      <c r="MLD177" s="80"/>
      <c r="MLE177" s="80"/>
      <c r="MLF177" s="80"/>
      <c r="MLG177" s="80"/>
      <c r="MLH177" s="80"/>
      <c r="MLI177" s="80"/>
      <c r="MLJ177" s="80"/>
      <c r="MLK177" s="80"/>
      <c r="MLL177" s="80"/>
      <c r="MLM177" s="80"/>
      <c r="MLN177" s="80"/>
      <c r="MLO177" s="80"/>
      <c r="MLP177" s="80"/>
      <c r="MLQ177" s="80"/>
      <c r="MLR177" s="80"/>
      <c r="MLS177" s="80"/>
      <c r="MLT177" s="80"/>
      <c r="MLU177" s="80"/>
      <c r="MLV177" s="80"/>
      <c r="MLW177" s="80"/>
      <c r="MLX177" s="80"/>
      <c r="MLY177" s="80"/>
      <c r="MLZ177" s="80"/>
      <c r="MMA177" s="80"/>
      <c r="MMB177" s="80"/>
      <c r="MMC177" s="80"/>
      <c r="MMD177" s="80"/>
      <c r="MME177" s="80"/>
      <c r="MMF177" s="80"/>
      <c r="MMG177" s="80"/>
      <c r="MMH177" s="80"/>
      <c r="MMI177" s="80"/>
      <c r="MMJ177" s="80"/>
      <c r="MMK177" s="80"/>
      <c r="MML177" s="80"/>
      <c r="MMM177" s="80"/>
      <c r="MMN177" s="80"/>
      <c r="MMO177" s="80"/>
      <c r="MMP177" s="80"/>
      <c r="MMQ177" s="80"/>
      <c r="MMR177" s="80"/>
      <c r="MMS177" s="80"/>
      <c r="MMT177" s="80"/>
      <c r="MMU177" s="80"/>
      <c r="MMV177" s="80"/>
      <c r="MMW177" s="80"/>
      <c r="MMX177" s="80"/>
      <c r="MMY177" s="80"/>
      <c r="MMZ177" s="80"/>
      <c r="MNA177" s="80"/>
      <c r="MNB177" s="80"/>
      <c r="MNC177" s="80"/>
      <c r="MND177" s="80"/>
      <c r="MNE177" s="80"/>
      <c r="MNF177" s="80"/>
      <c r="MNG177" s="80"/>
      <c r="MNH177" s="80"/>
      <c r="MNI177" s="80"/>
      <c r="MNJ177" s="80"/>
      <c r="MNK177" s="80"/>
      <c r="MNL177" s="80"/>
      <c r="MNM177" s="80"/>
      <c r="MNN177" s="80"/>
      <c r="MNO177" s="80"/>
      <c r="MNP177" s="80"/>
      <c r="MNQ177" s="80"/>
      <c r="MNR177" s="80"/>
      <c r="MNS177" s="80"/>
      <c r="MNT177" s="80"/>
      <c r="MNU177" s="80"/>
      <c r="MNV177" s="80"/>
      <c r="MNW177" s="80"/>
      <c r="MNX177" s="80"/>
      <c r="MNY177" s="80"/>
      <c r="MNZ177" s="80"/>
      <c r="MOA177" s="80"/>
      <c r="MOB177" s="80"/>
      <c r="MOC177" s="80"/>
      <c r="MOD177" s="80"/>
      <c r="MOE177" s="80"/>
      <c r="MOF177" s="80"/>
      <c r="MOG177" s="80"/>
      <c r="MOH177" s="80"/>
      <c r="MOI177" s="80"/>
      <c r="MOJ177" s="80"/>
      <c r="MOK177" s="80"/>
      <c r="MOL177" s="80"/>
      <c r="MOM177" s="80"/>
      <c r="MON177" s="80"/>
      <c r="MOO177" s="80"/>
      <c r="MOP177" s="80"/>
      <c r="MOQ177" s="80"/>
      <c r="MOR177" s="80"/>
      <c r="MOS177" s="80"/>
      <c r="MOT177" s="80"/>
      <c r="MOU177" s="80"/>
      <c r="MOV177" s="80"/>
      <c r="MOW177" s="80"/>
      <c r="MOX177" s="80"/>
      <c r="MOY177" s="80"/>
      <c r="MOZ177" s="80"/>
      <c r="MPA177" s="80"/>
      <c r="MPB177" s="80"/>
      <c r="MPC177" s="80"/>
      <c r="MPD177" s="80"/>
      <c r="MPE177" s="80"/>
      <c r="MPF177" s="80"/>
      <c r="MPG177" s="80"/>
      <c r="MPH177" s="80"/>
      <c r="MPI177" s="80"/>
      <c r="MPJ177" s="80"/>
      <c r="MPK177" s="80"/>
      <c r="MPL177" s="80"/>
      <c r="MPM177" s="80"/>
      <c r="MPN177" s="80"/>
      <c r="MPO177" s="80"/>
      <c r="MPP177" s="80"/>
      <c r="MPQ177" s="80"/>
      <c r="MPR177" s="80"/>
      <c r="MPS177" s="80"/>
      <c r="MPT177" s="80"/>
      <c r="MPU177" s="80"/>
      <c r="MPV177" s="80"/>
      <c r="MPW177" s="80"/>
      <c r="MPX177" s="80"/>
      <c r="MPY177" s="80"/>
      <c r="MPZ177" s="80"/>
      <c r="MQA177" s="80"/>
      <c r="MQB177" s="80"/>
      <c r="MQC177" s="80"/>
      <c r="MQD177" s="80"/>
      <c r="MQE177" s="80"/>
      <c r="MQF177" s="80"/>
      <c r="MQG177" s="80"/>
      <c r="MQH177" s="80"/>
      <c r="MQI177" s="80"/>
      <c r="MQJ177" s="80"/>
      <c r="MQK177" s="80"/>
      <c r="MQL177" s="80"/>
      <c r="MQM177" s="80"/>
      <c r="MQN177" s="80"/>
      <c r="MQO177" s="80"/>
      <c r="MQP177" s="80"/>
      <c r="MQQ177" s="80"/>
      <c r="MQR177" s="80"/>
      <c r="MQS177" s="80"/>
      <c r="MQT177" s="80"/>
      <c r="MQU177" s="80"/>
      <c r="MQV177" s="80"/>
      <c r="MQW177" s="80"/>
      <c r="MQX177" s="80"/>
      <c r="MQY177" s="80"/>
      <c r="MQZ177" s="80"/>
      <c r="MRA177" s="80"/>
      <c r="MRB177" s="80"/>
      <c r="MRC177" s="80"/>
      <c r="MRD177" s="80"/>
      <c r="MRE177" s="80"/>
      <c r="MRF177" s="80"/>
      <c r="MRG177" s="80"/>
      <c r="MRH177" s="80"/>
      <c r="MRI177" s="80"/>
      <c r="MRJ177" s="80"/>
      <c r="MRK177" s="80"/>
      <c r="MRL177" s="80"/>
      <c r="MRM177" s="80"/>
      <c r="MRN177" s="80"/>
      <c r="MRO177" s="80"/>
      <c r="MRP177" s="80"/>
      <c r="MRQ177" s="80"/>
      <c r="MRR177" s="80"/>
      <c r="MRS177" s="80"/>
      <c r="MRT177" s="80"/>
      <c r="MRU177" s="80"/>
      <c r="MRV177" s="80"/>
      <c r="MRW177" s="80"/>
      <c r="MRX177" s="80"/>
      <c r="MRY177" s="80"/>
      <c r="MRZ177" s="80"/>
      <c r="MSA177" s="80"/>
      <c r="MSB177" s="80"/>
      <c r="MSC177" s="80"/>
      <c r="MSD177" s="80"/>
      <c r="MSE177" s="80"/>
      <c r="MSF177" s="80"/>
      <c r="MSG177" s="80"/>
      <c r="MSH177" s="80"/>
      <c r="MSI177" s="80"/>
      <c r="MSJ177" s="80"/>
      <c r="MSK177" s="80"/>
      <c r="MSL177" s="80"/>
      <c r="MSM177" s="80"/>
      <c r="MSN177" s="80"/>
      <c r="MSO177" s="80"/>
      <c r="MSP177" s="80"/>
      <c r="MSQ177" s="80"/>
      <c r="MSR177" s="80"/>
      <c r="MSS177" s="80"/>
      <c r="MST177" s="80"/>
      <c r="MSU177" s="80"/>
      <c r="MSV177" s="80"/>
      <c r="MSW177" s="80"/>
      <c r="MSX177" s="80"/>
      <c r="MSY177" s="80"/>
      <c r="MSZ177" s="80"/>
      <c r="MTA177" s="80"/>
      <c r="MTB177" s="80"/>
      <c r="MTC177" s="80"/>
      <c r="MTD177" s="80"/>
      <c r="MTE177" s="80"/>
      <c r="MTF177" s="80"/>
      <c r="MTG177" s="80"/>
      <c r="MTH177" s="80"/>
      <c r="MTI177" s="80"/>
      <c r="MTJ177" s="80"/>
      <c r="MTK177" s="80"/>
      <c r="MTL177" s="80"/>
      <c r="MTM177" s="80"/>
      <c r="MTN177" s="80"/>
      <c r="MTO177" s="80"/>
      <c r="MTP177" s="80"/>
      <c r="MTQ177" s="80"/>
      <c r="MTR177" s="80"/>
      <c r="MTS177" s="80"/>
      <c r="MTT177" s="80"/>
      <c r="MTU177" s="80"/>
      <c r="MTV177" s="80"/>
      <c r="MTW177" s="80"/>
      <c r="MTX177" s="80"/>
      <c r="MTY177" s="80"/>
      <c r="MTZ177" s="80"/>
      <c r="MUA177" s="80"/>
      <c r="MUB177" s="80"/>
      <c r="MUC177" s="80"/>
      <c r="MUD177" s="80"/>
      <c r="MUE177" s="80"/>
      <c r="MUF177" s="80"/>
      <c r="MUG177" s="80"/>
      <c r="MUH177" s="80"/>
      <c r="MUI177" s="80"/>
      <c r="MUJ177" s="80"/>
      <c r="MUK177" s="80"/>
      <c r="MUL177" s="80"/>
      <c r="MUM177" s="80"/>
      <c r="MUN177" s="80"/>
      <c r="MUO177" s="80"/>
      <c r="MUP177" s="80"/>
      <c r="MUQ177" s="80"/>
      <c r="MUR177" s="80"/>
      <c r="MUS177" s="80"/>
      <c r="MUT177" s="80"/>
      <c r="MUU177" s="80"/>
      <c r="MUV177" s="80"/>
      <c r="MUW177" s="80"/>
      <c r="MUX177" s="80"/>
      <c r="MUY177" s="80"/>
      <c r="MUZ177" s="80"/>
      <c r="MVA177" s="80"/>
      <c r="MVB177" s="80"/>
      <c r="MVC177" s="80"/>
      <c r="MVD177" s="80"/>
      <c r="MVE177" s="80"/>
      <c r="MVF177" s="80"/>
      <c r="MVG177" s="80"/>
      <c r="MVH177" s="80"/>
      <c r="MVI177" s="80"/>
      <c r="MVJ177" s="80"/>
      <c r="MVK177" s="80"/>
      <c r="MVL177" s="80"/>
      <c r="MVM177" s="80"/>
      <c r="MVN177" s="80"/>
      <c r="MVO177" s="80"/>
      <c r="MVP177" s="80"/>
      <c r="MVQ177" s="80"/>
      <c r="MVR177" s="80"/>
      <c r="MVS177" s="80"/>
      <c r="MVT177" s="80"/>
      <c r="MVU177" s="80"/>
      <c r="MVV177" s="80"/>
      <c r="MVW177" s="80"/>
      <c r="MVX177" s="80"/>
      <c r="MVY177" s="80"/>
      <c r="MVZ177" s="80"/>
      <c r="MWA177" s="80"/>
      <c r="MWB177" s="80"/>
      <c r="MWC177" s="80"/>
      <c r="MWD177" s="80"/>
      <c r="MWE177" s="80"/>
      <c r="MWF177" s="80"/>
      <c r="MWG177" s="80"/>
      <c r="MWH177" s="80"/>
      <c r="MWI177" s="80"/>
      <c r="MWJ177" s="80"/>
      <c r="MWK177" s="80"/>
      <c r="MWL177" s="80"/>
      <c r="MWM177" s="80"/>
      <c r="MWN177" s="80"/>
      <c r="MWO177" s="80"/>
      <c r="MWP177" s="80"/>
      <c r="MWQ177" s="80"/>
      <c r="MWR177" s="80"/>
      <c r="MWS177" s="80"/>
      <c r="MWT177" s="80"/>
      <c r="MWU177" s="80"/>
      <c r="MWV177" s="80"/>
      <c r="MWW177" s="80"/>
      <c r="MWX177" s="80"/>
      <c r="MWY177" s="80"/>
      <c r="MWZ177" s="80"/>
      <c r="MXA177" s="80"/>
      <c r="MXB177" s="80"/>
      <c r="MXC177" s="80"/>
      <c r="MXD177" s="80"/>
      <c r="MXE177" s="80"/>
      <c r="MXF177" s="80"/>
      <c r="MXG177" s="80"/>
      <c r="MXH177" s="80"/>
      <c r="MXI177" s="80"/>
      <c r="MXJ177" s="80"/>
      <c r="MXK177" s="80"/>
      <c r="MXL177" s="80"/>
      <c r="MXM177" s="80"/>
      <c r="MXN177" s="80"/>
      <c r="MXO177" s="80"/>
      <c r="MXP177" s="80"/>
      <c r="MXQ177" s="80"/>
      <c r="MXR177" s="80"/>
      <c r="MXS177" s="80"/>
      <c r="MXT177" s="80"/>
      <c r="MXU177" s="80"/>
      <c r="MXV177" s="80"/>
      <c r="MXW177" s="80"/>
      <c r="MXX177" s="80"/>
      <c r="MXY177" s="80"/>
      <c r="MXZ177" s="80"/>
      <c r="MYA177" s="80"/>
      <c r="MYB177" s="80"/>
      <c r="MYC177" s="80"/>
      <c r="MYD177" s="80"/>
      <c r="MYE177" s="80"/>
      <c r="MYF177" s="80"/>
      <c r="MYG177" s="80"/>
      <c r="MYH177" s="80"/>
      <c r="MYI177" s="80"/>
      <c r="MYJ177" s="80"/>
      <c r="MYK177" s="80"/>
      <c r="MYL177" s="80"/>
      <c r="MYM177" s="80"/>
      <c r="MYN177" s="80"/>
      <c r="MYO177" s="80"/>
      <c r="MYP177" s="80"/>
      <c r="MYQ177" s="80"/>
      <c r="MYR177" s="80"/>
      <c r="MYS177" s="80"/>
      <c r="MYT177" s="80"/>
      <c r="MYU177" s="80"/>
      <c r="MYV177" s="80"/>
      <c r="MYW177" s="80"/>
      <c r="MYX177" s="80"/>
      <c r="MYY177" s="80"/>
      <c r="MYZ177" s="80"/>
      <c r="MZA177" s="80"/>
      <c r="MZB177" s="80"/>
      <c r="MZC177" s="80"/>
      <c r="MZD177" s="80"/>
      <c r="MZE177" s="80"/>
      <c r="MZF177" s="80"/>
      <c r="MZG177" s="80"/>
      <c r="MZH177" s="80"/>
      <c r="MZI177" s="80"/>
      <c r="MZJ177" s="80"/>
      <c r="MZK177" s="80"/>
      <c r="MZL177" s="80"/>
      <c r="MZM177" s="80"/>
      <c r="MZN177" s="80"/>
      <c r="MZO177" s="80"/>
      <c r="MZP177" s="80"/>
      <c r="MZQ177" s="80"/>
      <c r="MZR177" s="80"/>
      <c r="MZS177" s="80"/>
      <c r="MZT177" s="80"/>
      <c r="MZU177" s="80"/>
      <c r="MZV177" s="80"/>
      <c r="MZW177" s="80"/>
      <c r="MZX177" s="80"/>
      <c r="MZY177" s="80"/>
      <c r="MZZ177" s="80"/>
      <c r="NAA177" s="80"/>
      <c r="NAB177" s="80"/>
      <c r="NAC177" s="80"/>
      <c r="NAD177" s="80"/>
      <c r="NAE177" s="80"/>
      <c r="NAF177" s="80"/>
      <c r="NAG177" s="80"/>
      <c r="NAH177" s="80"/>
      <c r="NAI177" s="80"/>
      <c r="NAJ177" s="80"/>
      <c r="NAK177" s="80"/>
      <c r="NAL177" s="80"/>
      <c r="NAM177" s="80"/>
      <c r="NAN177" s="80"/>
      <c r="NAO177" s="80"/>
      <c r="NAP177" s="80"/>
      <c r="NAQ177" s="80"/>
      <c r="NAR177" s="80"/>
      <c r="NAS177" s="80"/>
      <c r="NAT177" s="80"/>
      <c r="NAU177" s="80"/>
      <c r="NAV177" s="80"/>
      <c r="NAW177" s="80"/>
      <c r="NAX177" s="80"/>
      <c r="NAY177" s="80"/>
      <c r="NAZ177" s="80"/>
      <c r="NBA177" s="80"/>
      <c r="NBB177" s="80"/>
      <c r="NBC177" s="80"/>
      <c r="NBD177" s="80"/>
      <c r="NBE177" s="80"/>
      <c r="NBF177" s="80"/>
      <c r="NBG177" s="80"/>
      <c r="NBH177" s="80"/>
      <c r="NBI177" s="80"/>
      <c r="NBJ177" s="80"/>
      <c r="NBK177" s="80"/>
      <c r="NBL177" s="80"/>
      <c r="NBM177" s="80"/>
      <c r="NBN177" s="80"/>
      <c r="NBO177" s="80"/>
      <c r="NBP177" s="80"/>
      <c r="NBQ177" s="80"/>
      <c r="NBR177" s="80"/>
      <c r="NBS177" s="80"/>
      <c r="NBT177" s="80"/>
      <c r="NBU177" s="80"/>
      <c r="NBV177" s="80"/>
      <c r="NBW177" s="80"/>
      <c r="NBX177" s="80"/>
      <c r="NBY177" s="80"/>
      <c r="NBZ177" s="80"/>
      <c r="NCA177" s="80"/>
      <c r="NCB177" s="80"/>
      <c r="NCC177" s="80"/>
      <c r="NCD177" s="80"/>
      <c r="NCE177" s="80"/>
      <c r="NCF177" s="80"/>
      <c r="NCG177" s="80"/>
      <c r="NCH177" s="80"/>
      <c r="NCI177" s="80"/>
      <c r="NCJ177" s="80"/>
      <c r="NCK177" s="80"/>
      <c r="NCL177" s="80"/>
      <c r="NCM177" s="80"/>
      <c r="NCN177" s="80"/>
      <c r="NCO177" s="80"/>
      <c r="NCP177" s="80"/>
      <c r="NCQ177" s="80"/>
      <c r="NCR177" s="80"/>
      <c r="NCS177" s="80"/>
      <c r="NCT177" s="80"/>
      <c r="NCU177" s="80"/>
      <c r="NCV177" s="80"/>
      <c r="NCW177" s="80"/>
      <c r="NCX177" s="80"/>
      <c r="NCY177" s="80"/>
      <c r="NCZ177" s="80"/>
      <c r="NDA177" s="80"/>
      <c r="NDB177" s="80"/>
      <c r="NDC177" s="80"/>
      <c r="NDD177" s="80"/>
      <c r="NDE177" s="80"/>
      <c r="NDF177" s="80"/>
      <c r="NDG177" s="80"/>
      <c r="NDH177" s="80"/>
      <c r="NDI177" s="80"/>
      <c r="NDJ177" s="80"/>
      <c r="NDK177" s="80"/>
      <c r="NDL177" s="80"/>
      <c r="NDM177" s="80"/>
      <c r="NDN177" s="80"/>
      <c r="NDO177" s="80"/>
      <c r="NDP177" s="80"/>
      <c r="NDQ177" s="80"/>
      <c r="NDR177" s="80"/>
      <c r="NDS177" s="80"/>
      <c r="NDT177" s="80"/>
      <c r="NDU177" s="80"/>
      <c r="NDV177" s="80"/>
      <c r="NDW177" s="80"/>
      <c r="NDX177" s="80"/>
      <c r="NDY177" s="80"/>
      <c r="NDZ177" s="80"/>
      <c r="NEA177" s="80"/>
      <c r="NEB177" s="80"/>
      <c r="NEC177" s="80"/>
      <c r="NED177" s="80"/>
      <c r="NEE177" s="80"/>
      <c r="NEF177" s="80"/>
      <c r="NEG177" s="80"/>
      <c r="NEH177" s="80"/>
      <c r="NEI177" s="80"/>
      <c r="NEJ177" s="80"/>
      <c r="NEK177" s="80"/>
      <c r="NEL177" s="80"/>
      <c r="NEM177" s="80"/>
      <c r="NEN177" s="80"/>
      <c r="NEO177" s="80"/>
      <c r="NEP177" s="80"/>
      <c r="NEQ177" s="80"/>
      <c r="NER177" s="80"/>
      <c r="NES177" s="80"/>
      <c r="NET177" s="80"/>
      <c r="NEU177" s="80"/>
      <c r="NEV177" s="80"/>
      <c r="NEW177" s="80"/>
      <c r="NEX177" s="80"/>
      <c r="NEY177" s="80"/>
      <c r="NEZ177" s="80"/>
      <c r="NFA177" s="80"/>
      <c r="NFB177" s="80"/>
      <c r="NFC177" s="80"/>
      <c r="NFD177" s="80"/>
      <c r="NFE177" s="80"/>
      <c r="NFF177" s="80"/>
      <c r="NFG177" s="80"/>
      <c r="NFH177" s="80"/>
      <c r="NFI177" s="80"/>
      <c r="NFJ177" s="80"/>
      <c r="NFK177" s="80"/>
      <c r="NFL177" s="80"/>
      <c r="NFM177" s="80"/>
      <c r="NFN177" s="80"/>
      <c r="NFO177" s="80"/>
      <c r="NFP177" s="80"/>
      <c r="NFQ177" s="80"/>
      <c r="NFR177" s="80"/>
      <c r="NFS177" s="80"/>
      <c r="NFT177" s="80"/>
      <c r="NFU177" s="80"/>
      <c r="NFV177" s="80"/>
      <c r="NFW177" s="80"/>
      <c r="NFX177" s="80"/>
      <c r="NFY177" s="80"/>
      <c r="NFZ177" s="80"/>
      <c r="NGA177" s="80"/>
      <c r="NGB177" s="80"/>
      <c r="NGC177" s="80"/>
      <c r="NGD177" s="80"/>
      <c r="NGE177" s="80"/>
      <c r="NGF177" s="80"/>
      <c r="NGG177" s="80"/>
      <c r="NGH177" s="80"/>
      <c r="NGI177" s="80"/>
      <c r="NGJ177" s="80"/>
      <c r="NGK177" s="80"/>
      <c r="NGL177" s="80"/>
      <c r="NGM177" s="80"/>
      <c r="NGN177" s="80"/>
      <c r="NGO177" s="80"/>
      <c r="NGP177" s="80"/>
      <c r="NGQ177" s="80"/>
      <c r="NGR177" s="80"/>
      <c r="NGS177" s="80"/>
      <c r="NGT177" s="80"/>
      <c r="NGU177" s="80"/>
      <c r="NGV177" s="80"/>
      <c r="NGW177" s="80"/>
      <c r="NGX177" s="80"/>
      <c r="NGY177" s="80"/>
      <c r="NGZ177" s="80"/>
      <c r="NHA177" s="80"/>
      <c r="NHB177" s="80"/>
      <c r="NHC177" s="80"/>
      <c r="NHD177" s="80"/>
      <c r="NHE177" s="80"/>
      <c r="NHF177" s="80"/>
      <c r="NHG177" s="80"/>
      <c r="NHH177" s="80"/>
      <c r="NHI177" s="80"/>
      <c r="NHJ177" s="80"/>
      <c r="NHK177" s="80"/>
      <c r="NHL177" s="80"/>
      <c r="NHM177" s="80"/>
      <c r="NHN177" s="80"/>
      <c r="NHO177" s="80"/>
      <c r="NHP177" s="80"/>
      <c r="NHQ177" s="80"/>
      <c r="NHR177" s="80"/>
      <c r="NHS177" s="80"/>
      <c r="NHT177" s="80"/>
      <c r="NHU177" s="80"/>
      <c r="NHV177" s="80"/>
      <c r="NHW177" s="80"/>
      <c r="NHX177" s="80"/>
      <c r="NHY177" s="80"/>
      <c r="NHZ177" s="80"/>
      <c r="NIA177" s="80"/>
      <c r="NIB177" s="80"/>
      <c r="NIC177" s="80"/>
      <c r="NID177" s="80"/>
      <c r="NIE177" s="80"/>
      <c r="NIF177" s="80"/>
      <c r="NIG177" s="80"/>
      <c r="NIH177" s="80"/>
      <c r="NII177" s="80"/>
      <c r="NIJ177" s="80"/>
      <c r="NIK177" s="80"/>
      <c r="NIL177" s="80"/>
      <c r="NIM177" s="80"/>
      <c r="NIN177" s="80"/>
      <c r="NIO177" s="80"/>
      <c r="NIP177" s="80"/>
      <c r="NIQ177" s="80"/>
      <c r="NIR177" s="80"/>
      <c r="NIS177" s="80"/>
      <c r="NIT177" s="80"/>
      <c r="NIU177" s="80"/>
      <c r="NIV177" s="80"/>
      <c r="NIW177" s="80"/>
      <c r="NIX177" s="80"/>
      <c r="NIY177" s="80"/>
      <c r="NIZ177" s="80"/>
      <c r="NJA177" s="80"/>
      <c r="NJB177" s="80"/>
      <c r="NJC177" s="80"/>
      <c r="NJD177" s="80"/>
      <c r="NJE177" s="80"/>
      <c r="NJF177" s="80"/>
      <c r="NJG177" s="80"/>
      <c r="NJH177" s="80"/>
      <c r="NJI177" s="80"/>
      <c r="NJJ177" s="80"/>
      <c r="NJK177" s="80"/>
      <c r="NJL177" s="80"/>
      <c r="NJM177" s="80"/>
      <c r="NJN177" s="80"/>
      <c r="NJO177" s="80"/>
      <c r="NJP177" s="80"/>
      <c r="NJQ177" s="80"/>
      <c r="NJR177" s="80"/>
      <c r="NJS177" s="80"/>
      <c r="NJT177" s="80"/>
      <c r="NJU177" s="80"/>
      <c r="NJV177" s="80"/>
      <c r="NJW177" s="80"/>
      <c r="NJX177" s="80"/>
      <c r="NJY177" s="80"/>
      <c r="NJZ177" s="80"/>
      <c r="NKA177" s="80"/>
      <c r="NKB177" s="80"/>
      <c r="NKC177" s="80"/>
      <c r="NKD177" s="80"/>
      <c r="NKE177" s="80"/>
      <c r="NKF177" s="80"/>
      <c r="NKG177" s="80"/>
      <c r="NKH177" s="80"/>
      <c r="NKI177" s="80"/>
      <c r="NKJ177" s="80"/>
      <c r="NKK177" s="80"/>
      <c r="NKL177" s="80"/>
      <c r="NKM177" s="80"/>
      <c r="NKN177" s="80"/>
      <c r="NKO177" s="80"/>
      <c r="NKP177" s="80"/>
      <c r="NKQ177" s="80"/>
      <c r="NKR177" s="80"/>
      <c r="NKS177" s="80"/>
      <c r="NKT177" s="80"/>
      <c r="NKU177" s="80"/>
      <c r="NKV177" s="80"/>
      <c r="NKW177" s="80"/>
      <c r="NKX177" s="80"/>
      <c r="NKY177" s="80"/>
      <c r="NKZ177" s="80"/>
      <c r="NLA177" s="80"/>
      <c r="NLB177" s="80"/>
      <c r="NLC177" s="80"/>
      <c r="NLD177" s="80"/>
      <c r="NLE177" s="80"/>
      <c r="NLF177" s="80"/>
      <c r="NLG177" s="80"/>
      <c r="NLH177" s="80"/>
      <c r="NLI177" s="80"/>
      <c r="NLJ177" s="80"/>
      <c r="NLK177" s="80"/>
      <c r="NLL177" s="80"/>
      <c r="NLM177" s="80"/>
      <c r="NLN177" s="80"/>
      <c r="NLO177" s="80"/>
      <c r="NLP177" s="80"/>
      <c r="NLQ177" s="80"/>
      <c r="NLR177" s="80"/>
      <c r="NLS177" s="80"/>
      <c r="NLT177" s="80"/>
      <c r="NLU177" s="80"/>
      <c r="NLV177" s="80"/>
      <c r="NLW177" s="80"/>
      <c r="NLX177" s="80"/>
      <c r="NLY177" s="80"/>
      <c r="NLZ177" s="80"/>
      <c r="NMA177" s="80"/>
      <c r="NMB177" s="80"/>
      <c r="NMC177" s="80"/>
      <c r="NMD177" s="80"/>
      <c r="NME177" s="80"/>
      <c r="NMF177" s="80"/>
      <c r="NMG177" s="80"/>
      <c r="NMH177" s="80"/>
      <c r="NMI177" s="80"/>
      <c r="NMJ177" s="80"/>
      <c r="NMK177" s="80"/>
      <c r="NML177" s="80"/>
      <c r="NMM177" s="80"/>
      <c r="NMN177" s="80"/>
      <c r="NMO177" s="80"/>
      <c r="NMP177" s="80"/>
      <c r="NMQ177" s="80"/>
      <c r="NMR177" s="80"/>
      <c r="NMS177" s="80"/>
      <c r="NMT177" s="80"/>
      <c r="NMU177" s="80"/>
      <c r="NMV177" s="80"/>
      <c r="NMW177" s="80"/>
      <c r="NMX177" s="80"/>
      <c r="NMY177" s="80"/>
      <c r="NMZ177" s="80"/>
      <c r="NNA177" s="80"/>
      <c r="NNB177" s="80"/>
      <c r="NNC177" s="80"/>
      <c r="NND177" s="80"/>
      <c r="NNE177" s="80"/>
      <c r="NNF177" s="80"/>
      <c r="NNG177" s="80"/>
      <c r="NNH177" s="80"/>
      <c r="NNI177" s="80"/>
      <c r="NNJ177" s="80"/>
      <c r="NNK177" s="80"/>
      <c r="NNL177" s="80"/>
      <c r="NNM177" s="80"/>
      <c r="NNN177" s="80"/>
      <c r="NNO177" s="80"/>
      <c r="NNP177" s="80"/>
      <c r="NNQ177" s="80"/>
      <c r="NNR177" s="80"/>
      <c r="NNS177" s="80"/>
      <c r="NNT177" s="80"/>
      <c r="NNU177" s="80"/>
      <c r="NNV177" s="80"/>
      <c r="NNW177" s="80"/>
      <c r="NNX177" s="80"/>
      <c r="NNY177" s="80"/>
      <c r="NNZ177" s="80"/>
      <c r="NOA177" s="80"/>
      <c r="NOB177" s="80"/>
      <c r="NOC177" s="80"/>
      <c r="NOD177" s="80"/>
      <c r="NOE177" s="80"/>
      <c r="NOF177" s="80"/>
      <c r="NOG177" s="80"/>
      <c r="NOH177" s="80"/>
      <c r="NOI177" s="80"/>
      <c r="NOJ177" s="80"/>
      <c r="NOK177" s="80"/>
      <c r="NOL177" s="80"/>
      <c r="NOM177" s="80"/>
      <c r="NON177" s="80"/>
      <c r="NOO177" s="80"/>
      <c r="NOP177" s="80"/>
      <c r="NOQ177" s="80"/>
      <c r="NOR177" s="80"/>
      <c r="NOS177" s="80"/>
      <c r="NOT177" s="80"/>
      <c r="NOU177" s="80"/>
      <c r="NOV177" s="80"/>
      <c r="NOW177" s="80"/>
      <c r="NOX177" s="80"/>
      <c r="NOY177" s="80"/>
      <c r="NOZ177" s="80"/>
      <c r="NPA177" s="80"/>
      <c r="NPB177" s="80"/>
      <c r="NPC177" s="80"/>
      <c r="NPD177" s="80"/>
      <c r="NPE177" s="80"/>
      <c r="NPF177" s="80"/>
      <c r="NPG177" s="80"/>
      <c r="NPH177" s="80"/>
      <c r="NPI177" s="80"/>
      <c r="NPJ177" s="80"/>
      <c r="NPK177" s="80"/>
      <c r="NPL177" s="80"/>
      <c r="NPM177" s="80"/>
      <c r="NPN177" s="80"/>
      <c r="NPO177" s="80"/>
      <c r="NPP177" s="80"/>
      <c r="NPQ177" s="80"/>
      <c r="NPR177" s="80"/>
      <c r="NPS177" s="80"/>
      <c r="NPT177" s="80"/>
      <c r="NPU177" s="80"/>
      <c r="NPV177" s="80"/>
      <c r="NPW177" s="80"/>
      <c r="NPX177" s="80"/>
      <c r="NPY177" s="80"/>
      <c r="NPZ177" s="80"/>
      <c r="NQA177" s="80"/>
      <c r="NQB177" s="80"/>
      <c r="NQC177" s="80"/>
      <c r="NQD177" s="80"/>
      <c r="NQE177" s="80"/>
      <c r="NQF177" s="80"/>
      <c r="NQG177" s="80"/>
      <c r="NQH177" s="80"/>
      <c r="NQI177" s="80"/>
      <c r="NQJ177" s="80"/>
      <c r="NQK177" s="80"/>
      <c r="NQL177" s="80"/>
      <c r="NQM177" s="80"/>
      <c r="NQN177" s="80"/>
      <c r="NQO177" s="80"/>
      <c r="NQP177" s="80"/>
      <c r="NQQ177" s="80"/>
      <c r="NQR177" s="80"/>
      <c r="NQS177" s="80"/>
      <c r="NQT177" s="80"/>
      <c r="NQU177" s="80"/>
      <c r="NQV177" s="80"/>
      <c r="NQW177" s="80"/>
      <c r="NQX177" s="80"/>
      <c r="NQY177" s="80"/>
      <c r="NQZ177" s="80"/>
      <c r="NRA177" s="80"/>
      <c r="NRB177" s="80"/>
      <c r="NRC177" s="80"/>
      <c r="NRD177" s="80"/>
      <c r="NRE177" s="80"/>
      <c r="NRF177" s="80"/>
      <c r="NRG177" s="80"/>
      <c r="NRH177" s="80"/>
      <c r="NRI177" s="80"/>
      <c r="NRJ177" s="80"/>
      <c r="NRK177" s="80"/>
      <c r="NRL177" s="80"/>
      <c r="NRM177" s="80"/>
      <c r="NRN177" s="80"/>
      <c r="NRO177" s="80"/>
      <c r="NRP177" s="80"/>
      <c r="NRQ177" s="80"/>
      <c r="NRR177" s="80"/>
      <c r="NRS177" s="80"/>
      <c r="NRT177" s="80"/>
      <c r="NRU177" s="80"/>
      <c r="NRV177" s="80"/>
      <c r="NRW177" s="80"/>
      <c r="NRX177" s="80"/>
      <c r="NRY177" s="80"/>
      <c r="NRZ177" s="80"/>
      <c r="NSA177" s="80"/>
      <c r="NSB177" s="80"/>
      <c r="NSC177" s="80"/>
      <c r="NSD177" s="80"/>
      <c r="NSE177" s="80"/>
      <c r="NSF177" s="80"/>
      <c r="NSG177" s="80"/>
      <c r="NSH177" s="80"/>
      <c r="NSI177" s="80"/>
      <c r="NSJ177" s="80"/>
      <c r="NSK177" s="80"/>
      <c r="NSL177" s="80"/>
      <c r="NSM177" s="80"/>
      <c r="NSN177" s="80"/>
      <c r="NSO177" s="80"/>
      <c r="NSP177" s="80"/>
      <c r="NSQ177" s="80"/>
      <c r="NSR177" s="80"/>
      <c r="NSS177" s="80"/>
      <c r="NST177" s="80"/>
      <c r="NSU177" s="80"/>
      <c r="NSV177" s="80"/>
      <c r="NSW177" s="80"/>
      <c r="NSX177" s="80"/>
      <c r="NSY177" s="80"/>
      <c r="NSZ177" s="80"/>
      <c r="NTA177" s="80"/>
      <c r="NTB177" s="80"/>
      <c r="NTC177" s="80"/>
      <c r="NTD177" s="80"/>
      <c r="NTE177" s="80"/>
      <c r="NTF177" s="80"/>
      <c r="NTG177" s="80"/>
      <c r="NTH177" s="80"/>
      <c r="NTI177" s="80"/>
      <c r="NTJ177" s="80"/>
      <c r="NTK177" s="80"/>
      <c r="NTL177" s="80"/>
      <c r="NTM177" s="80"/>
      <c r="NTN177" s="80"/>
      <c r="NTO177" s="80"/>
      <c r="NTP177" s="80"/>
      <c r="NTQ177" s="80"/>
      <c r="NTR177" s="80"/>
      <c r="NTS177" s="80"/>
      <c r="NTT177" s="80"/>
      <c r="NTU177" s="80"/>
      <c r="NTV177" s="80"/>
      <c r="NTW177" s="80"/>
      <c r="NTX177" s="80"/>
      <c r="NTY177" s="80"/>
      <c r="NTZ177" s="80"/>
      <c r="NUA177" s="80"/>
      <c r="NUB177" s="80"/>
      <c r="NUC177" s="80"/>
      <c r="NUD177" s="80"/>
      <c r="NUE177" s="80"/>
      <c r="NUF177" s="80"/>
      <c r="NUG177" s="80"/>
      <c r="NUH177" s="80"/>
      <c r="NUI177" s="80"/>
      <c r="NUJ177" s="80"/>
      <c r="NUK177" s="80"/>
      <c r="NUL177" s="80"/>
      <c r="NUM177" s="80"/>
      <c r="NUN177" s="80"/>
      <c r="NUO177" s="80"/>
      <c r="NUP177" s="80"/>
      <c r="NUQ177" s="80"/>
      <c r="NUR177" s="80"/>
      <c r="NUS177" s="80"/>
      <c r="NUT177" s="80"/>
      <c r="NUU177" s="80"/>
      <c r="NUV177" s="80"/>
      <c r="NUW177" s="80"/>
      <c r="NUX177" s="80"/>
      <c r="NUY177" s="80"/>
      <c r="NUZ177" s="80"/>
      <c r="NVA177" s="80"/>
      <c r="NVB177" s="80"/>
      <c r="NVC177" s="80"/>
      <c r="NVD177" s="80"/>
      <c r="NVE177" s="80"/>
      <c r="NVF177" s="80"/>
      <c r="NVG177" s="80"/>
      <c r="NVH177" s="80"/>
      <c r="NVI177" s="80"/>
      <c r="NVJ177" s="80"/>
      <c r="NVK177" s="80"/>
      <c r="NVL177" s="80"/>
      <c r="NVM177" s="80"/>
      <c r="NVN177" s="80"/>
      <c r="NVO177" s="80"/>
      <c r="NVP177" s="80"/>
      <c r="NVQ177" s="80"/>
      <c r="NVR177" s="80"/>
      <c r="NVS177" s="80"/>
      <c r="NVT177" s="80"/>
      <c r="NVU177" s="80"/>
      <c r="NVV177" s="80"/>
      <c r="NVW177" s="80"/>
      <c r="NVX177" s="80"/>
      <c r="NVY177" s="80"/>
      <c r="NVZ177" s="80"/>
      <c r="NWA177" s="80"/>
      <c r="NWB177" s="80"/>
      <c r="NWC177" s="80"/>
      <c r="NWD177" s="80"/>
      <c r="NWE177" s="80"/>
      <c r="NWF177" s="80"/>
      <c r="NWG177" s="80"/>
      <c r="NWH177" s="80"/>
      <c r="NWI177" s="80"/>
      <c r="NWJ177" s="80"/>
      <c r="NWK177" s="80"/>
      <c r="NWL177" s="80"/>
      <c r="NWM177" s="80"/>
      <c r="NWN177" s="80"/>
      <c r="NWO177" s="80"/>
      <c r="NWP177" s="80"/>
      <c r="NWQ177" s="80"/>
      <c r="NWR177" s="80"/>
      <c r="NWS177" s="80"/>
      <c r="NWT177" s="80"/>
      <c r="NWU177" s="80"/>
      <c r="NWV177" s="80"/>
      <c r="NWW177" s="80"/>
      <c r="NWX177" s="80"/>
      <c r="NWY177" s="80"/>
      <c r="NWZ177" s="80"/>
      <c r="NXA177" s="80"/>
      <c r="NXB177" s="80"/>
      <c r="NXC177" s="80"/>
      <c r="NXD177" s="80"/>
      <c r="NXE177" s="80"/>
      <c r="NXF177" s="80"/>
      <c r="NXG177" s="80"/>
      <c r="NXH177" s="80"/>
      <c r="NXI177" s="80"/>
      <c r="NXJ177" s="80"/>
      <c r="NXK177" s="80"/>
      <c r="NXL177" s="80"/>
      <c r="NXM177" s="80"/>
      <c r="NXN177" s="80"/>
      <c r="NXO177" s="80"/>
      <c r="NXP177" s="80"/>
      <c r="NXQ177" s="80"/>
      <c r="NXR177" s="80"/>
      <c r="NXS177" s="80"/>
      <c r="NXT177" s="80"/>
      <c r="NXU177" s="80"/>
      <c r="NXV177" s="80"/>
      <c r="NXW177" s="80"/>
      <c r="NXX177" s="80"/>
      <c r="NXY177" s="80"/>
      <c r="NXZ177" s="80"/>
      <c r="NYA177" s="80"/>
      <c r="NYB177" s="80"/>
      <c r="NYC177" s="80"/>
      <c r="NYD177" s="80"/>
      <c r="NYE177" s="80"/>
      <c r="NYF177" s="80"/>
      <c r="NYG177" s="80"/>
      <c r="NYH177" s="80"/>
      <c r="NYI177" s="80"/>
      <c r="NYJ177" s="80"/>
      <c r="NYK177" s="80"/>
      <c r="NYL177" s="80"/>
      <c r="NYM177" s="80"/>
      <c r="NYN177" s="80"/>
      <c r="NYO177" s="80"/>
      <c r="NYP177" s="80"/>
      <c r="NYQ177" s="80"/>
      <c r="NYR177" s="80"/>
      <c r="NYS177" s="80"/>
      <c r="NYT177" s="80"/>
      <c r="NYU177" s="80"/>
      <c r="NYV177" s="80"/>
      <c r="NYW177" s="80"/>
      <c r="NYX177" s="80"/>
      <c r="NYY177" s="80"/>
      <c r="NYZ177" s="80"/>
      <c r="NZA177" s="80"/>
      <c r="NZB177" s="80"/>
      <c r="NZC177" s="80"/>
      <c r="NZD177" s="80"/>
      <c r="NZE177" s="80"/>
      <c r="NZF177" s="80"/>
      <c r="NZG177" s="80"/>
      <c r="NZH177" s="80"/>
      <c r="NZI177" s="80"/>
      <c r="NZJ177" s="80"/>
      <c r="NZK177" s="80"/>
      <c r="NZL177" s="80"/>
      <c r="NZM177" s="80"/>
      <c r="NZN177" s="80"/>
      <c r="NZO177" s="80"/>
      <c r="NZP177" s="80"/>
      <c r="NZQ177" s="80"/>
      <c r="NZR177" s="80"/>
      <c r="NZS177" s="80"/>
      <c r="NZT177" s="80"/>
      <c r="NZU177" s="80"/>
      <c r="NZV177" s="80"/>
      <c r="NZW177" s="80"/>
      <c r="NZX177" s="80"/>
      <c r="NZY177" s="80"/>
      <c r="NZZ177" s="80"/>
      <c r="OAA177" s="80"/>
      <c r="OAB177" s="80"/>
      <c r="OAC177" s="80"/>
      <c r="OAD177" s="80"/>
      <c r="OAE177" s="80"/>
      <c r="OAF177" s="80"/>
      <c r="OAG177" s="80"/>
      <c r="OAH177" s="80"/>
      <c r="OAI177" s="80"/>
      <c r="OAJ177" s="80"/>
      <c r="OAK177" s="80"/>
      <c r="OAL177" s="80"/>
      <c r="OAM177" s="80"/>
      <c r="OAN177" s="80"/>
      <c r="OAO177" s="80"/>
      <c r="OAP177" s="80"/>
      <c r="OAQ177" s="80"/>
      <c r="OAR177" s="80"/>
      <c r="OAS177" s="80"/>
      <c r="OAT177" s="80"/>
      <c r="OAU177" s="80"/>
      <c r="OAV177" s="80"/>
      <c r="OAW177" s="80"/>
      <c r="OAX177" s="80"/>
      <c r="OAY177" s="80"/>
      <c r="OAZ177" s="80"/>
      <c r="OBA177" s="80"/>
      <c r="OBB177" s="80"/>
      <c r="OBC177" s="80"/>
      <c r="OBD177" s="80"/>
      <c r="OBE177" s="80"/>
      <c r="OBF177" s="80"/>
      <c r="OBG177" s="80"/>
      <c r="OBH177" s="80"/>
      <c r="OBI177" s="80"/>
      <c r="OBJ177" s="80"/>
      <c r="OBK177" s="80"/>
      <c r="OBL177" s="80"/>
      <c r="OBM177" s="80"/>
      <c r="OBN177" s="80"/>
      <c r="OBO177" s="80"/>
      <c r="OBP177" s="80"/>
      <c r="OBQ177" s="80"/>
      <c r="OBR177" s="80"/>
      <c r="OBS177" s="80"/>
      <c r="OBT177" s="80"/>
      <c r="OBU177" s="80"/>
      <c r="OBV177" s="80"/>
      <c r="OBW177" s="80"/>
      <c r="OBX177" s="80"/>
      <c r="OBY177" s="80"/>
      <c r="OBZ177" s="80"/>
      <c r="OCA177" s="80"/>
      <c r="OCB177" s="80"/>
      <c r="OCC177" s="80"/>
      <c r="OCD177" s="80"/>
      <c r="OCE177" s="80"/>
      <c r="OCF177" s="80"/>
      <c r="OCG177" s="80"/>
      <c r="OCH177" s="80"/>
      <c r="OCI177" s="80"/>
      <c r="OCJ177" s="80"/>
      <c r="OCK177" s="80"/>
      <c r="OCL177" s="80"/>
      <c r="OCM177" s="80"/>
      <c r="OCN177" s="80"/>
      <c r="OCO177" s="80"/>
      <c r="OCP177" s="80"/>
      <c r="OCQ177" s="80"/>
      <c r="OCR177" s="80"/>
      <c r="OCS177" s="80"/>
      <c r="OCT177" s="80"/>
      <c r="OCU177" s="80"/>
      <c r="OCV177" s="80"/>
      <c r="OCW177" s="80"/>
      <c r="OCX177" s="80"/>
      <c r="OCY177" s="80"/>
      <c r="OCZ177" s="80"/>
      <c r="ODA177" s="80"/>
      <c r="ODB177" s="80"/>
      <c r="ODC177" s="80"/>
      <c r="ODD177" s="80"/>
      <c r="ODE177" s="80"/>
      <c r="ODF177" s="80"/>
      <c r="ODG177" s="80"/>
      <c r="ODH177" s="80"/>
      <c r="ODI177" s="80"/>
      <c r="ODJ177" s="80"/>
      <c r="ODK177" s="80"/>
      <c r="ODL177" s="80"/>
      <c r="ODM177" s="80"/>
      <c r="ODN177" s="80"/>
      <c r="ODO177" s="80"/>
      <c r="ODP177" s="80"/>
      <c r="ODQ177" s="80"/>
      <c r="ODR177" s="80"/>
      <c r="ODS177" s="80"/>
      <c r="ODT177" s="80"/>
      <c r="ODU177" s="80"/>
      <c r="ODV177" s="80"/>
      <c r="ODW177" s="80"/>
      <c r="ODX177" s="80"/>
      <c r="ODY177" s="80"/>
      <c r="ODZ177" s="80"/>
      <c r="OEA177" s="80"/>
      <c r="OEB177" s="80"/>
      <c r="OEC177" s="80"/>
      <c r="OED177" s="80"/>
      <c r="OEE177" s="80"/>
      <c r="OEF177" s="80"/>
      <c r="OEG177" s="80"/>
      <c r="OEH177" s="80"/>
      <c r="OEI177" s="80"/>
      <c r="OEJ177" s="80"/>
      <c r="OEK177" s="80"/>
      <c r="OEL177" s="80"/>
      <c r="OEM177" s="80"/>
      <c r="OEN177" s="80"/>
      <c r="OEO177" s="80"/>
      <c r="OEP177" s="80"/>
      <c r="OEQ177" s="80"/>
      <c r="OER177" s="80"/>
      <c r="OES177" s="80"/>
      <c r="OET177" s="80"/>
      <c r="OEU177" s="80"/>
      <c r="OEV177" s="80"/>
      <c r="OEW177" s="80"/>
      <c r="OEX177" s="80"/>
      <c r="OEY177" s="80"/>
      <c r="OEZ177" s="80"/>
      <c r="OFA177" s="80"/>
      <c r="OFB177" s="80"/>
      <c r="OFC177" s="80"/>
      <c r="OFD177" s="80"/>
      <c r="OFE177" s="80"/>
      <c r="OFF177" s="80"/>
      <c r="OFG177" s="80"/>
      <c r="OFH177" s="80"/>
      <c r="OFI177" s="80"/>
      <c r="OFJ177" s="80"/>
      <c r="OFK177" s="80"/>
      <c r="OFL177" s="80"/>
      <c r="OFM177" s="80"/>
      <c r="OFN177" s="80"/>
      <c r="OFO177" s="80"/>
      <c r="OFP177" s="80"/>
      <c r="OFQ177" s="80"/>
      <c r="OFR177" s="80"/>
      <c r="OFS177" s="80"/>
      <c r="OFT177" s="80"/>
      <c r="OFU177" s="80"/>
      <c r="OFV177" s="80"/>
      <c r="OFW177" s="80"/>
      <c r="OFX177" s="80"/>
      <c r="OFY177" s="80"/>
      <c r="OFZ177" s="80"/>
      <c r="OGA177" s="80"/>
      <c r="OGB177" s="80"/>
      <c r="OGC177" s="80"/>
      <c r="OGD177" s="80"/>
      <c r="OGE177" s="80"/>
      <c r="OGF177" s="80"/>
      <c r="OGG177" s="80"/>
      <c r="OGH177" s="80"/>
      <c r="OGI177" s="80"/>
      <c r="OGJ177" s="80"/>
      <c r="OGK177" s="80"/>
      <c r="OGL177" s="80"/>
      <c r="OGM177" s="80"/>
      <c r="OGN177" s="80"/>
      <c r="OGO177" s="80"/>
      <c r="OGP177" s="80"/>
      <c r="OGQ177" s="80"/>
      <c r="OGR177" s="80"/>
      <c r="OGS177" s="80"/>
      <c r="OGT177" s="80"/>
      <c r="OGU177" s="80"/>
      <c r="OGV177" s="80"/>
      <c r="OGW177" s="80"/>
      <c r="OGX177" s="80"/>
      <c r="OGY177" s="80"/>
      <c r="OGZ177" s="80"/>
      <c r="OHA177" s="80"/>
      <c r="OHB177" s="80"/>
      <c r="OHC177" s="80"/>
      <c r="OHD177" s="80"/>
      <c r="OHE177" s="80"/>
      <c r="OHF177" s="80"/>
      <c r="OHG177" s="80"/>
      <c r="OHH177" s="80"/>
      <c r="OHI177" s="80"/>
      <c r="OHJ177" s="80"/>
      <c r="OHK177" s="80"/>
      <c r="OHL177" s="80"/>
      <c r="OHM177" s="80"/>
      <c r="OHN177" s="80"/>
      <c r="OHO177" s="80"/>
      <c r="OHP177" s="80"/>
      <c r="OHQ177" s="80"/>
      <c r="OHR177" s="80"/>
      <c r="OHS177" s="80"/>
      <c r="OHT177" s="80"/>
      <c r="OHU177" s="80"/>
      <c r="OHV177" s="80"/>
      <c r="OHW177" s="80"/>
      <c r="OHX177" s="80"/>
      <c r="OHY177" s="80"/>
      <c r="OHZ177" s="80"/>
      <c r="OIA177" s="80"/>
      <c r="OIB177" s="80"/>
      <c r="OIC177" s="80"/>
      <c r="OID177" s="80"/>
      <c r="OIE177" s="80"/>
      <c r="OIF177" s="80"/>
      <c r="OIG177" s="80"/>
      <c r="OIH177" s="80"/>
      <c r="OII177" s="80"/>
      <c r="OIJ177" s="80"/>
      <c r="OIK177" s="80"/>
      <c r="OIL177" s="80"/>
      <c r="OIM177" s="80"/>
      <c r="OIN177" s="80"/>
      <c r="OIO177" s="80"/>
      <c r="OIP177" s="80"/>
      <c r="OIQ177" s="80"/>
      <c r="OIR177" s="80"/>
      <c r="OIS177" s="80"/>
      <c r="OIT177" s="80"/>
      <c r="OIU177" s="80"/>
      <c r="OIV177" s="80"/>
      <c r="OIW177" s="80"/>
      <c r="OIX177" s="80"/>
      <c r="OIY177" s="80"/>
      <c r="OIZ177" s="80"/>
      <c r="OJA177" s="80"/>
      <c r="OJB177" s="80"/>
      <c r="OJC177" s="80"/>
      <c r="OJD177" s="80"/>
      <c r="OJE177" s="80"/>
      <c r="OJF177" s="80"/>
      <c r="OJG177" s="80"/>
      <c r="OJH177" s="80"/>
      <c r="OJI177" s="80"/>
      <c r="OJJ177" s="80"/>
      <c r="OJK177" s="80"/>
      <c r="OJL177" s="80"/>
      <c r="OJM177" s="80"/>
      <c r="OJN177" s="80"/>
      <c r="OJO177" s="80"/>
      <c r="OJP177" s="80"/>
      <c r="OJQ177" s="80"/>
      <c r="OJR177" s="80"/>
      <c r="OJS177" s="80"/>
      <c r="OJT177" s="80"/>
      <c r="OJU177" s="80"/>
      <c r="OJV177" s="80"/>
      <c r="OJW177" s="80"/>
      <c r="OJX177" s="80"/>
      <c r="OJY177" s="80"/>
      <c r="OJZ177" s="80"/>
      <c r="OKA177" s="80"/>
      <c r="OKB177" s="80"/>
      <c r="OKC177" s="80"/>
      <c r="OKD177" s="80"/>
      <c r="OKE177" s="80"/>
      <c r="OKF177" s="80"/>
      <c r="OKG177" s="80"/>
      <c r="OKH177" s="80"/>
      <c r="OKI177" s="80"/>
      <c r="OKJ177" s="80"/>
      <c r="OKK177" s="80"/>
      <c r="OKL177" s="80"/>
      <c r="OKM177" s="80"/>
      <c r="OKN177" s="80"/>
      <c r="OKO177" s="80"/>
      <c r="OKP177" s="80"/>
      <c r="OKQ177" s="80"/>
      <c r="OKR177" s="80"/>
      <c r="OKS177" s="80"/>
      <c r="OKT177" s="80"/>
      <c r="OKU177" s="80"/>
      <c r="OKV177" s="80"/>
      <c r="OKW177" s="80"/>
      <c r="OKX177" s="80"/>
      <c r="OKY177" s="80"/>
      <c r="OKZ177" s="80"/>
      <c r="OLA177" s="80"/>
      <c r="OLB177" s="80"/>
      <c r="OLC177" s="80"/>
      <c r="OLD177" s="80"/>
      <c r="OLE177" s="80"/>
      <c r="OLF177" s="80"/>
      <c r="OLG177" s="80"/>
      <c r="OLH177" s="80"/>
      <c r="OLI177" s="80"/>
      <c r="OLJ177" s="80"/>
      <c r="OLK177" s="80"/>
      <c r="OLL177" s="80"/>
      <c r="OLM177" s="80"/>
      <c r="OLN177" s="80"/>
      <c r="OLO177" s="80"/>
      <c r="OLP177" s="80"/>
      <c r="OLQ177" s="80"/>
      <c r="OLR177" s="80"/>
      <c r="OLS177" s="80"/>
      <c r="OLT177" s="80"/>
      <c r="OLU177" s="80"/>
      <c r="OLV177" s="80"/>
      <c r="OLW177" s="80"/>
      <c r="OLX177" s="80"/>
      <c r="OLY177" s="80"/>
      <c r="OLZ177" s="80"/>
      <c r="OMA177" s="80"/>
      <c r="OMB177" s="80"/>
      <c r="OMC177" s="80"/>
      <c r="OMD177" s="80"/>
      <c r="OME177" s="80"/>
      <c r="OMF177" s="80"/>
      <c r="OMG177" s="80"/>
      <c r="OMH177" s="80"/>
      <c r="OMI177" s="80"/>
      <c r="OMJ177" s="80"/>
      <c r="OMK177" s="80"/>
      <c r="OML177" s="80"/>
      <c r="OMM177" s="80"/>
      <c r="OMN177" s="80"/>
      <c r="OMO177" s="80"/>
      <c r="OMP177" s="80"/>
      <c r="OMQ177" s="80"/>
      <c r="OMR177" s="80"/>
      <c r="OMS177" s="80"/>
      <c r="OMT177" s="80"/>
      <c r="OMU177" s="80"/>
      <c r="OMV177" s="80"/>
      <c r="OMW177" s="80"/>
      <c r="OMX177" s="80"/>
      <c r="OMY177" s="80"/>
      <c r="OMZ177" s="80"/>
      <c r="ONA177" s="80"/>
      <c r="ONB177" s="80"/>
      <c r="ONC177" s="80"/>
      <c r="OND177" s="80"/>
      <c r="ONE177" s="80"/>
      <c r="ONF177" s="80"/>
      <c r="ONG177" s="80"/>
      <c r="ONH177" s="80"/>
      <c r="ONI177" s="80"/>
      <c r="ONJ177" s="80"/>
      <c r="ONK177" s="80"/>
      <c r="ONL177" s="80"/>
      <c r="ONM177" s="80"/>
      <c r="ONN177" s="80"/>
      <c r="ONO177" s="80"/>
      <c r="ONP177" s="80"/>
      <c r="ONQ177" s="80"/>
      <c r="ONR177" s="80"/>
      <c r="ONS177" s="80"/>
      <c r="ONT177" s="80"/>
      <c r="ONU177" s="80"/>
      <c r="ONV177" s="80"/>
      <c r="ONW177" s="80"/>
      <c r="ONX177" s="80"/>
      <c r="ONY177" s="80"/>
      <c r="ONZ177" s="80"/>
      <c r="OOA177" s="80"/>
      <c r="OOB177" s="80"/>
      <c r="OOC177" s="80"/>
      <c r="OOD177" s="80"/>
      <c r="OOE177" s="80"/>
      <c r="OOF177" s="80"/>
      <c r="OOG177" s="80"/>
      <c r="OOH177" s="80"/>
      <c r="OOI177" s="80"/>
      <c r="OOJ177" s="80"/>
      <c r="OOK177" s="80"/>
      <c r="OOL177" s="80"/>
      <c r="OOM177" s="80"/>
      <c r="OON177" s="80"/>
      <c r="OOO177" s="80"/>
      <c r="OOP177" s="80"/>
      <c r="OOQ177" s="80"/>
      <c r="OOR177" s="80"/>
      <c r="OOS177" s="80"/>
      <c r="OOT177" s="80"/>
      <c r="OOU177" s="80"/>
      <c r="OOV177" s="80"/>
      <c r="OOW177" s="80"/>
      <c r="OOX177" s="80"/>
      <c r="OOY177" s="80"/>
      <c r="OOZ177" s="80"/>
      <c r="OPA177" s="80"/>
      <c r="OPB177" s="80"/>
      <c r="OPC177" s="80"/>
      <c r="OPD177" s="80"/>
      <c r="OPE177" s="80"/>
      <c r="OPF177" s="80"/>
      <c r="OPG177" s="80"/>
      <c r="OPH177" s="80"/>
      <c r="OPI177" s="80"/>
      <c r="OPJ177" s="80"/>
      <c r="OPK177" s="80"/>
      <c r="OPL177" s="80"/>
      <c r="OPM177" s="80"/>
      <c r="OPN177" s="80"/>
      <c r="OPO177" s="80"/>
      <c r="OPP177" s="80"/>
      <c r="OPQ177" s="80"/>
      <c r="OPR177" s="80"/>
      <c r="OPS177" s="80"/>
      <c r="OPT177" s="80"/>
      <c r="OPU177" s="80"/>
      <c r="OPV177" s="80"/>
      <c r="OPW177" s="80"/>
      <c r="OPX177" s="80"/>
      <c r="OPY177" s="80"/>
      <c r="OPZ177" s="80"/>
      <c r="OQA177" s="80"/>
      <c r="OQB177" s="80"/>
      <c r="OQC177" s="80"/>
      <c r="OQD177" s="80"/>
      <c r="OQE177" s="80"/>
      <c r="OQF177" s="80"/>
      <c r="OQG177" s="80"/>
      <c r="OQH177" s="80"/>
      <c r="OQI177" s="80"/>
      <c r="OQJ177" s="80"/>
      <c r="OQK177" s="80"/>
      <c r="OQL177" s="80"/>
      <c r="OQM177" s="80"/>
      <c r="OQN177" s="80"/>
      <c r="OQO177" s="80"/>
      <c r="OQP177" s="80"/>
      <c r="OQQ177" s="80"/>
      <c r="OQR177" s="80"/>
      <c r="OQS177" s="80"/>
      <c r="OQT177" s="80"/>
      <c r="OQU177" s="80"/>
      <c r="OQV177" s="80"/>
      <c r="OQW177" s="80"/>
      <c r="OQX177" s="80"/>
      <c r="OQY177" s="80"/>
      <c r="OQZ177" s="80"/>
      <c r="ORA177" s="80"/>
      <c r="ORB177" s="80"/>
      <c r="ORC177" s="80"/>
      <c r="ORD177" s="80"/>
      <c r="ORE177" s="80"/>
      <c r="ORF177" s="80"/>
      <c r="ORG177" s="80"/>
      <c r="ORH177" s="80"/>
      <c r="ORI177" s="80"/>
      <c r="ORJ177" s="80"/>
      <c r="ORK177" s="80"/>
      <c r="ORL177" s="80"/>
      <c r="ORM177" s="80"/>
      <c r="ORN177" s="80"/>
      <c r="ORO177" s="80"/>
      <c r="ORP177" s="80"/>
      <c r="ORQ177" s="80"/>
      <c r="ORR177" s="80"/>
      <c r="ORS177" s="80"/>
      <c r="ORT177" s="80"/>
      <c r="ORU177" s="80"/>
      <c r="ORV177" s="80"/>
      <c r="ORW177" s="80"/>
      <c r="ORX177" s="80"/>
      <c r="ORY177" s="80"/>
      <c r="ORZ177" s="80"/>
      <c r="OSA177" s="80"/>
      <c r="OSB177" s="80"/>
      <c r="OSC177" s="80"/>
      <c r="OSD177" s="80"/>
      <c r="OSE177" s="80"/>
      <c r="OSF177" s="80"/>
      <c r="OSG177" s="80"/>
      <c r="OSH177" s="80"/>
      <c r="OSI177" s="80"/>
      <c r="OSJ177" s="80"/>
      <c r="OSK177" s="80"/>
      <c r="OSL177" s="80"/>
      <c r="OSM177" s="80"/>
      <c r="OSN177" s="80"/>
      <c r="OSO177" s="80"/>
      <c r="OSP177" s="80"/>
      <c r="OSQ177" s="80"/>
      <c r="OSR177" s="80"/>
      <c r="OSS177" s="80"/>
      <c r="OST177" s="80"/>
      <c r="OSU177" s="80"/>
      <c r="OSV177" s="80"/>
      <c r="OSW177" s="80"/>
      <c r="OSX177" s="80"/>
      <c r="OSY177" s="80"/>
      <c r="OSZ177" s="80"/>
      <c r="OTA177" s="80"/>
      <c r="OTB177" s="80"/>
      <c r="OTC177" s="80"/>
      <c r="OTD177" s="80"/>
      <c r="OTE177" s="80"/>
      <c r="OTF177" s="80"/>
      <c r="OTG177" s="80"/>
      <c r="OTH177" s="80"/>
      <c r="OTI177" s="80"/>
      <c r="OTJ177" s="80"/>
      <c r="OTK177" s="80"/>
      <c r="OTL177" s="80"/>
      <c r="OTM177" s="80"/>
      <c r="OTN177" s="80"/>
      <c r="OTO177" s="80"/>
      <c r="OTP177" s="80"/>
      <c r="OTQ177" s="80"/>
      <c r="OTR177" s="80"/>
      <c r="OTS177" s="80"/>
      <c r="OTT177" s="80"/>
      <c r="OTU177" s="80"/>
      <c r="OTV177" s="80"/>
      <c r="OTW177" s="80"/>
      <c r="OTX177" s="80"/>
      <c r="OTY177" s="80"/>
      <c r="OTZ177" s="80"/>
      <c r="OUA177" s="80"/>
      <c r="OUB177" s="80"/>
      <c r="OUC177" s="80"/>
      <c r="OUD177" s="80"/>
      <c r="OUE177" s="80"/>
      <c r="OUF177" s="80"/>
      <c r="OUG177" s="80"/>
      <c r="OUH177" s="80"/>
      <c r="OUI177" s="80"/>
      <c r="OUJ177" s="80"/>
      <c r="OUK177" s="80"/>
      <c r="OUL177" s="80"/>
      <c r="OUM177" s="80"/>
      <c r="OUN177" s="80"/>
      <c r="OUO177" s="80"/>
      <c r="OUP177" s="80"/>
      <c r="OUQ177" s="80"/>
      <c r="OUR177" s="80"/>
      <c r="OUS177" s="80"/>
      <c r="OUT177" s="80"/>
      <c r="OUU177" s="80"/>
      <c r="OUV177" s="80"/>
      <c r="OUW177" s="80"/>
      <c r="OUX177" s="80"/>
      <c r="OUY177" s="80"/>
      <c r="OUZ177" s="80"/>
      <c r="OVA177" s="80"/>
      <c r="OVB177" s="80"/>
      <c r="OVC177" s="80"/>
      <c r="OVD177" s="80"/>
      <c r="OVE177" s="80"/>
      <c r="OVF177" s="80"/>
      <c r="OVG177" s="80"/>
      <c r="OVH177" s="80"/>
      <c r="OVI177" s="80"/>
      <c r="OVJ177" s="80"/>
      <c r="OVK177" s="80"/>
      <c r="OVL177" s="80"/>
      <c r="OVM177" s="80"/>
      <c r="OVN177" s="80"/>
      <c r="OVO177" s="80"/>
      <c r="OVP177" s="80"/>
      <c r="OVQ177" s="80"/>
      <c r="OVR177" s="80"/>
      <c r="OVS177" s="80"/>
      <c r="OVT177" s="80"/>
      <c r="OVU177" s="80"/>
      <c r="OVV177" s="80"/>
      <c r="OVW177" s="80"/>
      <c r="OVX177" s="80"/>
      <c r="OVY177" s="80"/>
      <c r="OVZ177" s="80"/>
      <c r="OWA177" s="80"/>
      <c r="OWB177" s="80"/>
      <c r="OWC177" s="80"/>
      <c r="OWD177" s="80"/>
      <c r="OWE177" s="80"/>
      <c r="OWF177" s="80"/>
      <c r="OWG177" s="80"/>
      <c r="OWH177" s="80"/>
      <c r="OWI177" s="80"/>
      <c r="OWJ177" s="80"/>
      <c r="OWK177" s="80"/>
      <c r="OWL177" s="80"/>
      <c r="OWM177" s="80"/>
      <c r="OWN177" s="80"/>
      <c r="OWO177" s="80"/>
      <c r="OWP177" s="80"/>
      <c r="OWQ177" s="80"/>
      <c r="OWR177" s="80"/>
      <c r="OWS177" s="80"/>
      <c r="OWT177" s="80"/>
      <c r="OWU177" s="80"/>
      <c r="OWV177" s="80"/>
      <c r="OWW177" s="80"/>
      <c r="OWX177" s="80"/>
      <c r="OWY177" s="80"/>
      <c r="OWZ177" s="80"/>
      <c r="OXA177" s="80"/>
      <c r="OXB177" s="80"/>
      <c r="OXC177" s="80"/>
      <c r="OXD177" s="80"/>
      <c r="OXE177" s="80"/>
      <c r="OXF177" s="80"/>
      <c r="OXG177" s="80"/>
      <c r="OXH177" s="80"/>
      <c r="OXI177" s="80"/>
      <c r="OXJ177" s="80"/>
      <c r="OXK177" s="80"/>
      <c r="OXL177" s="80"/>
      <c r="OXM177" s="80"/>
      <c r="OXN177" s="80"/>
      <c r="OXO177" s="80"/>
      <c r="OXP177" s="80"/>
      <c r="OXQ177" s="80"/>
      <c r="OXR177" s="80"/>
      <c r="OXS177" s="80"/>
      <c r="OXT177" s="80"/>
      <c r="OXU177" s="80"/>
      <c r="OXV177" s="80"/>
      <c r="OXW177" s="80"/>
      <c r="OXX177" s="80"/>
      <c r="OXY177" s="80"/>
      <c r="OXZ177" s="80"/>
      <c r="OYA177" s="80"/>
      <c r="OYB177" s="80"/>
      <c r="OYC177" s="80"/>
      <c r="OYD177" s="80"/>
      <c r="OYE177" s="80"/>
      <c r="OYF177" s="80"/>
      <c r="OYG177" s="80"/>
      <c r="OYH177" s="80"/>
      <c r="OYI177" s="80"/>
      <c r="OYJ177" s="80"/>
      <c r="OYK177" s="80"/>
      <c r="OYL177" s="80"/>
      <c r="OYM177" s="80"/>
      <c r="OYN177" s="80"/>
      <c r="OYO177" s="80"/>
      <c r="OYP177" s="80"/>
      <c r="OYQ177" s="80"/>
      <c r="OYR177" s="80"/>
      <c r="OYS177" s="80"/>
      <c r="OYT177" s="80"/>
      <c r="OYU177" s="80"/>
      <c r="OYV177" s="80"/>
      <c r="OYW177" s="80"/>
      <c r="OYX177" s="80"/>
      <c r="OYY177" s="80"/>
      <c r="OYZ177" s="80"/>
      <c r="OZA177" s="80"/>
      <c r="OZB177" s="80"/>
      <c r="OZC177" s="80"/>
      <c r="OZD177" s="80"/>
      <c r="OZE177" s="80"/>
      <c r="OZF177" s="80"/>
      <c r="OZG177" s="80"/>
      <c r="OZH177" s="80"/>
      <c r="OZI177" s="80"/>
      <c r="OZJ177" s="80"/>
      <c r="OZK177" s="80"/>
      <c r="OZL177" s="80"/>
      <c r="OZM177" s="80"/>
      <c r="OZN177" s="80"/>
      <c r="OZO177" s="80"/>
      <c r="OZP177" s="80"/>
      <c r="OZQ177" s="80"/>
      <c r="OZR177" s="80"/>
      <c r="OZS177" s="80"/>
      <c r="OZT177" s="80"/>
      <c r="OZU177" s="80"/>
      <c r="OZV177" s="80"/>
      <c r="OZW177" s="80"/>
      <c r="OZX177" s="80"/>
      <c r="OZY177" s="80"/>
      <c r="OZZ177" s="80"/>
      <c r="PAA177" s="80"/>
      <c r="PAB177" s="80"/>
      <c r="PAC177" s="80"/>
      <c r="PAD177" s="80"/>
      <c r="PAE177" s="80"/>
      <c r="PAF177" s="80"/>
      <c r="PAG177" s="80"/>
      <c r="PAH177" s="80"/>
      <c r="PAI177" s="80"/>
      <c r="PAJ177" s="80"/>
      <c r="PAK177" s="80"/>
      <c r="PAL177" s="80"/>
      <c r="PAM177" s="80"/>
      <c r="PAN177" s="80"/>
      <c r="PAO177" s="80"/>
      <c r="PAP177" s="80"/>
      <c r="PAQ177" s="80"/>
      <c r="PAR177" s="80"/>
      <c r="PAS177" s="80"/>
      <c r="PAT177" s="80"/>
      <c r="PAU177" s="80"/>
      <c r="PAV177" s="80"/>
      <c r="PAW177" s="80"/>
      <c r="PAX177" s="80"/>
      <c r="PAY177" s="80"/>
      <c r="PAZ177" s="80"/>
      <c r="PBA177" s="80"/>
      <c r="PBB177" s="80"/>
      <c r="PBC177" s="80"/>
      <c r="PBD177" s="80"/>
      <c r="PBE177" s="80"/>
      <c r="PBF177" s="80"/>
      <c r="PBG177" s="80"/>
      <c r="PBH177" s="80"/>
      <c r="PBI177" s="80"/>
      <c r="PBJ177" s="80"/>
      <c r="PBK177" s="80"/>
      <c r="PBL177" s="80"/>
      <c r="PBM177" s="80"/>
      <c r="PBN177" s="80"/>
      <c r="PBO177" s="80"/>
      <c r="PBP177" s="80"/>
      <c r="PBQ177" s="80"/>
      <c r="PBR177" s="80"/>
      <c r="PBS177" s="80"/>
      <c r="PBT177" s="80"/>
      <c r="PBU177" s="80"/>
      <c r="PBV177" s="80"/>
      <c r="PBW177" s="80"/>
      <c r="PBX177" s="80"/>
      <c r="PBY177" s="80"/>
      <c r="PBZ177" s="80"/>
      <c r="PCA177" s="80"/>
      <c r="PCB177" s="80"/>
      <c r="PCC177" s="80"/>
      <c r="PCD177" s="80"/>
      <c r="PCE177" s="80"/>
      <c r="PCF177" s="80"/>
      <c r="PCG177" s="80"/>
      <c r="PCH177" s="80"/>
      <c r="PCI177" s="80"/>
      <c r="PCJ177" s="80"/>
      <c r="PCK177" s="80"/>
      <c r="PCL177" s="80"/>
      <c r="PCM177" s="80"/>
      <c r="PCN177" s="80"/>
      <c r="PCO177" s="80"/>
      <c r="PCP177" s="80"/>
      <c r="PCQ177" s="80"/>
      <c r="PCR177" s="80"/>
      <c r="PCS177" s="80"/>
      <c r="PCT177" s="80"/>
      <c r="PCU177" s="80"/>
      <c r="PCV177" s="80"/>
      <c r="PCW177" s="80"/>
      <c r="PCX177" s="80"/>
      <c r="PCY177" s="80"/>
      <c r="PCZ177" s="80"/>
      <c r="PDA177" s="80"/>
      <c r="PDB177" s="80"/>
      <c r="PDC177" s="80"/>
      <c r="PDD177" s="80"/>
      <c r="PDE177" s="80"/>
      <c r="PDF177" s="80"/>
      <c r="PDG177" s="80"/>
      <c r="PDH177" s="80"/>
      <c r="PDI177" s="80"/>
      <c r="PDJ177" s="80"/>
      <c r="PDK177" s="80"/>
      <c r="PDL177" s="80"/>
      <c r="PDM177" s="80"/>
      <c r="PDN177" s="80"/>
      <c r="PDO177" s="80"/>
      <c r="PDP177" s="80"/>
      <c r="PDQ177" s="80"/>
      <c r="PDR177" s="80"/>
      <c r="PDS177" s="80"/>
      <c r="PDT177" s="80"/>
      <c r="PDU177" s="80"/>
      <c r="PDV177" s="80"/>
      <c r="PDW177" s="80"/>
      <c r="PDX177" s="80"/>
      <c r="PDY177" s="80"/>
      <c r="PDZ177" s="80"/>
      <c r="PEA177" s="80"/>
      <c r="PEB177" s="80"/>
      <c r="PEC177" s="80"/>
      <c r="PED177" s="80"/>
      <c r="PEE177" s="80"/>
      <c r="PEF177" s="80"/>
      <c r="PEG177" s="80"/>
      <c r="PEH177" s="80"/>
      <c r="PEI177" s="80"/>
      <c r="PEJ177" s="80"/>
      <c r="PEK177" s="80"/>
      <c r="PEL177" s="80"/>
      <c r="PEM177" s="80"/>
      <c r="PEN177" s="80"/>
      <c r="PEO177" s="80"/>
      <c r="PEP177" s="80"/>
      <c r="PEQ177" s="80"/>
      <c r="PER177" s="80"/>
      <c r="PES177" s="80"/>
      <c r="PET177" s="80"/>
      <c r="PEU177" s="80"/>
      <c r="PEV177" s="80"/>
      <c r="PEW177" s="80"/>
      <c r="PEX177" s="80"/>
      <c r="PEY177" s="80"/>
      <c r="PEZ177" s="80"/>
      <c r="PFA177" s="80"/>
      <c r="PFB177" s="80"/>
      <c r="PFC177" s="80"/>
      <c r="PFD177" s="80"/>
      <c r="PFE177" s="80"/>
      <c r="PFF177" s="80"/>
      <c r="PFG177" s="80"/>
      <c r="PFH177" s="80"/>
      <c r="PFI177" s="80"/>
      <c r="PFJ177" s="80"/>
      <c r="PFK177" s="80"/>
      <c r="PFL177" s="80"/>
      <c r="PFM177" s="80"/>
      <c r="PFN177" s="80"/>
      <c r="PFO177" s="80"/>
      <c r="PFP177" s="80"/>
      <c r="PFQ177" s="80"/>
      <c r="PFR177" s="80"/>
      <c r="PFS177" s="80"/>
      <c r="PFT177" s="80"/>
      <c r="PFU177" s="80"/>
      <c r="PFV177" s="80"/>
      <c r="PFW177" s="80"/>
      <c r="PFX177" s="80"/>
      <c r="PFY177" s="80"/>
      <c r="PFZ177" s="80"/>
      <c r="PGA177" s="80"/>
      <c r="PGB177" s="80"/>
      <c r="PGC177" s="80"/>
      <c r="PGD177" s="80"/>
      <c r="PGE177" s="80"/>
      <c r="PGF177" s="80"/>
      <c r="PGG177" s="80"/>
      <c r="PGH177" s="80"/>
      <c r="PGI177" s="80"/>
      <c r="PGJ177" s="80"/>
      <c r="PGK177" s="80"/>
      <c r="PGL177" s="80"/>
      <c r="PGM177" s="80"/>
      <c r="PGN177" s="80"/>
      <c r="PGO177" s="80"/>
      <c r="PGP177" s="80"/>
      <c r="PGQ177" s="80"/>
      <c r="PGR177" s="80"/>
      <c r="PGS177" s="80"/>
      <c r="PGT177" s="80"/>
      <c r="PGU177" s="80"/>
      <c r="PGV177" s="80"/>
      <c r="PGW177" s="80"/>
      <c r="PGX177" s="80"/>
      <c r="PGY177" s="80"/>
      <c r="PGZ177" s="80"/>
      <c r="PHA177" s="80"/>
      <c r="PHB177" s="80"/>
      <c r="PHC177" s="80"/>
      <c r="PHD177" s="80"/>
      <c r="PHE177" s="80"/>
      <c r="PHF177" s="80"/>
      <c r="PHG177" s="80"/>
      <c r="PHH177" s="80"/>
      <c r="PHI177" s="80"/>
      <c r="PHJ177" s="80"/>
      <c r="PHK177" s="80"/>
      <c r="PHL177" s="80"/>
      <c r="PHM177" s="80"/>
      <c r="PHN177" s="80"/>
      <c r="PHO177" s="80"/>
      <c r="PHP177" s="80"/>
      <c r="PHQ177" s="80"/>
      <c r="PHR177" s="80"/>
      <c r="PHS177" s="80"/>
      <c r="PHT177" s="80"/>
      <c r="PHU177" s="80"/>
      <c r="PHV177" s="80"/>
      <c r="PHW177" s="80"/>
      <c r="PHX177" s="80"/>
      <c r="PHY177" s="80"/>
      <c r="PHZ177" s="80"/>
      <c r="PIA177" s="80"/>
      <c r="PIB177" s="80"/>
      <c r="PIC177" s="80"/>
      <c r="PID177" s="80"/>
      <c r="PIE177" s="80"/>
      <c r="PIF177" s="80"/>
      <c r="PIG177" s="80"/>
      <c r="PIH177" s="80"/>
      <c r="PII177" s="80"/>
      <c r="PIJ177" s="80"/>
      <c r="PIK177" s="80"/>
      <c r="PIL177" s="80"/>
      <c r="PIM177" s="80"/>
      <c r="PIN177" s="80"/>
      <c r="PIO177" s="80"/>
      <c r="PIP177" s="80"/>
      <c r="PIQ177" s="80"/>
      <c r="PIR177" s="80"/>
      <c r="PIS177" s="80"/>
      <c r="PIT177" s="80"/>
      <c r="PIU177" s="80"/>
      <c r="PIV177" s="80"/>
      <c r="PIW177" s="80"/>
      <c r="PIX177" s="80"/>
      <c r="PIY177" s="80"/>
      <c r="PIZ177" s="80"/>
      <c r="PJA177" s="80"/>
      <c r="PJB177" s="80"/>
      <c r="PJC177" s="80"/>
      <c r="PJD177" s="80"/>
      <c r="PJE177" s="80"/>
      <c r="PJF177" s="80"/>
      <c r="PJG177" s="80"/>
      <c r="PJH177" s="80"/>
      <c r="PJI177" s="80"/>
      <c r="PJJ177" s="80"/>
      <c r="PJK177" s="80"/>
      <c r="PJL177" s="80"/>
      <c r="PJM177" s="80"/>
      <c r="PJN177" s="80"/>
      <c r="PJO177" s="80"/>
      <c r="PJP177" s="80"/>
      <c r="PJQ177" s="80"/>
      <c r="PJR177" s="80"/>
      <c r="PJS177" s="80"/>
      <c r="PJT177" s="80"/>
      <c r="PJU177" s="80"/>
      <c r="PJV177" s="80"/>
      <c r="PJW177" s="80"/>
      <c r="PJX177" s="80"/>
      <c r="PJY177" s="80"/>
      <c r="PJZ177" s="80"/>
      <c r="PKA177" s="80"/>
      <c r="PKB177" s="80"/>
      <c r="PKC177" s="80"/>
      <c r="PKD177" s="80"/>
      <c r="PKE177" s="80"/>
      <c r="PKF177" s="80"/>
      <c r="PKG177" s="80"/>
      <c r="PKH177" s="80"/>
      <c r="PKI177" s="80"/>
      <c r="PKJ177" s="80"/>
      <c r="PKK177" s="80"/>
      <c r="PKL177" s="80"/>
      <c r="PKM177" s="80"/>
      <c r="PKN177" s="80"/>
      <c r="PKO177" s="80"/>
      <c r="PKP177" s="80"/>
      <c r="PKQ177" s="80"/>
      <c r="PKR177" s="80"/>
      <c r="PKS177" s="80"/>
      <c r="PKT177" s="80"/>
      <c r="PKU177" s="80"/>
      <c r="PKV177" s="80"/>
      <c r="PKW177" s="80"/>
      <c r="PKX177" s="80"/>
      <c r="PKY177" s="80"/>
      <c r="PKZ177" s="80"/>
      <c r="PLA177" s="80"/>
      <c r="PLB177" s="80"/>
      <c r="PLC177" s="80"/>
      <c r="PLD177" s="80"/>
      <c r="PLE177" s="80"/>
      <c r="PLF177" s="80"/>
      <c r="PLG177" s="80"/>
      <c r="PLH177" s="80"/>
      <c r="PLI177" s="80"/>
      <c r="PLJ177" s="80"/>
      <c r="PLK177" s="80"/>
      <c r="PLL177" s="80"/>
      <c r="PLM177" s="80"/>
      <c r="PLN177" s="80"/>
      <c r="PLO177" s="80"/>
      <c r="PLP177" s="80"/>
      <c r="PLQ177" s="80"/>
      <c r="PLR177" s="80"/>
      <c r="PLS177" s="80"/>
      <c r="PLT177" s="80"/>
      <c r="PLU177" s="80"/>
      <c r="PLV177" s="80"/>
      <c r="PLW177" s="80"/>
      <c r="PLX177" s="80"/>
      <c r="PLY177" s="80"/>
      <c r="PLZ177" s="80"/>
      <c r="PMA177" s="80"/>
      <c r="PMB177" s="80"/>
      <c r="PMC177" s="80"/>
      <c r="PMD177" s="80"/>
      <c r="PME177" s="80"/>
      <c r="PMF177" s="80"/>
      <c r="PMG177" s="80"/>
      <c r="PMH177" s="80"/>
      <c r="PMI177" s="80"/>
      <c r="PMJ177" s="80"/>
      <c r="PMK177" s="80"/>
      <c r="PML177" s="80"/>
      <c r="PMM177" s="80"/>
      <c r="PMN177" s="80"/>
      <c r="PMO177" s="80"/>
      <c r="PMP177" s="80"/>
      <c r="PMQ177" s="80"/>
      <c r="PMR177" s="80"/>
      <c r="PMS177" s="80"/>
      <c r="PMT177" s="80"/>
      <c r="PMU177" s="80"/>
      <c r="PMV177" s="80"/>
      <c r="PMW177" s="80"/>
      <c r="PMX177" s="80"/>
      <c r="PMY177" s="80"/>
      <c r="PMZ177" s="80"/>
      <c r="PNA177" s="80"/>
      <c r="PNB177" s="80"/>
      <c r="PNC177" s="80"/>
      <c r="PND177" s="80"/>
      <c r="PNE177" s="80"/>
      <c r="PNF177" s="80"/>
      <c r="PNG177" s="80"/>
      <c r="PNH177" s="80"/>
      <c r="PNI177" s="80"/>
      <c r="PNJ177" s="80"/>
      <c r="PNK177" s="80"/>
      <c r="PNL177" s="80"/>
      <c r="PNM177" s="80"/>
      <c r="PNN177" s="80"/>
      <c r="PNO177" s="80"/>
      <c r="PNP177" s="80"/>
      <c r="PNQ177" s="80"/>
      <c r="PNR177" s="80"/>
      <c r="PNS177" s="80"/>
      <c r="PNT177" s="80"/>
      <c r="PNU177" s="80"/>
      <c r="PNV177" s="80"/>
      <c r="PNW177" s="80"/>
      <c r="PNX177" s="80"/>
      <c r="PNY177" s="80"/>
      <c r="PNZ177" s="80"/>
      <c r="POA177" s="80"/>
      <c r="POB177" s="80"/>
      <c r="POC177" s="80"/>
      <c r="POD177" s="80"/>
      <c r="POE177" s="80"/>
      <c r="POF177" s="80"/>
      <c r="POG177" s="80"/>
      <c r="POH177" s="80"/>
      <c r="POI177" s="80"/>
      <c r="POJ177" s="80"/>
      <c r="POK177" s="80"/>
      <c r="POL177" s="80"/>
      <c r="POM177" s="80"/>
      <c r="PON177" s="80"/>
      <c r="POO177" s="80"/>
      <c r="POP177" s="80"/>
      <c r="POQ177" s="80"/>
      <c r="POR177" s="80"/>
      <c r="POS177" s="80"/>
      <c r="POT177" s="80"/>
      <c r="POU177" s="80"/>
      <c r="POV177" s="80"/>
      <c r="POW177" s="80"/>
      <c r="POX177" s="80"/>
      <c r="POY177" s="80"/>
      <c r="POZ177" s="80"/>
      <c r="PPA177" s="80"/>
      <c r="PPB177" s="80"/>
      <c r="PPC177" s="80"/>
      <c r="PPD177" s="80"/>
      <c r="PPE177" s="80"/>
      <c r="PPF177" s="80"/>
      <c r="PPG177" s="80"/>
      <c r="PPH177" s="80"/>
      <c r="PPI177" s="80"/>
      <c r="PPJ177" s="80"/>
      <c r="PPK177" s="80"/>
      <c r="PPL177" s="80"/>
      <c r="PPM177" s="80"/>
      <c r="PPN177" s="80"/>
      <c r="PPO177" s="80"/>
      <c r="PPP177" s="80"/>
      <c r="PPQ177" s="80"/>
      <c r="PPR177" s="80"/>
      <c r="PPS177" s="80"/>
      <c r="PPT177" s="80"/>
      <c r="PPU177" s="80"/>
      <c r="PPV177" s="80"/>
      <c r="PPW177" s="80"/>
      <c r="PPX177" s="80"/>
      <c r="PPY177" s="80"/>
      <c r="PPZ177" s="80"/>
      <c r="PQA177" s="80"/>
      <c r="PQB177" s="80"/>
      <c r="PQC177" s="80"/>
      <c r="PQD177" s="80"/>
      <c r="PQE177" s="80"/>
      <c r="PQF177" s="80"/>
      <c r="PQG177" s="80"/>
      <c r="PQH177" s="80"/>
      <c r="PQI177" s="80"/>
      <c r="PQJ177" s="80"/>
      <c r="PQK177" s="80"/>
      <c r="PQL177" s="80"/>
      <c r="PQM177" s="80"/>
      <c r="PQN177" s="80"/>
      <c r="PQO177" s="80"/>
      <c r="PQP177" s="80"/>
      <c r="PQQ177" s="80"/>
      <c r="PQR177" s="80"/>
      <c r="PQS177" s="80"/>
      <c r="PQT177" s="80"/>
      <c r="PQU177" s="80"/>
      <c r="PQV177" s="80"/>
      <c r="PQW177" s="80"/>
      <c r="PQX177" s="80"/>
      <c r="PQY177" s="80"/>
      <c r="PQZ177" s="80"/>
      <c r="PRA177" s="80"/>
      <c r="PRB177" s="80"/>
      <c r="PRC177" s="80"/>
      <c r="PRD177" s="80"/>
      <c r="PRE177" s="80"/>
      <c r="PRF177" s="80"/>
      <c r="PRG177" s="80"/>
      <c r="PRH177" s="80"/>
      <c r="PRI177" s="80"/>
      <c r="PRJ177" s="80"/>
      <c r="PRK177" s="80"/>
      <c r="PRL177" s="80"/>
      <c r="PRM177" s="80"/>
      <c r="PRN177" s="80"/>
      <c r="PRO177" s="80"/>
      <c r="PRP177" s="80"/>
      <c r="PRQ177" s="80"/>
      <c r="PRR177" s="80"/>
      <c r="PRS177" s="80"/>
      <c r="PRT177" s="80"/>
      <c r="PRU177" s="80"/>
      <c r="PRV177" s="80"/>
      <c r="PRW177" s="80"/>
      <c r="PRX177" s="80"/>
      <c r="PRY177" s="80"/>
      <c r="PRZ177" s="80"/>
      <c r="PSA177" s="80"/>
      <c r="PSB177" s="80"/>
      <c r="PSC177" s="80"/>
      <c r="PSD177" s="80"/>
      <c r="PSE177" s="80"/>
      <c r="PSF177" s="80"/>
      <c r="PSG177" s="80"/>
      <c r="PSH177" s="80"/>
      <c r="PSI177" s="80"/>
      <c r="PSJ177" s="80"/>
      <c r="PSK177" s="80"/>
      <c r="PSL177" s="80"/>
      <c r="PSM177" s="80"/>
      <c r="PSN177" s="80"/>
      <c r="PSO177" s="80"/>
      <c r="PSP177" s="80"/>
      <c r="PSQ177" s="80"/>
      <c r="PSR177" s="80"/>
      <c r="PSS177" s="80"/>
      <c r="PST177" s="80"/>
      <c r="PSU177" s="80"/>
      <c r="PSV177" s="80"/>
      <c r="PSW177" s="80"/>
      <c r="PSX177" s="80"/>
      <c r="PSY177" s="80"/>
      <c r="PSZ177" s="80"/>
      <c r="PTA177" s="80"/>
      <c r="PTB177" s="80"/>
      <c r="PTC177" s="80"/>
      <c r="PTD177" s="80"/>
      <c r="PTE177" s="80"/>
      <c r="PTF177" s="80"/>
      <c r="PTG177" s="80"/>
      <c r="PTH177" s="80"/>
      <c r="PTI177" s="80"/>
      <c r="PTJ177" s="80"/>
      <c r="PTK177" s="80"/>
      <c r="PTL177" s="80"/>
      <c r="PTM177" s="80"/>
      <c r="PTN177" s="80"/>
      <c r="PTO177" s="80"/>
      <c r="PTP177" s="80"/>
      <c r="PTQ177" s="80"/>
      <c r="PTR177" s="80"/>
      <c r="PTS177" s="80"/>
      <c r="PTT177" s="80"/>
      <c r="PTU177" s="80"/>
      <c r="PTV177" s="80"/>
      <c r="PTW177" s="80"/>
      <c r="PTX177" s="80"/>
      <c r="PTY177" s="80"/>
      <c r="PTZ177" s="80"/>
      <c r="PUA177" s="80"/>
      <c r="PUB177" s="80"/>
      <c r="PUC177" s="80"/>
      <c r="PUD177" s="80"/>
      <c r="PUE177" s="80"/>
      <c r="PUF177" s="80"/>
      <c r="PUG177" s="80"/>
      <c r="PUH177" s="80"/>
      <c r="PUI177" s="80"/>
      <c r="PUJ177" s="80"/>
      <c r="PUK177" s="80"/>
      <c r="PUL177" s="80"/>
      <c r="PUM177" s="80"/>
      <c r="PUN177" s="80"/>
      <c r="PUO177" s="80"/>
      <c r="PUP177" s="80"/>
      <c r="PUQ177" s="80"/>
      <c r="PUR177" s="80"/>
      <c r="PUS177" s="80"/>
      <c r="PUT177" s="80"/>
      <c r="PUU177" s="80"/>
      <c r="PUV177" s="80"/>
      <c r="PUW177" s="80"/>
      <c r="PUX177" s="80"/>
      <c r="PUY177" s="80"/>
      <c r="PUZ177" s="80"/>
      <c r="PVA177" s="80"/>
      <c r="PVB177" s="80"/>
      <c r="PVC177" s="80"/>
      <c r="PVD177" s="80"/>
      <c r="PVE177" s="80"/>
      <c r="PVF177" s="80"/>
      <c r="PVG177" s="80"/>
      <c r="PVH177" s="80"/>
      <c r="PVI177" s="80"/>
      <c r="PVJ177" s="80"/>
      <c r="PVK177" s="80"/>
      <c r="PVL177" s="80"/>
      <c r="PVM177" s="80"/>
      <c r="PVN177" s="80"/>
      <c r="PVO177" s="80"/>
      <c r="PVP177" s="80"/>
      <c r="PVQ177" s="80"/>
      <c r="PVR177" s="80"/>
      <c r="PVS177" s="80"/>
      <c r="PVT177" s="80"/>
      <c r="PVU177" s="80"/>
      <c r="PVV177" s="80"/>
      <c r="PVW177" s="80"/>
      <c r="PVX177" s="80"/>
      <c r="PVY177" s="80"/>
      <c r="PVZ177" s="80"/>
      <c r="PWA177" s="80"/>
      <c r="PWB177" s="80"/>
      <c r="PWC177" s="80"/>
      <c r="PWD177" s="80"/>
      <c r="PWE177" s="80"/>
      <c r="PWF177" s="80"/>
      <c r="PWG177" s="80"/>
      <c r="PWH177" s="80"/>
      <c r="PWI177" s="80"/>
      <c r="PWJ177" s="80"/>
      <c r="PWK177" s="80"/>
      <c r="PWL177" s="80"/>
      <c r="PWM177" s="80"/>
      <c r="PWN177" s="80"/>
      <c r="PWO177" s="80"/>
      <c r="PWP177" s="80"/>
      <c r="PWQ177" s="80"/>
      <c r="PWR177" s="80"/>
      <c r="PWS177" s="80"/>
      <c r="PWT177" s="80"/>
      <c r="PWU177" s="80"/>
      <c r="PWV177" s="80"/>
      <c r="PWW177" s="80"/>
      <c r="PWX177" s="80"/>
      <c r="PWY177" s="80"/>
      <c r="PWZ177" s="80"/>
      <c r="PXA177" s="80"/>
      <c r="PXB177" s="80"/>
      <c r="PXC177" s="80"/>
      <c r="PXD177" s="80"/>
      <c r="PXE177" s="80"/>
      <c r="PXF177" s="80"/>
      <c r="PXG177" s="80"/>
      <c r="PXH177" s="80"/>
      <c r="PXI177" s="80"/>
      <c r="PXJ177" s="80"/>
      <c r="PXK177" s="80"/>
      <c r="PXL177" s="80"/>
      <c r="PXM177" s="80"/>
      <c r="PXN177" s="80"/>
      <c r="PXO177" s="80"/>
      <c r="PXP177" s="80"/>
      <c r="PXQ177" s="80"/>
      <c r="PXR177" s="80"/>
      <c r="PXS177" s="80"/>
      <c r="PXT177" s="80"/>
      <c r="PXU177" s="80"/>
      <c r="PXV177" s="80"/>
      <c r="PXW177" s="80"/>
      <c r="PXX177" s="80"/>
      <c r="PXY177" s="80"/>
      <c r="PXZ177" s="80"/>
      <c r="PYA177" s="80"/>
      <c r="PYB177" s="80"/>
      <c r="PYC177" s="80"/>
      <c r="PYD177" s="80"/>
      <c r="PYE177" s="80"/>
      <c r="PYF177" s="80"/>
      <c r="PYG177" s="80"/>
      <c r="PYH177" s="80"/>
      <c r="PYI177" s="80"/>
      <c r="PYJ177" s="80"/>
      <c r="PYK177" s="80"/>
      <c r="PYL177" s="80"/>
      <c r="PYM177" s="80"/>
      <c r="PYN177" s="80"/>
      <c r="PYO177" s="80"/>
      <c r="PYP177" s="80"/>
      <c r="PYQ177" s="80"/>
      <c r="PYR177" s="80"/>
      <c r="PYS177" s="80"/>
      <c r="PYT177" s="80"/>
      <c r="PYU177" s="80"/>
      <c r="PYV177" s="80"/>
      <c r="PYW177" s="80"/>
      <c r="PYX177" s="80"/>
      <c r="PYY177" s="80"/>
      <c r="PYZ177" s="80"/>
      <c r="PZA177" s="80"/>
      <c r="PZB177" s="80"/>
      <c r="PZC177" s="80"/>
      <c r="PZD177" s="80"/>
      <c r="PZE177" s="80"/>
      <c r="PZF177" s="80"/>
      <c r="PZG177" s="80"/>
      <c r="PZH177" s="80"/>
      <c r="PZI177" s="80"/>
      <c r="PZJ177" s="80"/>
      <c r="PZK177" s="80"/>
      <c r="PZL177" s="80"/>
      <c r="PZM177" s="80"/>
      <c r="PZN177" s="80"/>
      <c r="PZO177" s="80"/>
      <c r="PZP177" s="80"/>
      <c r="PZQ177" s="80"/>
      <c r="PZR177" s="80"/>
      <c r="PZS177" s="80"/>
      <c r="PZT177" s="80"/>
      <c r="PZU177" s="80"/>
      <c r="PZV177" s="80"/>
      <c r="PZW177" s="80"/>
      <c r="PZX177" s="80"/>
      <c r="PZY177" s="80"/>
      <c r="PZZ177" s="80"/>
      <c r="QAA177" s="80"/>
      <c r="QAB177" s="80"/>
      <c r="QAC177" s="80"/>
      <c r="QAD177" s="80"/>
      <c r="QAE177" s="80"/>
      <c r="QAF177" s="80"/>
      <c r="QAG177" s="80"/>
      <c r="QAH177" s="80"/>
      <c r="QAI177" s="80"/>
      <c r="QAJ177" s="80"/>
      <c r="QAK177" s="80"/>
      <c r="QAL177" s="80"/>
      <c r="QAM177" s="80"/>
      <c r="QAN177" s="80"/>
      <c r="QAO177" s="80"/>
      <c r="QAP177" s="80"/>
      <c r="QAQ177" s="80"/>
      <c r="QAR177" s="80"/>
      <c r="QAS177" s="80"/>
      <c r="QAT177" s="80"/>
      <c r="QAU177" s="80"/>
      <c r="QAV177" s="80"/>
      <c r="QAW177" s="80"/>
      <c r="QAX177" s="80"/>
      <c r="QAY177" s="80"/>
      <c r="QAZ177" s="80"/>
      <c r="QBA177" s="80"/>
      <c r="QBB177" s="80"/>
      <c r="QBC177" s="80"/>
      <c r="QBD177" s="80"/>
      <c r="QBE177" s="80"/>
      <c r="QBF177" s="80"/>
      <c r="QBG177" s="80"/>
      <c r="QBH177" s="80"/>
      <c r="QBI177" s="80"/>
      <c r="QBJ177" s="80"/>
      <c r="QBK177" s="80"/>
      <c r="QBL177" s="80"/>
      <c r="QBM177" s="80"/>
      <c r="QBN177" s="80"/>
      <c r="QBO177" s="80"/>
      <c r="QBP177" s="80"/>
      <c r="QBQ177" s="80"/>
      <c r="QBR177" s="80"/>
      <c r="QBS177" s="80"/>
      <c r="QBT177" s="80"/>
      <c r="QBU177" s="80"/>
      <c r="QBV177" s="80"/>
      <c r="QBW177" s="80"/>
      <c r="QBX177" s="80"/>
      <c r="QBY177" s="80"/>
      <c r="QBZ177" s="80"/>
      <c r="QCA177" s="80"/>
      <c r="QCB177" s="80"/>
      <c r="QCC177" s="80"/>
      <c r="QCD177" s="80"/>
      <c r="QCE177" s="80"/>
      <c r="QCF177" s="80"/>
      <c r="QCG177" s="80"/>
      <c r="QCH177" s="80"/>
      <c r="QCI177" s="80"/>
      <c r="QCJ177" s="80"/>
      <c r="QCK177" s="80"/>
      <c r="QCL177" s="80"/>
      <c r="QCM177" s="80"/>
      <c r="QCN177" s="80"/>
      <c r="QCO177" s="80"/>
      <c r="QCP177" s="80"/>
      <c r="QCQ177" s="80"/>
      <c r="QCR177" s="80"/>
      <c r="QCS177" s="80"/>
      <c r="QCT177" s="80"/>
      <c r="QCU177" s="80"/>
      <c r="QCV177" s="80"/>
      <c r="QCW177" s="80"/>
      <c r="QCX177" s="80"/>
      <c r="QCY177" s="80"/>
      <c r="QCZ177" s="80"/>
      <c r="QDA177" s="80"/>
      <c r="QDB177" s="80"/>
      <c r="QDC177" s="80"/>
      <c r="QDD177" s="80"/>
      <c r="QDE177" s="80"/>
      <c r="QDF177" s="80"/>
      <c r="QDG177" s="80"/>
      <c r="QDH177" s="80"/>
      <c r="QDI177" s="80"/>
      <c r="QDJ177" s="80"/>
      <c r="QDK177" s="80"/>
      <c r="QDL177" s="80"/>
      <c r="QDM177" s="80"/>
      <c r="QDN177" s="80"/>
      <c r="QDO177" s="80"/>
      <c r="QDP177" s="80"/>
      <c r="QDQ177" s="80"/>
      <c r="QDR177" s="80"/>
      <c r="QDS177" s="80"/>
      <c r="QDT177" s="80"/>
      <c r="QDU177" s="80"/>
      <c r="QDV177" s="80"/>
      <c r="QDW177" s="80"/>
      <c r="QDX177" s="80"/>
      <c r="QDY177" s="80"/>
      <c r="QDZ177" s="80"/>
      <c r="QEA177" s="80"/>
      <c r="QEB177" s="80"/>
      <c r="QEC177" s="80"/>
      <c r="QED177" s="80"/>
      <c r="QEE177" s="80"/>
      <c r="QEF177" s="80"/>
      <c r="QEG177" s="80"/>
      <c r="QEH177" s="80"/>
      <c r="QEI177" s="80"/>
      <c r="QEJ177" s="80"/>
      <c r="QEK177" s="80"/>
      <c r="QEL177" s="80"/>
      <c r="QEM177" s="80"/>
      <c r="QEN177" s="80"/>
      <c r="QEO177" s="80"/>
      <c r="QEP177" s="80"/>
      <c r="QEQ177" s="80"/>
      <c r="QER177" s="80"/>
      <c r="QES177" s="80"/>
      <c r="QET177" s="80"/>
      <c r="QEU177" s="80"/>
      <c r="QEV177" s="80"/>
      <c r="QEW177" s="80"/>
      <c r="QEX177" s="80"/>
      <c r="QEY177" s="80"/>
      <c r="QEZ177" s="80"/>
      <c r="QFA177" s="80"/>
      <c r="QFB177" s="80"/>
      <c r="QFC177" s="80"/>
      <c r="QFD177" s="80"/>
      <c r="QFE177" s="80"/>
      <c r="QFF177" s="80"/>
      <c r="QFG177" s="80"/>
      <c r="QFH177" s="80"/>
      <c r="QFI177" s="80"/>
      <c r="QFJ177" s="80"/>
      <c r="QFK177" s="80"/>
      <c r="QFL177" s="80"/>
      <c r="QFM177" s="80"/>
      <c r="QFN177" s="80"/>
      <c r="QFO177" s="80"/>
      <c r="QFP177" s="80"/>
      <c r="QFQ177" s="80"/>
      <c r="QFR177" s="80"/>
      <c r="QFS177" s="80"/>
      <c r="QFT177" s="80"/>
      <c r="QFU177" s="80"/>
      <c r="QFV177" s="80"/>
      <c r="QFW177" s="80"/>
      <c r="QFX177" s="80"/>
      <c r="QFY177" s="80"/>
      <c r="QFZ177" s="80"/>
      <c r="QGA177" s="80"/>
      <c r="QGB177" s="80"/>
      <c r="QGC177" s="80"/>
      <c r="QGD177" s="80"/>
      <c r="QGE177" s="80"/>
      <c r="QGF177" s="80"/>
      <c r="QGG177" s="80"/>
      <c r="QGH177" s="80"/>
      <c r="QGI177" s="80"/>
      <c r="QGJ177" s="80"/>
      <c r="QGK177" s="80"/>
      <c r="QGL177" s="80"/>
      <c r="QGM177" s="80"/>
      <c r="QGN177" s="80"/>
      <c r="QGO177" s="80"/>
      <c r="QGP177" s="80"/>
      <c r="QGQ177" s="80"/>
      <c r="QGR177" s="80"/>
      <c r="QGS177" s="80"/>
      <c r="QGT177" s="80"/>
      <c r="QGU177" s="80"/>
      <c r="QGV177" s="80"/>
      <c r="QGW177" s="80"/>
      <c r="QGX177" s="80"/>
      <c r="QGY177" s="80"/>
      <c r="QGZ177" s="80"/>
      <c r="QHA177" s="80"/>
      <c r="QHB177" s="80"/>
      <c r="QHC177" s="80"/>
      <c r="QHD177" s="80"/>
      <c r="QHE177" s="80"/>
      <c r="QHF177" s="80"/>
      <c r="QHG177" s="80"/>
      <c r="QHH177" s="80"/>
      <c r="QHI177" s="80"/>
      <c r="QHJ177" s="80"/>
      <c r="QHK177" s="80"/>
      <c r="QHL177" s="80"/>
      <c r="QHM177" s="80"/>
      <c r="QHN177" s="80"/>
      <c r="QHO177" s="80"/>
      <c r="QHP177" s="80"/>
      <c r="QHQ177" s="80"/>
      <c r="QHR177" s="80"/>
      <c r="QHS177" s="80"/>
      <c r="QHT177" s="80"/>
      <c r="QHU177" s="80"/>
      <c r="QHV177" s="80"/>
      <c r="QHW177" s="80"/>
      <c r="QHX177" s="80"/>
      <c r="QHY177" s="80"/>
      <c r="QHZ177" s="80"/>
      <c r="QIA177" s="80"/>
      <c r="QIB177" s="80"/>
      <c r="QIC177" s="80"/>
      <c r="QID177" s="80"/>
      <c r="QIE177" s="80"/>
      <c r="QIF177" s="80"/>
      <c r="QIG177" s="80"/>
      <c r="QIH177" s="80"/>
      <c r="QII177" s="80"/>
      <c r="QIJ177" s="80"/>
      <c r="QIK177" s="80"/>
      <c r="QIL177" s="80"/>
      <c r="QIM177" s="80"/>
      <c r="QIN177" s="80"/>
      <c r="QIO177" s="80"/>
      <c r="QIP177" s="80"/>
      <c r="QIQ177" s="80"/>
      <c r="QIR177" s="80"/>
      <c r="QIS177" s="80"/>
      <c r="QIT177" s="80"/>
      <c r="QIU177" s="80"/>
      <c r="QIV177" s="80"/>
      <c r="QIW177" s="80"/>
      <c r="QIX177" s="80"/>
      <c r="QIY177" s="80"/>
      <c r="QIZ177" s="80"/>
      <c r="QJA177" s="80"/>
      <c r="QJB177" s="80"/>
      <c r="QJC177" s="80"/>
      <c r="QJD177" s="80"/>
      <c r="QJE177" s="80"/>
      <c r="QJF177" s="80"/>
      <c r="QJG177" s="80"/>
      <c r="QJH177" s="80"/>
      <c r="QJI177" s="80"/>
      <c r="QJJ177" s="80"/>
      <c r="QJK177" s="80"/>
      <c r="QJL177" s="80"/>
      <c r="QJM177" s="80"/>
      <c r="QJN177" s="80"/>
      <c r="QJO177" s="80"/>
      <c r="QJP177" s="80"/>
      <c r="QJQ177" s="80"/>
      <c r="QJR177" s="80"/>
      <c r="QJS177" s="80"/>
      <c r="QJT177" s="80"/>
      <c r="QJU177" s="80"/>
      <c r="QJV177" s="80"/>
      <c r="QJW177" s="80"/>
      <c r="QJX177" s="80"/>
      <c r="QJY177" s="80"/>
      <c r="QJZ177" s="80"/>
      <c r="QKA177" s="80"/>
      <c r="QKB177" s="80"/>
      <c r="QKC177" s="80"/>
      <c r="QKD177" s="80"/>
      <c r="QKE177" s="80"/>
      <c r="QKF177" s="80"/>
      <c r="QKG177" s="80"/>
      <c r="QKH177" s="80"/>
      <c r="QKI177" s="80"/>
      <c r="QKJ177" s="80"/>
      <c r="QKK177" s="80"/>
      <c r="QKL177" s="80"/>
      <c r="QKM177" s="80"/>
      <c r="QKN177" s="80"/>
      <c r="QKO177" s="80"/>
      <c r="QKP177" s="80"/>
      <c r="QKQ177" s="80"/>
      <c r="QKR177" s="80"/>
      <c r="QKS177" s="80"/>
      <c r="QKT177" s="80"/>
      <c r="QKU177" s="80"/>
      <c r="QKV177" s="80"/>
      <c r="QKW177" s="80"/>
      <c r="QKX177" s="80"/>
      <c r="QKY177" s="80"/>
      <c r="QKZ177" s="80"/>
      <c r="QLA177" s="80"/>
      <c r="QLB177" s="80"/>
      <c r="QLC177" s="80"/>
      <c r="QLD177" s="80"/>
      <c r="QLE177" s="80"/>
      <c r="QLF177" s="80"/>
      <c r="QLG177" s="80"/>
      <c r="QLH177" s="80"/>
      <c r="QLI177" s="80"/>
      <c r="QLJ177" s="80"/>
      <c r="QLK177" s="80"/>
      <c r="QLL177" s="80"/>
      <c r="QLM177" s="80"/>
      <c r="QLN177" s="80"/>
      <c r="QLO177" s="80"/>
      <c r="QLP177" s="80"/>
      <c r="QLQ177" s="80"/>
      <c r="QLR177" s="80"/>
      <c r="QLS177" s="80"/>
      <c r="QLT177" s="80"/>
      <c r="QLU177" s="80"/>
      <c r="QLV177" s="80"/>
      <c r="QLW177" s="80"/>
      <c r="QLX177" s="80"/>
      <c r="QLY177" s="80"/>
      <c r="QLZ177" s="80"/>
      <c r="QMA177" s="80"/>
      <c r="QMB177" s="80"/>
      <c r="QMC177" s="80"/>
      <c r="QMD177" s="80"/>
      <c r="QME177" s="80"/>
      <c r="QMF177" s="80"/>
      <c r="QMG177" s="80"/>
      <c r="QMH177" s="80"/>
      <c r="QMI177" s="80"/>
      <c r="QMJ177" s="80"/>
      <c r="QMK177" s="80"/>
      <c r="QML177" s="80"/>
      <c r="QMM177" s="80"/>
      <c r="QMN177" s="80"/>
      <c r="QMO177" s="80"/>
      <c r="QMP177" s="80"/>
      <c r="QMQ177" s="80"/>
      <c r="QMR177" s="80"/>
      <c r="QMS177" s="80"/>
      <c r="QMT177" s="80"/>
      <c r="QMU177" s="80"/>
      <c r="QMV177" s="80"/>
      <c r="QMW177" s="80"/>
      <c r="QMX177" s="80"/>
      <c r="QMY177" s="80"/>
      <c r="QMZ177" s="80"/>
      <c r="QNA177" s="80"/>
      <c r="QNB177" s="80"/>
      <c r="QNC177" s="80"/>
      <c r="QND177" s="80"/>
      <c r="QNE177" s="80"/>
      <c r="QNF177" s="80"/>
      <c r="QNG177" s="80"/>
      <c r="QNH177" s="80"/>
      <c r="QNI177" s="80"/>
      <c r="QNJ177" s="80"/>
      <c r="QNK177" s="80"/>
      <c r="QNL177" s="80"/>
      <c r="QNM177" s="80"/>
      <c r="QNN177" s="80"/>
      <c r="QNO177" s="80"/>
      <c r="QNP177" s="80"/>
      <c r="QNQ177" s="80"/>
      <c r="QNR177" s="80"/>
      <c r="QNS177" s="80"/>
      <c r="QNT177" s="80"/>
      <c r="QNU177" s="80"/>
      <c r="QNV177" s="80"/>
      <c r="QNW177" s="80"/>
      <c r="QNX177" s="80"/>
      <c r="QNY177" s="80"/>
      <c r="QNZ177" s="80"/>
      <c r="QOA177" s="80"/>
      <c r="QOB177" s="80"/>
      <c r="QOC177" s="80"/>
      <c r="QOD177" s="80"/>
      <c r="QOE177" s="80"/>
      <c r="QOF177" s="80"/>
      <c r="QOG177" s="80"/>
      <c r="QOH177" s="80"/>
      <c r="QOI177" s="80"/>
      <c r="QOJ177" s="80"/>
      <c r="QOK177" s="80"/>
      <c r="QOL177" s="80"/>
      <c r="QOM177" s="80"/>
      <c r="QON177" s="80"/>
      <c r="QOO177" s="80"/>
      <c r="QOP177" s="80"/>
      <c r="QOQ177" s="80"/>
      <c r="QOR177" s="80"/>
      <c r="QOS177" s="80"/>
      <c r="QOT177" s="80"/>
      <c r="QOU177" s="80"/>
      <c r="QOV177" s="80"/>
      <c r="QOW177" s="80"/>
      <c r="QOX177" s="80"/>
      <c r="QOY177" s="80"/>
      <c r="QOZ177" s="80"/>
      <c r="QPA177" s="80"/>
      <c r="QPB177" s="80"/>
      <c r="QPC177" s="80"/>
      <c r="QPD177" s="80"/>
      <c r="QPE177" s="80"/>
      <c r="QPF177" s="80"/>
      <c r="QPG177" s="80"/>
      <c r="QPH177" s="80"/>
      <c r="QPI177" s="80"/>
      <c r="QPJ177" s="80"/>
      <c r="QPK177" s="80"/>
      <c r="QPL177" s="80"/>
      <c r="QPM177" s="80"/>
      <c r="QPN177" s="80"/>
      <c r="QPO177" s="80"/>
      <c r="QPP177" s="80"/>
      <c r="QPQ177" s="80"/>
      <c r="QPR177" s="80"/>
      <c r="QPS177" s="80"/>
      <c r="QPT177" s="80"/>
      <c r="QPU177" s="80"/>
      <c r="QPV177" s="80"/>
      <c r="QPW177" s="80"/>
      <c r="QPX177" s="80"/>
      <c r="QPY177" s="80"/>
      <c r="QPZ177" s="80"/>
      <c r="QQA177" s="80"/>
      <c r="QQB177" s="80"/>
      <c r="QQC177" s="80"/>
      <c r="QQD177" s="80"/>
      <c r="QQE177" s="80"/>
      <c r="QQF177" s="80"/>
      <c r="QQG177" s="80"/>
      <c r="QQH177" s="80"/>
      <c r="QQI177" s="80"/>
      <c r="QQJ177" s="80"/>
      <c r="QQK177" s="80"/>
      <c r="QQL177" s="80"/>
      <c r="QQM177" s="80"/>
      <c r="QQN177" s="80"/>
      <c r="QQO177" s="80"/>
      <c r="QQP177" s="80"/>
      <c r="QQQ177" s="80"/>
      <c r="QQR177" s="80"/>
      <c r="QQS177" s="80"/>
      <c r="QQT177" s="80"/>
      <c r="QQU177" s="80"/>
      <c r="QQV177" s="80"/>
      <c r="QQW177" s="80"/>
      <c r="QQX177" s="80"/>
      <c r="QQY177" s="80"/>
      <c r="QQZ177" s="80"/>
      <c r="QRA177" s="80"/>
      <c r="QRB177" s="80"/>
      <c r="QRC177" s="80"/>
      <c r="QRD177" s="80"/>
      <c r="QRE177" s="80"/>
      <c r="QRF177" s="80"/>
      <c r="QRG177" s="80"/>
      <c r="QRH177" s="80"/>
      <c r="QRI177" s="80"/>
      <c r="QRJ177" s="80"/>
      <c r="QRK177" s="80"/>
      <c r="QRL177" s="80"/>
      <c r="QRM177" s="80"/>
      <c r="QRN177" s="80"/>
      <c r="QRO177" s="80"/>
      <c r="QRP177" s="80"/>
      <c r="QRQ177" s="80"/>
      <c r="QRR177" s="80"/>
      <c r="QRS177" s="80"/>
      <c r="QRT177" s="80"/>
      <c r="QRU177" s="80"/>
      <c r="QRV177" s="80"/>
      <c r="QRW177" s="80"/>
      <c r="QRX177" s="80"/>
      <c r="QRY177" s="80"/>
      <c r="QRZ177" s="80"/>
      <c r="QSA177" s="80"/>
      <c r="QSB177" s="80"/>
      <c r="QSC177" s="80"/>
      <c r="QSD177" s="80"/>
      <c r="QSE177" s="80"/>
      <c r="QSF177" s="80"/>
      <c r="QSG177" s="80"/>
      <c r="QSH177" s="80"/>
      <c r="QSI177" s="80"/>
      <c r="QSJ177" s="80"/>
      <c r="QSK177" s="80"/>
      <c r="QSL177" s="80"/>
      <c r="QSM177" s="80"/>
      <c r="QSN177" s="80"/>
      <c r="QSO177" s="80"/>
      <c r="QSP177" s="80"/>
      <c r="QSQ177" s="80"/>
      <c r="QSR177" s="80"/>
      <c r="QSS177" s="80"/>
      <c r="QST177" s="80"/>
      <c r="QSU177" s="80"/>
      <c r="QSV177" s="80"/>
      <c r="QSW177" s="80"/>
      <c r="QSX177" s="80"/>
      <c r="QSY177" s="80"/>
      <c r="QSZ177" s="80"/>
      <c r="QTA177" s="80"/>
      <c r="QTB177" s="80"/>
      <c r="QTC177" s="80"/>
      <c r="QTD177" s="80"/>
      <c r="QTE177" s="80"/>
      <c r="QTF177" s="80"/>
      <c r="QTG177" s="80"/>
      <c r="QTH177" s="80"/>
      <c r="QTI177" s="80"/>
      <c r="QTJ177" s="80"/>
      <c r="QTK177" s="80"/>
      <c r="QTL177" s="80"/>
      <c r="QTM177" s="80"/>
      <c r="QTN177" s="80"/>
      <c r="QTO177" s="80"/>
      <c r="QTP177" s="80"/>
      <c r="QTQ177" s="80"/>
      <c r="QTR177" s="80"/>
      <c r="QTS177" s="80"/>
      <c r="QTT177" s="80"/>
      <c r="QTU177" s="80"/>
      <c r="QTV177" s="80"/>
      <c r="QTW177" s="80"/>
      <c r="QTX177" s="80"/>
      <c r="QTY177" s="80"/>
      <c r="QTZ177" s="80"/>
      <c r="QUA177" s="80"/>
      <c r="QUB177" s="80"/>
      <c r="QUC177" s="80"/>
      <c r="QUD177" s="80"/>
      <c r="QUE177" s="80"/>
      <c r="QUF177" s="80"/>
      <c r="QUG177" s="80"/>
      <c r="QUH177" s="80"/>
      <c r="QUI177" s="80"/>
      <c r="QUJ177" s="80"/>
      <c r="QUK177" s="80"/>
      <c r="QUL177" s="80"/>
      <c r="QUM177" s="80"/>
      <c r="QUN177" s="80"/>
      <c r="QUO177" s="80"/>
      <c r="QUP177" s="80"/>
      <c r="QUQ177" s="80"/>
      <c r="QUR177" s="80"/>
      <c r="QUS177" s="80"/>
      <c r="QUT177" s="80"/>
      <c r="QUU177" s="80"/>
      <c r="QUV177" s="80"/>
      <c r="QUW177" s="80"/>
      <c r="QUX177" s="80"/>
      <c r="QUY177" s="80"/>
      <c r="QUZ177" s="80"/>
      <c r="QVA177" s="80"/>
      <c r="QVB177" s="80"/>
      <c r="QVC177" s="80"/>
      <c r="QVD177" s="80"/>
      <c r="QVE177" s="80"/>
      <c r="QVF177" s="80"/>
      <c r="QVG177" s="80"/>
      <c r="QVH177" s="80"/>
      <c r="QVI177" s="80"/>
      <c r="QVJ177" s="80"/>
      <c r="QVK177" s="80"/>
      <c r="QVL177" s="80"/>
      <c r="QVM177" s="80"/>
      <c r="QVN177" s="80"/>
      <c r="QVO177" s="80"/>
      <c r="QVP177" s="80"/>
      <c r="QVQ177" s="80"/>
      <c r="QVR177" s="80"/>
      <c r="QVS177" s="80"/>
      <c r="QVT177" s="80"/>
      <c r="QVU177" s="80"/>
      <c r="QVV177" s="80"/>
      <c r="QVW177" s="80"/>
      <c r="QVX177" s="80"/>
      <c r="QVY177" s="80"/>
      <c r="QVZ177" s="80"/>
      <c r="QWA177" s="80"/>
      <c r="QWB177" s="80"/>
      <c r="QWC177" s="80"/>
      <c r="QWD177" s="80"/>
      <c r="QWE177" s="80"/>
      <c r="QWF177" s="80"/>
      <c r="QWG177" s="80"/>
      <c r="QWH177" s="80"/>
      <c r="QWI177" s="80"/>
      <c r="QWJ177" s="80"/>
      <c r="QWK177" s="80"/>
      <c r="QWL177" s="80"/>
      <c r="QWM177" s="80"/>
      <c r="QWN177" s="80"/>
      <c r="QWO177" s="80"/>
      <c r="QWP177" s="80"/>
      <c r="QWQ177" s="80"/>
      <c r="QWR177" s="80"/>
      <c r="QWS177" s="80"/>
      <c r="QWT177" s="80"/>
      <c r="QWU177" s="80"/>
      <c r="QWV177" s="80"/>
      <c r="QWW177" s="80"/>
      <c r="QWX177" s="80"/>
      <c r="QWY177" s="80"/>
      <c r="QWZ177" s="80"/>
      <c r="QXA177" s="80"/>
      <c r="QXB177" s="80"/>
      <c r="QXC177" s="80"/>
      <c r="QXD177" s="80"/>
      <c r="QXE177" s="80"/>
      <c r="QXF177" s="80"/>
      <c r="QXG177" s="80"/>
      <c r="QXH177" s="80"/>
      <c r="QXI177" s="80"/>
      <c r="QXJ177" s="80"/>
      <c r="QXK177" s="80"/>
      <c r="QXL177" s="80"/>
      <c r="QXM177" s="80"/>
      <c r="QXN177" s="80"/>
      <c r="QXO177" s="80"/>
      <c r="QXP177" s="80"/>
      <c r="QXQ177" s="80"/>
      <c r="QXR177" s="80"/>
      <c r="QXS177" s="80"/>
      <c r="QXT177" s="80"/>
      <c r="QXU177" s="80"/>
      <c r="QXV177" s="80"/>
      <c r="QXW177" s="80"/>
      <c r="QXX177" s="80"/>
      <c r="QXY177" s="80"/>
      <c r="QXZ177" s="80"/>
      <c r="QYA177" s="80"/>
      <c r="QYB177" s="80"/>
      <c r="QYC177" s="80"/>
      <c r="QYD177" s="80"/>
      <c r="QYE177" s="80"/>
      <c r="QYF177" s="80"/>
      <c r="QYG177" s="80"/>
      <c r="QYH177" s="80"/>
      <c r="QYI177" s="80"/>
      <c r="QYJ177" s="80"/>
      <c r="QYK177" s="80"/>
      <c r="QYL177" s="80"/>
      <c r="QYM177" s="80"/>
      <c r="QYN177" s="80"/>
      <c r="QYO177" s="80"/>
      <c r="QYP177" s="80"/>
      <c r="QYQ177" s="80"/>
      <c r="QYR177" s="80"/>
      <c r="QYS177" s="80"/>
      <c r="QYT177" s="80"/>
      <c r="QYU177" s="80"/>
      <c r="QYV177" s="80"/>
      <c r="QYW177" s="80"/>
      <c r="QYX177" s="80"/>
      <c r="QYY177" s="80"/>
      <c r="QYZ177" s="80"/>
      <c r="QZA177" s="80"/>
      <c r="QZB177" s="80"/>
      <c r="QZC177" s="80"/>
      <c r="QZD177" s="80"/>
      <c r="QZE177" s="80"/>
      <c r="QZF177" s="80"/>
      <c r="QZG177" s="80"/>
      <c r="QZH177" s="80"/>
      <c r="QZI177" s="80"/>
      <c r="QZJ177" s="80"/>
      <c r="QZK177" s="80"/>
      <c r="QZL177" s="80"/>
      <c r="QZM177" s="80"/>
      <c r="QZN177" s="80"/>
      <c r="QZO177" s="80"/>
      <c r="QZP177" s="80"/>
      <c r="QZQ177" s="80"/>
      <c r="QZR177" s="80"/>
      <c r="QZS177" s="80"/>
      <c r="QZT177" s="80"/>
      <c r="QZU177" s="80"/>
      <c r="QZV177" s="80"/>
      <c r="QZW177" s="80"/>
      <c r="QZX177" s="80"/>
      <c r="QZY177" s="80"/>
      <c r="QZZ177" s="80"/>
      <c r="RAA177" s="80"/>
      <c r="RAB177" s="80"/>
      <c r="RAC177" s="80"/>
      <c r="RAD177" s="80"/>
      <c r="RAE177" s="80"/>
      <c r="RAF177" s="80"/>
      <c r="RAG177" s="80"/>
      <c r="RAH177" s="80"/>
      <c r="RAI177" s="80"/>
      <c r="RAJ177" s="80"/>
      <c r="RAK177" s="80"/>
      <c r="RAL177" s="80"/>
      <c r="RAM177" s="80"/>
      <c r="RAN177" s="80"/>
      <c r="RAO177" s="80"/>
      <c r="RAP177" s="80"/>
      <c r="RAQ177" s="80"/>
      <c r="RAR177" s="80"/>
      <c r="RAS177" s="80"/>
      <c r="RAT177" s="80"/>
      <c r="RAU177" s="80"/>
      <c r="RAV177" s="80"/>
      <c r="RAW177" s="80"/>
      <c r="RAX177" s="80"/>
      <c r="RAY177" s="80"/>
      <c r="RAZ177" s="80"/>
      <c r="RBA177" s="80"/>
      <c r="RBB177" s="80"/>
      <c r="RBC177" s="80"/>
      <c r="RBD177" s="80"/>
      <c r="RBE177" s="80"/>
      <c r="RBF177" s="80"/>
      <c r="RBG177" s="80"/>
      <c r="RBH177" s="80"/>
      <c r="RBI177" s="80"/>
      <c r="RBJ177" s="80"/>
      <c r="RBK177" s="80"/>
      <c r="RBL177" s="80"/>
      <c r="RBM177" s="80"/>
      <c r="RBN177" s="80"/>
      <c r="RBO177" s="80"/>
      <c r="RBP177" s="80"/>
      <c r="RBQ177" s="80"/>
      <c r="RBR177" s="80"/>
      <c r="RBS177" s="80"/>
      <c r="RBT177" s="80"/>
      <c r="RBU177" s="80"/>
      <c r="RBV177" s="80"/>
      <c r="RBW177" s="80"/>
      <c r="RBX177" s="80"/>
      <c r="RBY177" s="80"/>
      <c r="RBZ177" s="80"/>
      <c r="RCA177" s="80"/>
      <c r="RCB177" s="80"/>
      <c r="RCC177" s="80"/>
      <c r="RCD177" s="80"/>
      <c r="RCE177" s="80"/>
      <c r="RCF177" s="80"/>
      <c r="RCG177" s="80"/>
      <c r="RCH177" s="80"/>
      <c r="RCI177" s="80"/>
      <c r="RCJ177" s="80"/>
      <c r="RCK177" s="80"/>
      <c r="RCL177" s="80"/>
      <c r="RCM177" s="80"/>
      <c r="RCN177" s="80"/>
      <c r="RCO177" s="80"/>
      <c r="RCP177" s="80"/>
      <c r="RCQ177" s="80"/>
      <c r="RCR177" s="80"/>
      <c r="RCS177" s="80"/>
      <c r="RCT177" s="80"/>
      <c r="RCU177" s="80"/>
      <c r="RCV177" s="80"/>
      <c r="RCW177" s="80"/>
      <c r="RCX177" s="80"/>
      <c r="RCY177" s="80"/>
      <c r="RCZ177" s="80"/>
      <c r="RDA177" s="80"/>
      <c r="RDB177" s="80"/>
      <c r="RDC177" s="80"/>
      <c r="RDD177" s="80"/>
      <c r="RDE177" s="80"/>
      <c r="RDF177" s="80"/>
      <c r="RDG177" s="80"/>
      <c r="RDH177" s="80"/>
      <c r="RDI177" s="80"/>
      <c r="RDJ177" s="80"/>
      <c r="RDK177" s="80"/>
      <c r="RDL177" s="80"/>
      <c r="RDM177" s="80"/>
      <c r="RDN177" s="80"/>
      <c r="RDO177" s="80"/>
      <c r="RDP177" s="80"/>
      <c r="RDQ177" s="80"/>
      <c r="RDR177" s="80"/>
      <c r="RDS177" s="80"/>
      <c r="RDT177" s="80"/>
      <c r="RDU177" s="80"/>
      <c r="RDV177" s="80"/>
      <c r="RDW177" s="80"/>
      <c r="RDX177" s="80"/>
      <c r="RDY177" s="80"/>
      <c r="RDZ177" s="80"/>
      <c r="REA177" s="80"/>
      <c r="REB177" s="80"/>
      <c r="REC177" s="80"/>
      <c r="RED177" s="80"/>
      <c r="REE177" s="80"/>
      <c r="REF177" s="80"/>
      <c r="REG177" s="80"/>
      <c r="REH177" s="80"/>
      <c r="REI177" s="80"/>
      <c r="REJ177" s="80"/>
      <c r="REK177" s="80"/>
      <c r="REL177" s="80"/>
      <c r="REM177" s="80"/>
      <c r="REN177" s="80"/>
      <c r="REO177" s="80"/>
      <c r="REP177" s="80"/>
      <c r="REQ177" s="80"/>
      <c r="RER177" s="80"/>
      <c r="RES177" s="80"/>
      <c r="RET177" s="80"/>
      <c r="REU177" s="80"/>
      <c r="REV177" s="80"/>
      <c r="REW177" s="80"/>
      <c r="REX177" s="80"/>
      <c r="REY177" s="80"/>
      <c r="REZ177" s="80"/>
      <c r="RFA177" s="80"/>
      <c r="RFB177" s="80"/>
      <c r="RFC177" s="80"/>
      <c r="RFD177" s="80"/>
      <c r="RFE177" s="80"/>
      <c r="RFF177" s="80"/>
      <c r="RFG177" s="80"/>
      <c r="RFH177" s="80"/>
      <c r="RFI177" s="80"/>
      <c r="RFJ177" s="80"/>
      <c r="RFK177" s="80"/>
      <c r="RFL177" s="80"/>
      <c r="RFM177" s="80"/>
      <c r="RFN177" s="80"/>
      <c r="RFO177" s="80"/>
      <c r="RFP177" s="80"/>
      <c r="RFQ177" s="80"/>
      <c r="RFR177" s="80"/>
      <c r="RFS177" s="80"/>
      <c r="RFT177" s="80"/>
      <c r="RFU177" s="80"/>
      <c r="RFV177" s="80"/>
      <c r="RFW177" s="80"/>
      <c r="RFX177" s="80"/>
      <c r="RFY177" s="80"/>
      <c r="RFZ177" s="80"/>
      <c r="RGA177" s="80"/>
      <c r="RGB177" s="80"/>
      <c r="RGC177" s="80"/>
      <c r="RGD177" s="80"/>
      <c r="RGE177" s="80"/>
      <c r="RGF177" s="80"/>
      <c r="RGG177" s="80"/>
      <c r="RGH177" s="80"/>
      <c r="RGI177" s="80"/>
      <c r="RGJ177" s="80"/>
      <c r="RGK177" s="80"/>
      <c r="RGL177" s="80"/>
      <c r="RGM177" s="80"/>
      <c r="RGN177" s="80"/>
      <c r="RGO177" s="80"/>
      <c r="RGP177" s="80"/>
      <c r="RGQ177" s="80"/>
      <c r="RGR177" s="80"/>
      <c r="RGS177" s="80"/>
      <c r="RGT177" s="80"/>
      <c r="RGU177" s="80"/>
      <c r="RGV177" s="80"/>
      <c r="RGW177" s="80"/>
      <c r="RGX177" s="80"/>
      <c r="RGY177" s="80"/>
      <c r="RGZ177" s="80"/>
      <c r="RHA177" s="80"/>
      <c r="RHB177" s="80"/>
      <c r="RHC177" s="80"/>
      <c r="RHD177" s="80"/>
      <c r="RHE177" s="80"/>
      <c r="RHF177" s="80"/>
      <c r="RHG177" s="80"/>
      <c r="RHH177" s="80"/>
      <c r="RHI177" s="80"/>
      <c r="RHJ177" s="80"/>
      <c r="RHK177" s="80"/>
      <c r="RHL177" s="80"/>
      <c r="RHM177" s="80"/>
      <c r="RHN177" s="80"/>
      <c r="RHO177" s="80"/>
      <c r="RHP177" s="80"/>
      <c r="RHQ177" s="80"/>
      <c r="RHR177" s="80"/>
      <c r="RHS177" s="80"/>
      <c r="RHT177" s="80"/>
      <c r="RHU177" s="80"/>
      <c r="RHV177" s="80"/>
      <c r="RHW177" s="80"/>
      <c r="RHX177" s="80"/>
      <c r="RHY177" s="80"/>
      <c r="RHZ177" s="80"/>
      <c r="RIA177" s="80"/>
      <c r="RIB177" s="80"/>
      <c r="RIC177" s="80"/>
      <c r="RID177" s="80"/>
      <c r="RIE177" s="80"/>
      <c r="RIF177" s="80"/>
      <c r="RIG177" s="80"/>
      <c r="RIH177" s="80"/>
      <c r="RII177" s="80"/>
      <c r="RIJ177" s="80"/>
      <c r="RIK177" s="80"/>
      <c r="RIL177" s="80"/>
      <c r="RIM177" s="80"/>
      <c r="RIN177" s="80"/>
      <c r="RIO177" s="80"/>
      <c r="RIP177" s="80"/>
      <c r="RIQ177" s="80"/>
      <c r="RIR177" s="80"/>
      <c r="RIS177" s="80"/>
      <c r="RIT177" s="80"/>
      <c r="RIU177" s="80"/>
      <c r="RIV177" s="80"/>
      <c r="RIW177" s="80"/>
      <c r="RIX177" s="80"/>
      <c r="RIY177" s="80"/>
      <c r="RIZ177" s="80"/>
      <c r="RJA177" s="80"/>
      <c r="RJB177" s="80"/>
      <c r="RJC177" s="80"/>
      <c r="RJD177" s="80"/>
      <c r="RJE177" s="80"/>
      <c r="RJF177" s="80"/>
      <c r="RJG177" s="80"/>
      <c r="RJH177" s="80"/>
      <c r="RJI177" s="80"/>
      <c r="RJJ177" s="80"/>
      <c r="RJK177" s="80"/>
      <c r="RJL177" s="80"/>
      <c r="RJM177" s="80"/>
      <c r="RJN177" s="80"/>
      <c r="RJO177" s="80"/>
      <c r="RJP177" s="80"/>
      <c r="RJQ177" s="80"/>
      <c r="RJR177" s="80"/>
      <c r="RJS177" s="80"/>
      <c r="RJT177" s="80"/>
      <c r="RJU177" s="80"/>
      <c r="RJV177" s="80"/>
      <c r="RJW177" s="80"/>
      <c r="RJX177" s="80"/>
      <c r="RJY177" s="80"/>
      <c r="RJZ177" s="80"/>
      <c r="RKA177" s="80"/>
      <c r="RKB177" s="80"/>
      <c r="RKC177" s="80"/>
      <c r="RKD177" s="80"/>
      <c r="RKE177" s="80"/>
      <c r="RKF177" s="80"/>
      <c r="RKG177" s="80"/>
      <c r="RKH177" s="80"/>
      <c r="RKI177" s="80"/>
      <c r="RKJ177" s="80"/>
      <c r="RKK177" s="80"/>
      <c r="RKL177" s="80"/>
      <c r="RKM177" s="80"/>
      <c r="RKN177" s="80"/>
      <c r="RKO177" s="80"/>
      <c r="RKP177" s="80"/>
      <c r="RKQ177" s="80"/>
      <c r="RKR177" s="80"/>
      <c r="RKS177" s="80"/>
      <c r="RKT177" s="80"/>
      <c r="RKU177" s="80"/>
      <c r="RKV177" s="80"/>
      <c r="RKW177" s="80"/>
      <c r="RKX177" s="80"/>
      <c r="RKY177" s="80"/>
      <c r="RKZ177" s="80"/>
      <c r="RLA177" s="80"/>
      <c r="RLB177" s="80"/>
      <c r="RLC177" s="80"/>
      <c r="RLD177" s="80"/>
      <c r="RLE177" s="80"/>
      <c r="RLF177" s="80"/>
      <c r="RLG177" s="80"/>
      <c r="RLH177" s="80"/>
      <c r="RLI177" s="80"/>
      <c r="RLJ177" s="80"/>
      <c r="RLK177" s="80"/>
      <c r="RLL177" s="80"/>
      <c r="RLM177" s="80"/>
      <c r="RLN177" s="80"/>
      <c r="RLO177" s="80"/>
      <c r="RLP177" s="80"/>
      <c r="RLQ177" s="80"/>
      <c r="RLR177" s="80"/>
      <c r="RLS177" s="80"/>
      <c r="RLT177" s="80"/>
      <c r="RLU177" s="80"/>
      <c r="RLV177" s="80"/>
      <c r="RLW177" s="80"/>
      <c r="RLX177" s="80"/>
      <c r="RLY177" s="80"/>
      <c r="RLZ177" s="80"/>
      <c r="RMA177" s="80"/>
      <c r="RMB177" s="80"/>
      <c r="RMC177" s="80"/>
      <c r="RMD177" s="80"/>
      <c r="RME177" s="80"/>
      <c r="RMF177" s="80"/>
      <c r="RMG177" s="80"/>
      <c r="RMH177" s="80"/>
      <c r="RMI177" s="80"/>
      <c r="RMJ177" s="80"/>
      <c r="RMK177" s="80"/>
      <c r="RML177" s="80"/>
      <c r="RMM177" s="80"/>
      <c r="RMN177" s="80"/>
      <c r="RMO177" s="80"/>
      <c r="RMP177" s="80"/>
      <c r="RMQ177" s="80"/>
      <c r="RMR177" s="80"/>
      <c r="RMS177" s="80"/>
      <c r="RMT177" s="80"/>
      <c r="RMU177" s="80"/>
      <c r="RMV177" s="80"/>
      <c r="RMW177" s="80"/>
      <c r="RMX177" s="80"/>
      <c r="RMY177" s="80"/>
      <c r="RMZ177" s="80"/>
      <c r="RNA177" s="80"/>
      <c r="RNB177" s="80"/>
      <c r="RNC177" s="80"/>
      <c r="RND177" s="80"/>
      <c r="RNE177" s="80"/>
      <c r="RNF177" s="80"/>
      <c r="RNG177" s="80"/>
      <c r="RNH177" s="80"/>
      <c r="RNI177" s="80"/>
      <c r="RNJ177" s="80"/>
      <c r="RNK177" s="80"/>
      <c r="RNL177" s="80"/>
      <c r="RNM177" s="80"/>
      <c r="RNN177" s="80"/>
      <c r="RNO177" s="80"/>
      <c r="RNP177" s="80"/>
      <c r="RNQ177" s="80"/>
      <c r="RNR177" s="80"/>
      <c r="RNS177" s="80"/>
      <c r="RNT177" s="80"/>
      <c r="RNU177" s="80"/>
      <c r="RNV177" s="80"/>
      <c r="RNW177" s="80"/>
      <c r="RNX177" s="80"/>
      <c r="RNY177" s="80"/>
      <c r="RNZ177" s="80"/>
      <c r="ROA177" s="80"/>
      <c r="ROB177" s="80"/>
      <c r="ROC177" s="80"/>
      <c r="ROD177" s="80"/>
      <c r="ROE177" s="80"/>
      <c r="ROF177" s="80"/>
      <c r="ROG177" s="80"/>
      <c r="ROH177" s="80"/>
      <c r="ROI177" s="80"/>
      <c r="ROJ177" s="80"/>
      <c r="ROK177" s="80"/>
      <c r="ROL177" s="80"/>
      <c r="ROM177" s="80"/>
      <c r="RON177" s="80"/>
      <c r="ROO177" s="80"/>
      <c r="ROP177" s="80"/>
      <c r="ROQ177" s="80"/>
      <c r="ROR177" s="80"/>
      <c r="ROS177" s="80"/>
      <c r="ROT177" s="80"/>
      <c r="ROU177" s="80"/>
      <c r="ROV177" s="80"/>
      <c r="ROW177" s="80"/>
      <c r="ROX177" s="80"/>
      <c r="ROY177" s="80"/>
      <c r="ROZ177" s="80"/>
      <c r="RPA177" s="80"/>
      <c r="RPB177" s="80"/>
      <c r="RPC177" s="80"/>
      <c r="RPD177" s="80"/>
      <c r="RPE177" s="80"/>
      <c r="RPF177" s="80"/>
      <c r="RPG177" s="80"/>
      <c r="RPH177" s="80"/>
      <c r="RPI177" s="80"/>
      <c r="RPJ177" s="80"/>
      <c r="RPK177" s="80"/>
      <c r="RPL177" s="80"/>
      <c r="RPM177" s="80"/>
      <c r="RPN177" s="80"/>
      <c r="RPO177" s="80"/>
      <c r="RPP177" s="80"/>
      <c r="RPQ177" s="80"/>
      <c r="RPR177" s="80"/>
      <c r="RPS177" s="80"/>
      <c r="RPT177" s="80"/>
      <c r="RPU177" s="80"/>
      <c r="RPV177" s="80"/>
      <c r="RPW177" s="80"/>
      <c r="RPX177" s="80"/>
      <c r="RPY177" s="80"/>
      <c r="RPZ177" s="80"/>
      <c r="RQA177" s="80"/>
      <c r="RQB177" s="80"/>
      <c r="RQC177" s="80"/>
      <c r="RQD177" s="80"/>
      <c r="RQE177" s="80"/>
      <c r="RQF177" s="80"/>
      <c r="RQG177" s="80"/>
      <c r="RQH177" s="80"/>
      <c r="RQI177" s="80"/>
      <c r="RQJ177" s="80"/>
      <c r="RQK177" s="80"/>
      <c r="RQL177" s="80"/>
      <c r="RQM177" s="80"/>
      <c r="RQN177" s="80"/>
      <c r="RQO177" s="80"/>
      <c r="RQP177" s="80"/>
      <c r="RQQ177" s="80"/>
      <c r="RQR177" s="80"/>
      <c r="RQS177" s="80"/>
      <c r="RQT177" s="80"/>
      <c r="RQU177" s="80"/>
      <c r="RQV177" s="80"/>
      <c r="RQW177" s="80"/>
      <c r="RQX177" s="80"/>
      <c r="RQY177" s="80"/>
      <c r="RQZ177" s="80"/>
      <c r="RRA177" s="80"/>
      <c r="RRB177" s="80"/>
      <c r="RRC177" s="80"/>
      <c r="RRD177" s="80"/>
      <c r="RRE177" s="80"/>
      <c r="RRF177" s="80"/>
      <c r="RRG177" s="80"/>
      <c r="RRH177" s="80"/>
      <c r="RRI177" s="80"/>
      <c r="RRJ177" s="80"/>
      <c r="RRK177" s="80"/>
      <c r="RRL177" s="80"/>
      <c r="RRM177" s="80"/>
      <c r="RRN177" s="80"/>
      <c r="RRO177" s="80"/>
      <c r="RRP177" s="80"/>
      <c r="RRQ177" s="80"/>
      <c r="RRR177" s="80"/>
      <c r="RRS177" s="80"/>
      <c r="RRT177" s="80"/>
      <c r="RRU177" s="80"/>
      <c r="RRV177" s="80"/>
      <c r="RRW177" s="80"/>
      <c r="RRX177" s="80"/>
      <c r="RRY177" s="80"/>
      <c r="RRZ177" s="80"/>
      <c r="RSA177" s="80"/>
      <c r="RSB177" s="80"/>
      <c r="RSC177" s="80"/>
      <c r="RSD177" s="80"/>
      <c r="RSE177" s="80"/>
      <c r="RSF177" s="80"/>
      <c r="RSG177" s="80"/>
      <c r="RSH177" s="80"/>
      <c r="RSI177" s="80"/>
      <c r="RSJ177" s="80"/>
      <c r="RSK177" s="80"/>
      <c r="RSL177" s="80"/>
      <c r="RSM177" s="80"/>
      <c r="RSN177" s="80"/>
      <c r="RSO177" s="80"/>
      <c r="RSP177" s="80"/>
      <c r="RSQ177" s="80"/>
      <c r="RSR177" s="80"/>
      <c r="RSS177" s="80"/>
      <c r="RST177" s="80"/>
      <c r="RSU177" s="80"/>
      <c r="RSV177" s="80"/>
      <c r="RSW177" s="80"/>
      <c r="RSX177" s="80"/>
      <c r="RSY177" s="80"/>
      <c r="RSZ177" s="80"/>
      <c r="RTA177" s="80"/>
      <c r="RTB177" s="80"/>
      <c r="RTC177" s="80"/>
      <c r="RTD177" s="80"/>
      <c r="RTE177" s="80"/>
      <c r="RTF177" s="80"/>
      <c r="RTG177" s="80"/>
      <c r="RTH177" s="80"/>
      <c r="RTI177" s="80"/>
      <c r="RTJ177" s="80"/>
      <c r="RTK177" s="80"/>
      <c r="RTL177" s="80"/>
      <c r="RTM177" s="80"/>
      <c r="RTN177" s="80"/>
      <c r="RTO177" s="80"/>
      <c r="RTP177" s="80"/>
      <c r="RTQ177" s="80"/>
      <c r="RTR177" s="80"/>
      <c r="RTS177" s="80"/>
      <c r="RTT177" s="80"/>
      <c r="RTU177" s="80"/>
      <c r="RTV177" s="80"/>
      <c r="RTW177" s="80"/>
      <c r="RTX177" s="80"/>
      <c r="RTY177" s="80"/>
      <c r="RTZ177" s="80"/>
      <c r="RUA177" s="80"/>
      <c r="RUB177" s="80"/>
      <c r="RUC177" s="80"/>
      <c r="RUD177" s="80"/>
      <c r="RUE177" s="80"/>
      <c r="RUF177" s="80"/>
      <c r="RUG177" s="80"/>
      <c r="RUH177" s="80"/>
      <c r="RUI177" s="80"/>
      <c r="RUJ177" s="80"/>
      <c r="RUK177" s="80"/>
      <c r="RUL177" s="80"/>
      <c r="RUM177" s="80"/>
      <c r="RUN177" s="80"/>
      <c r="RUO177" s="80"/>
      <c r="RUP177" s="80"/>
      <c r="RUQ177" s="80"/>
      <c r="RUR177" s="80"/>
      <c r="RUS177" s="80"/>
      <c r="RUT177" s="80"/>
      <c r="RUU177" s="80"/>
      <c r="RUV177" s="80"/>
      <c r="RUW177" s="80"/>
      <c r="RUX177" s="80"/>
      <c r="RUY177" s="80"/>
      <c r="RUZ177" s="80"/>
      <c r="RVA177" s="80"/>
      <c r="RVB177" s="80"/>
      <c r="RVC177" s="80"/>
      <c r="RVD177" s="80"/>
      <c r="RVE177" s="80"/>
      <c r="RVF177" s="80"/>
      <c r="RVG177" s="80"/>
      <c r="RVH177" s="80"/>
      <c r="RVI177" s="80"/>
      <c r="RVJ177" s="80"/>
      <c r="RVK177" s="80"/>
      <c r="RVL177" s="80"/>
      <c r="RVM177" s="80"/>
      <c r="RVN177" s="80"/>
      <c r="RVO177" s="80"/>
      <c r="RVP177" s="80"/>
      <c r="RVQ177" s="80"/>
      <c r="RVR177" s="80"/>
      <c r="RVS177" s="80"/>
      <c r="RVT177" s="80"/>
      <c r="RVU177" s="80"/>
      <c r="RVV177" s="80"/>
      <c r="RVW177" s="80"/>
      <c r="RVX177" s="80"/>
      <c r="RVY177" s="80"/>
      <c r="RVZ177" s="80"/>
      <c r="RWA177" s="80"/>
      <c r="RWB177" s="80"/>
      <c r="RWC177" s="80"/>
      <c r="RWD177" s="80"/>
      <c r="RWE177" s="80"/>
      <c r="RWF177" s="80"/>
      <c r="RWG177" s="80"/>
      <c r="RWH177" s="80"/>
      <c r="RWI177" s="80"/>
      <c r="RWJ177" s="80"/>
      <c r="RWK177" s="80"/>
      <c r="RWL177" s="80"/>
      <c r="RWM177" s="80"/>
      <c r="RWN177" s="80"/>
      <c r="RWO177" s="80"/>
      <c r="RWP177" s="80"/>
      <c r="RWQ177" s="80"/>
      <c r="RWR177" s="80"/>
      <c r="RWS177" s="80"/>
      <c r="RWT177" s="80"/>
      <c r="RWU177" s="80"/>
      <c r="RWV177" s="80"/>
      <c r="RWW177" s="80"/>
      <c r="RWX177" s="80"/>
      <c r="RWY177" s="80"/>
      <c r="RWZ177" s="80"/>
      <c r="RXA177" s="80"/>
      <c r="RXB177" s="80"/>
      <c r="RXC177" s="80"/>
      <c r="RXD177" s="80"/>
      <c r="RXE177" s="80"/>
      <c r="RXF177" s="80"/>
      <c r="RXG177" s="80"/>
      <c r="RXH177" s="80"/>
      <c r="RXI177" s="80"/>
      <c r="RXJ177" s="80"/>
      <c r="RXK177" s="80"/>
      <c r="RXL177" s="80"/>
      <c r="RXM177" s="80"/>
      <c r="RXN177" s="80"/>
      <c r="RXO177" s="80"/>
      <c r="RXP177" s="80"/>
      <c r="RXQ177" s="80"/>
      <c r="RXR177" s="80"/>
      <c r="RXS177" s="80"/>
      <c r="RXT177" s="80"/>
      <c r="RXU177" s="80"/>
      <c r="RXV177" s="80"/>
      <c r="RXW177" s="80"/>
      <c r="RXX177" s="80"/>
      <c r="RXY177" s="80"/>
      <c r="RXZ177" s="80"/>
      <c r="RYA177" s="80"/>
      <c r="RYB177" s="80"/>
      <c r="RYC177" s="80"/>
      <c r="RYD177" s="80"/>
      <c r="RYE177" s="80"/>
      <c r="RYF177" s="80"/>
      <c r="RYG177" s="80"/>
      <c r="RYH177" s="80"/>
      <c r="RYI177" s="80"/>
      <c r="RYJ177" s="80"/>
      <c r="RYK177" s="80"/>
      <c r="RYL177" s="80"/>
      <c r="RYM177" s="80"/>
      <c r="RYN177" s="80"/>
      <c r="RYO177" s="80"/>
      <c r="RYP177" s="80"/>
      <c r="RYQ177" s="80"/>
      <c r="RYR177" s="80"/>
      <c r="RYS177" s="80"/>
      <c r="RYT177" s="80"/>
      <c r="RYU177" s="80"/>
      <c r="RYV177" s="80"/>
      <c r="RYW177" s="80"/>
      <c r="RYX177" s="80"/>
      <c r="RYY177" s="80"/>
      <c r="RYZ177" s="80"/>
      <c r="RZA177" s="80"/>
      <c r="RZB177" s="80"/>
      <c r="RZC177" s="80"/>
      <c r="RZD177" s="80"/>
      <c r="RZE177" s="80"/>
      <c r="RZF177" s="80"/>
      <c r="RZG177" s="80"/>
      <c r="RZH177" s="80"/>
      <c r="RZI177" s="80"/>
      <c r="RZJ177" s="80"/>
      <c r="RZK177" s="80"/>
      <c r="RZL177" s="80"/>
      <c r="RZM177" s="80"/>
      <c r="RZN177" s="80"/>
      <c r="RZO177" s="80"/>
      <c r="RZP177" s="80"/>
      <c r="RZQ177" s="80"/>
      <c r="RZR177" s="80"/>
      <c r="RZS177" s="80"/>
      <c r="RZT177" s="80"/>
      <c r="RZU177" s="80"/>
      <c r="RZV177" s="80"/>
      <c r="RZW177" s="80"/>
      <c r="RZX177" s="80"/>
      <c r="RZY177" s="80"/>
      <c r="RZZ177" s="80"/>
      <c r="SAA177" s="80"/>
      <c r="SAB177" s="80"/>
      <c r="SAC177" s="80"/>
      <c r="SAD177" s="80"/>
      <c r="SAE177" s="80"/>
      <c r="SAF177" s="80"/>
      <c r="SAG177" s="80"/>
      <c r="SAH177" s="80"/>
      <c r="SAI177" s="80"/>
      <c r="SAJ177" s="80"/>
      <c r="SAK177" s="80"/>
      <c r="SAL177" s="80"/>
      <c r="SAM177" s="80"/>
      <c r="SAN177" s="80"/>
      <c r="SAO177" s="80"/>
      <c r="SAP177" s="80"/>
      <c r="SAQ177" s="80"/>
      <c r="SAR177" s="80"/>
      <c r="SAS177" s="80"/>
      <c r="SAT177" s="80"/>
      <c r="SAU177" s="80"/>
      <c r="SAV177" s="80"/>
      <c r="SAW177" s="80"/>
      <c r="SAX177" s="80"/>
      <c r="SAY177" s="80"/>
      <c r="SAZ177" s="80"/>
      <c r="SBA177" s="80"/>
      <c r="SBB177" s="80"/>
      <c r="SBC177" s="80"/>
      <c r="SBD177" s="80"/>
      <c r="SBE177" s="80"/>
      <c r="SBF177" s="80"/>
      <c r="SBG177" s="80"/>
      <c r="SBH177" s="80"/>
      <c r="SBI177" s="80"/>
      <c r="SBJ177" s="80"/>
      <c r="SBK177" s="80"/>
      <c r="SBL177" s="80"/>
      <c r="SBM177" s="80"/>
      <c r="SBN177" s="80"/>
      <c r="SBO177" s="80"/>
      <c r="SBP177" s="80"/>
      <c r="SBQ177" s="80"/>
      <c r="SBR177" s="80"/>
      <c r="SBS177" s="80"/>
      <c r="SBT177" s="80"/>
      <c r="SBU177" s="80"/>
      <c r="SBV177" s="80"/>
      <c r="SBW177" s="80"/>
      <c r="SBX177" s="80"/>
      <c r="SBY177" s="80"/>
      <c r="SBZ177" s="80"/>
      <c r="SCA177" s="80"/>
      <c r="SCB177" s="80"/>
      <c r="SCC177" s="80"/>
      <c r="SCD177" s="80"/>
      <c r="SCE177" s="80"/>
      <c r="SCF177" s="80"/>
      <c r="SCG177" s="80"/>
      <c r="SCH177" s="80"/>
      <c r="SCI177" s="80"/>
      <c r="SCJ177" s="80"/>
      <c r="SCK177" s="80"/>
      <c r="SCL177" s="80"/>
      <c r="SCM177" s="80"/>
      <c r="SCN177" s="80"/>
      <c r="SCO177" s="80"/>
      <c r="SCP177" s="80"/>
      <c r="SCQ177" s="80"/>
      <c r="SCR177" s="80"/>
      <c r="SCS177" s="80"/>
      <c r="SCT177" s="80"/>
      <c r="SCU177" s="80"/>
      <c r="SCV177" s="80"/>
      <c r="SCW177" s="80"/>
      <c r="SCX177" s="80"/>
      <c r="SCY177" s="80"/>
      <c r="SCZ177" s="80"/>
      <c r="SDA177" s="80"/>
      <c r="SDB177" s="80"/>
      <c r="SDC177" s="80"/>
      <c r="SDD177" s="80"/>
      <c r="SDE177" s="80"/>
      <c r="SDF177" s="80"/>
      <c r="SDG177" s="80"/>
      <c r="SDH177" s="80"/>
      <c r="SDI177" s="80"/>
      <c r="SDJ177" s="80"/>
      <c r="SDK177" s="80"/>
      <c r="SDL177" s="80"/>
      <c r="SDM177" s="80"/>
      <c r="SDN177" s="80"/>
      <c r="SDO177" s="80"/>
      <c r="SDP177" s="80"/>
      <c r="SDQ177" s="80"/>
      <c r="SDR177" s="80"/>
      <c r="SDS177" s="80"/>
      <c r="SDT177" s="80"/>
      <c r="SDU177" s="80"/>
      <c r="SDV177" s="80"/>
      <c r="SDW177" s="80"/>
      <c r="SDX177" s="80"/>
      <c r="SDY177" s="80"/>
      <c r="SDZ177" s="80"/>
      <c r="SEA177" s="80"/>
      <c r="SEB177" s="80"/>
      <c r="SEC177" s="80"/>
      <c r="SED177" s="80"/>
      <c r="SEE177" s="80"/>
      <c r="SEF177" s="80"/>
      <c r="SEG177" s="80"/>
      <c r="SEH177" s="80"/>
      <c r="SEI177" s="80"/>
      <c r="SEJ177" s="80"/>
      <c r="SEK177" s="80"/>
      <c r="SEL177" s="80"/>
      <c r="SEM177" s="80"/>
      <c r="SEN177" s="80"/>
      <c r="SEO177" s="80"/>
      <c r="SEP177" s="80"/>
      <c r="SEQ177" s="80"/>
      <c r="SER177" s="80"/>
      <c r="SES177" s="80"/>
      <c r="SET177" s="80"/>
      <c r="SEU177" s="80"/>
      <c r="SEV177" s="80"/>
      <c r="SEW177" s="80"/>
      <c r="SEX177" s="80"/>
      <c r="SEY177" s="80"/>
      <c r="SEZ177" s="80"/>
      <c r="SFA177" s="80"/>
      <c r="SFB177" s="80"/>
      <c r="SFC177" s="80"/>
      <c r="SFD177" s="80"/>
      <c r="SFE177" s="80"/>
      <c r="SFF177" s="80"/>
      <c r="SFG177" s="80"/>
      <c r="SFH177" s="80"/>
      <c r="SFI177" s="80"/>
      <c r="SFJ177" s="80"/>
      <c r="SFK177" s="80"/>
      <c r="SFL177" s="80"/>
      <c r="SFM177" s="80"/>
      <c r="SFN177" s="80"/>
      <c r="SFO177" s="80"/>
      <c r="SFP177" s="80"/>
      <c r="SFQ177" s="80"/>
      <c r="SFR177" s="80"/>
      <c r="SFS177" s="80"/>
      <c r="SFT177" s="80"/>
      <c r="SFU177" s="80"/>
      <c r="SFV177" s="80"/>
      <c r="SFW177" s="80"/>
      <c r="SFX177" s="80"/>
      <c r="SFY177" s="80"/>
      <c r="SFZ177" s="80"/>
      <c r="SGA177" s="80"/>
      <c r="SGB177" s="80"/>
      <c r="SGC177" s="80"/>
      <c r="SGD177" s="80"/>
      <c r="SGE177" s="80"/>
      <c r="SGF177" s="80"/>
      <c r="SGG177" s="80"/>
      <c r="SGH177" s="80"/>
      <c r="SGI177" s="80"/>
      <c r="SGJ177" s="80"/>
      <c r="SGK177" s="80"/>
      <c r="SGL177" s="80"/>
      <c r="SGM177" s="80"/>
      <c r="SGN177" s="80"/>
      <c r="SGO177" s="80"/>
      <c r="SGP177" s="80"/>
      <c r="SGQ177" s="80"/>
      <c r="SGR177" s="80"/>
      <c r="SGS177" s="80"/>
      <c r="SGT177" s="80"/>
      <c r="SGU177" s="80"/>
      <c r="SGV177" s="80"/>
      <c r="SGW177" s="80"/>
      <c r="SGX177" s="80"/>
      <c r="SGY177" s="80"/>
      <c r="SGZ177" s="80"/>
      <c r="SHA177" s="80"/>
      <c r="SHB177" s="80"/>
      <c r="SHC177" s="80"/>
      <c r="SHD177" s="80"/>
      <c r="SHE177" s="80"/>
      <c r="SHF177" s="80"/>
      <c r="SHG177" s="80"/>
      <c r="SHH177" s="80"/>
      <c r="SHI177" s="80"/>
      <c r="SHJ177" s="80"/>
      <c r="SHK177" s="80"/>
      <c r="SHL177" s="80"/>
      <c r="SHM177" s="80"/>
      <c r="SHN177" s="80"/>
      <c r="SHO177" s="80"/>
      <c r="SHP177" s="80"/>
      <c r="SHQ177" s="80"/>
      <c r="SHR177" s="80"/>
      <c r="SHS177" s="80"/>
      <c r="SHT177" s="80"/>
      <c r="SHU177" s="80"/>
      <c r="SHV177" s="80"/>
      <c r="SHW177" s="80"/>
      <c r="SHX177" s="80"/>
      <c r="SHY177" s="80"/>
      <c r="SHZ177" s="80"/>
      <c r="SIA177" s="80"/>
      <c r="SIB177" s="80"/>
      <c r="SIC177" s="80"/>
      <c r="SID177" s="80"/>
      <c r="SIE177" s="80"/>
      <c r="SIF177" s="80"/>
      <c r="SIG177" s="80"/>
      <c r="SIH177" s="80"/>
      <c r="SII177" s="80"/>
      <c r="SIJ177" s="80"/>
      <c r="SIK177" s="80"/>
      <c r="SIL177" s="80"/>
      <c r="SIM177" s="80"/>
      <c r="SIN177" s="80"/>
      <c r="SIO177" s="80"/>
      <c r="SIP177" s="80"/>
      <c r="SIQ177" s="80"/>
      <c r="SIR177" s="80"/>
      <c r="SIS177" s="80"/>
      <c r="SIT177" s="80"/>
      <c r="SIU177" s="80"/>
      <c r="SIV177" s="80"/>
      <c r="SIW177" s="80"/>
      <c r="SIX177" s="80"/>
      <c r="SIY177" s="80"/>
      <c r="SIZ177" s="80"/>
      <c r="SJA177" s="80"/>
      <c r="SJB177" s="80"/>
      <c r="SJC177" s="80"/>
      <c r="SJD177" s="80"/>
      <c r="SJE177" s="80"/>
      <c r="SJF177" s="80"/>
      <c r="SJG177" s="80"/>
      <c r="SJH177" s="80"/>
      <c r="SJI177" s="80"/>
      <c r="SJJ177" s="80"/>
      <c r="SJK177" s="80"/>
      <c r="SJL177" s="80"/>
      <c r="SJM177" s="80"/>
      <c r="SJN177" s="80"/>
      <c r="SJO177" s="80"/>
      <c r="SJP177" s="80"/>
      <c r="SJQ177" s="80"/>
      <c r="SJR177" s="80"/>
      <c r="SJS177" s="80"/>
      <c r="SJT177" s="80"/>
      <c r="SJU177" s="80"/>
      <c r="SJV177" s="80"/>
      <c r="SJW177" s="80"/>
      <c r="SJX177" s="80"/>
      <c r="SJY177" s="80"/>
      <c r="SJZ177" s="80"/>
      <c r="SKA177" s="80"/>
      <c r="SKB177" s="80"/>
      <c r="SKC177" s="80"/>
      <c r="SKD177" s="80"/>
      <c r="SKE177" s="80"/>
      <c r="SKF177" s="80"/>
      <c r="SKG177" s="80"/>
      <c r="SKH177" s="80"/>
      <c r="SKI177" s="80"/>
      <c r="SKJ177" s="80"/>
      <c r="SKK177" s="80"/>
      <c r="SKL177" s="80"/>
      <c r="SKM177" s="80"/>
      <c r="SKN177" s="80"/>
      <c r="SKO177" s="80"/>
      <c r="SKP177" s="80"/>
      <c r="SKQ177" s="80"/>
      <c r="SKR177" s="80"/>
      <c r="SKS177" s="80"/>
      <c r="SKT177" s="80"/>
      <c r="SKU177" s="80"/>
      <c r="SKV177" s="80"/>
      <c r="SKW177" s="80"/>
      <c r="SKX177" s="80"/>
      <c r="SKY177" s="80"/>
      <c r="SKZ177" s="80"/>
      <c r="SLA177" s="80"/>
      <c r="SLB177" s="80"/>
      <c r="SLC177" s="80"/>
      <c r="SLD177" s="80"/>
      <c r="SLE177" s="80"/>
      <c r="SLF177" s="80"/>
      <c r="SLG177" s="80"/>
      <c r="SLH177" s="80"/>
      <c r="SLI177" s="80"/>
      <c r="SLJ177" s="80"/>
      <c r="SLK177" s="80"/>
      <c r="SLL177" s="80"/>
      <c r="SLM177" s="80"/>
      <c r="SLN177" s="80"/>
      <c r="SLO177" s="80"/>
      <c r="SLP177" s="80"/>
      <c r="SLQ177" s="80"/>
      <c r="SLR177" s="80"/>
      <c r="SLS177" s="80"/>
      <c r="SLT177" s="80"/>
      <c r="SLU177" s="80"/>
      <c r="SLV177" s="80"/>
      <c r="SLW177" s="80"/>
      <c r="SLX177" s="80"/>
      <c r="SLY177" s="80"/>
      <c r="SLZ177" s="80"/>
      <c r="SMA177" s="80"/>
      <c r="SMB177" s="80"/>
      <c r="SMC177" s="80"/>
      <c r="SMD177" s="80"/>
      <c r="SME177" s="80"/>
      <c r="SMF177" s="80"/>
      <c r="SMG177" s="80"/>
      <c r="SMH177" s="80"/>
      <c r="SMI177" s="80"/>
      <c r="SMJ177" s="80"/>
      <c r="SMK177" s="80"/>
      <c r="SML177" s="80"/>
      <c r="SMM177" s="80"/>
      <c r="SMN177" s="80"/>
      <c r="SMO177" s="80"/>
      <c r="SMP177" s="80"/>
      <c r="SMQ177" s="80"/>
      <c r="SMR177" s="80"/>
      <c r="SMS177" s="80"/>
      <c r="SMT177" s="80"/>
      <c r="SMU177" s="80"/>
      <c r="SMV177" s="80"/>
      <c r="SMW177" s="80"/>
      <c r="SMX177" s="80"/>
      <c r="SMY177" s="80"/>
      <c r="SMZ177" s="80"/>
      <c r="SNA177" s="80"/>
      <c r="SNB177" s="80"/>
      <c r="SNC177" s="80"/>
      <c r="SND177" s="80"/>
      <c r="SNE177" s="80"/>
      <c r="SNF177" s="80"/>
      <c r="SNG177" s="80"/>
      <c r="SNH177" s="80"/>
      <c r="SNI177" s="80"/>
      <c r="SNJ177" s="80"/>
      <c r="SNK177" s="80"/>
      <c r="SNL177" s="80"/>
      <c r="SNM177" s="80"/>
      <c r="SNN177" s="80"/>
      <c r="SNO177" s="80"/>
      <c r="SNP177" s="80"/>
      <c r="SNQ177" s="80"/>
      <c r="SNR177" s="80"/>
      <c r="SNS177" s="80"/>
      <c r="SNT177" s="80"/>
      <c r="SNU177" s="80"/>
      <c r="SNV177" s="80"/>
      <c r="SNW177" s="80"/>
      <c r="SNX177" s="80"/>
      <c r="SNY177" s="80"/>
      <c r="SNZ177" s="80"/>
      <c r="SOA177" s="80"/>
      <c r="SOB177" s="80"/>
      <c r="SOC177" s="80"/>
      <c r="SOD177" s="80"/>
      <c r="SOE177" s="80"/>
      <c r="SOF177" s="80"/>
      <c r="SOG177" s="80"/>
      <c r="SOH177" s="80"/>
      <c r="SOI177" s="80"/>
      <c r="SOJ177" s="80"/>
      <c r="SOK177" s="80"/>
      <c r="SOL177" s="80"/>
      <c r="SOM177" s="80"/>
      <c r="SON177" s="80"/>
      <c r="SOO177" s="80"/>
      <c r="SOP177" s="80"/>
      <c r="SOQ177" s="80"/>
      <c r="SOR177" s="80"/>
      <c r="SOS177" s="80"/>
      <c r="SOT177" s="80"/>
      <c r="SOU177" s="80"/>
      <c r="SOV177" s="80"/>
      <c r="SOW177" s="80"/>
      <c r="SOX177" s="80"/>
      <c r="SOY177" s="80"/>
      <c r="SOZ177" s="80"/>
      <c r="SPA177" s="80"/>
      <c r="SPB177" s="80"/>
      <c r="SPC177" s="80"/>
      <c r="SPD177" s="80"/>
      <c r="SPE177" s="80"/>
      <c r="SPF177" s="80"/>
      <c r="SPG177" s="80"/>
      <c r="SPH177" s="80"/>
      <c r="SPI177" s="80"/>
      <c r="SPJ177" s="80"/>
      <c r="SPK177" s="80"/>
      <c r="SPL177" s="80"/>
      <c r="SPM177" s="80"/>
      <c r="SPN177" s="80"/>
      <c r="SPO177" s="80"/>
      <c r="SPP177" s="80"/>
      <c r="SPQ177" s="80"/>
      <c r="SPR177" s="80"/>
      <c r="SPS177" s="80"/>
      <c r="SPT177" s="80"/>
      <c r="SPU177" s="80"/>
      <c r="SPV177" s="80"/>
      <c r="SPW177" s="80"/>
      <c r="SPX177" s="80"/>
      <c r="SPY177" s="80"/>
      <c r="SPZ177" s="80"/>
      <c r="SQA177" s="80"/>
      <c r="SQB177" s="80"/>
      <c r="SQC177" s="80"/>
      <c r="SQD177" s="80"/>
      <c r="SQE177" s="80"/>
      <c r="SQF177" s="80"/>
      <c r="SQG177" s="80"/>
      <c r="SQH177" s="80"/>
      <c r="SQI177" s="80"/>
      <c r="SQJ177" s="80"/>
      <c r="SQK177" s="80"/>
      <c r="SQL177" s="80"/>
      <c r="SQM177" s="80"/>
      <c r="SQN177" s="80"/>
      <c r="SQO177" s="80"/>
      <c r="SQP177" s="80"/>
      <c r="SQQ177" s="80"/>
      <c r="SQR177" s="80"/>
      <c r="SQS177" s="80"/>
      <c r="SQT177" s="80"/>
      <c r="SQU177" s="80"/>
      <c r="SQV177" s="80"/>
      <c r="SQW177" s="80"/>
      <c r="SQX177" s="80"/>
      <c r="SQY177" s="80"/>
      <c r="SQZ177" s="80"/>
      <c r="SRA177" s="80"/>
      <c r="SRB177" s="80"/>
      <c r="SRC177" s="80"/>
      <c r="SRD177" s="80"/>
      <c r="SRE177" s="80"/>
      <c r="SRF177" s="80"/>
      <c r="SRG177" s="80"/>
      <c r="SRH177" s="80"/>
      <c r="SRI177" s="80"/>
      <c r="SRJ177" s="80"/>
      <c r="SRK177" s="80"/>
      <c r="SRL177" s="80"/>
      <c r="SRM177" s="80"/>
      <c r="SRN177" s="80"/>
      <c r="SRO177" s="80"/>
      <c r="SRP177" s="80"/>
      <c r="SRQ177" s="80"/>
      <c r="SRR177" s="80"/>
      <c r="SRS177" s="80"/>
      <c r="SRT177" s="80"/>
      <c r="SRU177" s="80"/>
      <c r="SRV177" s="80"/>
      <c r="SRW177" s="80"/>
      <c r="SRX177" s="80"/>
      <c r="SRY177" s="80"/>
      <c r="SRZ177" s="80"/>
      <c r="SSA177" s="80"/>
      <c r="SSB177" s="80"/>
      <c r="SSC177" s="80"/>
      <c r="SSD177" s="80"/>
      <c r="SSE177" s="80"/>
      <c r="SSF177" s="80"/>
      <c r="SSG177" s="80"/>
      <c r="SSH177" s="80"/>
      <c r="SSI177" s="80"/>
      <c r="SSJ177" s="80"/>
      <c r="SSK177" s="80"/>
      <c r="SSL177" s="80"/>
      <c r="SSM177" s="80"/>
      <c r="SSN177" s="80"/>
      <c r="SSO177" s="80"/>
      <c r="SSP177" s="80"/>
      <c r="SSQ177" s="80"/>
      <c r="SSR177" s="80"/>
      <c r="SSS177" s="80"/>
      <c r="SST177" s="80"/>
      <c r="SSU177" s="80"/>
      <c r="SSV177" s="80"/>
      <c r="SSW177" s="80"/>
      <c r="SSX177" s="80"/>
      <c r="SSY177" s="80"/>
      <c r="SSZ177" s="80"/>
      <c r="STA177" s="80"/>
      <c r="STB177" s="80"/>
      <c r="STC177" s="80"/>
      <c r="STD177" s="80"/>
      <c r="STE177" s="80"/>
      <c r="STF177" s="80"/>
      <c r="STG177" s="80"/>
      <c r="STH177" s="80"/>
      <c r="STI177" s="80"/>
      <c r="STJ177" s="80"/>
      <c r="STK177" s="80"/>
      <c r="STL177" s="80"/>
      <c r="STM177" s="80"/>
      <c r="STN177" s="80"/>
      <c r="STO177" s="80"/>
      <c r="STP177" s="80"/>
      <c r="STQ177" s="80"/>
      <c r="STR177" s="80"/>
      <c r="STS177" s="80"/>
      <c r="STT177" s="80"/>
      <c r="STU177" s="80"/>
      <c r="STV177" s="80"/>
      <c r="STW177" s="80"/>
      <c r="STX177" s="80"/>
      <c r="STY177" s="80"/>
      <c r="STZ177" s="80"/>
      <c r="SUA177" s="80"/>
      <c r="SUB177" s="80"/>
      <c r="SUC177" s="80"/>
      <c r="SUD177" s="80"/>
      <c r="SUE177" s="80"/>
      <c r="SUF177" s="80"/>
      <c r="SUG177" s="80"/>
      <c r="SUH177" s="80"/>
      <c r="SUI177" s="80"/>
      <c r="SUJ177" s="80"/>
      <c r="SUK177" s="80"/>
      <c r="SUL177" s="80"/>
      <c r="SUM177" s="80"/>
      <c r="SUN177" s="80"/>
      <c r="SUO177" s="80"/>
      <c r="SUP177" s="80"/>
      <c r="SUQ177" s="80"/>
      <c r="SUR177" s="80"/>
      <c r="SUS177" s="80"/>
      <c r="SUT177" s="80"/>
      <c r="SUU177" s="80"/>
      <c r="SUV177" s="80"/>
      <c r="SUW177" s="80"/>
      <c r="SUX177" s="80"/>
      <c r="SUY177" s="80"/>
      <c r="SUZ177" s="80"/>
      <c r="SVA177" s="80"/>
      <c r="SVB177" s="80"/>
      <c r="SVC177" s="80"/>
      <c r="SVD177" s="80"/>
      <c r="SVE177" s="80"/>
      <c r="SVF177" s="80"/>
      <c r="SVG177" s="80"/>
      <c r="SVH177" s="80"/>
      <c r="SVI177" s="80"/>
      <c r="SVJ177" s="80"/>
      <c r="SVK177" s="80"/>
      <c r="SVL177" s="80"/>
      <c r="SVM177" s="80"/>
      <c r="SVN177" s="80"/>
      <c r="SVO177" s="80"/>
      <c r="SVP177" s="80"/>
      <c r="SVQ177" s="80"/>
      <c r="SVR177" s="80"/>
      <c r="SVS177" s="80"/>
      <c r="SVT177" s="80"/>
      <c r="SVU177" s="80"/>
      <c r="SVV177" s="80"/>
      <c r="SVW177" s="80"/>
      <c r="SVX177" s="80"/>
      <c r="SVY177" s="80"/>
      <c r="SVZ177" s="80"/>
      <c r="SWA177" s="80"/>
      <c r="SWB177" s="80"/>
      <c r="SWC177" s="80"/>
      <c r="SWD177" s="80"/>
      <c r="SWE177" s="80"/>
      <c r="SWF177" s="80"/>
      <c r="SWG177" s="80"/>
      <c r="SWH177" s="80"/>
      <c r="SWI177" s="80"/>
      <c r="SWJ177" s="80"/>
      <c r="SWK177" s="80"/>
      <c r="SWL177" s="80"/>
      <c r="SWM177" s="80"/>
      <c r="SWN177" s="80"/>
      <c r="SWO177" s="80"/>
      <c r="SWP177" s="80"/>
      <c r="SWQ177" s="80"/>
      <c r="SWR177" s="80"/>
      <c r="SWS177" s="80"/>
      <c r="SWT177" s="80"/>
      <c r="SWU177" s="80"/>
      <c r="SWV177" s="80"/>
      <c r="SWW177" s="80"/>
      <c r="SWX177" s="80"/>
      <c r="SWY177" s="80"/>
      <c r="SWZ177" s="80"/>
      <c r="SXA177" s="80"/>
      <c r="SXB177" s="80"/>
      <c r="SXC177" s="80"/>
      <c r="SXD177" s="80"/>
      <c r="SXE177" s="80"/>
      <c r="SXF177" s="80"/>
      <c r="SXG177" s="80"/>
      <c r="SXH177" s="80"/>
      <c r="SXI177" s="80"/>
      <c r="SXJ177" s="80"/>
      <c r="SXK177" s="80"/>
      <c r="SXL177" s="80"/>
      <c r="SXM177" s="80"/>
      <c r="SXN177" s="80"/>
      <c r="SXO177" s="80"/>
      <c r="SXP177" s="80"/>
      <c r="SXQ177" s="80"/>
      <c r="SXR177" s="80"/>
      <c r="SXS177" s="80"/>
      <c r="SXT177" s="80"/>
      <c r="SXU177" s="80"/>
      <c r="SXV177" s="80"/>
      <c r="SXW177" s="80"/>
      <c r="SXX177" s="80"/>
      <c r="SXY177" s="80"/>
      <c r="SXZ177" s="80"/>
      <c r="SYA177" s="80"/>
      <c r="SYB177" s="80"/>
      <c r="SYC177" s="80"/>
      <c r="SYD177" s="80"/>
      <c r="SYE177" s="80"/>
      <c r="SYF177" s="80"/>
      <c r="SYG177" s="80"/>
      <c r="SYH177" s="80"/>
      <c r="SYI177" s="80"/>
      <c r="SYJ177" s="80"/>
      <c r="SYK177" s="80"/>
      <c r="SYL177" s="80"/>
      <c r="SYM177" s="80"/>
      <c r="SYN177" s="80"/>
      <c r="SYO177" s="80"/>
      <c r="SYP177" s="80"/>
      <c r="SYQ177" s="80"/>
      <c r="SYR177" s="80"/>
      <c r="SYS177" s="80"/>
      <c r="SYT177" s="80"/>
      <c r="SYU177" s="80"/>
      <c r="SYV177" s="80"/>
      <c r="SYW177" s="80"/>
      <c r="SYX177" s="80"/>
      <c r="SYY177" s="80"/>
      <c r="SYZ177" s="80"/>
      <c r="SZA177" s="80"/>
      <c r="SZB177" s="80"/>
      <c r="SZC177" s="80"/>
      <c r="SZD177" s="80"/>
      <c r="SZE177" s="80"/>
      <c r="SZF177" s="80"/>
      <c r="SZG177" s="80"/>
      <c r="SZH177" s="80"/>
      <c r="SZI177" s="80"/>
      <c r="SZJ177" s="80"/>
      <c r="SZK177" s="80"/>
      <c r="SZL177" s="80"/>
      <c r="SZM177" s="80"/>
      <c r="SZN177" s="80"/>
      <c r="SZO177" s="80"/>
      <c r="SZP177" s="80"/>
      <c r="SZQ177" s="80"/>
      <c r="SZR177" s="80"/>
      <c r="SZS177" s="80"/>
      <c r="SZT177" s="80"/>
      <c r="SZU177" s="80"/>
      <c r="SZV177" s="80"/>
      <c r="SZW177" s="80"/>
      <c r="SZX177" s="80"/>
      <c r="SZY177" s="80"/>
      <c r="SZZ177" s="80"/>
      <c r="TAA177" s="80"/>
      <c r="TAB177" s="80"/>
      <c r="TAC177" s="80"/>
      <c r="TAD177" s="80"/>
      <c r="TAE177" s="80"/>
      <c r="TAF177" s="80"/>
      <c r="TAG177" s="80"/>
      <c r="TAH177" s="80"/>
      <c r="TAI177" s="80"/>
      <c r="TAJ177" s="80"/>
      <c r="TAK177" s="80"/>
      <c r="TAL177" s="80"/>
      <c r="TAM177" s="80"/>
      <c r="TAN177" s="80"/>
      <c r="TAO177" s="80"/>
      <c r="TAP177" s="80"/>
      <c r="TAQ177" s="80"/>
      <c r="TAR177" s="80"/>
      <c r="TAS177" s="80"/>
      <c r="TAT177" s="80"/>
      <c r="TAU177" s="80"/>
      <c r="TAV177" s="80"/>
      <c r="TAW177" s="80"/>
      <c r="TAX177" s="80"/>
      <c r="TAY177" s="80"/>
      <c r="TAZ177" s="80"/>
      <c r="TBA177" s="80"/>
      <c r="TBB177" s="80"/>
      <c r="TBC177" s="80"/>
      <c r="TBD177" s="80"/>
      <c r="TBE177" s="80"/>
      <c r="TBF177" s="80"/>
      <c r="TBG177" s="80"/>
      <c r="TBH177" s="80"/>
      <c r="TBI177" s="80"/>
      <c r="TBJ177" s="80"/>
      <c r="TBK177" s="80"/>
      <c r="TBL177" s="80"/>
      <c r="TBM177" s="80"/>
      <c r="TBN177" s="80"/>
      <c r="TBO177" s="80"/>
      <c r="TBP177" s="80"/>
      <c r="TBQ177" s="80"/>
      <c r="TBR177" s="80"/>
      <c r="TBS177" s="80"/>
      <c r="TBT177" s="80"/>
      <c r="TBU177" s="80"/>
      <c r="TBV177" s="80"/>
      <c r="TBW177" s="80"/>
      <c r="TBX177" s="80"/>
      <c r="TBY177" s="80"/>
      <c r="TBZ177" s="80"/>
      <c r="TCA177" s="80"/>
      <c r="TCB177" s="80"/>
      <c r="TCC177" s="80"/>
      <c r="TCD177" s="80"/>
      <c r="TCE177" s="80"/>
      <c r="TCF177" s="80"/>
      <c r="TCG177" s="80"/>
      <c r="TCH177" s="80"/>
      <c r="TCI177" s="80"/>
      <c r="TCJ177" s="80"/>
      <c r="TCK177" s="80"/>
      <c r="TCL177" s="80"/>
      <c r="TCM177" s="80"/>
      <c r="TCN177" s="80"/>
      <c r="TCO177" s="80"/>
      <c r="TCP177" s="80"/>
      <c r="TCQ177" s="80"/>
      <c r="TCR177" s="80"/>
      <c r="TCS177" s="80"/>
      <c r="TCT177" s="80"/>
      <c r="TCU177" s="80"/>
      <c r="TCV177" s="80"/>
      <c r="TCW177" s="80"/>
      <c r="TCX177" s="80"/>
      <c r="TCY177" s="80"/>
      <c r="TCZ177" s="80"/>
      <c r="TDA177" s="80"/>
      <c r="TDB177" s="80"/>
      <c r="TDC177" s="80"/>
      <c r="TDD177" s="80"/>
      <c r="TDE177" s="80"/>
      <c r="TDF177" s="80"/>
      <c r="TDG177" s="80"/>
      <c r="TDH177" s="80"/>
      <c r="TDI177" s="80"/>
      <c r="TDJ177" s="80"/>
      <c r="TDK177" s="80"/>
      <c r="TDL177" s="80"/>
      <c r="TDM177" s="80"/>
      <c r="TDN177" s="80"/>
      <c r="TDO177" s="80"/>
      <c r="TDP177" s="80"/>
      <c r="TDQ177" s="80"/>
      <c r="TDR177" s="80"/>
      <c r="TDS177" s="80"/>
      <c r="TDT177" s="80"/>
      <c r="TDU177" s="80"/>
      <c r="TDV177" s="80"/>
      <c r="TDW177" s="80"/>
      <c r="TDX177" s="80"/>
      <c r="TDY177" s="80"/>
      <c r="TDZ177" s="80"/>
      <c r="TEA177" s="80"/>
      <c r="TEB177" s="80"/>
      <c r="TEC177" s="80"/>
      <c r="TED177" s="80"/>
      <c r="TEE177" s="80"/>
      <c r="TEF177" s="80"/>
      <c r="TEG177" s="80"/>
      <c r="TEH177" s="80"/>
      <c r="TEI177" s="80"/>
      <c r="TEJ177" s="80"/>
      <c r="TEK177" s="80"/>
      <c r="TEL177" s="80"/>
      <c r="TEM177" s="80"/>
      <c r="TEN177" s="80"/>
      <c r="TEO177" s="80"/>
      <c r="TEP177" s="80"/>
      <c r="TEQ177" s="80"/>
      <c r="TER177" s="80"/>
      <c r="TES177" s="80"/>
      <c r="TET177" s="80"/>
      <c r="TEU177" s="80"/>
      <c r="TEV177" s="80"/>
      <c r="TEW177" s="80"/>
      <c r="TEX177" s="80"/>
      <c r="TEY177" s="80"/>
      <c r="TEZ177" s="80"/>
      <c r="TFA177" s="80"/>
      <c r="TFB177" s="80"/>
      <c r="TFC177" s="80"/>
      <c r="TFD177" s="80"/>
      <c r="TFE177" s="80"/>
      <c r="TFF177" s="80"/>
      <c r="TFG177" s="80"/>
      <c r="TFH177" s="80"/>
      <c r="TFI177" s="80"/>
      <c r="TFJ177" s="80"/>
      <c r="TFK177" s="80"/>
      <c r="TFL177" s="80"/>
      <c r="TFM177" s="80"/>
      <c r="TFN177" s="80"/>
      <c r="TFO177" s="80"/>
      <c r="TFP177" s="80"/>
      <c r="TFQ177" s="80"/>
      <c r="TFR177" s="80"/>
      <c r="TFS177" s="80"/>
      <c r="TFT177" s="80"/>
      <c r="TFU177" s="80"/>
      <c r="TFV177" s="80"/>
      <c r="TFW177" s="80"/>
      <c r="TFX177" s="80"/>
      <c r="TFY177" s="80"/>
      <c r="TFZ177" s="80"/>
      <c r="TGA177" s="80"/>
      <c r="TGB177" s="80"/>
      <c r="TGC177" s="80"/>
      <c r="TGD177" s="80"/>
      <c r="TGE177" s="80"/>
      <c r="TGF177" s="80"/>
      <c r="TGG177" s="80"/>
      <c r="TGH177" s="80"/>
      <c r="TGI177" s="80"/>
      <c r="TGJ177" s="80"/>
      <c r="TGK177" s="80"/>
      <c r="TGL177" s="80"/>
      <c r="TGM177" s="80"/>
      <c r="TGN177" s="80"/>
      <c r="TGO177" s="80"/>
      <c r="TGP177" s="80"/>
      <c r="TGQ177" s="80"/>
      <c r="TGR177" s="80"/>
      <c r="TGS177" s="80"/>
      <c r="TGT177" s="80"/>
      <c r="TGU177" s="80"/>
      <c r="TGV177" s="80"/>
      <c r="TGW177" s="80"/>
      <c r="TGX177" s="80"/>
      <c r="TGY177" s="80"/>
      <c r="TGZ177" s="80"/>
      <c r="THA177" s="80"/>
      <c r="THB177" s="80"/>
      <c r="THC177" s="80"/>
      <c r="THD177" s="80"/>
      <c r="THE177" s="80"/>
      <c r="THF177" s="80"/>
      <c r="THG177" s="80"/>
      <c r="THH177" s="80"/>
      <c r="THI177" s="80"/>
      <c r="THJ177" s="80"/>
      <c r="THK177" s="80"/>
      <c r="THL177" s="80"/>
      <c r="THM177" s="80"/>
      <c r="THN177" s="80"/>
      <c r="THO177" s="80"/>
      <c r="THP177" s="80"/>
      <c r="THQ177" s="80"/>
      <c r="THR177" s="80"/>
      <c r="THS177" s="80"/>
      <c r="THT177" s="80"/>
      <c r="THU177" s="80"/>
      <c r="THV177" s="80"/>
      <c r="THW177" s="80"/>
      <c r="THX177" s="80"/>
      <c r="THY177" s="80"/>
      <c r="THZ177" s="80"/>
      <c r="TIA177" s="80"/>
      <c r="TIB177" s="80"/>
      <c r="TIC177" s="80"/>
      <c r="TID177" s="80"/>
      <c r="TIE177" s="80"/>
      <c r="TIF177" s="80"/>
      <c r="TIG177" s="80"/>
      <c r="TIH177" s="80"/>
      <c r="TII177" s="80"/>
      <c r="TIJ177" s="80"/>
      <c r="TIK177" s="80"/>
      <c r="TIL177" s="80"/>
      <c r="TIM177" s="80"/>
      <c r="TIN177" s="80"/>
      <c r="TIO177" s="80"/>
      <c r="TIP177" s="80"/>
      <c r="TIQ177" s="80"/>
      <c r="TIR177" s="80"/>
      <c r="TIS177" s="80"/>
      <c r="TIT177" s="80"/>
      <c r="TIU177" s="80"/>
      <c r="TIV177" s="80"/>
      <c r="TIW177" s="80"/>
      <c r="TIX177" s="80"/>
      <c r="TIY177" s="80"/>
      <c r="TIZ177" s="80"/>
      <c r="TJA177" s="80"/>
      <c r="TJB177" s="80"/>
      <c r="TJC177" s="80"/>
      <c r="TJD177" s="80"/>
      <c r="TJE177" s="80"/>
      <c r="TJF177" s="80"/>
      <c r="TJG177" s="80"/>
      <c r="TJH177" s="80"/>
      <c r="TJI177" s="80"/>
      <c r="TJJ177" s="80"/>
      <c r="TJK177" s="80"/>
      <c r="TJL177" s="80"/>
      <c r="TJM177" s="80"/>
      <c r="TJN177" s="80"/>
      <c r="TJO177" s="80"/>
      <c r="TJP177" s="80"/>
      <c r="TJQ177" s="80"/>
      <c r="TJR177" s="80"/>
      <c r="TJS177" s="80"/>
      <c r="TJT177" s="80"/>
      <c r="TJU177" s="80"/>
      <c r="TJV177" s="80"/>
      <c r="TJW177" s="80"/>
      <c r="TJX177" s="80"/>
      <c r="TJY177" s="80"/>
      <c r="TJZ177" s="80"/>
      <c r="TKA177" s="80"/>
      <c r="TKB177" s="80"/>
      <c r="TKC177" s="80"/>
      <c r="TKD177" s="80"/>
      <c r="TKE177" s="80"/>
      <c r="TKF177" s="80"/>
      <c r="TKG177" s="80"/>
      <c r="TKH177" s="80"/>
      <c r="TKI177" s="80"/>
      <c r="TKJ177" s="80"/>
      <c r="TKK177" s="80"/>
      <c r="TKL177" s="80"/>
      <c r="TKM177" s="80"/>
      <c r="TKN177" s="80"/>
      <c r="TKO177" s="80"/>
      <c r="TKP177" s="80"/>
      <c r="TKQ177" s="80"/>
      <c r="TKR177" s="80"/>
      <c r="TKS177" s="80"/>
      <c r="TKT177" s="80"/>
      <c r="TKU177" s="80"/>
      <c r="TKV177" s="80"/>
      <c r="TKW177" s="80"/>
      <c r="TKX177" s="80"/>
      <c r="TKY177" s="80"/>
      <c r="TKZ177" s="80"/>
      <c r="TLA177" s="80"/>
      <c r="TLB177" s="80"/>
      <c r="TLC177" s="80"/>
      <c r="TLD177" s="80"/>
      <c r="TLE177" s="80"/>
      <c r="TLF177" s="80"/>
      <c r="TLG177" s="80"/>
      <c r="TLH177" s="80"/>
      <c r="TLI177" s="80"/>
      <c r="TLJ177" s="80"/>
      <c r="TLK177" s="80"/>
      <c r="TLL177" s="80"/>
      <c r="TLM177" s="80"/>
      <c r="TLN177" s="80"/>
      <c r="TLO177" s="80"/>
      <c r="TLP177" s="80"/>
      <c r="TLQ177" s="80"/>
      <c r="TLR177" s="80"/>
      <c r="TLS177" s="80"/>
      <c r="TLT177" s="80"/>
      <c r="TLU177" s="80"/>
      <c r="TLV177" s="80"/>
      <c r="TLW177" s="80"/>
      <c r="TLX177" s="80"/>
      <c r="TLY177" s="80"/>
      <c r="TLZ177" s="80"/>
      <c r="TMA177" s="80"/>
      <c r="TMB177" s="80"/>
      <c r="TMC177" s="80"/>
      <c r="TMD177" s="80"/>
      <c r="TME177" s="80"/>
      <c r="TMF177" s="80"/>
      <c r="TMG177" s="80"/>
      <c r="TMH177" s="80"/>
      <c r="TMI177" s="80"/>
      <c r="TMJ177" s="80"/>
      <c r="TMK177" s="80"/>
      <c r="TML177" s="80"/>
      <c r="TMM177" s="80"/>
      <c r="TMN177" s="80"/>
      <c r="TMO177" s="80"/>
      <c r="TMP177" s="80"/>
      <c r="TMQ177" s="80"/>
      <c r="TMR177" s="80"/>
      <c r="TMS177" s="80"/>
      <c r="TMT177" s="80"/>
      <c r="TMU177" s="80"/>
      <c r="TMV177" s="80"/>
      <c r="TMW177" s="80"/>
      <c r="TMX177" s="80"/>
      <c r="TMY177" s="80"/>
      <c r="TMZ177" s="80"/>
      <c r="TNA177" s="80"/>
      <c r="TNB177" s="80"/>
      <c r="TNC177" s="80"/>
      <c r="TND177" s="80"/>
      <c r="TNE177" s="80"/>
      <c r="TNF177" s="80"/>
      <c r="TNG177" s="80"/>
      <c r="TNH177" s="80"/>
      <c r="TNI177" s="80"/>
      <c r="TNJ177" s="80"/>
      <c r="TNK177" s="80"/>
      <c r="TNL177" s="80"/>
      <c r="TNM177" s="80"/>
      <c r="TNN177" s="80"/>
      <c r="TNO177" s="80"/>
      <c r="TNP177" s="80"/>
      <c r="TNQ177" s="80"/>
      <c r="TNR177" s="80"/>
      <c r="TNS177" s="80"/>
      <c r="TNT177" s="80"/>
      <c r="TNU177" s="80"/>
      <c r="TNV177" s="80"/>
      <c r="TNW177" s="80"/>
      <c r="TNX177" s="80"/>
      <c r="TNY177" s="80"/>
      <c r="TNZ177" s="80"/>
      <c r="TOA177" s="80"/>
      <c r="TOB177" s="80"/>
      <c r="TOC177" s="80"/>
      <c r="TOD177" s="80"/>
      <c r="TOE177" s="80"/>
      <c r="TOF177" s="80"/>
      <c r="TOG177" s="80"/>
      <c r="TOH177" s="80"/>
      <c r="TOI177" s="80"/>
      <c r="TOJ177" s="80"/>
      <c r="TOK177" s="80"/>
      <c r="TOL177" s="80"/>
      <c r="TOM177" s="80"/>
      <c r="TON177" s="80"/>
      <c r="TOO177" s="80"/>
      <c r="TOP177" s="80"/>
      <c r="TOQ177" s="80"/>
      <c r="TOR177" s="80"/>
      <c r="TOS177" s="80"/>
      <c r="TOT177" s="80"/>
      <c r="TOU177" s="80"/>
      <c r="TOV177" s="80"/>
      <c r="TOW177" s="80"/>
      <c r="TOX177" s="80"/>
      <c r="TOY177" s="80"/>
      <c r="TOZ177" s="80"/>
      <c r="TPA177" s="80"/>
      <c r="TPB177" s="80"/>
      <c r="TPC177" s="80"/>
      <c r="TPD177" s="80"/>
      <c r="TPE177" s="80"/>
      <c r="TPF177" s="80"/>
      <c r="TPG177" s="80"/>
      <c r="TPH177" s="80"/>
      <c r="TPI177" s="80"/>
      <c r="TPJ177" s="80"/>
      <c r="TPK177" s="80"/>
      <c r="TPL177" s="80"/>
      <c r="TPM177" s="80"/>
      <c r="TPN177" s="80"/>
      <c r="TPO177" s="80"/>
      <c r="TPP177" s="80"/>
      <c r="TPQ177" s="80"/>
      <c r="TPR177" s="80"/>
      <c r="TPS177" s="80"/>
      <c r="TPT177" s="80"/>
      <c r="TPU177" s="80"/>
      <c r="TPV177" s="80"/>
      <c r="TPW177" s="80"/>
      <c r="TPX177" s="80"/>
      <c r="TPY177" s="80"/>
      <c r="TPZ177" s="80"/>
      <c r="TQA177" s="80"/>
      <c r="TQB177" s="80"/>
      <c r="TQC177" s="80"/>
      <c r="TQD177" s="80"/>
      <c r="TQE177" s="80"/>
      <c r="TQF177" s="80"/>
      <c r="TQG177" s="80"/>
      <c r="TQH177" s="80"/>
      <c r="TQI177" s="80"/>
      <c r="TQJ177" s="80"/>
      <c r="TQK177" s="80"/>
      <c r="TQL177" s="80"/>
      <c r="TQM177" s="80"/>
      <c r="TQN177" s="80"/>
      <c r="TQO177" s="80"/>
      <c r="TQP177" s="80"/>
      <c r="TQQ177" s="80"/>
      <c r="TQR177" s="80"/>
      <c r="TQS177" s="80"/>
      <c r="TQT177" s="80"/>
      <c r="TQU177" s="80"/>
      <c r="TQV177" s="80"/>
      <c r="TQW177" s="80"/>
      <c r="TQX177" s="80"/>
      <c r="TQY177" s="80"/>
      <c r="TQZ177" s="80"/>
      <c r="TRA177" s="80"/>
      <c r="TRB177" s="80"/>
      <c r="TRC177" s="80"/>
      <c r="TRD177" s="80"/>
      <c r="TRE177" s="80"/>
      <c r="TRF177" s="80"/>
      <c r="TRG177" s="80"/>
      <c r="TRH177" s="80"/>
      <c r="TRI177" s="80"/>
      <c r="TRJ177" s="80"/>
      <c r="TRK177" s="80"/>
      <c r="TRL177" s="80"/>
      <c r="TRM177" s="80"/>
      <c r="TRN177" s="80"/>
      <c r="TRO177" s="80"/>
      <c r="TRP177" s="80"/>
      <c r="TRQ177" s="80"/>
      <c r="TRR177" s="80"/>
      <c r="TRS177" s="80"/>
      <c r="TRT177" s="80"/>
      <c r="TRU177" s="80"/>
      <c r="TRV177" s="80"/>
      <c r="TRW177" s="80"/>
      <c r="TRX177" s="80"/>
      <c r="TRY177" s="80"/>
      <c r="TRZ177" s="80"/>
      <c r="TSA177" s="80"/>
      <c r="TSB177" s="80"/>
      <c r="TSC177" s="80"/>
      <c r="TSD177" s="80"/>
      <c r="TSE177" s="80"/>
      <c r="TSF177" s="80"/>
      <c r="TSG177" s="80"/>
      <c r="TSH177" s="80"/>
      <c r="TSI177" s="80"/>
      <c r="TSJ177" s="80"/>
      <c r="TSK177" s="80"/>
      <c r="TSL177" s="80"/>
      <c r="TSM177" s="80"/>
      <c r="TSN177" s="80"/>
      <c r="TSO177" s="80"/>
      <c r="TSP177" s="80"/>
      <c r="TSQ177" s="80"/>
      <c r="TSR177" s="80"/>
      <c r="TSS177" s="80"/>
      <c r="TST177" s="80"/>
      <c r="TSU177" s="80"/>
      <c r="TSV177" s="80"/>
      <c r="TSW177" s="80"/>
      <c r="TSX177" s="80"/>
      <c r="TSY177" s="80"/>
      <c r="TSZ177" s="80"/>
      <c r="TTA177" s="80"/>
      <c r="TTB177" s="80"/>
      <c r="TTC177" s="80"/>
      <c r="TTD177" s="80"/>
      <c r="TTE177" s="80"/>
      <c r="TTF177" s="80"/>
      <c r="TTG177" s="80"/>
      <c r="TTH177" s="80"/>
      <c r="TTI177" s="80"/>
      <c r="TTJ177" s="80"/>
      <c r="TTK177" s="80"/>
      <c r="TTL177" s="80"/>
      <c r="TTM177" s="80"/>
      <c r="TTN177" s="80"/>
      <c r="TTO177" s="80"/>
      <c r="TTP177" s="80"/>
      <c r="TTQ177" s="80"/>
      <c r="TTR177" s="80"/>
      <c r="TTS177" s="80"/>
      <c r="TTT177" s="80"/>
      <c r="TTU177" s="80"/>
      <c r="TTV177" s="80"/>
      <c r="TTW177" s="80"/>
      <c r="TTX177" s="80"/>
      <c r="TTY177" s="80"/>
      <c r="TTZ177" s="80"/>
      <c r="TUA177" s="80"/>
      <c r="TUB177" s="80"/>
      <c r="TUC177" s="80"/>
      <c r="TUD177" s="80"/>
      <c r="TUE177" s="80"/>
      <c r="TUF177" s="80"/>
      <c r="TUG177" s="80"/>
      <c r="TUH177" s="80"/>
      <c r="TUI177" s="80"/>
      <c r="TUJ177" s="80"/>
      <c r="TUK177" s="80"/>
      <c r="TUL177" s="80"/>
      <c r="TUM177" s="80"/>
      <c r="TUN177" s="80"/>
      <c r="TUO177" s="80"/>
      <c r="TUP177" s="80"/>
      <c r="TUQ177" s="80"/>
      <c r="TUR177" s="80"/>
      <c r="TUS177" s="80"/>
      <c r="TUT177" s="80"/>
      <c r="TUU177" s="80"/>
      <c r="TUV177" s="80"/>
      <c r="TUW177" s="80"/>
      <c r="TUX177" s="80"/>
      <c r="TUY177" s="80"/>
      <c r="TUZ177" s="80"/>
      <c r="TVA177" s="80"/>
      <c r="TVB177" s="80"/>
      <c r="TVC177" s="80"/>
      <c r="TVD177" s="80"/>
      <c r="TVE177" s="80"/>
      <c r="TVF177" s="80"/>
      <c r="TVG177" s="80"/>
      <c r="TVH177" s="80"/>
      <c r="TVI177" s="80"/>
      <c r="TVJ177" s="80"/>
      <c r="TVK177" s="80"/>
      <c r="TVL177" s="80"/>
      <c r="TVM177" s="80"/>
      <c r="TVN177" s="80"/>
      <c r="TVO177" s="80"/>
      <c r="TVP177" s="80"/>
      <c r="TVQ177" s="80"/>
      <c r="TVR177" s="80"/>
      <c r="TVS177" s="80"/>
      <c r="TVT177" s="80"/>
      <c r="TVU177" s="80"/>
      <c r="TVV177" s="80"/>
      <c r="TVW177" s="80"/>
      <c r="TVX177" s="80"/>
      <c r="TVY177" s="80"/>
      <c r="TVZ177" s="80"/>
      <c r="TWA177" s="80"/>
      <c r="TWB177" s="80"/>
      <c r="TWC177" s="80"/>
      <c r="TWD177" s="80"/>
      <c r="TWE177" s="80"/>
      <c r="TWF177" s="80"/>
      <c r="TWG177" s="80"/>
      <c r="TWH177" s="80"/>
      <c r="TWI177" s="80"/>
      <c r="TWJ177" s="80"/>
      <c r="TWK177" s="80"/>
      <c r="TWL177" s="80"/>
      <c r="TWM177" s="80"/>
      <c r="TWN177" s="80"/>
      <c r="TWO177" s="80"/>
      <c r="TWP177" s="80"/>
      <c r="TWQ177" s="80"/>
      <c r="TWR177" s="80"/>
      <c r="TWS177" s="80"/>
      <c r="TWT177" s="80"/>
      <c r="TWU177" s="80"/>
      <c r="TWV177" s="80"/>
      <c r="TWW177" s="80"/>
      <c r="TWX177" s="80"/>
      <c r="TWY177" s="80"/>
      <c r="TWZ177" s="80"/>
      <c r="TXA177" s="80"/>
      <c r="TXB177" s="80"/>
      <c r="TXC177" s="80"/>
      <c r="TXD177" s="80"/>
      <c r="TXE177" s="80"/>
      <c r="TXF177" s="80"/>
      <c r="TXG177" s="80"/>
      <c r="TXH177" s="80"/>
      <c r="TXI177" s="80"/>
      <c r="TXJ177" s="80"/>
      <c r="TXK177" s="80"/>
      <c r="TXL177" s="80"/>
      <c r="TXM177" s="80"/>
      <c r="TXN177" s="80"/>
      <c r="TXO177" s="80"/>
      <c r="TXP177" s="80"/>
      <c r="TXQ177" s="80"/>
      <c r="TXR177" s="80"/>
      <c r="TXS177" s="80"/>
      <c r="TXT177" s="80"/>
      <c r="TXU177" s="80"/>
      <c r="TXV177" s="80"/>
      <c r="TXW177" s="80"/>
      <c r="TXX177" s="80"/>
      <c r="TXY177" s="80"/>
      <c r="TXZ177" s="80"/>
      <c r="TYA177" s="80"/>
      <c r="TYB177" s="80"/>
      <c r="TYC177" s="80"/>
      <c r="TYD177" s="80"/>
      <c r="TYE177" s="80"/>
      <c r="TYF177" s="80"/>
      <c r="TYG177" s="80"/>
      <c r="TYH177" s="80"/>
      <c r="TYI177" s="80"/>
      <c r="TYJ177" s="80"/>
      <c r="TYK177" s="80"/>
      <c r="TYL177" s="80"/>
      <c r="TYM177" s="80"/>
      <c r="TYN177" s="80"/>
      <c r="TYO177" s="80"/>
      <c r="TYP177" s="80"/>
      <c r="TYQ177" s="80"/>
      <c r="TYR177" s="80"/>
      <c r="TYS177" s="80"/>
      <c r="TYT177" s="80"/>
      <c r="TYU177" s="80"/>
      <c r="TYV177" s="80"/>
      <c r="TYW177" s="80"/>
      <c r="TYX177" s="80"/>
      <c r="TYY177" s="80"/>
      <c r="TYZ177" s="80"/>
      <c r="TZA177" s="80"/>
      <c r="TZB177" s="80"/>
      <c r="TZC177" s="80"/>
      <c r="TZD177" s="80"/>
      <c r="TZE177" s="80"/>
      <c r="TZF177" s="80"/>
      <c r="TZG177" s="80"/>
      <c r="TZH177" s="80"/>
      <c r="TZI177" s="80"/>
      <c r="TZJ177" s="80"/>
      <c r="TZK177" s="80"/>
      <c r="TZL177" s="80"/>
      <c r="TZM177" s="80"/>
      <c r="TZN177" s="80"/>
      <c r="TZO177" s="80"/>
      <c r="TZP177" s="80"/>
      <c r="TZQ177" s="80"/>
      <c r="TZR177" s="80"/>
      <c r="TZS177" s="80"/>
      <c r="TZT177" s="80"/>
      <c r="TZU177" s="80"/>
      <c r="TZV177" s="80"/>
      <c r="TZW177" s="80"/>
      <c r="TZX177" s="80"/>
      <c r="TZY177" s="80"/>
      <c r="TZZ177" s="80"/>
      <c r="UAA177" s="80"/>
      <c r="UAB177" s="80"/>
      <c r="UAC177" s="80"/>
      <c r="UAD177" s="80"/>
      <c r="UAE177" s="80"/>
      <c r="UAF177" s="80"/>
      <c r="UAG177" s="80"/>
      <c r="UAH177" s="80"/>
      <c r="UAI177" s="80"/>
      <c r="UAJ177" s="80"/>
      <c r="UAK177" s="80"/>
      <c r="UAL177" s="80"/>
      <c r="UAM177" s="80"/>
      <c r="UAN177" s="80"/>
      <c r="UAO177" s="80"/>
      <c r="UAP177" s="80"/>
      <c r="UAQ177" s="80"/>
      <c r="UAR177" s="80"/>
      <c r="UAS177" s="80"/>
      <c r="UAT177" s="80"/>
      <c r="UAU177" s="80"/>
      <c r="UAV177" s="80"/>
      <c r="UAW177" s="80"/>
      <c r="UAX177" s="80"/>
      <c r="UAY177" s="80"/>
      <c r="UAZ177" s="80"/>
      <c r="UBA177" s="80"/>
      <c r="UBB177" s="80"/>
      <c r="UBC177" s="80"/>
      <c r="UBD177" s="80"/>
      <c r="UBE177" s="80"/>
      <c r="UBF177" s="80"/>
      <c r="UBG177" s="80"/>
      <c r="UBH177" s="80"/>
      <c r="UBI177" s="80"/>
      <c r="UBJ177" s="80"/>
      <c r="UBK177" s="80"/>
      <c r="UBL177" s="80"/>
      <c r="UBM177" s="80"/>
      <c r="UBN177" s="80"/>
      <c r="UBO177" s="80"/>
      <c r="UBP177" s="80"/>
      <c r="UBQ177" s="80"/>
      <c r="UBR177" s="80"/>
      <c r="UBS177" s="80"/>
      <c r="UBT177" s="80"/>
      <c r="UBU177" s="80"/>
      <c r="UBV177" s="80"/>
      <c r="UBW177" s="80"/>
      <c r="UBX177" s="80"/>
      <c r="UBY177" s="80"/>
      <c r="UBZ177" s="80"/>
      <c r="UCA177" s="80"/>
      <c r="UCB177" s="80"/>
      <c r="UCC177" s="80"/>
      <c r="UCD177" s="80"/>
      <c r="UCE177" s="80"/>
      <c r="UCF177" s="80"/>
      <c r="UCG177" s="80"/>
      <c r="UCH177" s="80"/>
      <c r="UCI177" s="80"/>
      <c r="UCJ177" s="80"/>
      <c r="UCK177" s="80"/>
      <c r="UCL177" s="80"/>
      <c r="UCM177" s="80"/>
      <c r="UCN177" s="80"/>
      <c r="UCO177" s="80"/>
      <c r="UCP177" s="80"/>
      <c r="UCQ177" s="80"/>
      <c r="UCR177" s="80"/>
      <c r="UCS177" s="80"/>
      <c r="UCT177" s="80"/>
      <c r="UCU177" s="80"/>
      <c r="UCV177" s="80"/>
      <c r="UCW177" s="80"/>
      <c r="UCX177" s="80"/>
      <c r="UCY177" s="80"/>
      <c r="UCZ177" s="80"/>
      <c r="UDA177" s="80"/>
      <c r="UDB177" s="80"/>
      <c r="UDC177" s="80"/>
      <c r="UDD177" s="80"/>
      <c r="UDE177" s="80"/>
      <c r="UDF177" s="80"/>
      <c r="UDG177" s="80"/>
      <c r="UDH177" s="80"/>
      <c r="UDI177" s="80"/>
      <c r="UDJ177" s="80"/>
      <c r="UDK177" s="80"/>
      <c r="UDL177" s="80"/>
      <c r="UDM177" s="80"/>
      <c r="UDN177" s="80"/>
      <c r="UDO177" s="80"/>
      <c r="UDP177" s="80"/>
      <c r="UDQ177" s="80"/>
      <c r="UDR177" s="80"/>
      <c r="UDS177" s="80"/>
      <c r="UDT177" s="80"/>
      <c r="UDU177" s="80"/>
      <c r="UDV177" s="80"/>
      <c r="UDW177" s="80"/>
      <c r="UDX177" s="80"/>
      <c r="UDY177" s="80"/>
      <c r="UDZ177" s="80"/>
      <c r="UEA177" s="80"/>
      <c r="UEB177" s="80"/>
      <c r="UEC177" s="80"/>
      <c r="UED177" s="80"/>
      <c r="UEE177" s="80"/>
      <c r="UEF177" s="80"/>
      <c r="UEG177" s="80"/>
      <c r="UEH177" s="80"/>
      <c r="UEI177" s="80"/>
      <c r="UEJ177" s="80"/>
      <c r="UEK177" s="80"/>
      <c r="UEL177" s="80"/>
      <c r="UEM177" s="80"/>
      <c r="UEN177" s="80"/>
      <c r="UEO177" s="80"/>
      <c r="UEP177" s="80"/>
      <c r="UEQ177" s="80"/>
      <c r="UER177" s="80"/>
      <c r="UES177" s="80"/>
      <c r="UET177" s="80"/>
      <c r="UEU177" s="80"/>
      <c r="UEV177" s="80"/>
      <c r="UEW177" s="80"/>
      <c r="UEX177" s="80"/>
      <c r="UEY177" s="80"/>
      <c r="UEZ177" s="80"/>
      <c r="UFA177" s="80"/>
      <c r="UFB177" s="80"/>
      <c r="UFC177" s="80"/>
      <c r="UFD177" s="80"/>
      <c r="UFE177" s="80"/>
      <c r="UFF177" s="80"/>
      <c r="UFG177" s="80"/>
      <c r="UFH177" s="80"/>
      <c r="UFI177" s="80"/>
      <c r="UFJ177" s="80"/>
      <c r="UFK177" s="80"/>
      <c r="UFL177" s="80"/>
      <c r="UFM177" s="80"/>
      <c r="UFN177" s="80"/>
      <c r="UFO177" s="80"/>
      <c r="UFP177" s="80"/>
      <c r="UFQ177" s="80"/>
      <c r="UFR177" s="80"/>
      <c r="UFS177" s="80"/>
      <c r="UFT177" s="80"/>
      <c r="UFU177" s="80"/>
      <c r="UFV177" s="80"/>
      <c r="UFW177" s="80"/>
      <c r="UFX177" s="80"/>
      <c r="UFY177" s="80"/>
      <c r="UFZ177" s="80"/>
      <c r="UGA177" s="80"/>
      <c r="UGB177" s="80"/>
      <c r="UGC177" s="80"/>
      <c r="UGD177" s="80"/>
      <c r="UGE177" s="80"/>
      <c r="UGF177" s="80"/>
      <c r="UGG177" s="80"/>
      <c r="UGH177" s="80"/>
      <c r="UGI177" s="80"/>
      <c r="UGJ177" s="80"/>
      <c r="UGK177" s="80"/>
      <c r="UGL177" s="80"/>
      <c r="UGM177" s="80"/>
      <c r="UGN177" s="80"/>
      <c r="UGO177" s="80"/>
      <c r="UGP177" s="80"/>
      <c r="UGQ177" s="80"/>
      <c r="UGR177" s="80"/>
      <c r="UGS177" s="80"/>
      <c r="UGT177" s="80"/>
      <c r="UGU177" s="80"/>
      <c r="UGV177" s="80"/>
      <c r="UGW177" s="80"/>
      <c r="UGX177" s="80"/>
      <c r="UGY177" s="80"/>
      <c r="UGZ177" s="80"/>
      <c r="UHA177" s="80"/>
      <c r="UHB177" s="80"/>
      <c r="UHC177" s="80"/>
      <c r="UHD177" s="80"/>
      <c r="UHE177" s="80"/>
      <c r="UHF177" s="80"/>
      <c r="UHG177" s="80"/>
      <c r="UHH177" s="80"/>
      <c r="UHI177" s="80"/>
      <c r="UHJ177" s="80"/>
      <c r="UHK177" s="80"/>
      <c r="UHL177" s="80"/>
      <c r="UHM177" s="80"/>
      <c r="UHN177" s="80"/>
      <c r="UHO177" s="80"/>
      <c r="UHP177" s="80"/>
      <c r="UHQ177" s="80"/>
      <c r="UHR177" s="80"/>
      <c r="UHS177" s="80"/>
      <c r="UHT177" s="80"/>
      <c r="UHU177" s="80"/>
      <c r="UHV177" s="80"/>
      <c r="UHW177" s="80"/>
      <c r="UHX177" s="80"/>
      <c r="UHY177" s="80"/>
      <c r="UHZ177" s="80"/>
      <c r="UIA177" s="80"/>
      <c r="UIB177" s="80"/>
      <c r="UIC177" s="80"/>
      <c r="UID177" s="80"/>
      <c r="UIE177" s="80"/>
      <c r="UIF177" s="80"/>
      <c r="UIG177" s="80"/>
      <c r="UIH177" s="80"/>
      <c r="UII177" s="80"/>
      <c r="UIJ177" s="80"/>
      <c r="UIK177" s="80"/>
      <c r="UIL177" s="80"/>
      <c r="UIM177" s="80"/>
      <c r="UIN177" s="80"/>
      <c r="UIO177" s="80"/>
      <c r="UIP177" s="80"/>
      <c r="UIQ177" s="80"/>
      <c r="UIR177" s="80"/>
      <c r="UIS177" s="80"/>
      <c r="UIT177" s="80"/>
      <c r="UIU177" s="80"/>
      <c r="UIV177" s="80"/>
      <c r="UIW177" s="80"/>
      <c r="UIX177" s="80"/>
      <c r="UIY177" s="80"/>
      <c r="UIZ177" s="80"/>
      <c r="UJA177" s="80"/>
      <c r="UJB177" s="80"/>
      <c r="UJC177" s="80"/>
      <c r="UJD177" s="80"/>
      <c r="UJE177" s="80"/>
      <c r="UJF177" s="80"/>
      <c r="UJG177" s="80"/>
      <c r="UJH177" s="80"/>
      <c r="UJI177" s="80"/>
      <c r="UJJ177" s="80"/>
      <c r="UJK177" s="80"/>
      <c r="UJL177" s="80"/>
      <c r="UJM177" s="80"/>
      <c r="UJN177" s="80"/>
      <c r="UJO177" s="80"/>
      <c r="UJP177" s="80"/>
      <c r="UJQ177" s="80"/>
      <c r="UJR177" s="80"/>
      <c r="UJS177" s="80"/>
      <c r="UJT177" s="80"/>
      <c r="UJU177" s="80"/>
      <c r="UJV177" s="80"/>
      <c r="UJW177" s="80"/>
      <c r="UJX177" s="80"/>
      <c r="UJY177" s="80"/>
      <c r="UJZ177" s="80"/>
      <c r="UKA177" s="80"/>
      <c r="UKB177" s="80"/>
      <c r="UKC177" s="80"/>
      <c r="UKD177" s="80"/>
      <c r="UKE177" s="80"/>
      <c r="UKF177" s="80"/>
      <c r="UKG177" s="80"/>
      <c r="UKH177" s="80"/>
      <c r="UKI177" s="80"/>
      <c r="UKJ177" s="80"/>
      <c r="UKK177" s="80"/>
      <c r="UKL177" s="80"/>
      <c r="UKM177" s="80"/>
      <c r="UKN177" s="80"/>
      <c r="UKO177" s="80"/>
      <c r="UKP177" s="80"/>
      <c r="UKQ177" s="80"/>
      <c r="UKR177" s="80"/>
      <c r="UKS177" s="80"/>
      <c r="UKT177" s="80"/>
      <c r="UKU177" s="80"/>
      <c r="UKV177" s="80"/>
      <c r="UKW177" s="80"/>
      <c r="UKX177" s="80"/>
      <c r="UKY177" s="80"/>
      <c r="UKZ177" s="80"/>
      <c r="ULA177" s="80"/>
      <c r="ULB177" s="80"/>
      <c r="ULC177" s="80"/>
      <c r="ULD177" s="80"/>
      <c r="ULE177" s="80"/>
      <c r="ULF177" s="80"/>
      <c r="ULG177" s="80"/>
      <c r="ULH177" s="80"/>
      <c r="ULI177" s="80"/>
      <c r="ULJ177" s="80"/>
      <c r="ULK177" s="80"/>
      <c r="ULL177" s="80"/>
      <c r="ULM177" s="80"/>
      <c r="ULN177" s="80"/>
      <c r="ULO177" s="80"/>
      <c r="ULP177" s="80"/>
      <c r="ULQ177" s="80"/>
      <c r="ULR177" s="80"/>
      <c r="ULS177" s="80"/>
      <c r="ULT177" s="80"/>
      <c r="ULU177" s="80"/>
      <c r="ULV177" s="80"/>
      <c r="ULW177" s="80"/>
      <c r="ULX177" s="80"/>
      <c r="ULY177" s="80"/>
      <c r="ULZ177" s="80"/>
      <c r="UMA177" s="80"/>
      <c r="UMB177" s="80"/>
      <c r="UMC177" s="80"/>
      <c r="UMD177" s="80"/>
      <c r="UME177" s="80"/>
      <c r="UMF177" s="80"/>
      <c r="UMG177" s="80"/>
      <c r="UMH177" s="80"/>
      <c r="UMI177" s="80"/>
      <c r="UMJ177" s="80"/>
      <c r="UMK177" s="80"/>
      <c r="UML177" s="80"/>
      <c r="UMM177" s="80"/>
      <c r="UMN177" s="80"/>
      <c r="UMO177" s="80"/>
      <c r="UMP177" s="80"/>
      <c r="UMQ177" s="80"/>
      <c r="UMR177" s="80"/>
      <c r="UMS177" s="80"/>
      <c r="UMT177" s="80"/>
      <c r="UMU177" s="80"/>
      <c r="UMV177" s="80"/>
      <c r="UMW177" s="80"/>
      <c r="UMX177" s="80"/>
      <c r="UMY177" s="80"/>
      <c r="UMZ177" s="80"/>
      <c r="UNA177" s="80"/>
      <c r="UNB177" s="80"/>
      <c r="UNC177" s="80"/>
      <c r="UND177" s="80"/>
      <c r="UNE177" s="80"/>
      <c r="UNF177" s="80"/>
      <c r="UNG177" s="80"/>
      <c r="UNH177" s="80"/>
      <c r="UNI177" s="80"/>
      <c r="UNJ177" s="80"/>
      <c r="UNK177" s="80"/>
      <c r="UNL177" s="80"/>
      <c r="UNM177" s="80"/>
      <c r="UNN177" s="80"/>
      <c r="UNO177" s="80"/>
      <c r="UNP177" s="80"/>
      <c r="UNQ177" s="80"/>
      <c r="UNR177" s="80"/>
      <c r="UNS177" s="80"/>
      <c r="UNT177" s="80"/>
      <c r="UNU177" s="80"/>
      <c r="UNV177" s="80"/>
      <c r="UNW177" s="80"/>
      <c r="UNX177" s="80"/>
      <c r="UNY177" s="80"/>
      <c r="UNZ177" s="80"/>
      <c r="UOA177" s="80"/>
      <c r="UOB177" s="80"/>
      <c r="UOC177" s="80"/>
      <c r="UOD177" s="80"/>
      <c r="UOE177" s="80"/>
      <c r="UOF177" s="80"/>
      <c r="UOG177" s="80"/>
      <c r="UOH177" s="80"/>
      <c r="UOI177" s="80"/>
      <c r="UOJ177" s="80"/>
      <c r="UOK177" s="80"/>
      <c r="UOL177" s="80"/>
      <c r="UOM177" s="80"/>
      <c r="UON177" s="80"/>
      <c r="UOO177" s="80"/>
      <c r="UOP177" s="80"/>
      <c r="UOQ177" s="80"/>
      <c r="UOR177" s="80"/>
      <c r="UOS177" s="80"/>
      <c r="UOT177" s="80"/>
      <c r="UOU177" s="80"/>
      <c r="UOV177" s="80"/>
      <c r="UOW177" s="80"/>
      <c r="UOX177" s="80"/>
      <c r="UOY177" s="80"/>
      <c r="UOZ177" s="80"/>
      <c r="UPA177" s="80"/>
      <c r="UPB177" s="80"/>
      <c r="UPC177" s="80"/>
      <c r="UPD177" s="80"/>
      <c r="UPE177" s="80"/>
      <c r="UPF177" s="80"/>
      <c r="UPG177" s="80"/>
      <c r="UPH177" s="80"/>
      <c r="UPI177" s="80"/>
      <c r="UPJ177" s="80"/>
      <c r="UPK177" s="80"/>
      <c r="UPL177" s="80"/>
      <c r="UPM177" s="80"/>
      <c r="UPN177" s="80"/>
      <c r="UPO177" s="80"/>
      <c r="UPP177" s="80"/>
      <c r="UPQ177" s="80"/>
      <c r="UPR177" s="80"/>
      <c r="UPS177" s="80"/>
      <c r="UPT177" s="80"/>
      <c r="UPU177" s="80"/>
      <c r="UPV177" s="80"/>
      <c r="UPW177" s="80"/>
      <c r="UPX177" s="80"/>
      <c r="UPY177" s="80"/>
      <c r="UPZ177" s="80"/>
      <c r="UQA177" s="80"/>
      <c r="UQB177" s="80"/>
      <c r="UQC177" s="80"/>
      <c r="UQD177" s="80"/>
      <c r="UQE177" s="80"/>
      <c r="UQF177" s="80"/>
      <c r="UQG177" s="80"/>
      <c r="UQH177" s="80"/>
      <c r="UQI177" s="80"/>
      <c r="UQJ177" s="80"/>
      <c r="UQK177" s="80"/>
      <c r="UQL177" s="80"/>
      <c r="UQM177" s="80"/>
      <c r="UQN177" s="80"/>
      <c r="UQO177" s="80"/>
      <c r="UQP177" s="80"/>
      <c r="UQQ177" s="80"/>
      <c r="UQR177" s="80"/>
      <c r="UQS177" s="80"/>
      <c r="UQT177" s="80"/>
      <c r="UQU177" s="80"/>
      <c r="UQV177" s="80"/>
      <c r="UQW177" s="80"/>
      <c r="UQX177" s="80"/>
      <c r="UQY177" s="80"/>
      <c r="UQZ177" s="80"/>
      <c r="URA177" s="80"/>
      <c r="URB177" s="80"/>
      <c r="URC177" s="80"/>
      <c r="URD177" s="80"/>
      <c r="URE177" s="80"/>
      <c r="URF177" s="80"/>
      <c r="URG177" s="80"/>
      <c r="URH177" s="80"/>
      <c r="URI177" s="80"/>
      <c r="URJ177" s="80"/>
      <c r="URK177" s="80"/>
      <c r="URL177" s="80"/>
      <c r="URM177" s="80"/>
      <c r="URN177" s="80"/>
      <c r="URO177" s="80"/>
      <c r="URP177" s="80"/>
      <c r="URQ177" s="80"/>
      <c r="URR177" s="80"/>
      <c r="URS177" s="80"/>
      <c r="URT177" s="80"/>
      <c r="URU177" s="80"/>
      <c r="URV177" s="80"/>
      <c r="URW177" s="80"/>
      <c r="URX177" s="80"/>
      <c r="URY177" s="80"/>
      <c r="URZ177" s="80"/>
      <c r="USA177" s="80"/>
      <c r="USB177" s="80"/>
      <c r="USC177" s="80"/>
      <c r="USD177" s="80"/>
      <c r="USE177" s="80"/>
      <c r="USF177" s="80"/>
      <c r="USG177" s="80"/>
      <c r="USH177" s="80"/>
      <c r="USI177" s="80"/>
      <c r="USJ177" s="80"/>
      <c r="USK177" s="80"/>
      <c r="USL177" s="80"/>
      <c r="USM177" s="80"/>
      <c r="USN177" s="80"/>
      <c r="USO177" s="80"/>
      <c r="USP177" s="80"/>
      <c r="USQ177" s="80"/>
      <c r="USR177" s="80"/>
      <c r="USS177" s="80"/>
      <c r="UST177" s="80"/>
      <c r="USU177" s="80"/>
      <c r="USV177" s="80"/>
      <c r="USW177" s="80"/>
      <c r="USX177" s="80"/>
      <c r="USY177" s="80"/>
      <c r="USZ177" s="80"/>
      <c r="UTA177" s="80"/>
      <c r="UTB177" s="80"/>
      <c r="UTC177" s="80"/>
      <c r="UTD177" s="80"/>
      <c r="UTE177" s="80"/>
      <c r="UTF177" s="80"/>
      <c r="UTG177" s="80"/>
      <c r="UTH177" s="80"/>
      <c r="UTI177" s="80"/>
      <c r="UTJ177" s="80"/>
      <c r="UTK177" s="80"/>
      <c r="UTL177" s="80"/>
      <c r="UTM177" s="80"/>
      <c r="UTN177" s="80"/>
      <c r="UTO177" s="80"/>
      <c r="UTP177" s="80"/>
      <c r="UTQ177" s="80"/>
      <c r="UTR177" s="80"/>
      <c r="UTS177" s="80"/>
      <c r="UTT177" s="80"/>
      <c r="UTU177" s="80"/>
      <c r="UTV177" s="80"/>
      <c r="UTW177" s="80"/>
      <c r="UTX177" s="80"/>
      <c r="UTY177" s="80"/>
      <c r="UTZ177" s="80"/>
      <c r="UUA177" s="80"/>
      <c r="UUB177" s="80"/>
      <c r="UUC177" s="80"/>
      <c r="UUD177" s="80"/>
      <c r="UUE177" s="80"/>
      <c r="UUF177" s="80"/>
      <c r="UUG177" s="80"/>
      <c r="UUH177" s="80"/>
      <c r="UUI177" s="80"/>
      <c r="UUJ177" s="80"/>
      <c r="UUK177" s="80"/>
      <c r="UUL177" s="80"/>
      <c r="UUM177" s="80"/>
      <c r="UUN177" s="80"/>
      <c r="UUO177" s="80"/>
      <c r="UUP177" s="80"/>
      <c r="UUQ177" s="80"/>
      <c r="UUR177" s="80"/>
      <c r="UUS177" s="80"/>
      <c r="UUT177" s="80"/>
      <c r="UUU177" s="80"/>
      <c r="UUV177" s="80"/>
      <c r="UUW177" s="80"/>
      <c r="UUX177" s="80"/>
      <c r="UUY177" s="80"/>
      <c r="UUZ177" s="80"/>
      <c r="UVA177" s="80"/>
      <c r="UVB177" s="80"/>
      <c r="UVC177" s="80"/>
      <c r="UVD177" s="80"/>
      <c r="UVE177" s="80"/>
      <c r="UVF177" s="80"/>
      <c r="UVG177" s="80"/>
      <c r="UVH177" s="80"/>
      <c r="UVI177" s="80"/>
      <c r="UVJ177" s="80"/>
      <c r="UVK177" s="80"/>
      <c r="UVL177" s="80"/>
      <c r="UVM177" s="80"/>
      <c r="UVN177" s="80"/>
      <c r="UVO177" s="80"/>
      <c r="UVP177" s="80"/>
      <c r="UVQ177" s="80"/>
      <c r="UVR177" s="80"/>
      <c r="UVS177" s="80"/>
      <c r="UVT177" s="80"/>
      <c r="UVU177" s="80"/>
      <c r="UVV177" s="80"/>
      <c r="UVW177" s="80"/>
      <c r="UVX177" s="80"/>
      <c r="UVY177" s="80"/>
      <c r="UVZ177" s="80"/>
      <c r="UWA177" s="80"/>
      <c r="UWB177" s="80"/>
      <c r="UWC177" s="80"/>
      <c r="UWD177" s="80"/>
      <c r="UWE177" s="80"/>
      <c r="UWF177" s="80"/>
      <c r="UWG177" s="80"/>
      <c r="UWH177" s="80"/>
      <c r="UWI177" s="80"/>
      <c r="UWJ177" s="80"/>
      <c r="UWK177" s="80"/>
      <c r="UWL177" s="80"/>
      <c r="UWM177" s="80"/>
      <c r="UWN177" s="80"/>
      <c r="UWO177" s="80"/>
      <c r="UWP177" s="80"/>
      <c r="UWQ177" s="80"/>
      <c r="UWR177" s="80"/>
      <c r="UWS177" s="80"/>
      <c r="UWT177" s="80"/>
      <c r="UWU177" s="80"/>
      <c r="UWV177" s="80"/>
      <c r="UWW177" s="80"/>
      <c r="UWX177" s="80"/>
      <c r="UWY177" s="80"/>
      <c r="UWZ177" s="80"/>
      <c r="UXA177" s="80"/>
      <c r="UXB177" s="80"/>
      <c r="UXC177" s="80"/>
      <c r="UXD177" s="80"/>
      <c r="UXE177" s="80"/>
      <c r="UXF177" s="80"/>
      <c r="UXG177" s="80"/>
      <c r="UXH177" s="80"/>
      <c r="UXI177" s="80"/>
      <c r="UXJ177" s="80"/>
      <c r="UXK177" s="80"/>
      <c r="UXL177" s="80"/>
      <c r="UXM177" s="80"/>
      <c r="UXN177" s="80"/>
      <c r="UXO177" s="80"/>
      <c r="UXP177" s="80"/>
      <c r="UXQ177" s="80"/>
      <c r="UXR177" s="80"/>
      <c r="UXS177" s="80"/>
      <c r="UXT177" s="80"/>
      <c r="UXU177" s="80"/>
      <c r="UXV177" s="80"/>
      <c r="UXW177" s="80"/>
      <c r="UXX177" s="80"/>
      <c r="UXY177" s="80"/>
      <c r="UXZ177" s="80"/>
      <c r="UYA177" s="80"/>
      <c r="UYB177" s="80"/>
      <c r="UYC177" s="80"/>
      <c r="UYD177" s="80"/>
      <c r="UYE177" s="80"/>
      <c r="UYF177" s="80"/>
      <c r="UYG177" s="80"/>
      <c r="UYH177" s="80"/>
      <c r="UYI177" s="80"/>
      <c r="UYJ177" s="80"/>
      <c r="UYK177" s="80"/>
      <c r="UYL177" s="80"/>
      <c r="UYM177" s="80"/>
      <c r="UYN177" s="80"/>
      <c r="UYO177" s="80"/>
      <c r="UYP177" s="80"/>
      <c r="UYQ177" s="80"/>
      <c r="UYR177" s="80"/>
      <c r="UYS177" s="80"/>
      <c r="UYT177" s="80"/>
      <c r="UYU177" s="80"/>
      <c r="UYV177" s="80"/>
      <c r="UYW177" s="80"/>
      <c r="UYX177" s="80"/>
      <c r="UYY177" s="80"/>
      <c r="UYZ177" s="80"/>
      <c r="UZA177" s="80"/>
      <c r="UZB177" s="80"/>
      <c r="UZC177" s="80"/>
      <c r="UZD177" s="80"/>
      <c r="UZE177" s="80"/>
      <c r="UZF177" s="80"/>
      <c r="UZG177" s="80"/>
      <c r="UZH177" s="80"/>
      <c r="UZI177" s="80"/>
      <c r="UZJ177" s="80"/>
      <c r="UZK177" s="80"/>
      <c r="UZL177" s="80"/>
      <c r="UZM177" s="80"/>
      <c r="UZN177" s="80"/>
      <c r="UZO177" s="80"/>
      <c r="UZP177" s="80"/>
      <c r="UZQ177" s="80"/>
      <c r="UZR177" s="80"/>
      <c r="UZS177" s="80"/>
      <c r="UZT177" s="80"/>
      <c r="UZU177" s="80"/>
      <c r="UZV177" s="80"/>
      <c r="UZW177" s="80"/>
      <c r="UZX177" s="80"/>
      <c r="UZY177" s="80"/>
      <c r="UZZ177" s="80"/>
      <c r="VAA177" s="80"/>
      <c r="VAB177" s="80"/>
      <c r="VAC177" s="80"/>
      <c r="VAD177" s="80"/>
      <c r="VAE177" s="80"/>
      <c r="VAF177" s="80"/>
      <c r="VAG177" s="80"/>
      <c r="VAH177" s="80"/>
      <c r="VAI177" s="80"/>
      <c r="VAJ177" s="80"/>
      <c r="VAK177" s="80"/>
      <c r="VAL177" s="80"/>
      <c r="VAM177" s="80"/>
      <c r="VAN177" s="80"/>
      <c r="VAO177" s="80"/>
      <c r="VAP177" s="80"/>
      <c r="VAQ177" s="80"/>
      <c r="VAR177" s="80"/>
      <c r="VAS177" s="80"/>
      <c r="VAT177" s="80"/>
      <c r="VAU177" s="80"/>
      <c r="VAV177" s="80"/>
      <c r="VAW177" s="80"/>
      <c r="VAX177" s="80"/>
      <c r="VAY177" s="80"/>
      <c r="VAZ177" s="80"/>
      <c r="VBA177" s="80"/>
      <c r="VBB177" s="80"/>
      <c r="VBC177" s="80"/>
      <c r="VBD177" s="80"/>
      <c r="VBE177" s="80"/>
      <c r="VBF177" s="80"/>
      <c r="VBG177" s="80"/>
      <c r="VBH177" s="80"/>
      <c r="VBI177" s="80"/>
      <c r="VBJ177" s="80"/>
      <c r="VBK177" s="80"/>
      <c r="VBL177" s="80"/>
      <c r="VBM177" s="80"/>
      <c r="VBN177" s="80"/>
      <c r="VBO177" s="80"/>
      <c r="VBP177" s="80"/>
      <c r="VBQ177" s="80"/>
      <c r="VBR177" s="80"/>
      <c r="VBS177" s="80"/>
      <c r="VBT177" s="80"/>
      <c r="VBU177" s="80"/>
      <c r="VBV177" s="80"/>
      <c r="VBW177" s="80"/>
      <c r="VBX177" s="80"/>
      <c r="VBY177" s="80"/>
      <c r="VBZ177" s="80"/>
      <c r="VCA177" s="80"/>
      <c r="VCB177" s="80"/>
      <c r="VCC177" s="80"/>
      <c r="VCD177" s="80"/>
      <c r="VCE177" s="80"/>
      <c r="VCF177" s="80"/>
      <c r="VCG177" s="80"/>
      <c r="VCH177" s="80"/>
      <c r="VCI177" s="80"/>
      <c r="VCJ177" s="80"/>
      <c r="VCK177" s="80"/>
      <c r="VCL177" s="80"/>
      <c r="VCM177" s="80"/>
      <c r="VCN177" s="80"/>
      <c r="VCO177" s="80"/>
      <c r="VCP177" s="80"/>
      <c r="VCQ177" s="80"/>
      <c r="VCR177" s="80"/>
      <c r="VCS177" s="80"/>
      <c r="VCT177" s="80"/>
      <c r="VCU177" s="80"/>
      <c r="VCV177" s="80"/>
      <c r="VCW177" s="80"/>
      <c r="VCX177" s="80"/>
      <c r="VCY177" s="80"/>
      <c r="VCZ177" s="80"/>
      <c r="VDA177" s="80"/>
      <c r="VDB177" s="80"/>
      <c r="VDC177" s="80"/>
      <c r="VDD177" s="80"/>
      <c r="VDE177" s="80"/>
      <c r="VDF177" s="80"/>
      <c r="VDG177" s="80"/>
      <c r="VDH177" s="80"/>
      <c r="VDI177" s="80"/>
      <c r="VDJ177" s="80"/>
      <c r="VDK177" s="80"/>
      <c r="VDL177" s="80"/>
      <c r="VDM177" s="80"/>
      <c r="VDN177" s="80"/>
      <c r="VDO177" s="80"/>
      <c r="VDP177" s="80"/>
      <c r="VDQ177" s="80"/>
      <c r="VDR177" s="80"/>
      <c r="VDS177" s="80"/>
      <c r="VDT177" s="80"/>
      <c r="VDU177" s="80"/>
      <c r="VDV177" s="80"/>
      <c r="VDW177" s="80"/>
      <c r="VDX177" s="80"/>
      <c r="VDY177" s="80"/>
      <c r="VDZ177" s="80"/>
      <c r="VEA177" s="80"/>
      <c r="VEB177" s="80"/>
      <c r="VEC177" s="80"/>
      <c r="VED177" s="80"/>
      <c r="VEE177" s="80"/>
      <c r="VEF177" s="80"/>
      <c r="VEG177" s="80"/>
      <c r="VEH177" s="80"/>
      <c r="VEI177" s="80"/>
      <c r="VEJ177" s="80"/>
      <c r="VEK177" s="80"/>
      <c r="VEL177" s="80"/>
      <c r="VEM177" s="80"/>
      <c r="VEN177" s="80"/>
      <c r="VEO177" s="80"/>
      <c r="VEP177" s="80"/>
      <c r="VEQ177" s="80"/>
      <c r="VER177" s="80"/>
      <c r="VES177" s="80"/>
      <c r="VET177" s="80"/>
      <c r="VEU177" s="80"/>
      <c r="VEV177" s="80"/>
      <c r="VEW177" s="80"/>
      <c r="VEX177" s="80"/>
      <c r="VEY177" s="80"/>
      <c r="VEZ177" s="80"/>
      <c r="VFA177" s="80"/>
      <c r="VFB177" s="80"/>
      <c r="VFC177" s="80"/>
      <c r="VFD177" s="80"/>
      <c r="VFE177" s="80"/>
      <c r="VFF177" s="80"/>
      <c r="VFG177" s="80"/>
      <c r="VFH177" s="80"/>
      <c r="VFI177" s="80"/>
      <c r="VFJ177" s="80"/>
      <c r="VFK177" s="80"/>
      <c r="VFL177" s="80"/>
      <c r="VFM177" s="80"/>
      <c r="VFN177" s="80"/>
      <c r="VFO177" s="80"/>
      <c r="VFP177" s="80"/>
      <c r="VFQ177" s="80"/>
      <c r="VFR177" s="80"/>
      <c r="VFS177" s="80"/>
      <c r="VFT177" s="80"/>
      <c r="VFU177" s="80"/>
      <c r="VFV177" s="80"/>
      <c r="VFW177" s="80"/>
      <c r="VFX177" s="80"/>
      <c r="VFY177" s="80"/>
      <c r="VFZ177" s="80"/>
      <c r="VGA177" s="80"/>
      <c r="VGB177" s="80"/>
      <c r="VGC177" s="80"/>
      <c r="VGD177" s="80"/>
      <c r="VGE177" s="80"/>
      <c r="VGF177" s="80"/>
      <c r="VGG177" s="80"/>
      <c r="VGH177" s="80"/>
      <c r="VGI177" s="80"/>
      <c r="VGJ177" s="80"/>
      <c r="VGK177" s="80"/>
      <c r="VGL177" s="80"/>
      <c r="VGM177" s="80"/>
      <c r="VGN177" s="80"/>
      <c r="VGO177" s="80"/>
      <c r="VGP177" s="80"/>
      <c r="VGQ177" s="80"/>
      <c r="VGR177" s="80"/>
      <c r="VGS177" s="80"/>
      <c r="VGT177" s="80"/>
      <c r="VGU177" s="80"/>
      <c r="VGV177" s="80"/>
      <c r="VGW177" s="80"/>
      <c r="VGX177" s="80"/>
      <c r="VGY177" s="80"/>
      <c r="VGZ177" s="80"/>
      <c r="VHA177" s="80"/>
      <c r="VHB177" s="80"/>
      <c r="VHC177" s="80"/>
      <c r="VHD177" s="80"/>
      <c r="VHE177" s="80"/>
      <c r="VHF177" s="80"/>
      <c r="VHG177" s="80"/>
      <c r="VHH177" s="80"/>
      <c r="VHI177" s="80"/>
      <c r="VHJ177" s="80"/>
      <c r="VHK177" s="80"/>
      <c r="VHL177" s="80"/>
      <c r="VHM177" s="80"/>
      <c r="VHN177" s="80"/>
      <c r="VHO177" s="80"/>
      <c r="VHP177" s="80"/>
      <c r="VHQ177" s="80"/>
      <c r="VHR177" s="80"/>
      <c r="VHS177" s="80"/>
      <c r="VHT177" s="80"/>
      <c r="VHU177" s="80"/>
      <c r="VHV177" s="80"/>
      <c r="VHW177" s="80"/>
      <c r="VHX177" s="80"/>
      <c r="VHY177" s="80"/>
      <c r="VHZ177" s="80"/>
      <c r="VIA177" s="80"/>
      <c r="VIB177" s="80"/>
      <c r="VIC177" s="80"/>
      <c r="VID177" s="80"/>
      <c r="VIE177" s="80"/>
      <c r="VIF177" s="80"/>
      <c r="VIG177" s="80"/>
      <c r="VIH177" s="80"/>
      <c r="VII177" s="80"/>
      <c r="VIJ177" s="80"/>
      <c r="VIK177" s="80"/>
      <c r="VIL177" s="80"/>
      <c r="VIM177" s="80"/>
      <c r="VIN177" s="80"/>
      <c r="VIO177" s="80"/>
      <c r="VIP177" s="80"/>
      <c r="VIQ177" s="80"/>
      <c r="VIR177" s="80"/>
      <c r="VIS177" s="80"/>
      <c r="VIT177" s="80"/>
      <c r="VIU177" s="80"/>
      <c r="VIV177" s="80"/>
      <c r="VIW177" s="80"/>
      <c r="VIX177" s="80"/>
      <c r="VIY177" s="80"/>
      <c r="VIZ177" s="80"/>
      <c r="VJA177" s="80"/>
      <c r="VJB177" s="80"/>
      <c r="VJC177" s="80"/>
      <c r="VJD177" s="80"/>
      <c r="VJE177" s="80"/>
      <c r="VJF177" s="80"/>
      <c r="VJG177" s="80"/>
      <c r="VJH177" s="80"/>
      <c r="VJI177" s="80"/>
      <c r="VJJ177" s="80"/>
      <c r="VJK177" s="80"/>
      <c r="VJL177" s="80"/>
      <c r="VJM177" s="80"/>
      <c r="VJN177" s="80"/>
      <c r="VJO177" s="80"/>
      <c r="VJP177" s="80"/>
      <c r="VJQ177" s="80"/>
      <c r="VJR177" s="80"/>
      <c r="VJS177" s="80"/>
      <c r="VJT177" s="80"/>
      <c r="VJU177" s="80"/>
      <c r="VJV177" s="80"/>
      <c r="VJW177" s="80"/>
      <c r="VJX177" s="80"/>
      <c r="VJY177" s="80"/>
      <c r="VJZ177" s="80"/>
      <c r="VKA177" s="80"/>
      <c r="VKB177" s="80"/>
      <c r="VKC177" s="80"/>
      <c r="VKD177" s="80"/>
      <c r="VKE177" s="80"/>
      <c r="VKF177" s="80"/>
      <c r="VKG177" s="80"/>
      <c r="VKH177" s="80"/>
      <c r="VKI177" s="80"/>
      <c r="VKJ177" s="80"/>
      <c r="VKK177" s="80"/>
      <c r="VKL177" s="80"/>
      <c r="VKM177" s="80"/>
      <c r="VKN177" s="80"/>
      <c r="VKO177" s="80"/>
      <c r="VKP177" s="80"/>
      <c r="VKQ177" s="80"/>
      <c r="VKR177" s="80"/>
      <c r="VKS177" s="80"/>
      <c r="VKT177" s="80"/>
      <c r="VKU177" s="80"/>
      <c r="VKV177" s="80"/>
      <c r="VKW177" s="80"/>
      <c r="VKX177" s="80"/>
      <c r="VKY177" s="80"/>
      <c r="VKZ177" s="80"/>
      <c r="VLA177" s="80"/>
      <c r="VLB177" s="80"/>
      <c r="VLC177" s="80"/>
      <c r="VLD177" s="80"/>
      <c r="VLE177" s="80"/>
      <c r="VLF177" s="80"/>
      <c r="VLG177" s="80"/>
      <c r="VLH177" s="80"/>
      <c r="VLI177" s="80"/>
      <c r="VLJ177" s="80"/>
      <c r="VLK177" s="80"/>
      <c r="VLL177" s="80"/>
      <c r="VLM177" s="80"/>
      <c r="VLN177" s="80"/>
      <c r="VLO177" s="80"/>
      <c r="VLP177" s="80"/>
      <c r="VLQ177" s="80"/>
      <c r="VLR177" s="80"/>
      <c r="VLS177" s="80"/>
      <c r="VLT177" s="80"/>
      <c r="VLU177" s="80"/>
      <c r="VLV177" s="80"/>
      <c r="VLW177" s="80"/>
      <c r="VLX177" s="80"/>
      <c r="VLY177" s="80"/>
      <c r="VLZ177" s="80"/>
      <c r="VMA177" s="80"/>
      <c r="VMB177" s="80"/>
      <c r="VMC177" s="80"/>
      <c r="VMD177" s="80"/>
      <c r="VME177" s="80"/>
      <c r="VMF177" s="80"/>
      <c r="VMG177" s="80"/>
      <c r="VMH177" s="80"/>
      <c r="VMI177" s="80"/>
      <c r="VMJ177" s="80"/>
      <c r="VMK177" s="80"/>
      <c r="VML177" s="80"/>
      <c r="VMM177" s="80"/>
      <c r="VMN177" s="80"/>
      <c r="VMO177" s="80"/>
      <c r="VMP177" s="80"/>
      <c r="VMQ177" s="80"/>
      <c r="VMR177" s="80"/>
      <c r="VMS177" s="80"/>
      <c r="VMT177" s="80"/>
      <c r="VMU177" s="80"/>
      <c r="VMV177" s="80"/>
      <c r="VMW177" s="80"/>
      <c r="VMX177" s="80"/>
      <c r="VMY177" s="80"/>
      <c r="VMZ177" s="80"/>
      <c r="VNA177" s="80"/>
      <c r="VNB177" s="80"/>
      <c r="VNC177" s="80"/>
      <c r="VND177" s="80"/>
      <c r="VNE177" s="80"/>
      <c r="VNF177" s="80"/>
      <c r="VNG177" s="80"/>
      <c r="VNH177" s="80"/>
      <c r="VNI177" s="80"/>
      <c r="VNJ177" s="80"/>
      <c r="VNK177" s="80"/>
      <c r="VNL177" s="80"/>
      <c r="VNM177" s="80"/>
      <c r="VNN177" s="80"/>
      <c r="VNO177" s="80"/>
      <c r="VNP177" s="80"/>
      <c r="VNQ177" s="80"/>
      <c r="VNR177" s="80"/>
      <c r="VNS177" s="80"/>
      <c r="VNT177" s="80"/>
      <c r="VNU177" s="80"/>
      <c r="VNV177" s="80"/>
      <c r="VNW177" s="80"/>
      <c r="VNX177" s="80"/>
      <c r="VNY177" s="80"/>
      <c r="VNZ177" s="80"/>
      <c r="VOA177" s="80"/>
      <c r="VOB177" s="80"/>
      <c r="VOC177" s="80"/>
      <c r="VOD177" s="80"/>
      <c r="VOE177" s="80"/>
      <c r="VOF177" s="80"/>
      <c r="VOG177" s="80"/>
      <c r="VOH177" s="80"/>
      <c r="VOI177" s="80"/>
      <c r="VOJ177" s="80"/>
      <c r="VOK177" s="80"/>
      <c r="VOL177" s="80"/>
      <c r="VOM177" s="80"/>
      <c r="VON177" s="80"/>
      <c r="VOO177" s="80"/>
      <c r="VOP177" s="80"/>
      <c r="VOQ177" s="80"/>
      <c r="VOR177" s="80"/>
      <c r="VOS177" s="80"/>
      <c r="VOT177" s="80"/>
      <c r="VOU177" s="80"/>
      <c r="VOV177" s="80"/>
      <c r="VOW177" s="80"/>
      <c r="VOX177" s="80"/>
      <c r="VOY177" s="80"/>
      <c r="VOZ177" s="80"/>
      <c r="VPA177" s="80"/>
      <c r="VPB177" s="80"/>
      <c r="VPC177" s="80"/>
      <c r="VPD177" s="80"/>
      <c r="VPE177" s="80"/>
      <c r="VPF177" s="80"/>
      <c r="VPG177" s="80"/>
      <c r="VPH177" s="80"/>
      <c r="VPI177" s="80"/>
      <c r="VPJ177" s="80"/>
      <c r="VPK177" s="80"/>
      <c r="VPL177" s="80"/>
      <c r="VPM177" s="80"/>
      <c r="VPN177" s="80"/>
      <c r="VPO177" s="80"/>
      <c r="VPP177" s="80"/>
      <c r="VPQ177" s="80"/>
      <c r="VPR177" s="80"/>
      <c r="VPS177" s="80"/>
      <c r="VPT177" s="80"/>
      <c r="VPU177" s="80"/>
      <c r="VPV177" s="80"/>
      <c r="VPW177" s="80"/>
      <c r="VPX177" s="80"/>
      <c r="VPY177" s="80"/>
      <c r="VPZ177" s="80"/>
      <c r="VQA177" s="80"/>
      <c r="VQB177" s="80"/>
      <c r="VQC177" s="80"/>
      <c r="VQD177" s="80"/>
      <c r="VQE177" s="80"/>
      <c r="VQF177" s="80"/>
      <c r="VQG177" s="80"/>
      <c r="VQH177" s="80"/>
      <c r="VQI177" s="80"/>
      <c r="VQJ177" s="80"/>
      <c r="VQK177" s="80"/>
      <c r="VQL177" s="80"/>
      <c r="VQM177" s="80"/>
      <c r="VQN177" s="80"/>
      <c r="VQO177" s="80"/>
      <c r="VQP177" s="80"/>
      <c r="VQQ177" s="80"/>
      <c r="VQR177" s="80"/>
      <c r="VQS177" s="80"/>
      <c r="VQT177" s="80"/>
      <c r="VQU177" s="80"/>
      <c r="VQV177" s="80"/>
      <c r="VQW177" s="80"/>
      <c r="VQX177" s="80"/>
      <c r="VQY177" s="80"/>
      <c r="VQZ177" s="80"/>
      <c r="VRA177" s="80"/>
      <c r="VRB177" s="80"/>
      <c r="VRC177" s="80"/>
      <c r="VRD177" s="80"/>
      <c r="VRE177" s="80"/>
      <c r="VRF177" s="80"/>
      <c r="VRG177" s="80"/>
      <c r="VRH177" s="80"/>
      <c r="VRI177" s="80"/>
      <c r="VRJ177" s="80"/>
      <c r="VRK177" s="80"/>
      <c r="VRL177" s="80"/>
      <c r="VRM177" s="80"/>
      <c r="VRN177" s="80"/>
      <c r="VRO177" s="80"/>
      <c r="VRP177" s="80"/>
      <c r="VRQ177" s="80"/>
      <c r="VRR177" s="80"/>
      <c r="VRS177" s="80"/>
      <c r="VRT177" s="80"/>
      <c r="VRU177" s="80"/>
      <c r="VRV177" s="80"/>
      <c r="VRW177" s="80"/>
      <c r="VRX177" s="80"/>
      <c r="VRY177" s="80"/>
      <c r="VRZ177" s="80"/>
      <c r="VSA177" s="80"/>
      <c r="VSB177" s="80"/>
      <c r="VSC177" s="80"/>
      <c r="VSD177" s="80"/>
      <c r="VSE177" s="80"/>
      <c r="VSF177" s="80"/>
      <c r="VSG177" s="80"/>
      <c r="VSH177" s="80"/>
      <c r="VSI177" s="80"/>
      <c r="VSJ177" s="80"/>
      <c r="VSK177" s="80"/>
      <c r="VSL177" s="80"/>
      <c r="VSM177" s="80"/>
      <c r="VSN177" s="80"/>
      <c r="VSO177" s="80"/>
      <c r="VSP177" s="80"/>
      <c r="VSQ177" s="80"/>
      <c r="VSR177" s="80"/>
      <c r="VSS177" s="80"/>
      <c r="VST177" s="80"/>
      <c r="VSU177" s="80"/>
      <c r="VSV177" s="80"/>
      <c r="VSW177" s="80"/>
      <c r="VSX177" s="80"/>
      <c r="VSY177" s="80"/>
      <c r="VSZ177" s="80"/>
      <c r="VTA177" s="80"/>
      <c r="VTB177" s="80"/>
      <c r="VTC177" s="80"/>
      <c r="VTD177" s="80"/>
      <c r="VTE177" s="80"/>
      <c r="VTF177" s="80"/>
      <c r="VTG177" s="80"/>
      <c r="VTH177" s="80"/>
      <c r="VTI177" s="80"/>
      <c r="VTJ177" s="80"/>
      <c r="VTK177" s="80"/>
      <c r="VTL177" s="80"/>
      <c r="VTM177" s="80"/>
      <c r="VTN177" s="80"/>
      <c r="VTO177" s="80"/>
      <c r="VTP177" s="80"/>
      <c r="VTQ177" s="80"/>
      <c r="VTR177" s="80"/>
      <c r="VTS177" s="80"/>
      <c r="VTT177" s="80"/>
      <c r="VTU177" s="80"/>
      <c r="VTV177" s="80"/>
      <c r="VTW177" s="80"/>
      <c r="VTX177" s="80"/>
      <c r="VTY177" s="80"/>
      <c r="VTZ177" s="80"/>
      <c r="VUA177" s="80"/>
      <c r="VUB177" s="80"/>
      <c r="VUC177" s="80"/>
      <c r="VUD177" s="80"/>
      <c r="VUE177" s="80"/>
      <c r="VUF177" s="80"/>
      <c r="VUG177" s="80"/>
      <c r="VUH177" s="80"/>
      <c r="VUI177" s="80"/>
      <c r="VUJ177" s="80"/>
      <c r="VUK177" s="80"/>
      <c r="VUL177" s="80"/>
      <c r="VUM177" s="80"/>
      <c r="VUN177" s="80"/>
      <c r="VUO177" s="80"/>
      <c r="VUP177" s="80"/>
      <c r="VUQ177" s="80"/>
      <c r="VUR177" s="80"/>
      <c r="VUS177" s="80"/>
      <c r="VUT177" s="80"/>
      <c r="VUU177" s="80"/>
      <c r="VUV177" s="80"/>
      <c r="VUW177" s="80"/>
      <c r="VUX177" s="80"/>
      <c r="VUY177" s="80"/>
      <c r="VUZ177" s="80"/>
      <c r="VVA177" s="80"/>
      <c r="VVB177" s="80"/>
      <c r="VVC177" s="80"/>
      <c r="VVD177" s="80"/>
      <c r="VVE177" s="80"/>
      <c r="VVF177" s="80"/>
      <c r="VVG177" s="80"/>
      <c r="VVH177" s="80"/>
      <c r="VVI177" s="80"/>
      <c r="VVJ177" s="80"/>
      <c r="VVK177" s="80"/>
      <c r="VVL177" s="80"/>
      <c r="VVM177" s="80"/>
      <c r="VVN177" s="80"/>
      <c r="VVO177" s="80"/>
      <c r="VVP177" s="80"/>
      <c r="VVQ177" s="80"/>
      <c r="VVR177" s="80"/>
      <c r="VVS177" s="80"/>
      <c r="VVT177" s="80"/>
      <c r="VVU177" s="80"/>
      <c r="VVV177" s="80"/>
      <c r="VVW177" s="80"/>
      <c r="VVX177" s="80"/>
      <c r="VVY177" s="80"/>
      <c r="VVZ177" s="80"/>
      <c r="VWA177" s="80"/>
      <c r="VWB177" s="80"/>
      <c r="VWC177" s="80"/>
      <c r="VWD177" s="80"/>
      <c r="VWE177" s="80"/>
      <c r="VWF177" s="80"/>
      <c r="VWG177" s="80"/>
      <c r="VWH177" s="80"/>
      <c r="VWI177" s="80"/>
      <c r="VWJ177" s="80"/>
      <c r="VWK177" s="80"/>
      <c r="VWL177" s="80"/>
      <c r="VWM177" s="80"/>
      <c r="VWN177" s="80"/>
      <c r="VWO177" s="80"/>
      <c r="VWP177" s="80"/>
      <c r="VWQ177" s="80"/>
      <c r="VWR177" s="80"/>
      <c r="VWS177" s="80"/>
      <c r="VWT177" s="80"/>
      <c r="VWU177" s="80"/>
      <c r="VWV177" s="80"/>
      <c r="VWW177" s="80"/>
      <c r="VWX177" s="80"/>
      <c r="VWY177" s="80"/>
      <c r="VWZ177" s="80"/>
      <c r="VXA177" s="80"/>
      <c r="VXB177" s="80"/>
      <c r="VXC177" s="80"/>
      <c r="VXD177" s="80"/>
      <c r="VXE177" s="80"/>
      <c r="VXF177" s="80"/>
      <c r="VXG177" s="80"/>
      <c r="VXH177" s="80"/>
      <c r="VXI177" s="80"/>
      <c r="VXJ177" s="80"/>
      <c r="VXK177" s="80"/>
      <c r="VXL177" s="80"/>
      <c r="VXM177" s="80"/>
      <c r="VXN177" s="80"/>
      <c r="VXO177" s="80"/>
      <c r="VXP177" s="80"/>
      <c r="VXQ177" s="80"/>
      <c r="VXR177" s="80"/>
      <c r="VXS177" s="80"/>
      <c r="VXT177" s="80"/>
      <c r="VXU177" s="80"/>
      <c r="VXV177" s="80"/>
      <c r="VXW177" s="80"/>
      <c r="VXX177" s="80"/>
      <c r="VXY177" s="80"/>
      <c r="VXZ177" s="80"/>
      <c r="VYA177" s="80"/>
      <c r="VYB177" s="80"/>
      <c r="VYC177" s="80"/>
      <c r="VYD177" s="80"/>
      <c r="VYE177" s="80"/>
      <c r="VYF177" s="80"/>
      <c r="VYG177" s="80"/>
      <c r="VYH177" s="80"/>
      <c r="VYI177" s="80"/>
      <c r="VYJ177" s="80"/>
      <c r="VYK177" s="80"/>
      <c r="VYL177" s="80"/>
      <c r="VYM177" s="80"/>
      <c r="VYN177" s="80"/>
      <c r="VYO177" s="80"/>
      <c r="VYP177" s="80"/>
      <c r="VYQ177" s="80"/>
      <c r="VYR177" s="80"/>
      <c r="VYS177" s="80"/>
      <c r="VYT177" s="80"/>
      <c r="VYU177" s="80"/>
      <c r="VYV177" s="80"/>
      <c r="VYW177" s="80"/>
      <c r="VYX177" s="80"/>
      <c r="VYY177" s="80"/>
      <c r="VYZ177" s="80"/>
      <c r="VZA177" s="80"/>
      <c r="VZB177" s="80"/>
      <c r="VZC177" s="80"/>
      <c r="VZD177" s="80"/>
      <c r="VZE177" s="80"/>
      <c r="VZF177" s="80"/>
      <c r="VZG177" s="80"/>
      <c r="VZH177" s="80"/>
      <c r="VZI177" s="80"/>
      <c r="VZJ177" s="80"/>
      <c r="VZK177" s="80"/>
      <c r="VZL177" s="80"/>
      <c r="VZM177" s="80"/>
      <c r="VZN177" s="80"/>
      <c r="VZO177" s="80"/>
      <c r="VZP177" s="80"/>
      <c r="VZQ177" s="80"/>
      <c r="VZR177" s="80"/>
      <c r="VZS177" s="80"/>
      <c r="VZT177" s="80"/>
      <c r="VZU177" s="80"/>
      <c r="VZV177" s="80"/>
      <c r="VZW177" s="80"/>
      <c r="VZX177" s="80"/>
      <c r="VZY177" s="80"/>
      <c r="VZZ177" s="80"/>
      <c r="WAA177" s="80"/>
      <c r="WAB177" s="80"/>
      <c r="WAC177" s="80"/>
      <c r="WAD177" s="80"/>
      <c r="WAE177" s="80"/>
      <c r="WAF177" s="80"/>
      <c r="WAG177" s="80"/>
      <c r="WAH177" s="80"/>
      <c r="WAI177" s="80"/>
      <c r="WAJ177" s="80"/>
      <c r="WAK177" s="80"/>
      <c r="WAL177" s="80"/>
      <c r="WAM177" s="80"/>
      <c r="WAN177" s="80"/>
      <c r="WAO177" s="80"/>
      <c r="WAP177" s="80"/>
      <c r="WAQ177" s="80"/>
      <c r="WAR177" s="80"/>
      <c r="WAS177" s="80"/>
      <c r="WAT177" s="80"/>
      <c r="WAU177" s="80"/>
      <c r="WAV177" s="80"/>
      <c r="WAW177" s="80"/>
      <c r="WAX177" s="80"/>
      <c r="WAY177" s="80"/>
      <c r="WAZ177" s="80"/>
      <c r="WBA177" s="80"/>
      <c r="WBB177" s="80"/>
      <c r="WBC177" s="80"/>
      <c r="WBD177" s="80"/>
      <c r="WBE177" s="80"/>
      <c r="WBF177" s="80"/>
      <c r="WBG177" s="80"/>
      <c r="WBH177" s="80"/>
      <c r="WBI177" s="80"/>
      <c r="WBJ177" s="80"/>
      <c r="WBK177" s="80"/>
      <c r="WBL177" s="80"/>
      <c r="WBM177" s="80"/>
      <c r="WBN177" s="80"/>
      <c r="WBO177" s="80"/>
      <c r="WBP177" s="80"/>
      <c r="WBQ177" s="80"/>
      <c r="WBR177" s="80"/>
      <c r="WBS177" s="80"/>
      <c r="WBT177" s="80"/>
      <c r="WBU177" s="80"/>
      <c r="WBV177" s="80"/>
      <c r="WBW177" s="80"/>
      <c r="WBX177" s="80"/>
      <c r="WBY177" s="80"/>
      <c r="WBZ177" s="80"/>
      <c r="WCA177" s="80"/>
      <c r="WCB177" s="80"/>
      <c r="WCC177" s="80"/>
      <c r="WCD177" s="80"/>
      <c r="WCE177" s="80"/>
      <c r="WCF177" s="80"/>
      <c r="WCG177" s="80"/>
      <c r="WCH177" s="80"/>
      <c r="WCI177" s="80"/>
      <c r="WCJ177" s="80"/>
      <c r="WCK177" s="80"/>
      <c r="WCL177" s="80"/>
      <c r="WCM177" s="80"/>
      <c r="WCN177" s="80"/>
      <c r="WCO177" s="80"/>
      <c r="WCP177" s="80"/>
      <c r="WCQ177" s="80"/>
      <c r="WCR177" s="80"/>
      <c r="WCS177" s="80"/>
      <c r="WCT177" s="80"/>
      <c r="WCU177" s="80"/>
      <c r="WCV177" s="80"/>
      <c r="WCW177" s="80"/>
      <c r="WCX177" s="80"/>
      <c r="WCY177" s="80"/>
      <c r="WCZ177" s="80"/>
      <c r="WDA177" s="80"/>
      <c r="WDB177" s="80"/>
      <c r="WDC177" s="80"/>
      <c r="WDD177" s="80"/>
      <c r="WDE177" s="80"/>
      <c r="WDF177" s="80"/>
      <c r="WDG177" s="80"/>
      <c r="WDH177" s="80"/>
      <c r="WDI177" s="80"/>
      <c r="WDJ177" s="80"/>
      <c r="WDK177" s="80"/>
      <c r="WDL177" s="80"/>
      <c r="WDM177" s="80"/>
      <c r="WDN177" s="80"/>
      <c r="WDO177" s="80"/>
      <c r="WDP177" s="80"/>
      <c r="WDQ177" s="80"/>
      <c r="WDR177" s="80"/>
      <c r="WDS177" s="80"/>
      <c r="WDT177" s="80"/>
      <c r="WDU177" s="80"/>
      <c r="WDV177" s="80"/>
      <c r="WDW177" s="80"/>
      <c r="WDX177" s="80"/>
      <c r="WDY177" s="80"/>
      <c r="WDZ177" s="80"/>
      <c r="WEA177" s="80"/>
      <c r="WEB177" s="80"/>
      <c r="WEC177" s="80"/>
      <c r="WED177" s="80"/>
      <c r="WEE177" s="80"/>
      <c r="WEF177" s="80"/>
      <c r="WEG177" s="80"/>
      <c r="WEH177" s="80"/>
      <c r="WEI177" s="80"/>
      <c r="WEJ177" s="80"/>
      <c r="WEK177" s="80"/>
      <c r="WEL177" s="80"/>
      <c r="WEM177" s="80"/>
      <c r="WEN177" s="80"/>
      <c r="WEO177" s="80"/>
      <c r="WEP177" s="80"/>
      <c r="WEQ177" s="80"/>
      <c r="WER177" s="80"/>
      <c r="WES177" s="80"/>
      <c r="WET177" s="80"/>
      <c r="WEU177" s="80"/>
      <c r="WEV177" s="80"/>
      <c r="WEW177" s="80"/>
      <c r="WEX177" s="80"/>
      <c r="WEY177" s="80"/>
      <c r="WEZ177" s="80"/>
      <c r="WFA177" s="80"/>
      <c r="WFB177" s="80"/>
      <c r="WFC177" s="80"/>
      <c r="WFD177" s="80"/>
      <c r="WFE177" s="80"/>
      <c r="WFF177" s="80"/>
      <c r="WFG177" s="80"/>
      <c r="WFH177" s="80"/>
      <c r="WFI177" s="80"/>
      <c r="WFJ177" s="80"/>
      <c r="WFK177" s="80"/>
      <c r="WFL177" s="80"/>
      <c r="WFM177" s="80"/>
      <c r="WFN177" s="80"/>
      <c r="WFO177" s="80"/>
      <c r="WFP177" s="80"/>
      <c r="WFQ177" s="80"/>
      <c r="WFR177" s="80"/>
      <c r="WFS177" s="80"/>
      <c r="WFT177" s="80"/>
      <c r="WFU177" s="80"/>
      <c r="WFV177" s="80"/>
      <c r="WFW177" s="80"/>
      <c r="WFX177" s="80"/>
      <c r="WFY177" s="80"/>
      <c r="WFZ177" s="80"/>
      <c r="WGA177" s="80"/>
      <c r="WGB177" s="80"/>
      <c r="WGC177" s="80"/>
      <c r="WGD177" s="80"/>
      <c r="WGE177" s="80"/>
      <c r="WGF177" s="80"/>
      <c r="WGG177" s="80"/>
      <c r="WGH177" s="80"/>
      <c r="WGI177" s="80"/>
      <c r="WGJ177" s="80"/>
      <c r="WGK177" s="80"/>
      <c r="WGL177" s="80"/>
      <c r="WGM177" s="80"/>
      <c r="WGN177" s="80"/>
      <c r="WGO177" s="80"/>
      <c r="WGP177" s="80"/>
      <c r="WGQ177" s="80"/>
      <c r="WGR177" s="80"/>
      <c r="WGS177" s="80"/>
      <c r="WGT177" s="80"/>
      <c r="WGU177" s="80"/>
      <c r="WGV177" s="80"/>
      <c r="WGW177" s="80"/>
      <c r="WGX177" s="80"/>
      <c r="WGY177" s="80"/>
      <c r="WGZ177" s="80"/>
      <c r="WHA177" s="80"/>
      <c r="WHB177" s="80"/>
      <c r="WHC177" s="80"/>
      <c r="WHD177" s="80"/>
      <c r="WHE177" s="80"/>
      <c r="WHF177" s="80"/>
      <c r="WHG177" s="80"/>
      <c r="WHH177" s="80"/>
      <c r="WHI177" s="80"/>
      <c r="WHJ177" s="80"/>
      <c r="WHK177" s="80"/>
      <c r="WHL177" s="80"/>
      <c r="WHM177" s="80"/>
      <c r="WHN177" s="80"/>
      <c r="WHO177" s="80"/>
      <c r="WHP177" s="80"/>
      <c r="WHQ177" s="80"/>
      <c r="WHR177" s="80"/>
      <c r="WHS177" s="80"/>
      <c r="WHT177" s="80"/>
      <c r="WHU177" s="80"/>
      <c r="WHV177" s="80"/>
      <c r="WHW177" s="80"/>
      <c r="WHX177" s="80"/>
      <c r="WHY177" s="80"/>
      <c r="WHZ177" s="80"/>
      <c r="WIA177" s="80"/>
      <c r="WIB177" s="80"/>
      <c r="WIC177" s="80"/>
      <c r="WID177" s="80"/>
      <c r="WIE177" s="80"/>
      <c r="WIF177" s="80"/>
      <c r="WIG177" s="80"/>
      <c r="WIH177" s="80"/>
      <c r="WII177" s="80"/>
      <c r="WIJ177" s="80"/>
      <c r="WIK177" s="80"/>
      <c r="WIL177" s="80"/>
      <c r="WIM177" s="80"/>
      <c r="WIN177" s="80"/>
      <c r="WIO177" s="80"/>
      <c r="WIP177" s="80"/>
      <c r="WIQ177" s="80"/>
      <c r="WIR177" s="80"/>
      <c r="WIS177" s="80"/>
      <c r="WIT177" s="80"/>
      <c r="WIU177" s="80"/>
      <c r="WIV177" s="80"/>
      <c r="WIW177" s="80"/>
      <c r="WIX177" s="80"/>
      <c r="WIY177" s="80"/>
      <c r="WIZ177" s="80"/>
      <c r="WJA177" s="80"/>
      <c r="WJB177" s="80"/>
      <c r="WJC177" s="80"/>
      <c r="WJD177" s="80"/>
      <c r="WJE177" s="80"/>
      <c r="WJF177" s="80"/>
      <c r="WJG177" s="80"/>
      <c r="WJH177" s="80"/>
      <c r="WJI177" s="80"/>
      <c r="WJJ177" s="80"/>
      <c r="WJK177" s="80"/>
      <c r="WJL177" s="80"/>
      <c r="WJM177" s="80"/>
      <c r="WJN177" s="80"/>
      <c r="WJO177" s="80"/>
      <c r="WJP177" s="80"/>
      <c r="WJQ177" s="80"/>
      <c r="WJR177" s="80"/>
      <c r="WJS177" s="80"/>
      <c r="WJT177" s="80"/>
      <c r="WJU177" s="80"/>
      <c r="WJV177" s="80"/>
      <c r="WJW177" s="80"/>
      <c r="WJX177" s="80"/>
      <c r="WJY177" s="80"/>
      <c r="WJZ177" s="80"/>
      <c r="WKA177" s="80"/>
      <c r="WKB177" s="80"/>
      <c r="WKC177" s="80"/>
      <c r="WKD177" s="80"/>
      <c r="WKE177" s="80"/>
      <c r="WKF177" s="80"/>
      <c r="WKG177" s="80"/>
      <c r="WKH177" s="80"/>
      <c r="WKI177" s="80"/>
      <c r="WKJ177" s="80"/>
      <c r="WKK177" s="80"/>
      <c r="WKL177" s="80"/>
      <c r="WKM177" s="80"/>
      <c r="WKN177" s="80"/>
      <c r="WKO177" s="80"/>
      <c r="WKP177" s="80"/>
      <c r="WKQ177" s="80"/>
      <c r="WKR177" s="80"/>
      <c r="WKS177" s="80"/>
      <c r="WKT177" s="80"/>
      <c r="WKU177" s="80"/>
      <c r="WKV177" s="80"/>
      <c r="WKW177" s="80"/>
      <c r="WKX177" s="80"/>
      <c r="WKY177" s="80"/>
      <c r="WKZ177" s="80"/>
      <c r="WLA177" s="80"/>
      <c r="WLB177" s="80"/>
      <c r="WLC177" s="80"/>
      <c r="WLD177" s="80"/>
      <c r="WLE177" s="80"/>
      <c r="WLF177" s="80"/>
      <c r="WLG177" s="80"/>
      <c r="WLH177" s="80"/>
      <c r="WLI177" s="80"/>
      <c r="WLJ177" s="80"/>
      <c r="WLK177" s="80"/>
      <c r="WLL177" s="80"/>
      <c r="WLM177" s="80"/>
      <c r="WLN177" s="80"/>
      <c r="WLO177" s="80"/>
      <c r="WLP177" s="80"/>
      <c r="WLQ177" s="80"/>
      <c r="WLR177" s="80"/>
      <c r="WLS177" s="80"/>
      <c r="WLT177" s="80"/>
      <c r="WLU177" s="80"/>
      <c r="WLV177" s="80"/>
      <c r="WLW177" s="80"/>
      <c r="WLX177" s="80"/>
      <c r="WLY177" s="80"/>
      <c r="WLZ177" s="80"/>
      <c r="WMA177" s="80"/>
      <c r="WMB177" s="80"/>
      <c r="WMC177" s="80"/>
      <c r="WMD177" s="80"/>
      <c r="WME177" s="80"/>
      <c r="WMF177" s="80"/>
      <c r="WMG177" s="80"/>
      <c r="WMH177" s="80"/>
      <c r="WMI177" s="80"/>
      <c r="WMJ177" s="80"/>
      <c r="WMK177" s="80"/>
      <c r="WML177" s="80"/>
      <c r="WMM177" s="80"/>
      <c r="WMN177" s="80"/>
      <c r="WMO177" s="80"/>
      <c r="WMP177" s="80"/>
      <c r="WMQ177" s="80"/>
      <c r="WMR177" s="80"/>
      <c r="WMS177" s="80"/>
      <c r="WMT177" s="80"/>
      <c r="WMU177" s="80"/>
      <c r="WMV177" s="80"/>
      <c r="WMW177" s="80"/>
      <c r="WMX177" s="80"/>
      <c r="WMY177" s="80"/>
      <c r="WMZ177" s="80"/>
      <c r="WNA177" s="80"/>
      <c r="WNB177" s="80"/>
      <c r="WNC177" s="80"/>
      <c r="WND177" s="80"/>
      <c r="WNE177" s="80"/>
      <c r="WNF177" s="80"/>
      <c r="WNG177" s="80"/>
      <c r="WNH177" s="80"/>
      <c r="WNI177" s="80"/>
      <c r="WNJ177" s="80"/>
      <c r="WNK177" s="80"/>
      <c r="WNL177" s="80"/>
      <c r="WNM177" s="80"/>
      <c r="WNN177" s="80"/>
      <c r="WNO177" s="80"/>
      <c r="WNP177" s="80"/>
      <c r="WNQ177" s="80"/>
      <c r="WNR177" s="80"/>
      <c r="WNS177" s="80"/>
      <c r="WNT177" s="80"/>
      <c r="WNU177" s="80"/>
      <c r="WNV177" s="80"/>
      <c r="WNW177" s="80"/>
      <c r="WNX177" s="80"/>
      <c r="WNY177" s="80"/>
      <c r="WNZ177" s="80"/>
      <c r="WOA177" s="80"/>
      <c r="WOB177" s="80"/>
      <c r="WOC177" s="80"/>
      <c r="WOD177" s="80"/>
      <c r="WOE177" s="80"/>
      <c r="WOF177" s="80"/>
      <c r="WOG177" s="80"/>
      <c r="WOH177" s="80"/>
      <c r="WOI177" s="80"/>
      <c r="WOJ177" s="80"/>
      <c r="WOK177" s="80"/>
      <c r="WOL177" s="80"/>
      <c r="WOM177" s="80"/>
      <c r="WON177" s="80"/>
      <c r="WOO177" s="80"/>
      <c r="WOP177" s="80"/>
      <c r="WOQ177" s="80"/>
      <c r="WOR177" s="80"/>
      <c r="WOS177" s="80"/>
      <c r="WOT177" s="80"/>
      <c r="WOU177" s="80"/>
      <c r="WOV177" s="80"/>
      <c r="WOW177" s="80"/>
      <c r="WOX177" s="80"/>
      <c r="WOY177" s="80"/>
      <c r="WOZ177" s="80"/>
      <c r="WPA177" s="80"/>
      <c r="WPB177" s="80"/>
      <c r="WPC177" s="80"/>
      <c r="WPD177" s="80"/>
      <c r="WPE177" s="80"/>
      <c r="WPF177" s="80"/>
      <c r="WPG177" s="80"/>
      <c r="WPH177" s="80"/>
      <c r="WPI177" s="80"/>
      <c r="WPJ177" s="80"/>
      <c r="WPK177" s="80"/>
      <c r="WPL177" s="80"/>
      <c r="WPM177" s="80"/>
      <c r="WPN177" s="80"/>
      <c r="WPO177" s="80"/>
      <c r="WPP177" s="80"/>
      <c r="WPQ177" s="80"/>
      <c r="WPR177" s="80"/>
      <c r="WPS177" s="80"/>
      <c r="WPT177" s="80"/>
      <c r="WPU177" s="80"/>
      <c r="WPV177" s="80"/>
      <c r="WPW177" s="80"/>
      <c r="WPX177" s="80"/>
      <c r="WPY177" s="80"/>
      <c r="WPZ177" s="80"/>
      <c r="WQA177" s="80"/>
      <c r="WQB177" s="80"/>
      <c r="WQC177" s="80"/>
      <c r="WQD177" s="80"/>
      <c r="WQE177" s="80"/>
      <c r="WQF177" s="80"/>
      <c r="WQG177" s="80"/>
      <c r="WQH177" s="80"/>
      <c r="WQI177" s="80"/>
      <c r="WQJ177" s="80"/>
      <c r="WQK177" s="80"/>
      <c r="WQL177" s="80"/>
      <c r="WQM177" s="80"/>
      <c r="WQN177" s="80"/>
      <c r="WQO177" s="80"/>
      <c r="WQP177" s="80"/>
      <c r="WQQ177" s="80"/>
      <c r="WQR177" s="80"/>
      <c r="WQS177" s="80"/>
      <c r="WQT177" s="80"/>
      <c r="WQU177" s="80"/>
      <c r="WQV177" s="80"/>
      <c r="WQW177" s="80"/>
      <c r="WQX177" s="80"/>
      <c r="WQY177" s="80"/>
      <c r="WQZ177" s="80"/>
      <c r="WRA177" s="80"/>
      <c r="WRB177" s="80"/>
      <c r="WRC177" s="80"/>
      <c r="WRD177" s="80"/>
      <c r="WRE177" s="80"/>
      <c r="WRF177" s="80"/>
      <c r="WRG177" s="80"/>
      <c r="WRH177" s="80"/>
      <c r="WRI177" s="80"/>
      <c r="WRJ177" s="80"/>
      <c r="WRK177" s="80"/>
      <c r="WRL177" s="80"/>
      <c r="WRM177" s="80"/>
      <c r="WRN177" s="80"/>
      <c r="WRO177" s="80"/>
      <c r="WRP177" s="80"/>
      <c r="WRQ177" s="80"/>
      <c r="WRR177" s="80"/>
      <c r="WRS177" s="80"/>
      <c r="WRT177" s="80"/>
      <c r="WRU177" s="80"/>
      <c r="WRV177" s="80"/>
      <c r="WRW177" s="80"/>
      <c r="WRX177" s="80"/>
      <c r="WRY177" s="80"/>
      <c r="WRZ177" s="80"/>
      <c r="WSA177" s="80"/>
      <c r="WSB177" s="80"/>
      <c r="WSC177" s="80"/>
      <c r="WSD177" s="80"/>
      <c r="WSE177" s="80"/>
      <c r="WSF177" s="80"/>
      <c r="WSG177" s="80"/>
      <c r="WSH177" s="80"/>
      <c r="WSI177" s="80"/>
      <c r="WSJ177" s="80"/>
      <c r="WSK177" s="80"/>
      <c r="WSL177" s="80"/>
      <c r="WSM177" s="80"/>
      <c r="WSN177" s="80"/>
      <c r="WSO177" s="80"/>
      <c r="WSP177" s="80"/>
      <c r="WSQ177" s="80"/>
      <c r="WSR177" s="80"/>
      <c r="WSS177" s="80"/>
      <c r="WST177" s="80"/>
      <c r="WSU177" s="80"/>
      <c r="WSV177" s="80"/>
      <c r="WSW177" s="80"/>
      <c r="WSX177" s="80"/>
      <c r="WSY177" s="80"/>
      <c r="WSZ177" s="80"/>
      <c r="WTA177" s="80"/>
      <c r="WTB177" s="80"/>
      <c r="WTC177" s="80"/>
      <c r="WTD177" s="80"/>
      <c r="WTE177" s="80"/>
      <c r="WTF177" s="80"/>
      <c r="WTG177" s="80"/>
      <c r="WTH177" s="80"/>
      <c r="WTI177" s="80"/>
      <c r="WTJ177" s="80"/>
      <c r="WTK177" s="80"/>
      <c r="WTL177" s="80"/>
      <c r="WTM177" s="80"/>
      <c r="WTN177" s="80"/>
      <c r="WTO177" s="80"/>
      <c r="WTP177" s="80"/>
      <c r="WTQ177" s="80"/>
      <c r="WTR177" s="80"/>
      <c r="WTS177" s="80"/>
      <c r="WTT177" s="80"/>
      <c r="WTU177" s="80"/>
      <c r="WTV177" s="80"/>
      <c r="WTW177" s="80"/>
      <c r="WTX177" s="80"/>
      <c r="WTY177" s="80"/>
      <c r="WTZ177" s="80"/>
      <c r="WUA177" s="80"/>
      <c r="WUB177" s="80"/>
      <c r="WUC177" s="80"/>
      <c r="WUD177" s="80"/>
      <c r="WUE177" s="80"/>
      <c r="WUF177" s="80"/>
      <c r="WUG177" s="80"/>
      <c r="WUH177" s="80"/>
      <c r="WUI177" s="80"/>
      <c r="WUJ177" s="80"/>
      <c r="WUK177" s="80"/>
      <c r="WUL177" s="80"/>
      <c r="WUM177" s="80"/>
      <c r="WUN177" s="80"/>
      <c r="WUO177" s="80"/>
      <c r="WUP177" s="80"/>
      <c r="WUQ177" s="80"/>
      <c r="WUR177" s="80"/>
      <c r="WUS177" s="80"/>
      <c r="WUT177" s="80"/>
      <c r="WUU177" s="80"/>
      <c r="WUV177" s="80"/>
      <c r="WUW177" s="80"/>
      <c r="WUX177" s="80"/>
      <c r="WUY177" s="80"/>
      <c r="WUZ177" s="80"/>
      <c r="WVA177" s="80"/>
      <c r="WVB177" s="80"/>
      <c r="WVC177" s="80"/>
      <c r="WVD177" s="80"/>
      <c r="WVE177" s="80"/>
      <c r="WVF177" s="80"/>
      <c r="WVG177" s="80"/>
      <c r="WVH177" s="80"/>
      <c r="WVI177" s="80"/>
      <c r="WVJ177" s="80"/>
      <c r="WVK177" s="80"/>
      <c r="WVL177" s="80"/>
      <c r="WVM177" s="80"/>
      <c r="WVN177" s="80"/>
      <c r="WVO177" s="80"/>
      <c r="WVP177" s="80"/>
      <c r="WVQ177" s="80"/>
      <c r="WVR177" s="80"/>
      <c r="WVS177" s="80"/>
      <c r="WVT177" s="80"/>
      <c r="WVU177" s="80"/>
      <c r="WVV177" s="80"/>
      <c r="WVW177" s="80"/>
      <c r="WVX177" s="80"/>
      <c r="WVY177" s="80"/>
      <c r="WVZ177" s="80"/>
      <c r="WWA177" s="80"/>
      <c r="WWB177" s="80"/>
      <c r="WWC177" s="80"/>
      <c r="WWD177" s="80"/>
      <c r="WWE177" s="80"/>
      <c r="WWF177" s="80"/>
      <c r="WWG177" s="80"/>
      <c r="WWH177" s="80"/>
      <c r="WWI177" s="80"/>
      <c r="WWJ177" s="80"/>
      <c r="WWK177" s="80"/>
      <c r="WWL177" s="80"/>
      <c r="WWM177" s="80"/>
      <c r="WWN177" s="80"/>
      <c r="WWO177" s="80"/>
      <c r="WWP177" s="80"/>
      <c r="WWQ177" s="80"/>
      <c r="WWR177" s="80"/>
      <c r="WWS177" s="80"/>
      <c r="WWT177" s="80"/>
      <c r="WWU177" s="80"/>
      <c r="WWV177" s="80"/>
      <c r="WWW177" s="80"/>
      <c r="WWX177" s="80"/>
      <c r="WWY177" s="80"/>
      <c r="WWZ177" s="80"/>
      <c r="WXA177" s="80"/>
      <c r="WXB177" s="80"/>
      <c r="WXC177" s="80"/>
      <c r="WXD177" s="80"/>
      <c r="WXE177" s="80"/>
      <c r="WXF177" s="80"/>
      <c r="WXG177" s="80"/>
      <c r="WXH177" s="80"/>
      <c r="WXI177" s="80"/>
      <c r="WXJ177" s="80"/>
      <c r="WXK177" s="80"/>
      <c r="WXL177" s="80"/>
      <c r="WXM177" s="80"/>
      <c r="WXN177" s="80"/>
      <c r="WXO177" s="80"/>
      <c r="WXP177" s="80"/>
      <c r="WXQ177" s="80"/>
      <c r="WXR177" s="80"/>
      <c r="WXS177" s="80"/>
      <c r="WXT177" s="80"/>
      <c r="WXU177" s="80"/>
      <c r="WXV177" s="80"/>
      <c r="WXW177" s="80"/>
      <c r="WXX177" s="80"/>
      <c r="WXY177" s="80"/>
      <c r="WXZ177" s="80"/>
      <c r="WYA177" s="80"/>
      <c r="WYB177" s="80"/>
      <c r="WYC177" s="80"/>
      <c r="WYD177" s="80"/>
      <c r="WYE177" s="80"/>
      <c r="WYF177" s="80"/>
      <c r="WYG177" s="80"/>
      <c r="WYH177" s="80"/>
      <c r="WYI177" s="80"/>
      <c r="WYJ177" s="80"/>
      <c r="WYK177" s="80"/>
      <c r="WYL177" s="80"/>
      <c r="WYM177" s="80"/>
      <c r="WYN177" s="80"/>
      <c r="WYO177" s="80"/>
      <c r="WYP177" s="80"/>
      <c r="WYQ177" s="80"/>
      <c r="WYR177" s="80"/>
      <c r="WYS177" s="80"/>
      <c r="WYT177" s="80"/>
      <c r="WYU177" s="80"/>
      <c r="WYV177" s="80"/>
      <c r="WYW177" s="80"/>
      <c r="WYX177" s="80"/>
      <c r="WYY177" s="80"/>
      <c r="WYZ177" s="80"/>
      <c r="WZA177" s="80"/>
      <c r="WZB177" s="80"/>
      <c r="WZC177" s="80"/>
      <c r="WZD177" s="80"/>
      <c r="WZE177" s="80"/>
      <c r="WZF177" s="80"/>
      <c r="WZG177" s="80"/>
      <c r="WZH177" s="80"/>
      <c r="WZI177" s="80"/>
      <c r="WZJ177" s="80"/>
      <c r="WZK177" s="80"/>
      <c r="WZL177" s="80"/>
      <c r="WZM177" s="80"/>
      <c r="WZN177" s="80"/>
      <c r="WZO177" s="80"/>
      <c r="WZP177" s="80"/>
      <c r="WZQ177" s="80"/>
      <c r="WZR177" s="80"/>
      <c r="WZS177" s="80"/>
      <c r="WZT177" s="80"/>
      <c r="WZU177" s="80"/>
      <c r="WZV177" s="80"/>
      <c r="WZW177" s="80"/>
      <c r="WZX177" s="80"/>
      <c r="WZY177" s="80"/>
      <c r="WZZ177" s="80"/>
      <c r="XAA177" s="80"/>
      <c r="XAB177" s="80"/>
      <c r="XAC177" s="80"/>
      <c r="XAD177" s="80"/>
      <c r="XAE177" s="80"/>
      <c r="XAF177" s="80"/>
      <c r="XAG177" s="80"/>
      <c r="XAH177" s="80"/>
      <c r="XAI177" s="80"/>
      <c r="XAJ177" s="80"/>
      <c r="XAK177" s="80"/>
      <c r="XAL177" s="80"/>
      <c r="XAM177" s="80"/>
      <c r="XAN177" s="80"/>
      <c r="XAO177" s="80"/>
      <c r="XAP177" s="80"/>
      <c r="XAQ177" s="80"/>
      <c r="XAR177" s="80"/>
      <c r="XAS177" s="80"/>
      <c r="XAT177" s="80"/>
      <c r="XAU177" s="80"/>
      <c r="XAV177" s="80"/>
      <c r="XAW177" s="80"/>
      <c r="XAX177" s="80"/>
      <c r="XAY177" s="80"/>
      <c r="XAZ177" s="80"/>
      <c r="XBA177" s="80"/>
      <c r="XBB177" s="80"/>
      <c r="XBC177" s="80"/>
      <c r="XBD177" s="80"/>
      <c r="XBE177" s="80"/>
      <c r="XBF177" s="80"/>
      <c r="XBG177" s="80"/>
      <c r="XBH177" s="80"/>
      <c r="XBI177" s="80"/>
      <c r="XBJ177" s="80"/>
      <c r="XBK177" s="80"/>
      <c r="XBL177" s="80"/>
      <c r="XBM177" s="80"/>
      <c r="XBN177" s="80"/>
      <c r="XBO177" s="80"/>
      <c r="XBP177" s="80"/>
      <c r="XBQ177" s="80"/>
      <c r="XBR177" s="80"/>
      <c r="XBS177" s="80"/>
      <c r="XBT177" s="80"/>
    </row>
    <row r="178" customHeight="1" spans="1:1024 1025:16296">
      <c r="B178" s="54"/>
      <c r="C178" s="114"/>
      <c r="D178" s="114"/>
      <c r="E178" s="54"/>
      <c r="F178" s="98"/>
      <c r="G178" s="68">
        <v>0</v>
      </c>
      <c r="H178" s="25">
        <f t="shared" si="5"/>
        <v>0</v>
      </c>
    </row>
    <row r="179" s="5" customFormat="1" customHeight="1" spans="1:1024 1025:16296">
      <c r="A179" s="99"/>
      <c r="B179" s="58" t="s">
        <v>421</v>
      </c>
      <c r="C179" s="115" t="s">
        <v>422</v>
      </c>
      <c r="D179" s="116" t="s">
        <v>423</v>
      </c>
      <c r="E179" s="61"/>
      <c r="F179" s="100"/>
      <c r="G179" s="68">
        <v>0</v>
      </c>
      <c r="H179" s="25">
        <f t="shared" si="5"/>
        <v>0</v>
      </c>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c r="GG179" s="2"/>
      <c r="GH179" s="2"/>
      <c r="GI179" s="2"/>
      <c r="GJ179" s="2"/>
      <c r="GK179" s="2"/>
      <c r="GL179" s="2"/>
      <c r="GM179" s="2"/>
      <c r="GN179" s="2"/>
      <c r="GO179" s="2"/>
      <c r="GP179" s="2"/>
      <c r="GQ179" s="2"/>
      <c r="GR179" s="2"/>
      <c r="GS179" s="2"/>
      <c r="GT179" s="2"/>
      <c r="GU179" s="2"/>
      <c r="GV179" s="2"/>
      <c r="GW179" s="2"/>
      <c r="GX179" s="2"/>
      <c r="GY179" s="2"/>
      <c r="GZ179" s="2"/>
      <c r="HA179" s="2"/>
      <c r="HB179" s="2"/>
      <c r="HC179" s="2"/>
      <c r="HD179" s="2"/>
      <c r="HE179" s="2"/>
      <c r="HF179" s="2"/>
      <c r="HG179" s="2"/>
      <c r="HH179" s="2"/>
      <c r="HI179" s="2"/>
      <c r="HJ179" s="2"/>
      <c r="HK179" s="2"/>
      <c r="HL179" s="2"/>
      <c r="HM179" s="2"/>
      <c r="HN179" s="2"/>
      <c r="HO179" s="2"/>
      <c r="HP179" s="2"/>
      <c r="HQ179" s="2"/>
      <c r="HR179" s="2"/>
      <c r="HS179" s="2"/>
      <c r="HT179" s="2"/>
      <c r="HU179" s="2"/>
      <c r="HV179" s="2"/>
      <c r="HW179" s="2"/>
      <c r="HX179" s="2"/>
      <c r="HY179" s="2"/>
      <c r="HZ179" s="2"/>
      <c r="IA179" s="2"/>
      <c r="IB179" s="2"/>
      <c r="IC179" s="2"/>
      <c r="ID179" s="2"/>
      <c r="IE179" s="2"/>
      <c r="IF179" s="2"/>
      <c r="IG179" s="2"/>
      <c r="IH179" s="2"/>
      <c r="II179" s="2"/>
      <c r="IJ179" s="2"/>
      <c r="IK179" s="2"/>
      <c r="IL179" s="2"/>
      <c r="IM179" s="2"/>
      <c r="IN179" s="2"/>
      <c r="IO179" s="2"/>
      <c r="IP179" s="2"/>
      <c r="IQ179" s="2"/>
      <c r="IR179" s="2"/>
      <c r="IS179" s="2"/>
      <c r="IT179" s="2"/>
      <c r="IU179" s="2"/>
      <c r="IV179" s="2"/>
      <c r="IW179" s="2"/>
      <c r="IX179" s="2"/>
      <c r="IY179" s="2"/>
      <c r="IZ179" s="2"/>
      <c r="JA179" s="2"/>
      <c r="JB179" s="2"/>
      <c r="JC179" s="2"/>
      <c r="JD179" s="2"/>
      <c r="JE179" s="2"/>
      <c r="JF179" s="2"/>
      <c r="JG179" s="2"/>
      <c r="JH179" s="2"/>
      <c r="JI179" s="2"/>
      <c r="JJ179" s="2"/>
      <c r="JK179" s="2"/>
      <c r="JL179" s="2"/>
      <c r="JM179" s="2"/>
      <c r="JN179" s="2"/>
      <c r="JO179" s="2"/>
      <c r="JP179" s="2"/>
      <c r="JQ179" s="2"/>
      <c r="JR179" s="2"/>
      <c r="JS179" s="2"/>
      <c r="JT179" s="2"/>
      <c r="JU179" s="2"/>
      <c r="JV179" s="2"/>
      <c r="JW179" s="2"/>
      <c r="JX179" s="2"/>
      <c r="JY179" s="2"/>
      <c r="JZ179" s="2"/>
      <c r="KA179" s="2"/>
      <c r="KB179" s="2"/>
      <c r="KC179" s="2"/>
      <c r="KD179" s="2"/>
      <c r="KE179" s="2"/>
      <c r="KF179" s="2"/>
      <c r="KG179" s="2"/>
      <c r="KH179" s="2"/>
      <c r="KI179" s="2"/>
      <c r="KJ179" s="2"/>
      <c r="KK179" s="2"/>
      <c r="KL179" s="2"/>
      <c r="KM179" s="2"/>
      <c r="KN179" s="2"/>
      <c r="KO179" s="2"/>
      <c r="KP179" s="2"/>
      <c r="KQ179" s="2"/>
      <c r="KR179" s="2"/>
      <c r="KS179" s="2"/>
      <c r="KT179" s="2"/>
      <c r="KU179" s="2"/>
      <c r="KV179" s="2"/>
      <c r="KW179" s="2"/>
      <c r="KX179" s="2"/>
      <c r="KY179" s="2"/>
      <c r="KZ179" s="2"/>
      <c r="LA179" s="2"/>
      <c r="LB179" s="2"/>
      <c r="LC179" s="2"/>
      <c r="LD179" s="2"/>
      <c r="LE179" s="2"/>
      <c r="LF179" s="2"/>
      <c r="LG179" s="2"/>
      <c r="LH179" s="2"/>
      <c r="LI179" s="2"/>
      <c r="LJ179" s="2"/>
      <c r="LK179" s="2"/>
      <c r="LL179" s="2"/>
      <c r="LM179" s="2"/>
      <c r="LN179" s="2"/>
      <c r="LO179" s="2"/>
      <c r="LP179" s="2"/>
      <c r="LQ179" s="2"/>
      <c r="LR179" s="2"/>
      <c r="LS179" s="2"/>
      <c r="LT179" s="2"/>
      <c r="LU179" s="2"/>
      <c r="LV179" s="2"/>
      <c r="LW179" s="2"/>
      <c r="LX179" s="2"/>
      <c r="LY179" s="2"/>
      <c r="LZ179" s="2"/>
      <c r="MA179" s="2"/>
      <c r="MB179" s="2"/>
      <c r="MC179" s="2"/>
      <c r="MD179" s="2"/>
      <c r="ME179" s="2"/>
      <c r="MF179" s="2"/>
      <c r="MG179" s="2"/>
      <c r="MH179" s="2"/>
      <c r="MI179" s="2"/>
      <c r="MJ179" s="2"/>
      <c r="MK179" s="2"/>
      <c r="ML179" s="2"/>
      <c r="MM179" s="2"/>
      <c r="MN179" s="2"/>
      <c r="MO179" s="2"/>
      <c r="MP179" s="2"/>
      <c r="MQ179" s="2"/>
      <c r="MR179" s="2"/>
      <c r="MS179" s="2"/>
      <c r="MT179" s="2"/>
      <c r="MU179" s="2"/>
      <c r="MV179" s="2"/>
      <c r="MW179" s="2"/>
      <c r="MX179" s="2"/>
      <c r="MY179" s="2"/>
      <c r="MZ179" s="2"/>
      <c r="NA179" s="2"/>
      <c r="NB179" s="2"/>
      <c r="NC179" s="2"/>
      <c r="ND179" s="2"/>
      <c r="NE179" s="2"/>
      <c r="NF179" s="2"/>
      <c r="NG179" s="2"/>
      <c r="NH179" s="2"/>
      <c r="NI179" s="2"/>
      <c r="NJ179" s="2"/>
      <c r="NK179" s="2"/>
      <c r="NL179" s="2"/>
      <c r="NM179" s="2"/>
      <c r="NN179" s="2"/>
      <c r="NO179" s="2"/>
      <c r="NP179" s="2"/>
      <c r="NQ179" s="2"/>
      <c r="NR179" s="2"/>
      <c r="NS179" s="2"/>
      <c r="NT179" s="2"/>
      <c r="NU179" s="2"/>
      <c r="NV179" s="2"/>
      <c r="NW179" s="2"/>
      <c r="NX179" s="2"/>
      <c r="NY179" s="2"/>
      <c r="NZ179" s="2"/>
      <c r="OA179" s="2"/>
      <c r="OB179" s="2"/>
      <c r="OC179" s="2"/>
      <c r="OD179" s="2"/>
      <c r="OE179" s="2"/>
      <c r="OF179" s="2"/>
      <c r="OG179" s="2"/>
      <c r="OH179" s="2"/>
      <c r="OI179" s="2"/>
      <c r="OJ179" s="2"/>
      <c r="OK179" s="2"/>
      <c r="OL179" s="2"/>
      <c r="OM179" s="2"/>
      <c r="ON179" s="2"/>
      <c r="OO179" s="2"/>
      <c r="OP179" s="2"/>
      <c r="OQ179" s="2"/>
      <c r="OR179" s="2"/>
      <c r="OS179" s="2"/>
      <c r="OT179" s="2"/>
      <c r="OU179" s="2"/>
      <c r="OV179" s="2"/>
      <c r="OW179" s="2"/>
      <c r="OX179" s="2"/>
      <c r="OY179" s="2"/>
      <c r="OZ179" s="2"/>
      <c r="PA179" s="2"/>
      <c r="PB179" s="2"/>
      <c r="PC179" s="2"/>
      <c r="PD179" s="2"/>
      <c r="PE179" s="2"/>
      <c r="PF179" s="2"/>
      <c r="PG179" s="2"/>
      <c r="PH179" s="2"/>
      <c r="PI179" s="2"/>
      <c r="PJ179" s="2"/>
      <c r="PK179" s="2"/>
      <c r="PL179" s="2"/>
      <c r="PM179" s="2"/>
      <c r="PN179" s="2"/>
      <c r="PO179" s="2"/>
      <c r="PP179" s="2"/>
      <c r="PQ179" s="2"/>
      <c r="PR179" s="2"/>
      <c r="PS179" s="2"/>
      <c r="PT179" s="2"/>
      <c r="PU179" s="2"/>
      <c r="PV179" s="2"/>
      <c r="PW179" s="2"/>
      <c r="PX179" s="2"/>
      <c r="PY179" s="2"/>
      <c r="PZ179" s="2"/>
      <c r="QA179" s="2"/>
      <c r="QB179" s="2"/>
      <c r="QC179" s="2"/>
      <c r="QD179" s="2"/>
      <c r="QE179" s="2"/>
      <c r="QF179" s="2"/>
      <c r="QG179" s="2"/>
      <c r="QH179" s="2"/>
      <c r="QI179" s="2"/>
      <c r="QJ179" s="2"/>
      <c r="QK179" s="2"/>
      <c r="QL179" s="2"/>
      <c r="QM179" s="2"/>
      <c r="QN179" s="2"/>
      <c r="QO179" s="2"/>
      <c r="QP179" s="2"/>
      <c r="QQ179" s="2"/>
      <c r="QR179" s="2"/>
      <c r="QS179" s="2"/>
      <c r="QT179" s="2"/>
      <c r="QU179" s="2"/>
      <c r="QV179" s="2"/>
      <c r="QW179" s="2"/>
      <c r="QX179" s="2"/>
      <c r="QY179" s="2"/>
      <c r="QZ179" s="2"/>
      <c r="RA179" s="2"/>
      <c r="RB179" s="2"/>
      <c r="RC179" s="2"/>
      <c r="RD179" s="2"/>
      <c r="RE179" s="2"/>
      <c r="RF179" s="2"/>
      <c r="RG179" s="2"/>
      <c r="RH179" s="2"/>
      <c r="RI179" s="2"/>
      <c r="RJ179" s="2"/>
      <c r="RK179" s="2"/>
      <c r="RL179" s="2"/>
      <c r="RM179" s="2"/>
      <c r="RN179" s="2"/>
      <c r="RO179" s="2"/>
      <c r="RP179" s="2"/>
      <c r="RQ179" s="2"/>
      <c r="RR179" s="2"/>
      <c r="RS179" s="2"/>
      <c r="RT179" s="2"/>
      <c r="RU179" s="2"/>
      <c r="RV179" s="2"/>
      <c r="RW179" s="2"/>
      <c r="RX179" s="2"/>
      <c r="RY179" s="2"/>
      <c r="RZ179" s="2"/>
      <c r="SA179" s="2"/>
      <c r="SB179" s="2"/>
      <c r="SC179" s="2"/>
      <c r="SD179" s="2"/>
      <c r="SE179" s="2"/>
      <c r="SF179" s="2"/>
      <c r="SG179" s="2"/>
      <c r="SH179" s="2"/>
      <c r="SI179" s="2"/>
      <c r="SJ179" s="2"/>
      <c r="SK179" s="2"/>
      <c r="SL179" s="2"/>
      <c r="SM179" s="2"/>
      <c r="SN179" s="2"/>
      <c r="SO179" s="2"/>
      <c r="SP179" s="2"/>
      <c r="SQ179" s="2"/>
      <c r="SR179" s="2"/>
      <c r="SS179" s="2"/>
      <c r="ST179" s="2"/>
      <c r="SU179" s="2"/>
      <c r="SV179" s="2"/>
      <c r="SW179" s="2"/>
      <c r="SX179" s="2"/>
      <c r="SY179" s="2"/>
      <c r="SZ179" s="2"/>
      <c r="TA179" s="2"/>
      <c r="TB179" s="2"/>
      <c r="TC179" s="2"/>
      <c r="TD179" s="2"/>
      <c r="TE179" s="2"/>
      <c r="TF179" s="2"/>
      <c r="TG179" s="2"/>
      <c r="TH179" s="2"/>
      <c r="TI179" s="2"/>
      <c r="TJ179" s="2"/>
      <c r="TK179" s="2"/>
      <c r="TL179" s="2"/>
      <c r="TM179" s="2"/>
      <c r="TN179" s="2"/>
      <c r="TO179" s="2"/>
      <c r="TP179" s="2"/>
      <c r="TQ179" s="2"/>
      <c r="TR179" s="2"/>
      <c r="TS179" s="2"/>
      <c r="TT179" s="2"/>
      <c r="TU179" s="2"/>
      <c r="TV179" s="2"/>
      <c r="TW179" s="2"/>
      <c r="TX179" s="2"/>
      <c r="TY179" s="2"/>
      <c r="TZ179" s="2"/>
      <c r="UA179" s="2"/>
      <c r="UB179" s="2"/>
      <c r="UC179" s="2"/>
      <c r="UD179" s="2"/>
      <c r="UE179" s="2"/>
      <c r="UF179" s="2"/>
      <c r="UG179" s="2"/>
      <c r="UH179" s="2"/>
      <c r="UI179" s="2"/>
      <c r="UJ179" s="2"/>
      <c r="UK179" s="2"/>
      <c r="UL179" s="2"/>
      <c r="UM179" s="2"/>
      <c r="UN179" s="2"/>
      <c r="UO179" s="2"/>
      <c r="UP179" s="2"/>
      <c r="UQ179" s="2"/>
      <c r="UR179" s="2"/>
      <c r="US179" s="2"/>
      <c r="UT179" s="2"/>
      <c r="UU179" s="2"/>
      <c r="UV179" s="2"/>
      <c r="UW179" s="2"/>
      <c r="UX179" s="2"/>
      <c r="UY179" s="2"/>
      <c r="UZ179" s="2"/>
      <c r="VA179" s="2"/>
      <c r="VB179" s="2"/>
      <c r="VC179" s="2"/>
      <c r="VD179" s="2"/>
      <c r="VE179" s="2"/>
      <c r="VF179" s="2"/>
      <c r="VG179" s="2"/>
      <c r="VH179" s="2"/>
      <c r="VI179" s="2"/>
      <c r="VJ179" s="2"/>
      <c r="VK179" s="2"/>
      <c r="VL179" s="2"/>
      <c r="VM179" s="2"/>
      <c r="VN179" s="2"/>
      <c r="VO179" s="2"/>
      <c r="VP179" s="2"/>
      <c r="VQ179" s="2"/>
      <c r="VR179" s="2"/>
      <c r="VS179" s="2"/>
      <c r="VT179" s="2"/>
      <c r="VU179" s="2"/>
      <c r="VV179" s="2"/>
      <c r="VW179" s="2"/>
      <c r="VX179" s="2"/>
      <c r="VY179" s="2"/>
      <c r="VZ179" s="2"/>
      <c r="WA179" s="2"/>
      <c r="WB179" s="2"/>
      <c r="WC179" s="2"/>
      <c r="WD179" s="2"/>
      <c r="WE179" s="2"/>
      <c r="WF179" s="2"/>
      <c r="WG179" s="2"/>
      <c r="WH179" s="2"/>
      <c r="WI179" s="2"/>
      <c r="WJ179" s="2"/>
      <c r="WK179" s="2"/>
      <c r="WL179" s="2"/>
      <c r="WM179" s="2"/>
      <c r="WN179" s="2"/>
      <c r="WO179" s="2"/>
      <c r="WP179" s="2"/>
      <c r="WQ179" s="2"/>
      <c r="WR179" s="2"/>
      <c r="WS179" s="2"/>
      <c r="WT179" s="2"/>
      <c r="WU179" s="2"/>
      <c r="WV179" s="2"/>
      <c r="WW179" s="2"/>
      <c r="WX179" s="2"/>
      <c r="WY179" s="2"/>
      <c r="WZ179" s="2"/>
      <c r="XA179" s="2"/>
      <c r="XB179" s="2"/>
      <c r="XC179" s="2"/>
      <c r="XD179" s="2"/>
      <c r="XE179" s="2"/>
      <c r="XF179" s="2"/>
      <c r="XG179" s="2"/>
      <c r="XH179" s="2"/>
      <c r="XI179" s="2"/>
      <c r="XJ179" s="2"/>
      <c r="XK179" s="2"/>
      <c r="XL179" s="2"/>
      <c r="XM179" s="2"/>
      <c r="XN179" s="2"/>
      <c r="XO179" s="2"/>
      <c r="XP179" s="2"/>
      <c r="XQ179" s="2"/>
      <c r="XR179" s="2"/>
      <c r="XS179" s="2"/>
      <c r="XT179" s="2"/>
      <c r="XU179" s="2"/>
      <c r="XV179" s="2"/>
      <c r="XW179" s="2"/>
      <c r="XX179" s="2"/>
      <c r="XY179" s="2"/>
      <c r="XZ179" s="2"/>
      <c r="YA179" s="2"/>
      <c r="YB179" s="2"/>
      <c r="YC179" s="2"/>
      <c r="YD179" s="2"/>
      <c r="YE179" s="2"/>
      <c r="YF179" s="2"/>
      <c r="YG179" s="2"/>
      <c r="YH179" s="2"/>
      <c r="YI179" s="2"/>
      <c r="YJ179" s="2"/>
      <c r="YK179" s="2"/>
      <c r="YL179" s="2"/>
      <c r="YM179" s="2"/>
      <c r="YN179" s="2"/>
      <c r="YO179" s="2"/>
      <c r="YP179" s="2"/>
      <c r="YQ179" s="2"/>
      <c r="YR179" s="2"/>
      <c r="YS179" s="2"/>
      <c r="YT179" s="2"/>
      <c r="YU179" s="2"/>
      <c r="YV179" s="2"/>
      <c r="YW179" s="2"/>
      <c r="YX179" s="2"/>
      <c r="YY179" s="2"/>
      <c r="YZ179" s="2"/>
      <c r="ZA179" s="2"/>
      <c r="ZB179" s="2"/>
      <c r="ZC179" s="2"/>
      <c r="ZD179" s="2"/>
      <c r="ZE179" s="2"/>
      <c r="ZF179" s="2"/>
      <c r="ZG179" s="2"/>
      <c r="ZH179" s="2"/>
      <c r="ZI179" s="2"/>
      <c r="ZJ179" s="2"/>
      <c r="ZK179" s="2"/>
      <c r="ZL179" s="2"/>
      <c r="ZM179" s="2"/>
      <c r="ZN179" s="2"/>
      <c r="ZO179" s="2"/>
      <c r="ZP179" s="2"/>
      <c r="ZQ179" s="2"/>
      <c r="ZR179" s="2"/>
      <c r="ZS179" s="2"/>
      <c r="ZT179" s="2"/>
      <c r="ZU179" s="2"/>
      <c r="ZV179" s="2"/>
      <c r="ZW179" s="2"/>
      <c r="ZX179" s="2"/>
      <c r="ZY179" s="2"/>
      <c r="ZZ179" s="2"/>
      <c r="AAA179" s="2"/>
      <c r="AAB179" s="2"/>
      <c r="AAC179" s="2"/>
      <c r="AAD179" s="2"/>
      <c r="AAE179" s="2"/>
      <c r="AAF179" s="2"/>
      <c r="AAG179" s="2"/>
      <c r="AAH179" s="2"/>
      <c r="AAI179" s="2"/>
      <c r="AAJ179" s="2"/>
      <c r="AAK179" s="2"/>
      <c r="AAL179" s="2"/>
      <c r="AAM179" s="2"/>
      <c r="AAN179" s="2"/>
      <c r="AAO179" s="2"/>
      <c r="AAP179" s="2"/>
      <c r="AAQ179" s="2"/>
      <c r="AAR179" s="2"/>
      <c r="AAS179" s="2"/>
      <c r="AAT179" s="2"/>
      <c r="AAU179" s="2"/>
      <c r="AAV179" s="2"/>
      <c r="AAW179" s="2"/>
      <c r="AAX179" s="2"/>
      <c r="AAY179" s="2"/>
      <c r="AAZ179" s="2"/>
      <c r="ABA179" s="2"/>
      <c r="ABB179" s="2"/>
      <c r="ABC179" s="2"/>
      <c r="ABD179" s="2"/>
      <c r="ABE179" s="2"/>
      <c r="ABF179" s="2"/>
      <c r="ABG179" s="2"/>
      <c r="ABH179" s="2"/>
      <c r="ABI179" s="2"/>
      <c r="ABJ179" s="2"/>
      <c r="ABK179" s="2"/>
      <c r="ABL179" s="2"/>
      <c r="ABM179" s="2"/>
      <c r="ABN179" s="2"/>
      <c r="ABO179" s="2"/>
      <c r="ABP179" s="2"/>
      <c r="ABQ179" s="2"/>
      <c r="ABR179" s="2"/>
      <c r="ABS179" s="2"/>
      <c r="ABT179" s="2"/>
      <c r="ABU179" s="2"/>
      <c r="ABV179" s="2"/>
      <c r="ABW179" s="2"/>
      <c r="ABX179" s="2"/>
      <c r="ABY179" s="2"/>
      <c r="ABZ179" s="2"/>
      <c r="ACA179" s="2"/>
      <c r="ACB179" s="2"/>
      <c r="ACC179" s="2"/>
      <c r="ACD179" s="2"/>
      <c r="ACE179" s="2"/>
      <c r="ACF179" s="2"/>
      <c r="ACG179" s="2"/>
      <c r="ACH179" s="2"/>
      <c r="ACI179" s="2"/>
      <c r="ACJ179" s="2"/>
      <c r="ACK179" s="2"/>
      <c r="ACL179" s="2"/>
      <c r="ACM179" s="2"/>
      <c r="ACN179" s="2"/>
      <c r="ACO179" s="2"/>
      <c r="ACP179" s="2"/>
      <c r="ACQ179" s="2"/>
      <c r="ACR179" s="2"/>
      <c r="ACS179" s="2"/>
      <c r="ACT179" s="2"/>
      <c r="ACU179" s="2"/>
      <c r="ACV179" s="2"/>
      <c r="ACW179" s="2"/>
      <c r="ACX179" s="2"/>
      <c r="ACY179" s="2"/>
      <c r="ACZ179" s="2"/>
      <c r="ADA179" s="2"/>
      <c r="ADB179" s="2"/>
      <c r="ADC179" s="2"/>
      <c r="ADD179" s="2"/>
      <c r="ADE179" s="2"/>
      <c r="ADF179" s="2"/>
      <c r="ADG179" s="2"/>
      <c r="ADH179" s="2"/>
      <c r="ADI179" s="2"/>
      <c r="ADJ179" s="2"/>
      <c r="ADK179" s="2"/>
      <c r="ADL179" s="2"/>
      <c r="ADM179" s="2"/>
      <c r="ADN179" s="2"/>
      <c r="ADO179" s="2"/>
      <c r="ADP179" s="2"/>
      <c r="ADQ179" s="2"/>
      <c r="ADR179" s="2"/>
      <c r="ADS179" s="2"/>
      <c r="ADT179" s="2"/>
      <c r="ADU179" s="2"/>
      <c r="ADV179" s="2"/>
      <c r="ADW179" s="2"/>
      <c r="ADX179" s="2"/>
      <c r="ADY179" s="2"/>
      <c r="ADZ179" s="2"/>
      <c r="AEA179" s="2"/>
      <c r="AEB179" s="2"/>
      <c r="AEC179" s="2"/>
      <c r="AED179" s="2"/>
      <c r="AEE179" s="2"/>
      <c r="AEF179" s="2"/>
      <c r="AEG179" s="2"/>
      <c r="AEH179" s="2"/>
      <c r="AEI179" s="2"/>
      <c r="AEJ179" s="2"/>
      <c r="AEK179" s="2"/>
      <c r="AEL179" s="2"/>
      <c r="AEM179" s="2"/>
      <c r="AEN179" s="2"/>
      <c r="AEO179" s="2"/>
      <c r="AEP179" s="2"/>
      <c r="AEQ179" s="2"/>
      <c r="AER179" s="2"/>
      <c r="AES179" s="2"/>
      <c r="AET179" s="2"/>
      <c r="AEU179" s="2"/>
      <c r="AEV179" s="2"/>
      <c r="AEW179" s="2"/>
      <c r="AEX179" s="2"/>
      <c r="AEY179" s="2"/>
      <c r="AEZ179" s="2"/>
      <c r="AFA179" s="2"/>
      <c r="AFB179" s="2"/>
      <c r="AFC179" s="2"/>
      <c r="AFD179" s="2"/>
      <c r="AFE179" s="2"/>
      <c r="AFF179" s="2"/>
      <c r="AFG179" s="2"/>
      <c r="AFH179" s="2"/>
      <c r="AFI179" s="2"/>
      <c r="AFJ179" s="2"/>
      <c r="AFK179" s="2"/>
      <c r="AFL179" s="2"/>
      <c r="AFM179" s="2"/>
      <c r="AFN179" s="2"/>
      <c r="AFO179" s="2"/>
      <c r="AFP179" s="2"/>
      <c r="AFQ179" s="2"/>
      <c r="AFR179" s="2"/>
      <c r="AFS179" s="2"/>
      <c r="AFT179" s="2"/>
      <c r="AFU179" s="2"/>
      <c r="AFV179" s="2"/>
      <c r="AFW179" s="2"/>
      <c r="AFX179" s="2"/>
      <c r="AFY179" s="2"/>
      <c r="AFZ179" s="2"/>
      <c r="AGA179" s="2"/>
      <c r="AGB179" s="2"/>
      <c r="AGC179" s="2"/>
      <c r="AGD179" s="2"/>
      <c r="AGE179" s="2"/>
      <c r="AGF179" s="2"/>
      <c r="AGG179" s="2"/>
      <c r="AGH179" s="2"/>
      <c r="AGI179" s="2"/>
      <c r="AGJ179" s="2"/>
      <c r="AGK179" s="2"/>
      <c r="AGL179" s="2"/>
      <c r="AGM179" s="2"/>
      <c r="AGN179" s="2"/>
      <c r="AGO179" s="2"/>
      <c r="AGP179" s="2"/>
      <c r="AGQ179" s="2"/>
      <c r="AGR179" s="2"/>
      <c r="AGS179" s="2"/>
      <c r="AGT179" s="2"/>
      <c r="AGU179" s="2"/>
      <c r="AGV179" s="2"/>
      <c r="AGW179" s="2"/>
      <c r="AGX179" s="2"/>
      <c r="AGY179" s="2"/>
      <c r="AGZ179" s="2"/>
      <c r="AHA179" s="2"/>
      <c r="AHB179" s="2"/>
      <c r="AHC179" s="2"/>
      <c r="AHD179" s="2"/>
      <c r="AHE179" s="2"/>
      <c r="AHF179" s="2"/>
      <c r="AHG179" s="2"/>
      <c r="AHH179" s="2"/>
      <c r="AHI179" s="2"/>
      <c r="AHJ179" s="2"/>
      <c r="AHK179" s="2"/>
      <c r="AHL179" s="2"/>
      <c r="AHM179" s="2"/>
      <c r="AHN179" s="2"/>
      <c r="AHO179" s="2"/>
      <c r="AHP179" s="2"/>
      <c r="AHQ179" s="2"/>
      <c r="AHR179" s="2"/>
      <c r="AHS179" s="2"/>
      <c r="AHT179" s="2"/>
      <c r="AHU179" s="2"/>
      <c r="AHV179" s="2"/>
      <c r="AHW179" s="2"/>
      <c r="AHX179" s="2"/>
      <c r="AHY179" s="2"/>
      <c r="AHZ179" s="2"/>
      <c r="AIA179" s="2"/>
      <c r="AIB179" s="2"/>
      <c r="AIC179" s="2"/>
      <c r="AID179" s="2"/>
      <c r="AIE179" s="2"/>
      <c r="AIF179" s="2"/>
      <c r="AIG179" s="2"/>
      <c r="AIH179" s="2"/>
      <c r="AII179" s="2"/>
      <c r="AIJ179" s="2"/>
      <c r="AIK179" s="2"/>
      <c r="AIL179" s="2"/>
      <c r="AIM179" s="2"/>
      <c r="AIN179" s="2"/>
      <c r="AIO179" s="2"/>
      <c r="AIP179" s="2"/>
      <c r="AIQ179" s="2"/>
      <c r="AIR179" s="2"/>
      <c r="AIS179" s="2"/>
      <c r="AIT179" s="2"/>
      <c r="AIU179" s="2"/>
      <c r="AIV179" s="2"/>
      <c r="AIW179" s="2"/>
      <c r="AIX179" s="2"/>
      <c r="AIY179" s="2"/>
      <c r="AIZ179" s="2"/>
      <c r="AJA179" s="2"/>
      <c r="AJB179" s="2"/>
      <c r="AJC179" s="2"/>
      <c r="AJD179" s="2"/>
      <c r="AJE179" s="2"/>
      <c r="AJF179" s="2"/>
      <c r="AJG179" s="2"/>
      <c r="AJH179" s="2"/>
      <c r="AJI179" s="2"/>
      <c r="AJJ179" s="2"/>
      <c r="AJK179" s="2"/>
      <c r="AJL179" s="2"/>
      <c r="AJM179" s="2"/>
      <c r="AJN179" s="2"/>
      <c r="AJO179" s="2"/>
      <c r="AJP179" s="2"/>
      <c r="AJQ179" s="2"/>
      <c r="AJR179" s="2"/>
      <c r="AJS179" s="2"/>
      <c r="AJT179" s="2"/>
      <c r="AJU179" s="2"/>
      <c r="AJV179" s="2"/>
      <c r="AJW179" s="2"/>
      <c r="AJX179" s="2"/>
      <c r="AJY179" s="2"/>
      <c r="AJZ179" s="2"/>
      <c r="AKA179" s="2"/>
      <c r="AKB179" s="2"/>
      <c r="AKC179" s="2"/>
      <c r="AKD179" s="2"/>
      <c r="AKE179" s="2"/>
      <c r="AKF179" s="2"/>
      <c r="AKG179" s="2"/>
      <c r="AKH179" s="2"/>
      <c r="AKI179" s="2"/>
      <c r="AKJ179" s="2"/>
      <c r="AKK179" s="2"/>
      <c r="AKL179" s="2"/>
      <c r="AKM179" s="2"/>
      <c r="AKN179" s="2"/>
      <c r="AKO179" s="2"/>
      <c r="AKP179" s="2"/>
      <c r="AKQ179" s="2"/>
      <c r="AKR179" s="2"/>
      <c r="AKS179" s="2"/>
      <c r="AKT179" s="2"/>
      <c r="AKU179" s="2"/>
      <c r="AKV179" s="2"/>
      <c r="AKW179" s="2"/>
      <c r="AKX179" s="2"/>
      <c r="AKY179" s="2"/>
      <c r="AKZ179" s="2"/>
      <c r="ALA179" s="2"/>
      <c r="ALB179" s="2"/>
      <c r="ALC179" s="2"/>
      <c r="ALD179" s="2"/>
      <c r="ALE179" s="2"/>
      <c r="ALF179" s="2"/>
      <c r="ALG179" s="2"/>
      <c r="ALH179" s="2"/>
      <c r="ALI179" s="2"/>
      <c r="ALJ179" s="2"/>
      <c r="ALK179" s="2"/>
      <c r="ALL179" s="2"/>
      <c r="ALM179" s="2"/>
      <c r="ALN179" s="2"/>
      <c r="ALO179" s="2"/>
      <c r="ALP179" s="2"/>
      <c r="ALQ179" s="2"/>
      <c r="ALR179" s="2"/>
      <c r="ALS179" s="2"/>
      <c r="ALT179" s="2"/>
      <c r="ALU179" s="2"/>
      <c r="ALV179" s="2"/>
      <c r="ALW179" s="2"/>
      <c r="ALX179" s="2"/>
      <c r="ALY179" s="2"/>
      <c r="ALZ179" s="2"/>
      <c r="AMA179" s="2"/>
      <c r="AMB179" s="2"/>
      <c r="AMC179" s="2"/>
      <c r="AMD179" s="2"/>
      <c r="AME179" s="2"/>
      <c r="AMF179" s="2"/>
      <c r="AMG179" s="2"/>
      <c r="AMH179" s="2"/>
      <c r="AMI179" s="2"/>
      <c r="AMJ179" s="2"/>
      <c r="AMK179" s="2"/>
      <c r="AML179" s="2"/>
      <c r="AMM179" s="2"/>
      <c r="AMN179" s="2"/>
      <c r="AMO179" s="2"/>
      <c r="AMP179" s="2"/>
      <c r="AMQ179" s="2"/>
      <c r="AMR179" s="2"/>
      <c r="AMS179" s="2"/>
      <c r="AMT179" s="2"/>
      <c r="AMU179" s="2"/>
      <c r="AMV179" s="2"/>
      <c r="AMW179" s="2"/>
      <c r="AMX179" s="2"/>
      <c r="AMY179" s="2"/>
      <c r="AMZ179" s="2"/>
      <c r="ANA179" s="2"/>
      <c r="ANB179" s="2"/>
      <c r="ANC179" s="2"/>
      <c r="AND179" s="2"/>
      <c r="ANE179" s="2"/>
      <c r="ANF179" s="2"/>
      <c r="ANG179" s="2"/>
      <c r="ANH179" s="2"/>
      <c r="ANI179" s="2"/>
      <c r="ANJ179" s="2"/>
      <c r="ANK179" s="2"/>
      <c r="ANL179" s="2"/>
      <c r="ANM179" s="2"/>
      <c r="ANN179" s="2"/>
      <c r="ANO179" s="2"/>
      <c r="ANP179" s="2"/>
      <c r="ANQ179" s="2"/>
      <c r="ANR179" s="2"/>
      <c r="ANS179" s="2"/>
      <c r="ANT179" s="2"/>
      <c r="ANU179" s="2"/>
      <c r="ANV179" s="2"/>
      <c r="ANW179" s="2"/>
      <c r="ANX179" s="2"/>
      <c r="ANY179" s="2"/>
      <c r="ANZ179" s="2"/>
      <c r="AOA179" s="2"/>
      <c r="AOB179" s="2"/>
      <c r="AOC179" s="2"/>
      <c r="AOD179" s="2"/>
      <c r="AOE179" s="2"/>
      <c r="AOF179" s="2"/>
      <c r="AOG179" s="2"/>
      <c r="AOH179" s="2"/>
      <c r="AOI179" s="2"/>
      <c r="AOJ179" s="2"/>
      <c r="AOK179" s="2"/>
      <c r="AOL179" s="2"/>
      <c r="AOM179" s="2"/>
      <c r="AON179" s="2"/>
      <c r="AOO179" s="2"/>
      <c r="AOP179" s="2"/>
      <c r="AOQ179" s="2"/>
      <c r="AOR179" s="2"/>
      <c r="AOS179" s="2"/>
      <c r="AOT179" s="2"/>
      <c r="AOU179" s="2"/>
      <c r="AOV179" s="2"/>
      <c r="AOW179" s="2"/>
      <c r="AOX179" s="2"/>
      <c r="AOY179" s="2"/>
      <c r="AOZ179" s="2"/>
      <c r="APA179" s="2"/>
      <c r="APB179" s="2"/>
      <c r="APC179" s="2"/>
      <c r="APD179" s="2"/>
      <c r="APE179" s="2"/>
      <c r="APF179" s="2"/>
      <c r="APG179" s="2"/>
      <c r="APH179" s="2"/>
      <c r="API179" s="2"/>
      <c r="APJ179" s="2"/>
      <c r="APK179" s="2"/>
      <c r="APL179" s="2"/>
      <c r="APM179" s="2"/>
      <c r="APN179" s="2"/>
      <c r="APO179" s="2"/>
      <c r="APP179" s="2"/>
      <c r="APQ179" s="2"/>
      <c r="APR179" s="2"/>
      <c r="APS179" s="2"/>
      <c r="APT179" s="2"/>
      <c r="APU179" s="2"/>
      <c r="APV179" s="2"/>
      <c r="APW179" s="2"/>
      <c r="APX179" s="2"/>
      <c r="APY179" s="2"/>
      <c r="APZ179" s="2"/>
      <c r="AQA179" s="2"/>
      <c r="AQB179" s="2"/>
      <c r="AQC179" s="2"/>
      <c r="AQD179" s="2"/>
      <c r="AQE179" s="2"/>
      <c r="AQF179" s="2"/>
      <c r="AQG179" s="2"/>
      <c r="AQH179" s="2"/>
      <c r="AQI179" s="2"/>
      <c r="AQJ179" s="2"/>
      <c r="AQK179" s="2"/>
      <c r="AQL179" s="2"/>
      <c r="AQM179" s="2"/>
      <c r="AQN179" s="2"/>
      <c r="AQO179" s="2"/>
      <c r="AQP179" s="2"/>
      <c r="AQQ179" s="2"/>
      <c r="AQR179" s="2"/>
      <c r="AQS179" s="2"/>
      <c r="AQT179" s="2"/>
      <c r="AQU179" s="2"/>
      <c r="AQV179" s="2"/>
      <c r="AQW179" s="2"/>
      <c r="AQX179" s="2"/>
      <c r="AQY179" s="2"/>
      <c r="AQZ179" s="2"/>
      <c r="ARA179" s="2"/>
      <c r="ARB179" s="2"/>
      <c r="ARC179" s="2"/>
      <c r="ARD179" s="2"/>
      <c r="ARE179" s="2"/>
      <c r="ARF179" s="2"/>
      <c r="ARG179" s="2"/>
      <c r="ARH179" s="2"/>
      <c r="ARI179" s="2"/>
      <c r="ARJ179" s="2"/>
      <c r="ARK179" s="2"/>
      <c r="ARL179" s="2"/>
      <c r="ARM179" s="2"/>
      <c r="ARN179" s="2"/>
      <c r="ARO179" s="2"/>
      <c r="ARP179" s="2"/>
      <c r="ARQ179" s="2"/>
      <c r="ARR179" s="2"/>
      <c r="ARS179" s="2"/>
      <c r="ART179" s="2"/>
      <c r="ARU179" s="2"/>
      <c r="ARV179" s="2"/>
      <c r="ARW179" s="2"/>
      <c r="ARX179" s="2"/>
      <c r="ARY179" s="2"/>
      <c r="ARZ179" s="2"/>
      <c r="ASA179" s="2"/>
      <c r="ASB179" s="2"/>
      <c r="ASC179" s="2"/>
      <c r="ASD179" s="2"/>
      <c r="ASE179" s="2"/>
      <c r="ASF179" s="2"/>
      <c r="ASG179" s="2"/>
      <c r="ASH179" s="2"/>
      <c r="ASI179" s="2"/>
      <c r="ASJ179" s="2"/>
      <c r="ASK179" s="2"/>
      <c r="ASL179" s="2"/>
      <c r="ASM179" s="2"/>
      <c r="ASN179" s="2"/>
      <c r="ASO179" s="2"/>
      <c r="ASP179" s="2"/>
      <c r="ASQ179" s="2"/>
      <c r="ASR179" s="2"/>
      <c r="ASS179" s="2"/>
      <c r="AST179" s="2"/>
      <c r="ASU179" s="2"/>
      <c r="ASV179" s="2"/>
      <c r="ASW179" s="2"/>
      <c r="ASX179" s="2"/>
      <c r="ASY179" s="2"/>
      <c r="ASZ179" s="2"/>
      <c r="ATA179" s="2"/>
      <c r="ATB179" s="2"/>
      <c r="ATC179" s="2"/>
      <c r="ATD179" s="2"/>
      <c r="ATE179" s="2"/>
      <c r="ATF179" s="2"/>
      <c r="ATG179" s="2"/>
      <c r="ATH179" s="2"/>
      <c r="ATI179" s="2"/>
      <c r="ATJ179" s="2"/>
      <c r="ATK179" s="2"/>
      <c r="ATL179" s="2"/>
      <c r="ATM179" s="2"/>
      <c r="ATN179" s="2"/>
      <c r="ATO179" s="2"/>
      <c r="ATP179" s="2"/>
      <c r="ATQ179" s="2"/>
      <c r="ATR179" s="2"/>
      <c r="ATS179" s="2"/>
      <c r="ATT179" s="2"/>
      <c r="ATU179" s="2"/>
      <c r="ATV179" s="2"/>
      <c r="ATW179" s="2"/>
      <c r="ATX179" s="2"/>
      <c r="ATY179" s="2"/>
      <c r="ATZ179" s="2"/>
      <c r="AUA179" s="2"/>
      <c r="AUB179" s="2"/>
      <c r="AUC179" s="2"/>
      <c r="AUD179" s="2"/>
      <c r="AUE179" s="2"/>
      <c r="AUF179" s="2"/>
      <c r="AUG179" s="2"/>
      <c r="AUH179" s="2"/>
      <c r="AUI179" s="2"/>
      <c r="AUJ179" s="2"/>
      <c r="AUK179" s="2"/>
      <c r="AUL179" s="2"/>
      <c r="AUM179" s="2"/>
      <c r="AUN179" s="2"/>
      <c r="AUO179" s="2"/>
      <c r="AUP179" s="2"/>
      <c r="AUQ179" s="2"/>
      <c r="AUR179" s="2"/>
      <c r="AUS179" s="2"/>
      <c r="AUT179" s="2"/>
      <c r="AUU179" s="2"/>
      <c r="AUV179" s="2"/>
      <c r="AUW179" s="2"/>
      <c r="AUX179" s="2"/>
      <c r="AUY179" s="2"/>
      <c r="AUZ179" s="2"/>
      <c r="AVA179" s="2"/>
      <c r="AVB179" s="2"/>
      <c r="AVC179" s="2"/>
      <c r="AVD179" s="2"/>
      <c r="AVE179" s="2"/>
      <c r="AVF179" s="2"/>
      <c r="AVG179" s="2"/>
      <c r="AVH179" s="2"/>
      <c r="AVI179" s="2"/>
      <c r="AVJ179" s="2"/>
      <c r="AVK179" s="2"/>
      <c r="AVL179" s="2"/>
      <c r="AVM179" s="2"/>
      <c r="AVN179" s="2"/>
      <c r="AVO179" s="2"/>
      <c r="AVP179" s="2"/>
      <c r="AVQ179" s="2"/>
      <c r="AVR179" s="2"/>
      <c r="AVS179" s="2"/>
      <c r="AVT179" s="2"/>
      <c r="AVU179" s="2"/>
      <c r="AVV179" s="2"/>
      <c r="AVW179" s="2"/>
      <c r="AVX179" s="2"/>
      <c r="AVY179" s="2"/>
      <c r="AVZ179" s="2"/>
      <c r="AWA179" s="2"/>
      <c r="AWB179" s="2"/>
      <c r="AWC179" s="2"/>
      <c r="AWD179" s="2"/>
      <c r="AWE179" s="2"/>
      <c r="AWF179" s="2"/>
      <c r="AWG179" s="2"/>
      <c r="AWH179" s="2"/>
      <c r="AWI179" s="2"/>
      <c r="AWJ179" s="2"/>
      <c r="AWK179" s="2"/>
      <c r="AWL179" s="2"/>
      <c r="AWM179" s="2"/>
      <c r="AWN179" s="2"/>
      <c r="AWO179" s="2"/>
      <c r="AWP179" s="2"/>
      <c r="AWQ179" s="2"/>
      <c r="AWR179" s="2"/>
      <c r="AWS179" s="2"/>
      <c r="AWT179" s="2"/>
      <c r="AWU179" s="2"/>
      <c r="AWV179" s="2"/>
      <c r="AWW179" s="2"/>
      <c r="AWX179" s="2"/>
      <c r="AWY179" s="2"/>
      <c r="AWZ179" s="2"/>
      <c r="AXA179" s="2"/>
      <c r="AXB179" s="2"/>
      <c r="AXC179" s="2"/>
      <c r="AXD179" s="2"/>
      <c r="AXE179" s="2"/>
      <c r="AXF179" s="2"/>
      <c r="AXG179" s="2"/>
      <c r="AXH179" s="2"/>
      <c r="AXI179" s="2"/>
      <c r="AXJ179" s="2"/>
      <c r="AXK179" s="2"/>
      <c r="AXL179" s="2"/>
      <c r="AXM179" s="2"/>
      <c r="AXN179" s="2"/>
      <c r="AXO179" s="2"/>
      <c r="AXP179" s="2"/>
      <c r="AXQ179" s="2"/>
      <c r="AXR179" s="2"/>
      <c r="AXS179" s="2"/>
      <c r="AXT179" s="2"/>
      <c r="AXU179" s="2"/>
      <c r="AXV179" s="2"/>
      <c r="AXW179" s="2"/>
      <c r="AXX179" s="2"/>
      <c r="AXY179" s="2"/>
      <c r="AXZ179" s="2"/>
      <c r="AYA179" s="2"/>
      <c r="AYB179" s="2"/>
      <c r="AYC179" s="2"/>
      <c r="AYD179" s="2"/>
      <c r="AYE179" s="2"/>
      <c r="AYF179" s="2"/>
      <c r="AYG179" s="2"/>
      <c r="AYH179" s="2"/>
      <c r="AYI179" s="2"/>
      <c r="AYJ179" s="2"/>
      <c r="AYK179" s="2"/>
      <c r="AYL179" s="2"/>
      <c r="AYM179" s="2"/>
      <c r="AYN179" s="2"/>
      <c r="AYO179" s="2"/>
      <c r="AYP179" s="2"/>
      <c r="AYQ179" s="2"/>
      <c r="AYR179" s="2"/>
      <c r="AYS179" s="2"/>
      <c r="AYT179" s="2"/>
      <c r="AYU179" s="2"/>
      <c r="AYV179" s="2"/>
      <c r="AYW179" s="2"/>
      <c r="AYX179" s="2"/>
      <c r="AYY179" s="2"/>
      <c r="AYZ179" s="2"/>
      <c r="AZA179" s="2"/>
      <c r="AZB179" s="2"/>
      <c r="AZC179" s="2"/>
      <c r="AZD179" s="2"/>
      <c r="AZE179" s="2"/>
      <c r="AZF179" s="2"/>
      <c r="AZG179" s="2"/>
      <c r="AZH179" s="2"/>
      <c r="AZI179" s="2"/>
      <c r="AZJ179" s="2"/>
      <c r="AZK179" s="2"/>
      <c r="AZL179" s="2"/>
      <c r="AZM179" s="2"/>
      <c r="AZN179" s="2"/>
      <c r="AZO179" s="2"/>
      <c r="AZP179" s="2"/>
      <c r="AZQ179" s="2"/>
      <c r="AZR179" s="2"/>
      <c r="AZS179" s="2"/>
      <c r="AZT179" s="2"/>
      <c r="AZU179" s="2"/>
      <c r="AZV179" s="2"/>
      <c r="AZW179" s="2"/>
      <c r="AZX179" s="2"/>
      <c r="AZY179" s="2"/>
      <c r="AZZ179" s="2"/>
      <c r="BAA179" s="2"/>
      <c r="BAB179" s="2"/>
      <c r="BAC179" s="2"/>
      <c r="BAD179" s="2"/>
      <c r="BAE179" s="2"/>
      <c r="BAF179" s="2"/>
      <c r="BAG179" s="2"/>
      <c r="BAH179" s="2"/>
      <c r="BAI179" s="2"/>
      <c r="BAJ179" s="2"/>
      <c r="BAK179" s="2"/>
      <c r="BAL179" s="2"/>
      <c r="BAM179" s="2"/>
      <c r="BAN179" s="2"/>
      <c r="BAO179" s="2"/>
      <c r="BAP179" s="2"/>
      <c r="BAQ179" s="2"/>
      <c r="BAR179" s="2"/>
      <c r="BAS179" s="2"/>
      <c r="BAT179" s="2"/>
      <c r="BAU179" s="2"/>
      <c r="BAV179" s="2"/>
      <c r="BAW179" s="2"/>
      <c r="BAX179" s="2"/>
      <c r="BAY179" s="2"/>
      <c r="BAZ179" s="2"/>
      <c r="BBA179" s="2"/>
      <c r="BBB179" s="2"/>
      <c r="BBC179" s="2"/>
      <c r="BBD179" s="2"/>
      <c r="BBE179" s="2"/>
      <c r="BBF179" s="2"/>
      <c r="BBG179" s="2"/>
      <c r="BBH179" s="2"/>
      <c r="BBI179" s="2"/>
      <c r="BBJ179" s="2"/>
      <c r="BBK179" s="2"/>
      <c r="BBL179" s="2"/>
      <c r="BBM179" s="2"/>
      <c r="BBN179" s="2"/>
      <c r="BBO179" s="2"/>
      <c r="BBP179" s="2"/>
      <c r="BBQ179" s="2"/>
      <c r="BBR179" s="2"/>
      <c r="BBS179" s="2"/>
      <c r="BBT179" s="2"/>
      <c r="BBU179" s="2"/>
      <c r="BBV179" s="2"/>
      <c r="BBW179" s="2"/>
      <c r="BBX179" s="2"/>
      <c r="BBY179" s="2"/>
      <c r="BBZ179" s="2"/>
      <c r="BCA179" s="2"/>
      <c r="BCB179" s="2"/>
      <c r="BCC179" s="2"/>
      <c r="BCD179" s="2"/>
      <c r="BCE179" s="2"/>
      <c r="BCF179" s="2"/>
      <c r="BCG179" s="2"/>
      <c r="BCH179" s="2"/>
      <c r="BCI179" s="2"/>
      <c r="BCJ179" s="2"/>
      <c r="BCK179" s="2"/>
      <c r="BCL179" s="2"/>
      <c r="BCM179" s="2"/>
      <c r="BCN179" s="2"/>
      <c r="BCO179" s="2"/>
      <c r="BCP179" s="2"/>
      <c r="BCQ179" s="2"/>
      <c r="BCR179" s="2"/>
      <c r="BCS179" s="2"/>
      <c r="BCT179" s="2"/>
      <c r="BCU179" s="2"/>
      <c r="BCV179" s="2"/>
      <c r="BCW179" s="2"/>
      <c r="BCX179" s="2"/>
      <c r="BCY179" s="2"/>
      <c r="BCZ179" s="2"/>
      <c r="BDA179" s="2"/>
      <c r="BDB179" s="2"/>
      <c r="BDC179" s="2"/>
      <c r="BDD179" s="2"/>
      <c r="BDE179" s="2"/>
      <c r="BDF179" s="2"/>
      <c r="BDG179" s="2"/>
      <c r="BDH179" s="2"/>
      <c r="BDI179" s="2"/>
      <c r="BDJ179" s="2"/>
      <c r="BDK179" s="2"/>
      <c r="BDL179" s="2"/>
      <c r="BDM179" s="2"/>
      <c r="BDN179" s="2"/>
      <c r="BDO179" s="2"/>
      <c r="BDP179" s="2"/>
      <c r="BDQ179" s="2"/>
      <c r="BDR179" s="2"/>
      <c r="BDS179" s="2"/>
      <c r="BDT179" s="2"/>
      <c r="BDU179" s="2"/>
      <c r="BDV179" s="2"/>
      <c r="BDW179" s="2"/>
      <c r="BDX179" s="2"/>
      <c r="BDY179" s="2"/>
      <c r="BDZ179" s="2"/>
      <c r="BEA179" s="2"/>
      <c r="BEB179" s="2"/>
      <c r="BEC179" s="2"/>
      <c r="BED179" s="2"/>
      <c r="BEE179" s="2"/>
      <c r="BEF179" s="2"/>
      <c r="BEG179" s="2"/>
      <c r="BEH179" s="2"/>
      <c r="BEI179" s="2"/>
      <c r="BEJ179" s="2"/>
      <c r="BEK179" s="2"/>
      <c r="BEL179" s="2"/>
      <c r="BEM179" s="2"/>
      <c r="BEN179" s="2"/>
      <c r="BEO179" s="2"/>
      <c r="BEP179" s="2"/>
      <c r="BEQ179" s="2"/>
      <c r="BER179" s="2"/>
      <c r="BES179" s="2"/>
      <c r="BET179" s="2"/>
      <c r="BEU179" s="2"/>
      <c r="BEV179" s="2"/>
      <c r="BEW179" s="2"/>
      <c r="BEX179" s="2"/>
      <c r="BEY179" s="2"/>
      <c r="BEZ179" s="2"/>
      <c r="BFA179" s="2"/>
      <c r="BFB179" s="2"/>
      <c r="BFC179" s="2"/>
      <c r="BFD179" s="2"/>
      <c r="BFE179" s="2"/>
      <c r="BFF179" s="2"/>
      <c r="BFG179" s="2"/>
      <c r="BFH179" s="2"/>
      <c r="BFI179" s="2"/>
      <c r="BFJ179" s="2"/>
      <c r="BFK179" s="2"/>
      <c r="BFL179" s="2"/>
      <c r="BFM179" s="2"/>
      <c r="BFN179" s="2"/>
      <c r="BFO179" s="2"/>
      <c r="BFP179" s="2"/>
      <c r="BFQ179" s="2"/>
      <c r="BFR179" s="2"/>
      <c r="BFS179" s="2"/>
      <c r="BFT179" s="2"/>
      <c r="BFU179" s="2"/>
      <c r="BFV179" s="2"/>
      <c r="BFW179" s="2"/>
      <c r="BFX179" s="2"/>
      <c r="BFY179" s="2"/>
      <c r="BFZ179" s="2"/>
      <c r="BGA179" s="2"/>
      <c r="BGB179" s="2"/>
      <c r="BGC179" s="2"/>
      <c r="BGD179" s="2"/>
      <c r="BGE179" s="2"/>
      <c r="BGF179" s="2"/>
      <c r="BGG179" s="2"/>
      <c r="BGH179" s="2"/>
      <c r="BGI179" s="2"/>
      <c r="BGJ179" s="2"/>
      <c r="BGK179" s="2"/>
      <c r="BGL179" s="2"/>
      <c r="BGM179" s="2"/>
      <c r="BGN179" s="2"/>
      <c r="BGO179" s="2"/>
      <c r="BGP179" s="2"/>
      <c r="BGQ179" s="2"/>
      <c r="BGR179" s="2"/>
      <c r="BGS179" s="2"/>
      <c r="BGT179" s="2"/>
      <c r="BGU179" s="2"/>
      <c r="BGV179" s="2"/>
      <c r="BGW179" s="2"/>
      <c r="BGX179" s="2"/>
      <c r="BGY179" s="2"/>
      <c r="BGZ179" s="2"/>
      <c r="BHA179" s="2"/>
      <c r="BHB179" s="2"/>
      <c r="BHC179" s="2"/>
      <c r="BHD179" s="2"/>
      <c r="BHE179" s="2"/>
      <c r="BHF179" s="2"/>
      <c r="BHG179" s="2"/>
      <c r="BHH179" s="2"/>
      <c r="BHI179" s="2"/>
      <c r="BHJ179" s="2"/>
      <c r="BHK179" s="2"/>
      <c r="BHL179" s="2"/>
      <c r="BHM179" s="2"/>
      <c r="BHN179" s="2"/>
      <c r="BHO179" s="2"/>
      <c r="BHP179" s="2"/>
      <c r="BHQ179" s="2"/>
      <c r="BHR179" s="2"/>
      <c r="BHS179" s="2"/>
      <c r="BHT179" s="2"/>
      <c r="BHU179" s="2"/>
      <c r="BHV179" s="2"/>
      <c r="BHW179" s="2"/>
      <c r="BHX179" s="2"/>
      <c r="BHY179" s="2"/>
      <c r="BHZ179" s="2"/>
      <c r="BIA179" s="2"/>
      <c r="BIB179" s="2"/>
      <c r="BIC179" s="2"/>
      <c r="BID179" s="2"/>
      <c r="BIE179" s="2"/>
      <c r="BIF179" s="2"/>
      <c r="BIG179" s="2"/>
      <c r="BIH179" s="2"/>
      <c r="BII179" s="2"/>
      <c r="BIJ179" s="2"/>
      <c r="BIK179" s="2"/>
      <c r="BIL179" s="2"/>
      <c r="BIM179" s="2"/>
      <c r="BIN179" s="2"/>
      <c r="BIO179" s="2"/>
      <c r="BIP179" s="2"/>
      <c r="BIQ179" s="2"/>
      <c r="BIR179" s="2"/>
      <c r="BIS179" s="2"/>
      <c r="BIT179" s="2"/>
      <c r="BIU179" s="2"/>
      <c r="BIV179" s="2"/>
      <c r="BIW179" s="2"/>
      <c r="BIX179" s="2"/>
      <c r="BIY179" s="2"/>
      <c r="BIZ179" s="2"/>
      <c r="BJA179" s="2"/>
      <c r="BJB179" s="2"/>
      <c r="BJC179" s="2"/>
      <c r="BJD179" s="2"/>
      <c r="BJE179" s="2"/>
      <c r="BJF179" s="2"/>
      <c r="BJG179" s="2"/>
      <c r="BJH179" s="2"/>
      <c r="BJI179" s="2"/>
      <c r="BJJ179" s="2"/>
      <c r="BJK179" s="2"/>
      <c r="BJL179" s="2"/>
      <c r="BJM179" s="2"/>
      <c r="BJN179" s="2"/>
      <c r="BJO179" s="2"/>
      <c r="BJP179" s="2"/>
      <c r="BJQ179" s="2"/>
      <c r="BJR179" s="2"/>
      <c r="BJS179" s="2"/>
      <c r="BJT179" s="2"/>
      <c r="BJU179" s="2"/>
      <c r="BJV179" s="2"/>
      <c r="BJW179" s="2"/>
      <c r="BJX179" s="2"/>
      <c r="BJY179" s="2"/>
      <c r="BJZ179" s="2"/>
      <c r="BKA179" s="2"/>
      <c r="BKB179" s="2"/>
      <c r="BKC179" s="2"/>
      <c r="BKD179" s="2"/>
      <c r="BKE179" s="2"/>
      <c r="BKF179" s="2"/>
      <c r="BKG179" s="2"/>
      <c r="BKH179" s="2"/>
      <c r="BKI179" s="2"/>
      <c r="BKJ179" s="2"/>
      <c r="BKK179" s="2"/>
      <c r="BKL179" s="2"/>
      <c r="BKM179" s="2"/>
      <c r="BKN179" s="2"/>
      <c r="BKO179" s="2"/>
      <c r="BKP179" s="2"/>
      <c r="BKQ179" s="2"/>
      <c r="BKR179" s="2"/>
      <c r="BKS179" s="2"/>
      <c r="BKT179" s="2"/>
      <c r="BKU179" s="2"/>
      <c r="BKV179" s="2"/>
      <c r="BKW179" s="2"/>
      <c r="BKX179" s="2"/>
      <c r="BKY179" s="2"/>
      <c r="BKZ179" s="2"/>
      <c r="BLA179" s="2"/>
      <c r="BLB179" s="2"/>
      <c r="BLC179" s="2"/>
      <c r="BLD179" s="2"/>
      <c r="BLE179" s="2"/>
      <c r="BLF179" s="2"/>
      <c r="BLG179" s="2"/>
      <c r="BLH179" s="2"/>
      <c r="BLI179" s="2"/>
      <c r="BLJ179" s="2"/>
      <c r="BLK179" s="2"/>
      <c r="BLL179" s="2"/>
      <c r="BLM179" s="2"/>
      <c r="BLN179" s="2"/>
      <c r="BLO179" s="2"/>
      <c r="BLP179" s="2"/>
      <c r="BLQ179" s="2"/>
      <c r="BLR179" s="2"/>
      <c r="BLS179" s="2"/>
      <c r="BLT179" s="2"/>
      <c r="BLU179" s="2"/>
      <c r="BLV179" s="2"/>
      <c r="BLW179" s="2"/>
      <c r="BLX179" s="2"/>
      <c r="BLY179" s="2"/>
      <c r="BLZ179" s="2"/>
      <c r="BMA179" s="2"/>
      <c r="BMB179" s="2"/>
      <c r="BMC179" s="2"/>
      <c r="BMD179" s="2"/>
      <c r="BME179" s="2"/>
      <c r="BMF179" s="2"/>
      <c r="BMG179" s="2"/>
      <c r="BMH179" s="2"/>
      <c r="BMI179" s="2"/>
      <c r="BMJ179" s="2"/>
      <c r="BMK179" s="2"/>
      <c r="BML179" s="2"/>
      <c r="BMM179" s="2"/>
      <c r="BMN179" s="2"/>
      <c r="BMO179" s="2"/>
      <c r="BMP179" s="2"/>
      <c r="BMQ179" s="2"/>
      <c r="BMR179" s="2"/>
      <c r="BMS179" s="2"/>
      <c r="BMT179" s="2"/>
      <c r="BMU179" s="2"/>
      <c r="BMV179" s="2"/>
      <c r="BMW179" s="2"/>
      <c r="BMX179" s="2"/>
      <c r="BMY179" s="2"/>
      <c r="BMZ179" s="2"/>
      <c r="BNA179" s="2"/>
      <c r="BNB179" s="2"/>
      <c r="BNC179" s="2"/>
      <c r="BND179" s="2"/>
      <c r="BNE179" s="2"/>
      <c r="BNF179" s="2"/>
      <c r="BNG179" s="2"/>
      <c r="BNH179" s="2"/>
      <c r="BNI179" s="2"/>
      <c r="BNJ179" s="2"/>
      <c r="BNK179" s="2"/>
      <c r="BNL179" s="2"/>
      <c r="BNM179" s="2"/>
      <c r="BNN179" s="2"/>
      <c r="BNO179" s="2"/>
      <c r="BNP179" s="2"/>
      <c r="BNQ179" s="2"/>
      <c r="BNR179" s="2"/>
      <c r="BNS179" s="2"/>
      <c r="BNT179" s="2"/>
      <c r="BNU179" s="2"/>
      <c r="BNV179" s="2"/>
      <c r="BNW179" s="2"/>
      <c r="BNX179" s="2"/>
      <c r="BNY179" s="2"/>
      <c r="BNZ179" s="2"/>
      <c r="BOA179" s="2"/>
      <c r="BOB179" s="2"/>
      <c r="BOC179" s="2"/>
      <c r="BOD179" s="2"/>
      <c r="BOE179" s="2"/>
      <c r="BOF179" s="2"/>
      <c r="BOG179" s="2"/>
      <c r="BOH179" s="2"/>
      <c r="BOI179" s="2"/>
      <c r="BOJ179" s="2"/>
      <c r="BOK179" s="2"/>
      <c r="BOL179" s="2"/>
      <c r="BOM179" s="2"/>
      <c r="BON179" s="2"/>
      <c r="BOO179" s="2"/>
      <c r="BOP179" s="2"/>
      <c r="BOQ179" s="2"/>
      <c r="BOR179" s="2"/>
      <c r="BOS179" s="2"/>
      <c r="BOT179" s="2"/>
      <c r="BOU179" s="2"/>
      <c r="BOV179" s="2"/>
      <c r="BOW179" s="2"/>
      <c r="BOX179" s="2"/>
      <c r="BOY179" s="2"/>
      <c r="BOZ179" s="2"/>
      <c r="BPA179" s="2"/>
      <c r="BPB179" s="2"/>
      <c r="BPC179" s="2"/>
      <c r="BPD179" s="2"/>
      <c r="BPE179" s="2"/>
      <c r="BPF179" s="2"/>
      <c r="BPG179" s="2"/>
      <c r="BPH179" s="2"/>
      <c r="BPI179" s="2"/>
      <c r="BPJ179" s="2"/>
      <c r="BPK179" s="2"/>
      <c r="BPL179" s="2"/>
      <c r="BPM179" s="2"/>
      <c r="BPN179" s="2"/>
      <c r="BPO179" s="2"/>
      <c r="BPP179" s="2"/>
      <c r="BPQ179" s="2"/>
      <c r="BPR179" s="2"/>
      <c r="BPS179" s="2"/>
      <c r="BPT179" s="2"/>
      <c r="BPU179" s="2"/>
      <c r="BPV179" s="2"/>
      <c r="BPW179" s="2"/>
      <c r="BPX179" s="2"/>
      <c r="BPY179" s="2"/>
      <c r="BPZ179" s="2"/>
      <c r="BQA179" s="2"/>
      <c r="BQB179" s="2"/>
      <c r="BQC179" s="2"/>
      <c r="BQD179" s="2"/>
      <c r="BQE179" s="2"/>
      <c r="BQF179" s="2"/>
      <c r="BQG179" s="2"/>
      <c r="BQH179" s="2"/>
      <c r="BQI179" s="2"/>
      <c r="BQJ179" s="2"/>
      <c r="BQK179" s="2"/>
      <c r="BQL179" s="2"/>
      <c r="BQM179" s="2"/>
      <c r="BQN179" s="2"/>
      <c r="BQO179" s="2"/>
      <c r="BQP179" s="2"/>
      <c r="BQQ179" s="2"/>
      <c r="BQR179" s="2"/>
      <c r="BQS179" s="2"/>
      <c r="BQT179" s="2"/>
      <c r="BQU179" s="2"/>
      <c r="BQV179" s="2"/>
      <c r="BQW179" s="2"/>
      <c r="BQX179" s="2"/>
      <c r="BQY179" s="2"/>
      <c r="BQZ179" s="2"/>
      <c r="BRA179" s="2"/>
      <c r="BRB179" s="2"/>
      <c r="BRC179" s="2"/>
      <c r="BRD179" s="2"/>
      <c r="BRE179" s="2"/>
      <c r="BRF179" s="2"/>
      <c r="BRG179" s="2"/>
      <c r="BRH179" s="2"/>
      <c r="BRI179" s="2"/>
      <c r="BRJ179" s="2"/>
      <c r="BRK179" s="2"/>
      <c r="BRL179" s="2"/>
      <c r="BRM179" s="2"/>
      <c r="BRN179" s="2"/>
      <c r="BRO179" s="2"/>
      <c r="BRP179" s="2"/>
      <c r="BRQ179" s="2"/>
      <c r="BRR179" s="2"/>
      <c r="BRS179" s="2"/>
      <c r="BRT179" s="2"/>
      <c r="BRU179" s="2"/>
      <c r="BRV179" s="2"/>
      <c r="BRW179" s="2"/>
      <c r="BRX179" s="2"/>
      <c r="BRY179" s="2"/>
      <c r="BRZ179" s="2"/>
      <c r="BSA179" s="2"/>
      <c r="BSB179" s="2"/>
      <c r="BSC179" s="2"/>
      <c r="BSD179" s="2"/>
      <c r="BSE179" s="2"/>
      <c r="BSF179" s="2"/>
      <c r="BSG179" s="2"/>
      <c r="BSH179" s="2"/>
      <c r="BSI179" s="2"/>
      <c r="BSJ179" s="2"/>
      <c r="BSK179" s="2"/>
      <c r="BSL179" s="2"/>
      <c r="BSM179" s="2"/>
      <c r="BSN179" s="2"/>
      <c r="BSO179" s="2"/>
      <c r="BSP179" s="2"/>
      <c r="BSQ179" s="2"/>
      <c r="BSR179" s="2"/>
      <c r="BSS179" s="2"/>
      <c r="BST179" s="2"/>
      <c r="BSU179" s="2"/>
      <c r="BSV179" s="2"/>
      <c r="BSW179" s="2"/>
      <c r="BSX179" s="2"/>
      <c r="BSY179" s="2"/>
      <c r="BSZ179" s="2"/>
      <c r="BTA179" s="2"/>
      <c r="BTB179" s="2"/>
      <c r="BTC179" s="2"/>
      <c r="BTD179" s="2"/>
      <c r="BTE179" s="2"/>
      <c r="BTF179" s="2"/>
      <c r="BTG179" s="2"/>
      <c r="BTH179" s="2"/>
      <c r="BTI179" s="2"/>
      <c r="BTJ179" s="2"/>
      <c r="BTK179" s="2"/>
      <c r="BTL179" s="2"/>
      <c r="BTM179" s="2"/>
      <c r="BTN179" s="2"/>
      <c r="BTO179" s="2"/>
      <c r="BTP179" s="2"/>
      <c r="BTQ179" s="2"/>
      <c r="BTR179" s="2"/>
      <c r="BTS179" s="2"/>
      <c r="BTT179" s="2"/>
      <c r="BTU179" s="2"/>
      <c r="BTV179" s="2"/>
      <c r="BTW179" s="2"/>
      <c r="BTX179" s="2"/>
      <c r="BTY179" s="2"/>
      <c r="BTZ179" s="2"/>
      <c r="BUA179" s="2"/>
      <c r="BUB179" s="2"/>
      <c r="BUC179" s="2"/>
      <c r="BUD179" s="2"/>
      <c r="BUE179" s="2"/>
      <c r="BUF179" s="2"/>
      <c r="BUG179" s="2"/>
      <c r="BUH179" s="2"/>
      <c r="BUI179" s="2"/>
      <c r="BUJ179" s="2"/>
      <c r="BUK179" s="2"/>
      <c r="BUL179" s="2"/>
      <c r="BUM179" s="2"/>
      <c r="BUN179" s="2"/>
      <c r="BUO179" s="2"/>
      <c r="BUP179" s="2"/>
      <c r="BUQ179" s="2"/>
      <c r="BUR179" s="2"/>
      <c r="BUS179" s="2"/>
      <c r="BUT179" s="2"/>
      <c r="BUU179" s="2"/>
      <c r="BUV179" s="2"/>
      <c r="BUW179" s="2"/>
      <c r="BUX179" s="2"/>
      <c r="BUY179" s="2"/>
      <c r="BUZ179" s="2"/>
      <c r="BVA179" s="2"/>
      <c r="BVB179" s="2"/>
      <c r="BVC179" s="2"/>
      <c r="BVD179" s="2"/>
      <c r="BVE179" s="2"/>
      <c r="BVF179" s="2"/>
      <c r="BVG179" s="2"/>
      <c r="BVH179" s="2"/>
      <c r="BVI179" s="2"/>
      <c r="BVJ179" s="2"/>
      <c r="BVK179" s="2"/>
      <c r="BVL179" s="2"/>
      <c r="BVM179" s="2"/>
      <c r="BVN179" s="2"/>
      <c r="BVO179" s="2"/>
      <c r="BVP179" s="2"/>
      <c r="BVQ179" s="2"/>
      <c r="BVR179" s="2"/>
      <c r="BVS179" s="2"/>
      <c r="BVT179" s="2"/>
      <c r="BVU179" s="2"/>
      <c r="BVV179" s="2"/>
      <c r="BVW179" s="2"/>
      <c r="BVX179" s="2"/>
      <c r="BVY179" s="2"/>
      <c r="BVZ179" s="2"/>
      <c r="BWA179" s="2"/>
      <c r="BWB179" s="2"/>
      <c r="BWC179" s="2"/>
      <c r="BWD179" s="2"/>
      <c r="BWE179" s="2"/>
      <c r="BWF179" s="2"/>
      <c r="BWG179" s="2"/>
      <c r="BWH179" s="2"/>
      <c r="BWI179" s="2"/>
      <c r="BWJ179" s="2"/>
      <c r="BWK179" s="2"/>
      <c r="BWL179" s="2"/>
      <c r="BWM179" s="2"/>
      <c r="BWN179" s="2"/>
      <c r="BWO179" s="2"/>
      <c r="BWP179" s="2"/>
      <c r="BWQ179" s="2"/>
      <c r="BWR179" s="2"/>
      <c r="BWS179" s="2"/>
      <c r="BWT179" s="2"/>
      <c r="BWU179" s="2"/>
      <c r="BWV179" s="2"/>
      <c r="BWW179" s="2"/>
      <c r="BWX179" s="2"/>
      <c r="BWY179" s="2"/>
      <c r="BWZ179" s="2"/>
      <c r="BXA179" s="2"/>
      <c r="BXB179" s="2"/>
      <c r="BXC179" s="2"/>
      <c r="BXD179" s="2"/>
      <c r="BXE179" s="2"/>
      <c r="BXF179" s="2"/>
      <c r="BXG179" s="2"/>
      <c r="BXH179" s="2"/>
      <c r="BXI179" s="2"/>
      <c r="BXJ179" s="2"/>
      <c r="BXK179" s="2"/>
      <c r="BXL179" s="2"/>
      <c r="BXM179" s="2"/>
      <c r="BXN179" s="2"/>
      <c r="BXO179" s="2"/>
      <c r="BXP179" s="2"/>
      <c r="BXQ179" s="2"/>
      <c r="BXR179" s="2"/>
      <c r="BXS179" s="2"/>
      <c r="BXT179" s="2"/>
      <c r="BXU179" s="2"/>
      <c r="BXV179" s="2"/>
      <c r="BXW179" s="2"/>
      <c r="BXX179" s="2"/>
      <c r="BXY179" s="2"/>
      <c r="BXZ179" s="2"/>
      <c r="BYA179" s="2"/>
      <c r="BYB179" s="2"/>
      <c r="BYC179" s="2"/>
      <c r="BYD179" s="2"/>
      <c r="BYE179" s="2"/>
      <c r="BYF179" s="2"/>
      <c r="BYG179" s="2"/>
      <c r="BYH179" s="2"/>
      <c r="BYI179" s="2"/>
      <c r="BYJ179" s="2"/>
      <c r="BYK179" s="2"/>
      <c r="BYL179" s="2"/>
      <c r="BYM179" s="2"/>
      <c r="BYN179" s="2"/>
      <c r="BYO179" s="2"/>
      <c r="BYP179" s="2"/>
      <c r="BYQ179" s="2"/>
      <c r="BYR179" s="2"/>
      <c r="BYS179" s="2"/>
      <c r="BYT179" s="2"/>
      <c r="BYU179" s="2"/>
      <c r="BYV179" s="2"/>
      <c r="BYW179" s="2"/>
      <c r="BYX179" s="2"/>
      <c r="BYY179" s="2"/>
      <c r="BYZ179" s="2"/>
      <c r="BZA179" s="2"/>
      <c r="BZB179" s="2"/>
      <c r="BZC179" s="2"/>
      <c r="BZD179" s="2"/>
      <c r="BZE179" s="2"/>
      <c r="BZF179" s="2"/>
      <c r="BZG179" s="2"/>
      <c r="BZH179" s="2"/>
      <c r="BZI179" s="2"/>
      <c r="BZJ179" s="2"/>
      <c r="BZK179" s="2"/>
      <c r="BZL179" s="2"/>
      <c r="BZM179" s="2"/>
      <c r="BZN179" s="2"/>
      <c r="BZO179" s="2"/>
      <c r="BZP179" s="2"/>
      <c r="BZQ179" s="2"/>
      <c r="BZR179" s="2"/>
      <c r="BZS179" s="2"/>
      <c r="BZT179" s="2"/>
      <c r="BZU179" s="2"/>
      <c r="BZV179" s="2"/>
      <c r="BZW179" s="2"/>
      <c r="BZX179" s="2"/>
      <c r="BZY179" s="2"/>
      <c r="BZZ179" s="2"/>
      <c r="CAA179" s="2"/>
      <c r="CAB179" s="2"/>
      <c r="CAC179" s="2"/>
      <c r="CAD179" s="2"/>
      <c r="CAE179" s="2"/>
      <c r="CAF179" s="2"/>
      <c r="CAG179" s="2"/>
      <c r="CAH179" s="2"/>
      <c r="CAI179" s="2"/>
      <c r="CAJ179" s="2"/>
      <c r="CAK179" s="2"/>
      <c r="CAL179" s="2"/>
      <c r="CAM179" s="2"/>
      <c r="CAN179" s="2"/>
      <c r="CAO179" s="2"/>
      <c r="CAP179" s="2"/>
      <c r="CAQ179" s="2"/>
      <c r="CAR179" s="2"/>
      <c r="CAS179" s="2"/>
      <c r="CAT179" s="2"/>
      <c r="CAU179" s="2"/>
      <c r="CAV179" s="2"/>
      <c r="CAW179" s="2"/>
      <c r="CAX179" s="2"/>
      <c r="CAY179" s="2"/>
      <c r="CAZ179" s="2"/>
      <c r="CBA179" s="2"/>
      <c r="CBB179" s="2"/>
      <c r="CBC179" s="2"/>
      <c r="CBD179" s="2"/>
      <c r="CBE179" s="2"/>
      <c r="CBF179" s="2"/>
      <c r="CBG179" s="2"/>
      <c r="CBH179" s="2"/>
      <c r="CBI179" s="2"/>
      <c r="CBJ179" s="2"/>
      <c r="CBK179" s="2"/>
      <c r="CBL179" s="2"/>
      <c r="CBM179" s="2"/>
      <c r="CBN179" s="2"/>
      <c r="CBO179" s="2"/>
      <c r="CBP179" s="2"/>
      <c r="CBQ179" s="2"/>
      <c r="CBR179" s="2"/>
      <c r="CBS179" s="2"/>
      <c r="CBT179" s="2"/>
      <c r="CBU179" s="2"/>
      <c r="CBV179" s="2"/>
      <c r="CBW179" s="2"/>
      <c r="CBX179" s="2"/>
      <c r="CBY179" s="2"/>
      <c r="CBZ179" s="2"/>
      <c r="CCA179" s="2"/>
      <c r="CCB179" s="2"/>
      <c r="CCC179" s="2"/>
      <c r="CCD179" s="2"/>
      <c r="CCE179" s="2"/>
      <c r="CCF179" s="2"/>
      <c r="CCG179" s="2"/>
      <c r="CCH179" s="2"/>
      <c r="CCI179" s="2"/>
      <c r="CCJ179" s="2"/>
      <c r="CCK179" s="2"/>
      <c r="CCL179" s="2"/>
      <c r="CCM179" s="2"/>
      <c r="CCN179" s="2"/>
      <c r="CCO179" s="2"/>
      <c r="CCP179" s="2"/>
      <c r="CCQ179" s="2"/>
      <c r="CCR179" s="2"/>
      <c r="CCS179" s="2"/>
      <c r="CCT179" s="2"/>
      <c r="CCU179" s="2"/>
      <c r="CCV179" s="2"/>
      <c r="CCW179" s="2"/>
      <c r="CCX179" s="2"/>
      <c r="CCY179" s="2"/>
      <c r="CCZ179" s="2"/>
      <c r="CDA179" s="2"/>
      <c r="CDB179" s="2"/>
      <c r="CDC179" s="2"/>
      <c r="CDD179" s="2"/>
      <c r="CDE179" s="2"/>
      <c r="CDF179" s="2"/>
      <c r="CDG179" s="2"/>
      <c r="CDH179" s="2"/>
      <c r="CDI179" s="2"/>
      <c r="CDJ179" s="2"/>
      <c r="CDK179" s="2"/>
      <c r="CDL179" s="2"/>
      <c r="CDM179" s="2"/>
      <c r="CDN179" s="2"/>
      <c r="CDO179" s="2"/>
      <c r="CDP179" s="2"/>
      <c r="CDQ179" s="2"/>
      <c r="CDR179" s="2"/>
      <c r="CDS179" s="2"/>
      <c r="CDT179" s="2"/>
      <c r="CDU179" s="2"/>
      <c r="CDV179" s="2"/>
      <c r="CDW179" s="2"/>
      <c r="CDX179" s="2"/>
      <c r="CDY179" s="2"/>
      <c r="CDZ179" s="2"/>
      <c r="CEA179" s="2"/>
      <c r="CEB179" s="2"/>
      <c r="CEC179" s="2"/>
      <c r="CED179" s="2"/>
      <c r="CEE179" s="2"/>
      <c r="CEF179" s="2"/>
      <c r="CEG179" s="2"/>
      <c r="CEH179" s="2"/>
      <c r="CEI179" s="2"/>
      <c r="CEJ179" s="2"/>
      <c r="CEK179" s="2"/>
      <c r="CEL179" s="2"/>
      <c r="CEM179" s="2"/>
      <c r="CEN179" s="2"/>
      <c r="CEO179" s="2"/>
      <c r="CEP179" s="2"/>
      <c r="CEQ179" s="2"/>
      <c r="CER179" s="2"/>
      <c r="CES179" s="2"/>
      <c r="CET179" s="2"/>
      <c r="CEU179" s="2"/>
      <c r="CEV179" s="2"/>
      <c r="CEW179" s="2"/>
      <c r="CEX179" s="2"/>
      <c r="CEY179" s="2"/>
      <c r="CEZ179" s="2"/>
      <c r="CFA179" s="2"/>
      <c r="CFB179" s="2"/>
      <c r="CFC179" s="2"/>
      <c r="CFD179" s="2"/>
      <c r="CFE179" s="2"/>
      <c r="CFF179" s="2"/>
      <c r="CFG179" s="2"/>
      <c r="CFH179" s="2"/>
      <c r="CFI179" s="2"/>
      <c r="CFJ179" s="2"/>
      <c r="CFK179" s="2"/>
      <c r="CFL179" s="2"/>
      <c r="CFM179" s="2"/>
      <c r="CFN179" s="2"/>
      <c r="CFO179" s="2"/>
      <c r="CFP179" s="2"/>
      <c r="CFQ179" s="2"/>
      <c r="CFR179" s="2"/>
      <c r="CFS179" s="2"/>
      <c r="CFT179" s="2"/>
      <c r="CFU179" s="2"/>
      <c r="CFV179" s="2"/>
      <c r="CFW179" s="2"/>
      <c r="CFX179" s="2"/>
      <c r="CFY179" s="2"/>
      <c r="CFZ179" s="2"/>
      <c r="CGA179" s="2"/>
      <c r="CGB179" s="2"/>
      <c r="CGC179" s="2"/>
      <c r="CGD179" s="2"/>
      <c r="CGE179" s="2"/>
      <c r="CGF179" s="2"/>
      <c r="CGG179" s="2"/>
      <c r="CGH179" s="2"/>
      <c r="CGI179" s="2"/>
      <c r="CGJ179" s="2"/>
      <c r="CGK179" s="2"/>
      <c r="CGL179" s="2"/>
      <c r="CGM179" s="2"/>
      <c r="CGN179" s="2"/>
      <c r="CGO179" s="2"/>
      <c r="CGP179" s="2"/>
      <c r="CGQ179" s="2"/>
      <c r="CGR179" s="2"/>
      <c r="CGS179" s="2"/>
      <c r="CGT179" s="2"/>
      <c r="CGU179" s="2"/>
      <c r="CGV179" s="2"/>
      <c r="CGW179" s="2"/>
      <c r="CGX179" s="2"/>
      <c r="CGY179" s="2"/>
      <c r="CGZ179" s="2"/>
      <c r="CHA179" s="2"/>
      <c r="CHB179" s="2"/>
      <c r="CHC179" s="2"/>
      <c r="CHD179" s="2"/>
      <c r="CHE179" s="2"/>
      <c r="CHF179" s="2"/>
      <c r="CHG179" s="2"/>
      <c r="CHH179" s="2"/>
      <c r="CHI179" s="2"/>
      <c r="CHJ179" s="2"/>
      <c r="CHK179" s="2"/>
      <c r="CHL179" s="2"/>
      <c r="CHM179" s="2"/>
      <c r="CHN179" s="2"/>
      <c r="CHO179" s="2"/>
      <c r="CHP179" s="2"/>
      <c r="CHQ179" s="2"/>
      <c r="CHR179" s="2"/>
      <c r="CHS179" s="2"/>
      <c r="CHT179" s="2"/>
      <c r="CHU179" s="2"/>
      <c r="CHV179" s="2"/>
      <c r="CHW179" s="2"/>
      <c r="CHX179" s="2"/>
      <c r="CHY179" s="2"/>
      <c r="CHZ179" s="2"/>
      <c r="CIA179" s="2"/>
      <c r="CIB179" s="2"/>
      <c r="CIC179" s="2"/>
      <c r="CID179" s="2"/>
      <c r="CIE179" s="2"/>
      <c r="CIF179" s="2"/>
      <c r="CIG179" s="2"/>
      <c r="CIH179" s="2"/>
      <c r="CII179" s="2"/>
      <c r="CIJ179" s="2"/>
      <c r="CIK179" s="2"/>
      <c r="CIL179" s="2"/>
      <c r="CIM179" s="2"/>
      <c r="CIN179" s="2"/>
      <c r="CIO179" s="2"/>
      <c r="CIP179" s="2"/>
      <c r="CIQ179" s="2"/>
      <c r="CIR179" s="2"/>
      <c r="CIS179" s="2"/>
      <c r="CIT179" s="2"/>
      <c r="CIU179" s="2"/>
      <c r="CIV179" s="2"/>
      <c r="CIW179" s="2"/>
      <c r="CIX179" s="2"/>
      <c r="CIY179" s="2"/>
      <c r="CIZ179" s="2"/>
      <c r="CJA179" s="2"/>
      <c r="CJB179" s="2"/>
      <c r="CJC179" s="2"/>
      <c r="CJD179" s="2"/>
      <c r="CJE179" s="2"/>
      <c r="CJF179" s="2"/>
      <c r="CJG179" s="2"/>
      <c r="CJH179" s="2"/>
      <c r="CJI179" s="2"/>
      <c r="CJJ179" s="2"/>
      <c r="CJK179" s="2"/>
      <c r="CJL179" s="2"/>
      <c r="CJM179" s="2"/>
      <c r="CJN179" s="2"/>
      <c r="CJO179" s="2"/>
      <c r="CJP179" s="2"/>
      <c r="CJQ179" s="2"/>
      <c r="CJR179" s="2"/>
      <c r="CJS179" s="2"/>
      <c r="CJT179" s="2"/>
      <c r="CJU179" s="2"/>
      <c r="CJV179" s="2"/>
      <c r="CJW179" s="2"/>
      <c r="CJX179" s="2"/>
      <c r="CJY179" s="2"/>
      <c r="CJZ179" s="2"/>
      <c r="CKA179" s="2"/>
      <c r="CKB179" s="2"/>
      <c r="CKC179" s="2"/>
      <c r="CKD179" s="2"/>
      <c r="CKE179" s="2"/>
      <c r="CKF179" s="2"/>
      <c r="CKG179" s="2"/>
      <c r="CKH179" s="2"/>
      <c r="CKI179" s="2"/>
      <c r="CKJ179" s="2"/>
      <c r="CKK179" s="2"/>
      <c r="CKL179" s="2"/>
      <c r="CKM179" s="2"/>
      <c r="CKN179" s="2"/>
      <c r="CKO179" s="2"/>
      <c r="CKP179" s="2"/>
      <c r="CKQ179" s="2"/>
      <c r="CKR179" s="2"/>
      <c r="CKS179" s="2"/>
      <c r="CKT179" s="2"/>
      <c r="CKU179" s="2"/>
      <c r="CKV179" s="2"/>
      <c r="CKW179" s="2"/>
      <c r="CKX179" s="2"/>
      <c r="CKY179" s="2"/>
      <c r="CKZ179" s="2"/>
      <c r="CLA179" s="2"/>
      <c r="CLB179" s="2"/>
      <c r="CLC179" s="2"/>
      <c r="CLD179" s="2"/>
      <c r="CLE179" s="2"/>
      <c r="CLF179" s="2"/>
      <c r="CLG179" s="2"/>
      <c r="CLH179" s="2"/>
      <c r="CLI179" s="2"/>
      <c r="CLJ179" s="2"/>
      <c r="CLK179" s="2"/>
      <c r="CLL179" s="2"/>
      <c r="CLM179" s="2"/>
      <c r="CLN179" s="2"/>
      <c r="CLO179" s="2"/>
      <c r="CLP179" s="2"/>
      <c r="CLQ179" s="2"/>
      <c r="CLR179" s="2"/>
      <c r="CLS179" s="2"/>
      <c r="CLT179" s="2"/>
      <c r="CLU179" s="2"/>
      <c r="CLV179" s="2"/>
      <c r="CLW179" s="2"/>
      <c r="CLX179" s="2"/>
      <c r="CLY179" s="2"/>
      <c r="CLZ179" s="2"/>
      <c r="CMA179" s="2"/>
      <c r="CMB179" s="2"/>
      <c r="CMC179" s="2"/>
      <c r="CMD179" s="2"/>
      <c r="CME179" s="2"/>
      <c r="CMF179" s="2"/>
      <c r="CMG179" s="2"/>
      <c r="CMH179" s="2"/>
      <c r="CMI179" s="2"/>
      <c r="CMJ179" s="2"/>
      <c r="CMK179" s="2"/>
      <c r="CML179" s="2"/>
      <c r="CMM179" s="2"/>
      <c r="CMN179" s="2"/>
      <c r="CMO179" s="2"/>
      <c r="CMP179" s="2"/>
      <c r="CMQ179" s="2"/>
      <c r="CMR179" s="2"/>
      <c r="CMS179" s="2"/>
      <c r="CMT179" s="2"/>
      <c r="CMU179" s="2"/>
      <c r="CMV179" s="2"/>
      <c r="CMW179" s="2"/>
      <c r="CMX179" s="2"/>
      <c r="CMY179" s="2"/>
      <c r="CMZ179" s="2"/>
      <c r="CNA179" s="2"/>
      <c r="CNB179" s="2"/>
      <c r="CNC179" s="2"/>
      <c r="CND179" s="2"/>
      <c r="CNE179" s="2"/>
      <c r="CNF179" s="2"/>
      <c r="CNG179" s="2"/>
      <c r="CNH179" s="2"/>
      <c r="CNI179" s="2"/>
      <c r="CNJ179" s="2"/>
      <c r="CNK179" s="2"/>
      <c r="CNL179" s="2"/>
      <c r="CNM179" s="2"/>
      <c r="CNN179" s="2"/>
      <c r="CNO179" s="2"/>
      <c r="CNP179" s="2"/>
      <c r="CNQ179" s="2"/>
      <c r="CNR179" s="2"/>
      <c r="CNS179" s="2"/>
      <c r="CNT179" s="2"/>
      <c r="CNU179" s="2"/>
      <c r="CNV179" s="2"/>
      <c r="CNW179" s="2"/>
      <c r="CNX179" s="2"/>
      <c r="CNY179" s="2"/>
      <c r="CNZ179" s="2"/>
      <c r="COA179" s="2"/>
      <c r="COB179" s="2"/>
      <c r="COC179" s="2"/>
      <c r="COD179" s="2"/>
      <c r="COE179" s="2"/>
      <c r="COF179" s="2"/>
      <c r="COG179" s="2"/>
      <c r="COH179" s="2"/>
      <c r="COI179" s="2"/>
      <c r="COJ179" s="2"/>
      <c r="COK179" s="2"/>
      <c r="COL179" s="2"/>
      <c r="COM179" s="2"/>
      <c r="CON179" s="2"/>
      <c r="COO179" s="2"/>
      <c r="COP179" s="2"/>
      <c r="COQ179" s="2"/>
      <c r="COR179" s="2"/>
      <c r="COS179" s="2"/>
      <c r="COT179" s="2"/>
      <c r="COU179" s="2"/>
      <c r="COV179" s="2"/>
      <c r="COW179" s="2"/>
      <c r="COX179" s="2"/>
      <c r="COY179" s="2"/>
      <c r="COZ179" s="2"/>
      <c r="CPA179" s="2"/>
      <c r="CPB179" s="2"/>
      <c r="CPC179" s="2"/>
      <c r="CPD179" s="2"/>
      <c r="CPE179" s="2"/>
      <c r="CPF179" s="2"/>
      <c r="CPG179" s="2"/>
      <c r="CPH179" s="2"/>
      <c r="CPI179" s="2"/>
      <c r="CPJ179" s="2"/>
      <c r="CPK179" s="2"/>
      <c r="CPL179" s="2"/>
      <c r="CPM179" s="2"/>
      <c r="CPN179" s="2"/>
      <c r="CPO179" s="2"/>
      <c r="CPP179" s="2"/>
      <c r="CPQ179" s="2"/>
      <c r="CPR179" s="2"/>
      <c r="CPS179" s="2"/>
      <c r="CPT179" s="2"/>
      <c r="CPU179" s="2"/>
      <c r="CPV179" s="2"/>
      <c r="CPW179" s="2"/>
      <c r="CPX179" s="2"/>
      <c r="CPY179" s="2"/>
      <c r="CPZ179" s="2"/>
      <c r="CQA179" s="2"/>
      <c r="CQB179" s="2"/>
      <c r="CQC179" s="2"/>
      <c r="CQD179" s="2"/>
      <c r="CQE179" s="2"/>
      <c r="CQF179" s="2"/>
      <c r="CQG179" s="2"/>
      <c r="CQH179" s="2"/>
      <c r="CQI179" s="2"/>
      <c r="CQJ179" s="2"/>
      <c r="CQK179" s="2"/>
      <c r="CQL179" s="2"/>
      <c r="CQM179" s="2"/>
      <c r="CQN179" s="2"/>
      <c r="CQO179" s="2"/>
      <c r="CQP179" s="2"/>
      <c r="CQQ179" s="2"/>
      <c r="CQR179" s="2"/>
      <c r="CQS179" s="2"/>
      <c r="CQT179" s="2"/>
      <c r="CQU179" s="2"/>
      <c r="CQV179" s="2"/>
      <c r="CQW179" s="2"/>
      <c r="CQX179" s="2"/>
      <c r="CQY179" s="2"/>
      <c r="CQZ179" s="2"/>
      <c r="CRA179" s="2"/>
      <c r="CRB179" s="2"/>
      <c r="CRC179" s="2"/>
      <c r="CRD179" s="2"/>
      <c r="CRE179" s="2"/>
      <c r="CRF179" s="2"/>
      <c r="CRG179" s="2"/>
      <c r="CRH179" s="2"/>
      <c r="CRI179" s="2"/>
      <c r="CRJ179" s="2"/>
      <c r="CRK179" s="2"/>
      <c r="CRL179" s="2"/>
      <c r="CRM179" s="2"/>
      <c r="CRN179" s="2"/>
      <c r="CRO179" s="2"/>
      <c r="CRP179" s="2"/>
      <c r="CRQ179" s="2"/>
      <c r="CRR179" s="2"/>
      <c r="CRS179" s="2"/>
      <c r="CRT179" s="2"/>
      <c r="CRU179" s="2"/>
      <c r="CRV179" s="2"/>
      <c r="CRW179" s="2"/>
      <c r="CRX179" s="2"/>
      <c r="CRY179" s="2"/>
      <c r="CRZ179" s="2"/>
      <c r="CSA179" s="2"/>
      <c r="CSB179" s="2"/>
      <c r="CSC179" s="2"/>
      <c r="CSD179" s="2"/>
      <c r="CSE179" s="2"/>
      <c r="CSF179" s="2"/>
      <c r="CSG179" s="2"/>
      <c r="CSH179" s="2"/>
      <c r="CSI179" s="2"/>
      <c r="CSJ179" s="2"/>
      <c r="CSK179" s="2"/>
      <c r="CSL179" s="2"/>
      <c r="CSM179" s="2"/>
      <c r="CSN179" s="2"/>
      <c r="CSO179" s="2"/>
      <c r="CSP179" s="2"/>
      <c r="CSQ179" s="2"/>
      <c r="CSR179" s="2"/>
      <c r="CSS179" s="2"/>
      <c r="CST179" s="2"/>
      <c r="CSU179" s="2"/>
      <c r="CSV179" s="2"/>
      <c r="CSW179" s="2"/>
      <c r="CSX179" s="2"/>
      <c r="CSY179" s="2"/>
      <c r="CSZ179" s="2"/>
      <c r="CTA179" s="2"/>
      <c r="CTB179" s="2"/>
      <c r="CTC179" s="2"/>
      <c r="CTD179" s="2"/>
      <c r="CTE179" s="2"/>
      <c r="CTF179" s="2"/>
      <c r="CTG179" s="2"/>
      <c r="CTH179" s="2"/>
      <c r="CTI179" s="2"/>
      <c r="CTJ179" s="2"/>
      <c r="CTK179" s="2"/>
      <c r="CTL179" s="2"/>
      <c r="CTM179" s="2"/>
      <c r="CTN179" s="2"/>
      <c r="CTO179" s="2"/>
      <c r="CTP179" s="2"/>
      <c r="CTQ179" s="2"/>
      <c r="CTR179" s="2"/>
      <c r="CTS179" s="2"/>
      <c r="CTT179" s="2"/>
      <c r="CTU179" s="2"/>
      <c r="CTV179" s="2"/>
      <c r="CTW179" s="2"/>
      <c r="CTX179" s="2"/>
      <c r="CTY179" s="2"/>
      <c r="CTZ179" s="2"/>
      <c r="CUA179" s="2"/>
      <c r="CUB179" s="2"/>
      <c r="CUC179" s="2"/>
      <c r="CUD179" s="2"/>
      <c r="CUE179" s="2"/>
      <c r="CUF179" s="2"/>
      <c r="CUG179" s="2"/>
      <c r="CUH179" s="2"/>
      <c r="CUI179" s="2"/>
      <c r="CUJ179" s="2"/>
      <c r="CUK179" s="2"/>
      <c r="CUL179" s="2"/>
      <c r="CUM179" s="2"/>
      <c r="CUN179" s="2"/>
      <c r="CUO179" s="2"/>
      <c r="CUP179" s="2"/>
      <c r="CUQ179" s="2"/>
      <c r="CUR179" s="2"/>
      <c r="CUS179" s="2"/>
      <c r="CUT179" s="2"/>
      <c r="CUU179" s="2"/>
      <c r="CUV179" s="2"/>
      <c r="CUW179" s="2"/>
      <c r="CUX179" s="2"/>
      <c r="CUY179" s="2"/>
      <c r="CUZ179" s="2"/>
      <c r="CVA179" s="2"/>
      <c r="CVB179" s="2"/>
      <c r="CVC179" s="2"/>
      <c r="CVD179" s="2"/>
      <c r="CVE179" s="2"/>
      <c r="CVF179" s="2"/>
      <c r="CVG179" s="2"/>
      <c r="CVH179" s="2"/>
      <c r="CVI179" s="2"/>
      <c r="CVJ179" s="2"/>
      <c r="CVK179" s="2"/>
      <c r="CVL179" s="2"/>
      <c r="CVM179" s="2"/>
      <c r="CVN179" s="2"/>
      <c r="CVO179" s="2"/>
      <c r="CVP179" s="2"/>
      <c r="CVQ179" s="2"/>
      <c r="CVR179" s="2"/>
      <c r="CVS179" s="2"/>
      <c r="CVT179" s="2"/>
      <c r="CVU179" s="2"/>
      <c r="CVV179" s="2"/>
      <c r="CVW179" s="2"/>
      <c r="CVX179" s="2"/>
      <c r="CVY179" s="2"/>
      <c r="CVZ179" s="2"/>
      <c r="CWA179" s="2"/>
      <c r="CWB179" s="2"/>
      <c r="CWC179" s="2"/>
      <c r="CWD179" s="2"/>
      <c r="CWE179" s="2"/>
      <c r="CWF179" s="2"/>
      <c r="CWG179" s="2"/>
      <c r="CWH179" s="2"/>
      <c r="CWI179" s="2"/>
      <c r="CWJ179" s="2"/>
      <c r="CWK179" s="2"/>
      <c r="CWL179" s="2"/>
      <c r="CWM179" s="2"/>
      <c r="CWN179" s="2"/>
      <c r="CWO179" s="2"/>
      <c r="CWP179" s="2"/>
      <c r="CWQ179" s="2"/>
      <c r="CWR179" s="2"/>
      <c r="CWS179" s="2"/>
      <c r="CWT179" s="2"/>
      <c r="CWU179" s="2"/>
      <c r="CWV179" s="2"/>
      <c r="CWW179" s="2"/>
      <c r="CWX179" s="2"/>
      <c r="CWY179" s="2"/>
      <c r="CWZ179" s="2"/>
      <c r="CXA179" s="2"/>
      <c r="CXB179" s="2"/>
      <c r="CXC179" s="2"/>
      <c r="CXD179" s="2"/>
      <c r="CXE179" s="2"/>
      <c r="CXF179" s="2"/>
      <c r="CXG179" s="2"/>
      <c r="CXH179" s="2"/>
      <c r="CXI179" s="2"/>
      <c r="CXJ179" s="2"/>
      <c r="CXK179" s="2"/>
      <c r="CXL179" s="2"/>
      <c r="CXM179" s="2"/>
      <c r="CXN179" s="2"/>
      <c r="CXO179" s="2"/>
      <c r="CXP179" s="2"/>
      <c r="CXQ179" s="2"/>
      <c r="CXR179" s="2"/>
      <c r="CXS179" s="2"/>
      <c r="CXT179" s="2"/>
      <c r="CXU179" s="2"/>
      <c r="CXV179" s="2"/>
      <c r="CXW179" s="2"/>
      <c r="CXX179" s="2"/>
      <c r="CXY179" s="2"/>
      <c r="CXZ179" s="2"/>
      <c r="CYA179" s="2"/>
      <c r="CYB179" s="2"/>
      <c r="CYC179" s="2"/>
      <c r="CYD179" s="2"/>
      <c r="CYE179" s="2"/>
      <c r="CYF179" s="2"/>
      <c r="CYG179" s="2"/>
      <c r="CYH179" s="2"/>
      <c r="CYI179" s="2"/>
      <c r="CYJ179" s="2"/>
      <c r="CYK179" s="2"/>
      <c r="CYL179" s="2"/>
      <c r="CYM179" s="2"/>
      <c r="CYN179" s="2"/>
      <c r="CYO179" s="2"/>
      <c r="CYP179" s="2"/>
      <c r="CYQ179" s="2"/>
      <c r="CYR179" s="2"/>
      <c r="CYS179" s="2"/>
      <c r="CYT179" s="2"/>
      <c r="CYU179" s="2"/>
      <c r="CYV179" s="2"/>
      <c r="CYW179" s="2"/>
      <c r="CYX179" s="2"/>
      <c r="CYY179" s="2"/>
      <c r="CYZ179" s="2"/>
      <c r="CZA179" s="2"/>
      <c r="CZB179" s="2"/>
      <c r="CZC179" s="2"/>
      <c r="CZD179" s="2"/>
      <c r="CZE179" s="2"/>
      <c r="CZF179" s="2"/>
      <c r="CZG179" s="2"/>
      <c r="CZH179" s="2"/>
      <c r="CZI179" s="2"/>
      <c r="CZJ179" s="2"/>
      <c r="CZK179" s="2"/>
      <c r="CZL179" s="2"/>
      <c r="CZM179" s="2"/>
      <c r="CZN179" s="2"/>
      <c r="CZO179" s="2"/>
      <c r="CZP179" s="2"/>
      <c r="CZQ179" s="2"/>
      <c r="CZR179" s="2"/>
      <c r="CZS179" s="2"/>
      <c r="CZT179" s="2"/>
      <c r="CZU179" s="2"/>
      <c r="CZV179" s="2"/>
      <c r="CZW179" s="2"/>
      <c r="CZX179" s="2"/>
      <c r="CZY179" s="2"/>
      <c r="CZZ179" s="2"/>
      <c r="DAA179" s="2"/>
      <c r="DAB179" s="2"/>
      <c r="DAC179" s="2"/>
      <c r="DAD179" s="2"/>
      <c r="DAE179" s="2"/>
      <c r="DAF179" s="2"/>
      <c r="DAG179" s="2"/>
      <c r="DAH179" s="2"/>
      <c r="DAI179" s="2"/>
      <c r="DAJ179" s="2"/>
      <c r="DAK179" s="2"/>
      <c r="DAL179" s="2"/>
      <c r="DAM179" s="2"/>
      <c r="DAN179" s="2"/>
      <c r="DAO179" s="2"/>
      <c r="DAP179" s="2"/>
      <c r="DAQ179" s="2"/>
      <c r="DAR179" s="2"/>
      <c r="DAS179" s="2"/>
      <c r="DAT179" s="2"/>
      <c r="DAU179" s="2"/>
      <c r="DAV179" s="2"/>
      <c r="DAW179" s="2"/>
      <c r="DAX179" s="2"/>
      <c r="DAY179" s="2"/>
      <c r="DAZ179" s="2"/>
      <c r="DBA179" s="2"/>
      <c r="DBB179" s="2"/>
      <c r="DBC179" s="2"/>
      <c r="DBD179" s="2"/>
      <c r="DBE179" s="2"/>
      <c r="DBF179" s="2"/>
      <c r="DBG179" s="2"/>
      <c r="DBH179" s="2"/>
      <c r="DBI179" s="2"/>
      <c r="DBJ179" s="2"/>
      <c r="DBK179" s="2"/>
      <c r="DBL179" s="2"/>
      <c r="DBM179" s="2"/>
      <c r="DBN179" s="2"/>
      <c r="DBO179" s="2"/>
      <c r="DBP179" s="2"/>
      <c r="DBQ179" s="2"/>
      <c r="DBR179" s="2"/>
      <c r="DBS179" s="2"/>
      <c r="DBT179" s="2"/>
      <c r="DBU179" s="2"/>
      <c r="DBV179" s="2"/>
      <c r="DBW179" s="2"/>
      <c r="DBX179" s="2"/>
      <c r="DBY179" s="2"/>
      <c r="DBZ179" s="2"/>
      <c r="DCA179" s="2"/>
      <c r="DCB179" s="2"/>
      <c r="DCC179" s="2"/>
      <c r="DCD179" s="2"/>
      <c r="DCE179" s="2"/>
      <c r="DCF179" s="2"/>
      <c r="DCG179" s="2"/>
      <c r="DCH179" s="2"/>
      <c r="DCI179" s="2"/>
      <c r="DCJ179" s="2"/>
      <c r="DCK179" s="2"/>
      <c r="DCL179" s="2"/>
      <c r="DCM179" s="2"/>
      <c r="DCN179" s="2"/>
      <c r="DCO179" s="2"/>
      <c r="DCP179" s="2"/>
      <c r="DCQ179" s="2"/>
      <c r="DCR179" s="2"/>
      <c r="DCS179" s="2"/>
      <c r="DCT179" s="2"/>
      <c r="DCU179" s="2"/>
      <c r="DCV179" s="2"/>
      <c r="DCW179" s="2"/>
      <c r="DCX179" s="2"/>
      <c r="DCY179" s="2"/>
      <c r="DCZ179" s="2"/>
      <c r="DDA179" s="2"/>
      <c r="DDB179" s="2"/>
      <c r="DDC179" s="2"/>
      <c r="DDD179" s="2"/>
      <c r="DDE179" s="2"/>
      <c r="DDF179" s="2"/>
      <c r="DDG179" s="2"/>
      <c r="DDH179" s="2"/>
      <c r="DDI179" s="2"/>
      <c r="DDJ179" s="2"/>
      <c r="DDK179" s="2"/>
      <c r="DDL179" s="2"/>
      <c r="DDM179" s="2"/>
      <c r="DDN179" s="2"/>
      <c r="DDO179" s="2"/>
      <c r="DDP179" s="2"/>
      <c r="DDQ179" s="2"/>
      <c r="DDR179" s="2"/>
      <c r="DDS179" s="2"/>
      <c r="DDT179" s="2"/>
      <c r="DDU179" s="2"/>
      <c r="DDV179" s="2"/>
      <c r="DDW179" s="2"/>
      <c r="DDX179" s="2"/>
      <c r="DDY179" s="2"/>
      <c r="DDZ179" s="2"/>
      <c r="DEA179" s="2"/>
      <c r="DEB179" s="2"/>
      <c r="DEC179" s="2"/>
      <c r="DED179" s="2"/>
      <c r="DEE179" s="2"/>
      <c r="DEF179" s="2"/>
      <c r="DEG179" s="2"/>
      <c r="DEH179" s="2"/>
      <c r="DEI179" s="2"/>
      <c r="DEJ179" s="2"/>
      <c r="DEK179" s="2"/>
      <c r="DEL179" s="2"/>
      <c r="DEM179" s="2"/>
      <c r="DEN179" s="2"/>
      <c r="DEO179" s="2"/>
      <c r="DEP179" s="2"/>
      <c r="DEQ179" s="2"/>
      <c r="DER179" s="2"/>
      <c r="DES179" s="2"/>
      <c r="DET179" s="2"/>
      <c r="DEU179" s="2"/>
      <c r="DEV179" s="2"/>
      <c r="DEW179" s="2"/>
      <c r="DEX179" s="2"/>
      <c r="DEY179" s="2"/>
      <c r="DEZ179" s="2"/>
      <c r="DFA179" s="2"/>
      <c r="DFB179" s="2"/>
      <c r="DFC179" s="2"/>
      <c r="DFD179" s="2"/>
      <c r="DFE179" s="2"/>
      <c r="DFF179" s="2"/>
      <c r="DFG179" s="2"/>
      <c r="DFH179" s="2"/>
      <c r="DFI179" s="2"/>
      <c r="DFJ179" s="2"/>
      <c r="DFK179" s="2"/>
      <c r="DFL179" s="2"/>
      <c r="DFM179" s="2"/>
      <c r="DFN179" s="2"/>
      <c r="DFO179" s="2"/>
      <c r="DFP179" s="2"/>
      <c r="DFQ179" s="2"/>
      <c r="DFR179" s="2"/>
      <c r="DFS179" s="2"/>
      <c r="DFT179" s="2"/>
      <c r="DFU179" s="2"/>
      <c r="DFV179" s="2"/>
      <c r="DFW179" s="2"/>
      <c r="DFX179" s="2"/>
      <c r="DFY179" s="2"/>
      <c r="DFZ179" s="2"/>
      <c r="DGA179" s="2"/>
      <c r="DGB179" s="2"/>
      <c r="DGC179" s="2"/>
      <c r="DGD179" s="2"/>
      <c r="DGE179" s="2"/>
      <c r="DGF179" s="2"/>
      <c r="DGG179" s="2"/>
      <c r="DGH179" s="2"/>
      <c r="DGI179" s="2"/>
      <c r="DGJ179" s="2"/>
      <c r="DGK179" s="2"/>
      <c r="DGL179" s="2"/>
      <c r="DGM179" s="2"/>
      <c r="DGN179" s="2"/>
      <c r="DGO179" s="2"/>
      <c r="DGP179" s="2"/>
      <c r="DGQ179" s="2"/>
      <c r="DGR179" s="2"/>
      <c r="DGS179" s="2"/>
      <c r="DGT179" s="2"/>
      <c r="DGU179" s="2"/>
      <c r="DGV179" s="2"/>
      <c r="DGW179" s="2"/>
      <c r="DGX179" s="2"/>
      <c r="DGY179" s="2"/>
      <c r="DGZ179" s="2"/>
      <c r="DHA179" s="2"/>
      <c r="DHB179" s="2"/>
      <c r="DHC179" s="2"/>
      <c r="DHD179" s="2"/>
      <c r="DHE179" s="2"/>
      <c r="DHF179" s="2"/>
      <c r="DHG179" s="2"/>
      <c r="DHH179" s="2"/>
      <c r="DHI179" s="2"/>
      <c r="DHJ179" s="2"/>
      <c r="DHK179" s="2"/>
      <c r="DHL179" s="2"/>
      <c r="DHM179" s="2"/>
      <c r="DHN179" s="2"/>
      <c r="DHO179" s="2"/>
      <c r="DHP179" s="2"/>
      <c r="DHQ179" s="2"/>
      <c r="DHR179" s="2"/>
      <c r="DHS179" s="2"/>
      <c r="DHT179" s="2"/>
      <c r="DHU179" s="2"/>
      <c r="DHV179" s="2"/>
      <c r="DHW179" s="2"/>
      <c r="DHX179" s="2"/>
      <c r="DHY179" s="2"/>
      <c r="DHZ179" s="2"/>
      <c r="DIA179" s="2"/>
      <c r="DIB179" s="2"/>
      <c r="DIC179" s="2"/>
      <c r="DID179" s="2"/>
      <c r="DIE179" s="2"/>
      <c r="DIF179" s="2"/>
      <c r="DIG179" s="2"/>
      <c r="DIH179" s="2"/>
      <c r="DII179" s="2"/>
      <c r="DIJ179" s="2"/>
      <c r="DIK179" s="2"/>
      <c r="DIL179" s="2"/>
      <c r="DIM179" s="2"/>
      <c r="DIN179" s="2"/>
      <c r="DIO179" s="2"/>
      <c r="DIP179" s="2"/>
      <c r="DIQ179" s="2"/>
      <c r="DIR179" s="2"/>
      <c r="DIS179" s="2"/>
      <c r="DIT179" s="2"/>
      <c r="DIU179" s="2"/>
      <c r="DIV179" s="2"/>
      <c r="DIW179" s="2"/>
      <c r="DIX179" s="2"/>
      <c r="DIY179" s="2"/>
      <c r="DIZ179" s="2"/>
      <c r="DJA179" s="2"/>
      <c r="DJB179" s="2"/>
      <c r="DJC179" s="2"/>
      <c r="DJD179" s="2"/>
      <c r="DJE179" s="2"/>
      <c r="DJF179" s="2"/>
      <c r="DJG179" s="2"/>
      <c r="DJH179" s="2"/>
      <c r="DJI179" s="2"/>
      <c r="DJJ179" s="2"/>
      <c r="DJK179" s="2"/>
      <c r="DJL179" s="2"/>
      <c r="DJM179" s="2"/>
      <c r="DJN179" s="2"/>
      <c r="DJO179" s="2"/>
      <c r="DJP179" s="2"/>
      <c r="DJQ179" s="2"/>
      <c r="DJR179" s="2"/>
      <c r="DJS179" s="2"/>
      <c r="DJT179" s="2"/>
      <c r="DJU179" s="2"/>
      <c r="DJV179" s="2"/>
      <c r="DJW179" s="2"/>
      <c r="DJX179" s="2"/>
      <c r="DJY179" s="2"/>
      <c r="DJZ179" s="2"/>
      <c r="DKA179" s="2"/>
      <c r="DKB179" s="2"/>
      <c r="DKC179" s="2"/>
      <c r="DKD179" s="2"/>
      <c r="DKE179" s="2"/>
      <c r="DKF179" s="2"/>
      <c r="DKG179" s="2"/>
      <c r="DKH179" s="2"/>
      <c r="DKI179" s="2"/>
      <c r="DKJ179" s="2"/>
      <c r="DKK179" s="2"/>
      <c r="DKL179" s="2"/>
      <c r="DKM179" s="2"/>
      <c r="DKN179" s="2"/>
      <c r="DKO179" s="2"/>
      <c r="DKP179" s="2"/>
      <c r="DKQ179" s="2"/>
      <c r="DKR179" s="2"/>
      <c r="DKS179" s="2"/>
      <c r="DKT179" s="2"/>
      <c r="DKU179" s="2"/>
      <c r="DKV179" s="2"/>
      <c r="DKW179" s="2"/>
      <c r="DKX179" s="2"/>
      <c r="DKY179" s="2"/>
      <c r="DKZ179" s="2"/>
      <c r="DLA179" s="2"/>
      <c r="DLB179" s="2"/>
      <c r="DLC179" s="2"/>
      <c r="DLD179" s="2"/>
      <c r="DLE179" s="2"/>
      <c r="DLF179" s="2"/>
      <c r="DLG179" s="2"/>
      <c r="DLH179" s="2"/>
      <c r="DLI179" s="2"/>
      <c r="DLJ179" s="2"/>
      <c r="DLK179" s="2"/>
      <c r="DLL179" s="2"/>
      <c r="DLM179" s="2"/>
      <c r="DLN179" s="2"/>
      <c r="DLO179" s="2"/>
      <c r="DLP179" s="2"/>
      <c r="DLQ179" s="2"/>
      <c r="DLR179" s="2"/>
      <c r="DLS179" s="2"/>
      <c r="DLT179" s="2"/>
      <c r="DLU179" s="2"/>
      <c r="DLV179" s="2"/>
      <c r="DLW179" s="2"/>
      <c r="DLX179" s="2"/>
      <c r="DLY179" s="2"/>
      <c r="DLZ179" s="2"/>
      <c r="DMA179" s="2"/>
      <c r="DMB179" s="2"/>
      <c r="DMC179" s="2"/>
      <c r="DMD179" s="2"/>
      <c r="DME179" s="2"/>
      <c r="DMF179" s="2"/>
      <c r="DMG179" s="2"/>
      <c r="DMH179" s="2"/>
      <c r="DMI179" s="2"/>
      <c r="DMJ179" s="2"/>
      <c r="DMK179" s="2"/>
      <c r="DML179" s="2"/>
      <c r="DMM179" s="2"/>
      <c r="DMN179" s="2"/>
      <c r="DMO179" s="2"/>
      <c r="DMP179" s="2"/>
      <c r="DMQ179" s="2"/>
      <c r="DMR179" s="2"/>
      <c r="DMS179" s="2"/>
      <c r="DMT179" s="2"/>
      <c r="DMU179" s="2"/>
      <c r="DMV179" s="2"/>
      <c r="DMW179" s="2"/>
      <c r="DMX179" s="2"/>
      <c r="DMY179" s="2"/>
      <c r="DMZ179" s="2"/>
      <c r="DNA179" s="2"/>
      <c r="DNB179" s="2"/>
      <c r="DNC179" s="2"/>
      <c r="DND179" s="2"/>
      <c r="DNE179" s="2"/>
      <c r="DNF179" s="2"/>
      <c r="DNG179" s="2"/>
      <c r="DNH179" s="2"/>
      <c r="DNI179" s="2"/>
      <c r="DNJ179" s="2"/>
      <c r="DNK179" s="2"/>
      <c r="DNL179" s="2"/>
      <c r="DNM179" s="2"/>
      <c r="DNN179" s="2"/>
      <c r="DNO179" s="2"/>
      <c r="DNP179" s="2"/>
      <c r="DNQ179" s="2"/>
      <c r="DNR179" s="2"/>
      <c r="DNS179" s="2"/>
      <c r="DNT179" s="2"/>
      <c r="DNU179" s="2"/>
      <c r="DNV179" s="2"/>
      <c r="DNW179" s="2"/>
      <c r="DNX179" s="2"/>
      <c r="DNY179" s="2"/>
      <c r="DNZ179" s="2"/>
      <c r="DOA179" s="2"/>
      <c r="DOB179" s="2"/>
      <c r="DOC179" s="2"/>
      <c r="DOD179" s="2"/>
      <c r="DOE179" s="2"/>
      <c r="DOF179" s="2"/>
      <c r="DOG179" s="2"/>
      <c r="DOH179" s="2"/>
      <c r="DOI179" s="2"/>
      <c r="DOJ179" s="2"/>
      <c r="DOK179" s="2"/>
      <c r="DOL179" s="2"/>
      <c r="DOM179" s="2"/>
      <c r="DON179" s="2"/>
      <c r="DOO179" s="2"/>
      <c r="DOP179" s="2"/>
      <c r="DOQ179" s="2"/>
      <c r="DOR179" s="2"/>
      <c r="DOS179" s="2"/>
      <c r="DOT179" s="2"/>
      <c r="DOU179" s="2"/>
      <c r="DOV179" s="2"/>
      <c r="DOW179" s="2"/>
      <c r="DOX179" s="2"/>
      <c r="DOY179" s="2"/>
      <c r="DOZ179" s="2"/>
      <c r="DPA179" s="2"/>
      <c r="DPB179" s="2"/>
      <c r="DPC179" s="2"/>
      <c r="DPD179" s="2"/>
      <c r="DPE179" s="2"/>
      <c r="DPF179" s="2"/>
      <c r="DPG179" s="2"/>
      <c r="DPH179" s="2"/>
      <c r="DPI179" s="2"/>
      <c r="DPJ179" s="2"/>
      <c r="DPK179" s="2"/>
      <c r="DPL179" s="2"/>
      <c r="DPM179" s="2"/>
      <c r="DPN179" s="2"/>
      <c r="DPO179" s="2"/>
      <c r="DPP179" s="2"/>
      <c r="DPQ179" s="2"/>
      <c r="DPR179" s="2"/>
      <c r="DPS179" s="2"/>
      <c r="DPT179" s="2"/>
      <c r="DPU179" s="2"/>
      <c r="DPV179" s="2"/>
      <c r="DPW179" s="2"/>
      <c r="DPX179" s="2"/>
      <c r="DPY179" s="2"/>
      <c r="DPZ179" s="2"/>
      <c r="DQA179" s="2"/>
      <c r="DQB179" s="2"/>
      <c r="DQC179" s="2"/>
      <c r="DQD179" s="2"/>
      <c r="DQE179" s="2"/>
      <c r="DQF179" s="2"/>
      <c r="DQG179" s="2"/>
      <c r="DQH179" s="2"/>
      <c r="DQI179" s="2"/>
      <c r="DQJ179" s="2"/>
      <c r="DQK179" s="2"/>
      <c r="DQL179" s="2"/>
      <c r="DQM179" s="2"/>
      <c r="DQN179" s="2"/>
      <c r="DQO179" s="2"/>
      <c r="DQP179" s="2"/>
      <c r="DQQ179" s="2"/>
      <c r="DQR179" s="2"/>
      <c r="DQS179" s="2"/>
      <c r="DQT179" s="2"/>
      <c r="DQU179" s="2"/>
      <c r="DQV179" s="2"/>
      <c r="DQW179" s="2"/>
      <c r="DQX179" s="2"/>
      <c r="DQY179" s="2"/>
      <c r="DQZ179" s="2"/>
      <c r="DRA179" s="2"/>
      <c r="DRB179" s="2"/>
      <c r="DRC179" s="2"/>
      <c r="DRD179" s="2"/>
      <c r="DRE179" s="2"/>
      <c r="DRF179" s="2"/>
      <c r="DRG179" s="2"/>
      <c r="DRH179" s="2"/>
      <c r="DRI179" s="2"/>
      <c r="DRJ179" s="2"/>
      <c r="DRK179" s="2"/>
      <c r="DRL179" s="2"/>
      <c r="DRM179" s="2"/>
      <c r="DRN179" s="2"/>
      <c r="DRO179" s="2"/>
      <c r="DRP179" s="2"/>
      <c r="DRQ179" s="2"/>
      <c r="DRR179" s="2"/>
      <c r="DRS179" s="2"/>
      <c r="DRT179" s="2"/>
      <c r="DRU179" s="2"/>
      <c r="DRV179" s="2"/>
      <c r="DRW179" s="2"/>
      <c r="DRX179" s="2"/>
      <c r="DRY179" s="2"/>
      <c r="DRZ179" s="2"/>
      <c r="DSA179" s="2"/>
      <c r="DSB179" s="2"/>
      <c r="DSC179" s="2"/>
      <c r="DSD179" s="2"/>
      <c r="DSE179" s="2"/>
      <c r="DSF179" s="2"/>
      <c r="DSG179" s="2"/>
      <c r="DSH179" s="2"/>
      <c r="DSI179" s="2"/>
      <c r="DSJ179" s="2"/>
      <c r="DSK179" s="2"/>
      <c r="DSL179" s="2"/>
      <c r="DSM179" s="2"/>
      <c r="DSN179" s="2"/>
      <c r="DSO179" s="2"/>
      <c r="DSP179" s="2"/>
      <c r="DSQ179" s="2"/>
      <c r="DSR179" s="2"/>
      <c r="DSS179" s="2"/>
      <c r="DST179" s="2"/>
      <c r="DSU179" s="2"/>
      <c r="DSV179" s="2"/>
      <c r="DSW179" s="2"/>
      <c r="DSX179" s="2"/>
      <c r="DSY179" s="2"/>
      <c r="DSZ179" s="2"/>
      <c r="DTA179" s="2"/>
      <c r="DTB179" s="2"/>
      <c r="DTC179" s="2"/>
      <c r="DTD179" s="2"/>
      <c r="DTE179" s="2"/>
      <c r="DTF179" s="2"/>
      <c r="DTG179" s="2"/>
      <c r="DTH179" s="2"/>
      <c r="DTI179" s="2"/>
      <c r="DTJ179" s="2"/>
      <c r="DTK179" s="2"/>
      <c r="DTL179" s="2"/>
      <c r="DTM179" s="2"/>
      <c r="DTN179" s="2"/>
      <c r="DTO179" s="2"/>
      <c r="DTP179" s="2"/>
      <c r="DTQ179" s="2"/>
      <c r="DTR179" s="2"/>
      <c r="DTS179" s="2"/>
      <c r="DTT179" s="2"/>
      <c r="DTU179" s="2"/>
      <c r="DTV179" s="2"/>
      <c r="DTW179" s="2"/>
      <c r="DTX179" s="2"/>
      <c r="DTY179" s="2"/>
      <c r="DTZ179" s="2"/>
      <c r="DUA179" s="2"/>
      <c r="DUB179" s="2"/>
      <c r="DUC179" s="2"/>
      <c r="DUD179" s="2"/>
      <c r="DUE179" s="2"/>
      <c r="DUF179" s="2"/>
      <c r="DUG179" s="2"/>
      <c r="DUH179" s="2"/>
      <c r="DUI179" s="2"/>
      <c r="DUJ179" s="2"/>
      <c r="DUK179" s="2"/>
      <c r="DUL179" s="2"/>
      <c r="DUM179" s="2"/>
      <c r="DUN179" s="2"/>
      <c r="DUO179" s="2"/>
      <c r="DUP179" s="2"/>
      <c r="DUQ179" s="2"/>
      <c r="DUR179" s="2"/>
      <c r="DUS179" s="2"/>
      <c r="DUT179" s="2"/>
      <c r="DUU179" s="2"/>
      <c r="DUV179" s="2"/>
      <c r="DUW179" s="2"/>
      <c r="DUX179" s="2"/>
      <c r="DUY179" s="2"/>
      <c r="DUZ179" s="2"/>
      <c r="DVA179" s="2"/>
      <c r="DVB179" s="2"/>
      <c r="DVC179" s="2"/>
      <c r="DVD179" s="2"/>
      <c r="DVE179" s="2"/>
      <c r="DVF179" s="2"/>
      <c r="DVG179" s="2"/>
      <c r="DVH179" s="2"/>
      <c r="DVI179" s="2"/>
      <c r="DVJ179" s="2"/>
      <c r="DVK179" s="2"/>
      <c r="DVL179" s="2"/>
      <c r="DVM179" s="2"/>
      <c r="DVN179" s="2"/>
      <c r="DVO179" s="2"/>
      <c r="DVP179" s="2"/>
      <c r="DVQ179" s="2"/>
      <c r="DVR179" s="2"/>
      <c r="DVS179" s="2"/>
      <c r="DVT179" s="2"/>
      <c r="DVU179" s="2"/>
      <c r="DVV179" s="2"/>
      <c r="DVW179" s="2"/>
      <c r="DVX179" s="2"/>
      <c r="DVY179" s="2"/>
      <c r="DVZ179" s="2"/>
      <c r="DWA179" s="2"/>
      <c r="DWB179" s="2"/>
      <c r="DWC179" s="2"/>
      <c r="DWD179" s="2"/>
      <c r="DWE179" s="2"/>
      <c r="DWF179" s="2"/>
      <c r="DWG179" s="2"/>
      <c r="DWH179" s="2"/>
      <c r="DWI179" s="2"/>
      <c r="DWJ179" s="2"/>
      <c r="DWK179" s="2"/>
      <c r="DWL179" s="2"/>
      <c r="DWM179" s="2"/>
      <c r="DWN179" s="2"/>
      <c r="DWO179" s="2"/>
      <c r="DWP179" s="2"/>
      <c r="DWQ179" s="2"/>
      <c r="DWR179" s="2"/>
      <c r="DWS179" s="2"/>
      <c r="DWT179" s="2"/>
      <c r="DWU179" s="2"/>
      <c r="DWV179" s="2"/>
      <c r="DWW179" s="2"/>
      <c r="DWX179" s="2"/>
      <c r="DWY179" s="2"/>
      <c r="DWZ179" s="2"/>
      <c r="DXA179" s="2"/>
      <c r="DXB179" s="2"/>
      <c r="DXC179" s="2"/>
      <c r="DXD179" s="2"/>
      <c r="DXE179" s="2"/>
      <c r="DXF179" s="2"/>
      <c r="DXG179" s="2"/>
      <c r="DXH179" s="2"/>
      <c r="DXI179" s="2"/>
      <c r="DXJ179" s="2"/>
      <c r="DXK179" s="2"/>
      <c r="DXL179" s="2"/>
      <c r="DXM179" s="2"/>
      <c r="DXN179" s="2"/>
      <c r="DXO179" s="2"/>
      <c r="DXP179" s="2"/>
      <c r="DXQ179" s="2"/>
      <c r="DXR179" s="2"/>
      <c r="DXS179" s="2"/>
      <c r="DXT179" s="2"/>
      <c r="DXU179" s="2"/>
      <c r="DXV179" s="2"/>
      <c r="DXW179" s="2"/>
      <c r="DXX179" s="2"/>
      <c r="DXY179" s="2"/>
      <c r="DXZ179" s="2"/>
      <c r="DYA179" s="2"/>
      <c r="DYB179" s="2"/>
      <c r="DYC179" s="2"/>
      <c r="DYD179" s="2"/>
      <c r="DYE179" s="2"/>
      <c r="DYF179" s="2"/>
      <c r="DYG179" s="2"/>
      <c r="DYH179" s="2"/>
      <c r="DYI179" s="2"/>
      <c r="DYJ179" s="2"/>
      <c r="DYK179" s="2"/>
      <c r="DYL179" s="2"/>
      <c r="DYM179" s="2"/>
      <c r="DYN179" s="2"/>
      <c r="DYO179" s="2"/>
      <c r="DYP179" s="2"/>
      <c r="DYQ179" s="2"/>
      <c r="DYR179" s="2"/>
      <c r="DYS179" s="2"/>
      <c r="DYT179" s="2"/>
      <c r="DYU179" s="2"/>
      <c r="DYV179" s="2"/>
      <c r="DYW179" s="2"/>
      <c r="DYX179" s="2"/>
      <c r="DYY179" s="2"/>
      <c r="DYZ179" s="2"/>
      <c r="DZA179" s="2"/>
      <c r="DZB179" s="2"/>
      <c r="DZC179" s="2"/>
      <c r="DZD179" s="2"/>
      <c r="DZE179" s="2"/>
      <c r="DZF179" s="2"/>
      <c r="DZG179" s="2"/>
      <c r="DZH179" s="2"/>
      <c r="DZI179" s="2"/>
      <c r="DZJ179" s="2"/>
      <c r="DZK179" s="2"/>
      <c r="DZL179" s="2"/>
      <c r="DZM179" s="2"/>
      <c r="DZN179" s="2"/>
      <c r="DZO179" s="2"/>
      <c r="DZP179" s="2"/>
      <c r="DZQ179" s="2"/>
      <c r="DZR179" s="2"/>
      <c r="DZS179" s="2"/>
      <c r="DZT179" s="2"/>
      <c r="DZU179" s="2"/>
      <c r="DZV179" s="2"/>
      <c r="DZW179" s="2"/>
      <c r="DZX179" s="2"/>
      <c r="DZY179" s="2"/>
      <c r="DZZ179" s="2"/>
      <c r="EAA179" s="2"/>
      <c r="EAB179" s="2"/>
      <c r="EAC179" s="2"/>
      <c r="EAD179" s="2"/>
      <c r="EAE179" s="2"/>
      <c r="EAF179" s="2"/>
      <c r="EAG179" s="2"/>
      <c r="EAH179" s="2"/>
      <c r="EAI179" s="2"/>
      <c r="EAJ179" s="2"/>
      <c r="EAK179" s="2"/>
      <c r="EAL179" s="2"/>
      <c r="EAM179" s="2"/>
      <c r="EAN179" s="2"/>
      <c r="EAO179" s="2"/>
      <c r="EAP179" s="2"/>
      <c r="EAQ179" s="2"/>
      <c r="EAR179" s="2"/>
      <c r="EAS179" s="2"/>
      <c r="EAT179" s="2"/>
      <c r="EAU179" s="2"/>
      <c r="EAV179" s="2"/>
      <c r="EAW179" s="2"/>
      <c r="EAX179" s="2"/>
      <c r="EAY179" s="2"/>
      <c r="EAZ179" s="2"/>
      <c r="EBA179" s="2"/>
      <c r="EBB179" s="2"/>
      <c r="EBC179" s="2"/>
      <c r="EBD179" s="2"/>
      <c r="EBE179" s="2"/>
      <c r="EBF179" s="2"/>
      <c r="EBG179" s="2"/>
      <c r="EBH179" s="2"/>
      <c r="EBI179" s="2"/>
      <c r="EBJ179" s="2"/>
      <c r="EBK179" s="2"/>
      <c r="EBL179" s="2"/>
      <c r="EBM179" s="2"/>
      <c r="EBN179" s="2"/>
      <c r="EBO179" s="2"/>
      <c r="EBP179" s="2"/>
      <c r="EBQ179" s="2"/>
      <c r="EBR179" s="2"/>
      <c r="EBS179" s="2"/>
      <c r="EBT179" s="2"/>
      <c r="EBU179" s="2"/>
      <c r="EBV179" s="2"/>
      <c r="EBW179" s="2"/>
      <c r="EBX179" s="2"/>
      <c r="EBY179" s="2"/>
      <c r="EBZ179" s="2"/>
      <c r="ECA179" s="2"/>
      <c r="ECB179" s="2"/>
      <c r="ECC179" s="2"/>
      <c r="ECD179" s="2"/>
      <c r="ECE179" s="2"/>
      <c r="ECF179" s="2"/>
      <c r="ECG179" s="2"/>
      <c r="ECH179" s="2"/>
      <c r="ECI179" s="2"/>
      <c r="ECJ179" s="2"/>
      <c r="ECK179" s="2"/>
      <c r="ECL179" s="2"/>
      <c r="ECM179" s="2"/>
      <c r="ECN179" s="2"/>
      <c r="ECO179" s="2"/>
      <c r="ECP179" s="2"/>
      <c r="ECQ179" s="2"/>
      <c r="ECR179" s="2"/>
      <c r="ECS179" s="2"/>
      <c r="ECT179" s="2"/>
      <c r="ECU179" s="2"/>
      <c r="ECV179" s="2"/>
      <c r="ECW179" s="2"/>
      <c r="ECX179" s="2"/>
      <c r="ECY179" s="2"/>
      <c r="ECZ179" s="2"/>
      <c r="EDA179" s="2"/>
      <c r="EDB179" s="2"/>
      <c r="EDC179" s="2"/>
      <c r="EDD179" s="2"/>
      <c r="EDE179" s="2"/>
      <c r="EDF179" s="2"/>
      <c r="EDG179" s="2"/>
      <c r="EDH179" s="2"/>
      <c r="EDI179" s="2"/>
      <c r="EDJ179" s="2"/>
      <c r="EDK179" s="2"/>
      <c r="EDL179" s="2"/>
      <c r="EDM179" s="2"/>
      <c r="EDN179" s="2"/>
      <c r="EDO179" s="2"/>
      <c r="EDP179" s="2"/>
      <c r="EDQ179" s="2"/>
      <c r="EDR179" s="2"/>
      <c r="EDS179" s="2"/>
      <c r="EDT179" s="2"/>
      <c r="EDU179" s="2"/>
      <c r="EDV179" s="2"/>
      <c r="EDW179" s="2"/>
      <c r="EDX179" s="2"/>
      <c r="EDY179" s="2"/>
      <c r="EDZ179" s="2"/>
      <c r="EEA179" s="2"/>
      <c r="EEB179" s="2"/>
      <c r="EEC179" s="2"/>
      <c r="EED179" s="2"/>
      <c r="EEE179" s="2"/>
      <c r="EEF179" s="2"/>
      <c r="EEG179" s="2"/>
      <c r="EEH179" s="2"/>
      <c r="EEI179" s="2"/>
      <c r="EEJ179" s="2"/>
      <c r="EEK179" s="2"/>
      <c r="EEL179" s="2"/>
      <c r="EEM179" s="2"/>
      <c r="EEN179" s="2"/>
      <c r="EEO179" s="2"/>
      <c r="EEP179" s="2"/>
      <c r="EEQ179" s="2"/>
      <c r="EER179" s="2"/>
      <c r="EES179" s="2"/>
      <c r="EET179" s="2"/>
      <c r="EEU179" s="2"/>
      <c r="EEV179" s="2"/>
      <c r="EEW179" s="2"/>
      <c r="EEX179" s="2"/>
      <c r="EEY179" s="2"/>
      <c r="EEZ179" s="2"/>
      <c r="EFA179" s="2"/>
      <c r="EFB179" s="2"/>
      <c r="EFC179" s="2"/>
      <c r="EFD179" s="2"/>
      <c r="EFE179" s="2"/>
      <c r="EFF179" s="2"/>
      <c r="EFG179" s="2"/>
      <c r="EFH179" s="2"/>
      <c r="EFI179" s="2"/>
      <c r="EFJ179" s="2"/>
      <c r="EFK179" s="2"/>
      <c r="EFL179" s="2"/>
      <c r="EFM179" s="2"/>
      <c r="EFN179" s="2"/>
      <c r="EFO179" s="2"/>
      <c r="EFP179" s="2"/>
      <c r="EFQ179" s="2"/>
      <c r="EFR179" s="2"/>
      <c r="EFS179" s="2"/>
      <c r="EFT179" s="2"/>
      <c r="EFU179" s="2"/>
      <c r="EFV179" s="2"/>
      <c r="EFW179" s="2"/>
      <c r="EFX179" s="2"/>
      <c r="EFY179" s="2"/>
      <c r="EFZ179" s="2"/>
      <c r="EGA179" s="2"/>
      <c r="EGB179" s="2"/>
      <c r="EGC179" s="2"/>
      <c r="EGD179" s="2"/>
      <c r="EGE179" s="2"/>
      <c r="EGF179" s="2"/>
      <c r="EGG179" s="2"/>
      <c r="EGH179" s="2"/>
      <c r="EGI179" s="2"/>
      <c r="EGJ179" s="2"/>
      <c r="EGK179" s="2"/>
      <c r="EGL179" s="2"/>
      <c r="EGM179" s="2"/>
      <c r="EGN179" s="2"/>
      <c r="EGO179" s="2"/>
      <c r="EGP179" s="2"/>
      <c r="EGQ179" s="2"/>
      <c r="EGR179" s="2"/>
      <c r="EGS179" s="2"/>
      <c r="EGT179" s="2"/>
      <c r="EGU179" s="2"/>
      <c r="EGV179" s="2"/>
      <c r="EGW179" s="2"/>
      <c r="EGX179" s="2"/>
      <c r="EGY179" s="2"/>
      <c r="EGZ179" s="2"/>
      <c r="EHA179" s="2"/>
      <c r="EHB179" s="2"/>
      <c r="EHC179" s="2"/>
      <c r="EHD179" s="2"/>
      <c r="EHE179" s="2"/>
      <c r="EHF179" s="2"/>
      <c r="EHG179" s="2"/>
      <c r="EHH179" s="2"/>
      <c r="EHI179" s="2"/>
      <c r="EHJ179" s="2"/>
      <c r="EHK179" s="2"/>
      <c r="EHL179" s="2"/>
      <c r="EHM179" s="2"/>
      <c r="EHN179" s="2"/>
      <c r="EHO179" s="2"/>
      <c r="EHP179" s="2"/>
      <c r="EHQ179" s="2"/>
      <c r="EHR179" s="2"/>
      <c r="EHS179" s="2"/>
      <c r="EHT179" s="2"/>
      <c r="EHU179" s="2"/>
      <c r="EHV179" s="2"/>
      <c r="EHW179" s="2"/>
      <c r="EHX179" s="2"/>
      <c r="EHY179" s="2"/>
      <c r="EHZ179" s="2"/>
      <c r="EIA179" s="2"/>
      <c r="EIB179" s="2"/>
      <c r="EIC179" s="2"/>
      <c r="EID179" s="2"/>
      <c r="EIE179" s="2"/>
      <c r="EIF179" s="2"/>
      <c r="EIG179" s="2"/>
      <c r="EIH179" s="2"/>
      <c r="EII179" s="2"/>
      <c r="EIJ179" s="2"/>
      <c r="EIK179" s="2"/>
      <c r="EIL179" s="2"/>
      <c r="EIM179" s="2"/>
      <c r="EIN179" s="2"/>
      <c r="EIO179" s="2"/>
      <c r="EIP179" s="2"/>
      <c r="EIQ179" s="2"/>
      <c r="EIR179" s="2"/>
      <c r="EIS179" s="2"/>
      <c r="EIT179" s="2"/>
      <c r="EIU179" s="2"/>
      <c r="EIV179" s="2"/>
      <c r="EIW179" s="2"/>
      <c r="EIX179" s="2"/>
      <c r="EIY179" s="2"/>
      <c r="EIZ179" s="2"/>
      <c r="EJA179" s="2"/>
      <c r="EJB179" s="2"/>
      <c r="EJC179" s="2"/>
      <c r="EJD179" s="2"/>
      <c r="EJE179" s="2"/>
      <c r="EJF179" s="2"/>
      <c r="EJG179" s="2"/>
      <c r="EJH179" s="2"/>
      <c r="EJI179" s="2"/>
      <c r="EJJ179" s="2"/>
      <c r="EJK179" s="2"/>
      <c r="EJL179" s="2"/>
      <c r="EJM179" s="2"/>
      <c r="EJN179" s="2"/>
      <c r="EJO179" s="2"/>
      <c r="EJP179" s="2"/>
      <c r="EJQ179" s="2"/>
      <c r="EJR179" s="2"/>
      <c r="EJS179" s="2"/>
      <c r="EJT179" s="2"/>
      <c r="EJU179" s="2"/>
      <c r="EJV179" s="2"/>
      <c r="EJW179" s="2"/>
      <c r="EJX179" s="2"/>
      <c r="EJY179" s="2"/>
      <c r="EJZ179" s="2"/>
      <c r="EKA179" s="2"/>
      <c r="EKB179" s="2"/>
      <c r="EKC179" s="2"/>
      <c r="EKD179" s="2"/>
      <c r="EKE179" s="2"/>
      <c r="EKF179" s="2"/>
      <c r="EKG179" s="2"/>
      <c r="EKH179" s="2"/>
      <c r="EKI179" s="2"/>
      <c r="EKJ179" s="2"/>
      <c r="EKK179" s="2"/>
      <c r="EKL179" s="2"/>
      <c r="EKM179" s="2"/>
      <c r="EKN179" s="2"/>
      <c r="EKO179" s="2"/>
      <c r="EKP179" s="2"/>
      <c r="EKQ179" s="2"/>
      <c r="EKR179" s="2"/>
      <c r="EKS179" s="2"/>
      <c r="EKT179" s="2"/>
      <c r="EKU179" s="2"/>
      <c r="EKV179" s="2"/>
      <c r="EKW179" s="2"/>
      <c r="EKX179" s="2"/>
      <c r="EKY179" s="2"/>
      <c r="EKZ179" s="2"/>
      <c r="ELA179" s="2"/>
      <c r="ELB179" s="2"/>
      <c r="ELC179" s="2"/>
      <c r="ELD179" s="2"/>
      <c r="ELE179" s="2"/>
      <c r="ELF179" s="2"/>
      <c r="ELG179" s="2"/>
      <c r="ELH179" s="2"/>
      <c r="ELI179" s="2"/>
      <c r="ELJ179" s="2"/>
      <c r="ELK179" s="2"/>
      <c r="ELL179" s="2"/>
      <c r="ELM179" s="2"/>
      <c r="ELN179" s="2"/>
      <c r="ELO179" s="2"/>
      <c r="ELP179" s="2"/>
      <c r="ELQ179" s="2"/>
      <c r="ELR179" s="2"/>
      <c r="ELS179" s="2"/>
      <c r="ELT179" s="2"/>
      <c r="ELU179" s="2"/>
      <c r="ELV179" s="2"/>
      <c r="ELW179" s="2"/>
      <c r="ELX179" s="2"/>
      <c r="ELY179" s="2"/>
      <c r="ELZ179" s="2"/>
      <c r="EMA179" s="2"/>
      <c r="EMB179" s="2"/>
      <c r="EMC179" s="2"/>
      <c r="EMD179" s="2"/>
      <c r="EME179" s="2"/>
      <c r="EMF179" s="2"/>
      <c r="EMG179" s="2"/>
      <c r="EMH179" s="2"/>
      <c r="EMI179" s="2"/>
      <c r="EMJ179" s="2"/>
      <c r="EMK179" s="2"/>
      <c r="EML179" s="2"/>
      <c r="EMM179" s="2"/>
      <c r="EMN179" s="2"/>
      <c r="EMO179" s="2"/>
      <c r="EMP179" s="2"/>
      <c r="EMQ179" s="2"/>
      <c r="EMR179" s="2"/>
      <c r="EMS179" s="2"/>
      <c r="EMT179" s="2"/>
      <c r="EMU179" s="2"/>
      <c r="EMV179" s="2"/>
      <c r="EMW179" s="2"/>
      <c r="EMX179" s="2"/>
      <c r="EMY179" s="2"/>
      <c r="EMZ179" s="2"/>
      <c r="ENA179" s="2"/>
      <c r="ENB179" s="2"/>
      <c r="ENC179" s="2"/>
      <c r="END179" s="2"/>
      <c r="ENE179" s="2"/>
      <c r="ENF179" s="2"/>
      <c r="ENG179" s="2"/>
      <c r="ENH179" s="2"/>
      <c r="ENI179" s="2"/>
      <c r="ENJ179" s="2"/>
      <c r="ENK179" s="2"/>
      <c r="ENL179" s="2"/>
      <c r="ENM179" s="2"/>
      <c r="ENN179" s="2"/>
      <c r="ENO179" s="2"/>
      <c r="ENP179" s="2"/>
      <c r="ENQ179" s="2"/>
      <c r="ENR179" s="2"/>
      <c r="ENS179" s="2"/>
      <c r="ENT179" s="2"/>
      <c r="ENU179" s="2"/>
      <c r="ENV179" s="2"/>
      <c r="ENW179" s="2"/>
      <c r="ENX179" s="2"/>
      <c r="ENY179" s="2"/>
      <c r="ENZ179" s="2"/>
      <c r="EOA179" s="2"/>
      <c r="EOB179" s="2"/>
      <c r="EOC179" s="2"/>
      <c r="EOD179" s="2"/>
      <c r="EOE179" s="2"/>
      <c r="EOF179" s="2"/>
      <c r="EOG179" s="2"/>
      <c r="EOH179" s="2"/>
      <c r="EOI179" s="2"/>
      <c r="EOJ179" s="2"/>
      <c r="EOK179" s="2"/>
      <c r="EOL179" s="2"/>
      <c r="EOM179" s="2"/>
      <c r="EON179" s="2"/>
      <c r="EOO179" s="2"/>
      <c r="EOP179" s="2"/>
      <c r="EOQ179" s="2"/>
      <c r="EOR179" s="2"/>
      <c r="EOS179" s="2"/>
      <c r="EOT179" s="2"/>
      <c r="EOU179" s="2"/>
      <c r="EOV179" s="2"/>
      <c r="EOW179" s="2"/>
      <c r="EOX179" s="2"/>
      <c r="EOY179" s="2"/>
      <c r="EOZ179" s="2"/>
      <c r="EPA179" s="2"/>
      <c r="EPB179" s="2"/>
      <c r="EPC179" s="2"/>
      <c r="EPD179" s="2"/>
      <c r="EPE179" s="2"/>
      <c r="EPF179" s="2"/>
      <c r="EPG179" s="2"/>
      <c r="EPH179" s="2"/>
      <c r="EPI179" s="2"/>
      <c r="EPJ179" s="2"/>
      <c r="EPK179" s="2"/>
      <c r="EPL179" s="2"/>
      <c r="EPM179" s="2"/>
      <c r="EPN179" s="2"/>
      <c r="EPO179" s="2"/>
      <c r="EPP179" s="2"/>
      <c r="EPQ179" s="2"/>
      <c r="EPR179" s="2"/>
      <c r="EPS179" s="2"/>
      <c r="EPT179" s="2"/>
      <c r="EPU179" s="2"/>
      <c r="EPV179" s="2"/>
      <c r="EPW179" s="2"/>
      <c r="EPX179" s="2"/>
      <c r="EPY179" s="2"/>
      <c r="EPZ179" s="2"/>
      <c r="EQA179" s="2"/>
      <c r="EQB179" s="2"/>
      <c r="EQC179" s="2"/>
      <c r="EQD179" s="2"/>
      <c r="EQE179" s="2"/>
      <c r="EQF179" s="2"/>
      <c r="EQG179" s="2"/>
      <c r="EQH179" s="2"/>
      <c r="EQI179" s="2"/>
      <c r="EQJ179" s="2"/>
      <c r="EQK179" s="2"/>
      <c r="EQL179" s="2"/>
      <c r="EQM179" s="2"/>
      <c r="EQN179" s="2"/>
      <c r="EQO179" s="2"/>
      <c r="EQP179" s="2"/>
      <c r="EQQ179" s="2"/>
      <c r="EQR179" s="2"/>
      <c r="EQS179" s="2"/>
      <c r="EQT179" s="2"/>
      <c r="EQU179" s="2"/>
      <c r="EQV179" s="2"/>
      <c r="EQW179" s="2"/>
      <c r="EQX179" s="2"/>
      <c r="EQY179" s="2"/>
      <c r="EQZ179" s="2"/>
      <c r="ERA179" s="2"/>
      <c r="ERB179" s="2"/>
      <c r="ERC179" s="2"/>
      <c r="ERD179" s="2"/>
      <c r="ERE179" s="2"/>
      <c r="ERF179" s="2"/>
      <c r="ERG179" s="2"/>
      <c r="ERH179" s="2"/>
      <c r="ERI179" s="2"/>
      <c r="ERJ179" s="2"/>
      <c r="ERK179" s="2"/>
      <c r="ERL179" s="2"/>
      <c r="ERM179" s="2"/>
      <c r="ERN179" s="2"/>
      <c r="ERO179" s="2"/>
      <c r="ERP179" s="2"/>
      <c r="ERQ179" s="2"/>
      <c r="ERR179" s="2"/>
      <c r="ERS179" s="2"/>
      <c r="ERT179" s="2"/>
      <c r="ERU179" s="2"/>
      <c r="ERV179" s="2"/>
      <c r="ERW179" s="2"/>
      <c r="ERX179" s="2"/>
      <c r="ERY179" s="2"/>
      <c r="ERZ179" s="2"/>
      <c r="ESA179" s="2"/>
      <c r="ESB179" s="2"/>
      <c r="ESC179" s="2"/>
      <c r="ESD179" s="2"/>
      <c r="ESE179" s="2"/>
      <c r="ESF179" s="2"/>
      <c r="ESG179" s="2"/>
      <c r="ESH179" s="2"/>
      <c r="ESI179" s="2"/>
      <c r="ESJ179" s="2"/>
      <c r="ESK179" s="2"/>
      <c r="ESL179" s="2"/>
      <c r="ESM179" s="2"/>
      <c r="ESN179" s="2"/>
      <c r="ESO179" s="2"/>
      <c r="ESP179" s="2"/>
      <c r="ESQ179" s="2"/>
      <c r="ESR179" s="2"/>
      <c r="ESS179" s="2"/>
      <c r="EST179" s="2"/>
      <c r="ESU179" s="2"/>
      <c r="ESV179" s="2"/>
      <c r="ESW179" s="2"/>
      <c r="ESX179" s="2"/>
      <c r="ESY179" s="2"/>
      <c r="ESZ179" s="2"/>
      <c r="ETA179" s="2"/>
      <c r="ETB179" s="2"/>
      <c r="ETC179" s="2"/>
      <c r="ETD179" s="2"/>
      <c r="ETE179" s="2"/>
      <c r="ETF179" s="2"/>
      <c r="ETG179" s="2"/>
      <c r="ETH179" s="2"/>
      <c r="ETI179" s="2"/>
      <c r="ETJ179" s="2"/>
      <c r="ETK179" s="2"/>
      <c r="ETL179" s="2"/>
      <c r="ETM179" s="2"/>
      <c r="ETN179" s="2"/>
      <c r="ETO179" s="2"/>
      <c r="ETP179" s="2"/>
      <c r="ETQ179" s="2"/>
      <c r="ETR179" s="2"/>
      <c r="ETS179" s="2"/>
      <c r="ETT179" s="2"/>
      <c r="ETU179" s="2"/>
      <c r="ETV179" s="2"/>
      <c r="ETW179" s="2"/>
      <c r="ETX179" s="2"/>
      <c r="ETY179" s="2"/>
      <c r="ETZ179" s="2"/>
      <c r="EUA179" s="2"/>
      <c r="EUB179" s="2"/>
      <c r="EUC179" s="2"/>
      <c r="EUD179" s="2"/>
      <c r="EUE179" s="2"/>
      <c r="EUF179" s="2"/>
      <c r="EUG179" s="2"/>
      <c r="EUH179" s="2"/>
      <c r="EUI179" s="2"/>
      <c r="EUJ179" s="2"/>
      <c r="EUK179" s="2"/>
      <c r="EUL179" s="2"/>
      <c r="EUM179" s="2"/>
      <c r="EUN179" s="2"/>
      <c r="EUO179" s="2"/>
      <c r="EUP179" s="2"/>
      <c r="EUQ179" s="2"/>
      <c r="EUR179" s="2"/>
      <c r="EUS179" s="2"/>
      <c r="EUT179" s="2"/>
      <c r="EUU179" s="2"/>
      <c r="EUV179" s="2"/>
      <c r="EUW179" s="2"/>
      <c r="EUX179" s="2"/>
      <c r="EUY179" s="2"/>
      <c r="EUZ179" s="2"/>
      <c r="EVA179" s="2"/>
      <c r="EVB179" s="2"/>
      <c r="EVC179" s="2"/>
      <c r="EVD179" s="2"/>
      <c r="EVE179" s="2"/>
      <c r="EVF179" s="2"/>
      <c r="EVG179" s="2"/>
      <c r="EVH179" s="2"/>
      <c r="EVI179" s="2"/>
      <c r="EVJ179" s="2"/>
      <c r="EVK179" s="2"/>
      <c r="EVL179" s="2"/>
      <c r="EVM179" s="2"/>
      <c r="EVN179" s="2"/>
      <c r="EVO179" s="2"/>
      <c r="EVP179" s="2"/>
      <c r="EVQ179" s="2"/>
      <c r="EVR179" s="2"/>
      <c r="EVS179" s="2"/>
      <c r="EVT179" s="2"/>
      <c r="EVU179" s="2"/>
      <c r="EVV179" s="2"/>
      <c r="EVW179" s="2"/>
      <c r="EVX179" s="2"/>
      <c r="EVY179" s="2"/>
      <c r="EVZ179" s="2"/>
      <c r="EWA179" s="2"/>
      <c r="EWB179" s="2"/>
      <c r="EWC179" s="2"/>
      <c r="EWD179" s="2"/>
      <c r="EWE179" s="2"/>
      <c r="EWF179" s="2"/>
      <c r="EWG179" s="2"/>
      <c r="EWH179" s="2"/>
      <c r="EWI179" s="2"/>
      <c r="EWJ179" s="2"/>
      <c r="EWK179" s="2"/>
      <c r="EWL179" s="2"/>
      <c r="EWM179" s="2"/>
      <c r="EWN179" s="2"/>
      <c r="EWO179" s="2"/>
      <c r="EWP179" s="2"/>
      <c r="EWQ179" s="2"/>
      <c r="EWR179" s="2"/>
      <c r="EWS179" s="2"/>
      <c r="EWT179" s="2"/>
      <c r="EWU179" s="2"/>
      <c r="EWV179" s="2"/>
      <c r="EWW179" s="2"/>
      <c r="EWX179" s="2"/>
      <c r="EWY179" s="2"/>
      <c r="EWZ179" s="2"/>
      <c r="EXA179" s="2"/>
      <c r="EXB179" s="2"/>
      <c r="EXC179" s="2"/>
      <c r="EXD179" s="2"/>
      <c r="EXE179" s="2"/>
      <c r="EXF179" s="2"/>
      <c r="EXG179" s="2"/>
      <c r="EXH179" s="2"/>
      <c r="EXI179" s="2"/>
      <c r="EXJ179" s="2"/>
      <c r="EXK179" s="2"/>
      <c r="EXL179" s="2"/>
      <c r="EXM179" s="2"/>
      <c r="EXN179" s="2"/>
      <c r="EXO179" s="2"/>
      <c r="EXP179" s="2"/>
      <c r="EXQ179" s="2"/>
      <c r="EXR179" s="2"/>
      <c r="EXS179" s="2"/>
      <c r="EXT179" s="2"/>
      <c r="EXU179" s="2"/>
      <c r="EXV179" s="2"/>
      <c r="EXW179" s="2"/>
      <c r="EXX179" s="2"/>
      <c r="EXY179" s="2"/>
      <c r="EXZ179" s="2"/>
      <c r="EYA179" s="2"/>
      <c r="EYB179" s="2"/>
      <c r="EYC179" s="2"/>
      <c r="EYD179" s="2"/>
      <c r="EYE179" s="2"/>
      <c r="EYF179" s="2"/>
      <c r="EYG179" s="2"/>
      <c r="EYH179" s="2"/>
      <c r="EYI179" s="2"/>
      <c r="EYJ179" s="2"/>
      <c r="EYK179" s="2"/>
      <c r="EYL179" s="2"/>
      <c r="EYM179" s="2"/>
      <c r="EYN179" s="2"/>
      <c r="EYO179" s="2"/>
      <c r="EYP179" s="2"/>
      <c r="EYQ179" s="2"/>
      <c r="EYR179" s="2"/>
      <c r="EYS179" s="2"/>
      <c r="EYT179" s="2"/>
      <c r="EYU179" s="2"/>
      <c r="EYV179" s="2"/>
      <c r="EYW179" s="2"/>
      <c r="EYX179" s="2"/>
      <c r="EYY179" s="2"/>
      <c r="EYZ179" s="2"/>
      <c r="EZA179" s="2"/>
      <c r="EZB179" s="2"/>
      <c r="EZC179" s="2"/>
      <c r="EZD179" s="2"/>
      <c r="EZE179" s="2"/>
      <c r="EZF179" s="2"/>
      <c r="EZG179" s="2"/>
      <c r="EZH179" s="2"/>
      <c r="EZI179" s="2"/>
      <c r="EZJ179" s="2"/>
      <c r="EZK179" s="2"/>
      <c r="EZL179" s="2"/>
      <c r="EZM179" s="2"/>
      <c r="EZN179" s="2"/>
      <c r="EZO179" s="2"/>
      <c r="EZP179" s="2"/>
      <c r="EZQ179" s="2"/>
      <c r="EZR179" s="2"/>
      <c r="EZS179" s="2"/>
      <c r="EZT179" s="2"/>
      <c r="EZU179" s="2"/>
      <c r="EZV179" s="2"/>
      <c r="EZW179" s="2"/>
      <c r="EZX179" s="2"/>
      <c r="EZY179" s="2"/>
      <c r="EZZ179" s="2"/>
      <c r="FAA179" s="2"/>
      <c r="FAB179" s="2"/>
      <c r="FAC179" s="2"/>
      <c r="FAD179" s="2"/>
      <c r="FAE179" s="2"/>
      <c r="FAF179" s="2"/>
      <c r="FAG179" s="2"/>
      <c r="FAH179" s="2"/>
      <c r="FAI179" s="2"/>
      <c r="FAJ179" s="2"/>
      <c r="FAK179" s="2"/>
      <c r="FAL179" s="2"/>
      <c r="FAM179" s="2"/>
      <c r="FAN179" s="2"/>
      <c r="FAO179" s="2"/>
      <c r="FAP179" s="2"/>
      <c r="FAQ179" s="2"/>
      <c r="FAR179" s="2"/>
      <c r="FAS179" s="2"/>
      <c r="FAT179" s="2"/>
      <c r="FAU179" s="2"/>
      <c r="FAV179" s="2"/>
      <c r="FAW179" s="2"/>
      <c r="FAX179" s="2"/>
      <c r="FAY179" s="2"/>
      <c r="FAZ179" s="2"/>
      <c r="FBA179" s="2"/>
      <c r="FBB179" s="2"/>
      <c r="FBC179" s="2"/>
      <c r="FBD179" s="2"/>
      <c r="FBE179" s="2"/>
      <c r="FBF179" s="2"/>
      <c r="FBG179" s="2"/>
      <c r="FBH179" s="2"/>
      <c r="FBI179" s="2"/>
      <c r="FBJ179" s="2"/>
      <c r="FBK179" s="2"/>
      <c r="FBL179" s="2"/>
      <c r="FBM179" s="2"/>
      <c r="FBN179" s="2"/>
      <c r="FBO179" s="2"/>
      <c r="FBP179" s="2"/>
      <c r="FBQ179" s="2"/>
      <c r="FBR179" s="2"/>
      <c r="FBS179" s="2"/>
      <c r="FBT179" s="2"/>
      <c r="FBU179" s="2"/>
      <c r="FBV179" s="2"/>
      <c r="FBW179" s="2"/>
      <c r="FBX179" s="2"/>
      <c r="FBY179" s="2"/>
      <c r="FBZ179" s="2"/>
      <c r="FCA179" s="2"/>
      <c r="FCB179" s="2"/>
      <c r="FCC179" s="2"/>
      <c r="FCD179" s="2"/>
      <c r="FCE179" s="2"/>
      <c r="FCF179" s="2"/>
      <c r="FCG179" s="2"/>
      <c r="FCH179" s="2"/>
      <c r="FCI179" s="2"/>
      <c r="FCJ179" s="2"/>
      <c r="FCK179" s="2"/>
      <c r="FCL179" s="2"/>
      <c r="FCM179" s="2"/>
      <c r="FCN179" s="2"/>
      <c r="FCO179" s="2"/>
      <c r="FCP179" s="2"/>
      <c r="FCQ179" s="2"/>
      <c r="FCR179" s="2"/>
      <c r="FCS179" s="2"/>
      <c r="FCT179" s="2"/>
      <c r="FCU179" s="2"/>
      <c r="FCV179" s="2"/>
      <c r="FCW179" s="2"/>
      <c r="FCX179" s="2"/>
      <c r="FCY179" s="2"/>
      <c r="FCZ179" s="2"/>
      <c r="FDA179" s="2"/>
      <c r="FDB179" s="2"/>
      <c r="FDC179" s="2"/>
      <c r="FDD179" s="2"/>
      <c r="FDE179" s="2"/>
      <c r="FDF179" s="2"/>
      <c r="FDG179" s="2"/>
      <c r="FDH179" s="2"/>
      <c r="FDI179" s="2"/>
      <c r="FDJ179" s="2"/>
      <c r="FDK179" s="2"/>
      <c r="FDL179" s="2"/>
      <c r="FDM179" s="2"/>
      <c r="FDN179" s="2"/>
      <c r="FDO179" s="2"/>
      <c r="FDP179" s="2"/>
      <c r="FDQ179" s="2"/>
      <c r="FDR179" s="2"/>
      <c r="FDS179" s="2"/>
      <c r="FDT179" s="2"/>
      <c r="FDU179" s="2"/>
      <c r="FDV179" s="2"/>
      <c r="FDW179" s="2"/>
      <c r="FDX179" s="2"/>
      <c r="FDY179" s="2"/>
      <c r="FDZ179" s="2"/>
      <c r="FEA179" s="2"/>
      <c r="FEB179" s="2"/>
      <c r="FEC179" s="2"/>
      <c r="FED179" s="2"/>
      <c r="FEE179" s="2"/>
      <c r="FEF179" s="2"/>
      <c r="FEG179" s="2"/>
      <c r="FEH179" s="2"/>
      <c r="FEI179" s="2"/>
      <c r="FEJ179" s="2"/>
      <c r="FEK179" s="2"/>
      <c r="FEL179" s="2"/>
      <c r="FEM179" s="2"/>
      <c r="FEN179" s="2"/>
      <c r="FEO179" s="2"/>
      <c r="FEP179" s="2"/>
      <c r="FEQ179" s="2"/>
      <c r="FER179" s="2"/>
      <c r="FES179" s="2"/>
      <c r="FET179" s="2"/>
      <c r="FEU179" s="2"/>
      <c r="FEV179" s="2"/>
      <c r="FEW179" s="2"/>
      <c r="FEX179" s="2"/>
      <c r="FEY179" s="2"/>
      <c r="FEZ179" s="2"/>
      <c r="FFA179" s="2"/>
      <c r="FFB179" s="2"/>
      <c r="FFC179" s="2"/>
      <c r="FFD179" s="2"/>
      <c r="FFE179" s="2"/>
      <c r="FFF179" s="2"/>
      <c r="FFG179" s="2"/>
      <c r="FFH179" s="2"/>
      <c r="FFI179" s="2"/>
      <c r="FFJ179" s="2"/>
      <c r="FFK179" s="2"/>
      <c r="FFL179" s="2"/>
      <c r="FFM179" s="2"/>
      <c r="FFN179" s="2"/>
      <c r="FFO179" s="2"/>
      <c r="FFP179" s="2"/>
      <c r="FFQ179" s="2"/>
      <c r="FFR179" s="2"/>
      <c r="FFS179" s="2"/>
      <c r="FFT179" s="2"/>
      <c r="FFU179" s="2"/>
      <c r="FFV179" s="2"/>
      <c r="FFW179" s="2"/>
      <c r="FFX179" s="2"/>
      <c r="FFY179" s="2"/>
      <c r="FFZ179" s="2"/>
      <c r="FGA179" s="2"/>
      <c r="FGB179" s="2"/>
      <c r="FGC179" s="2"/>
      <c r="FGD179" s="2"/>
      <c r="FGE179" s="2"/>
      <c r="FGF179" s="2"/>
      <c r="FGG179" s="2"/>
      <c r="FGH179" s="2"/>
      <c r="FGI179" s="2"/>
      <c r="FGJ179" s="2"/>
      <c r="FGK179" s="2"/>
      <c r="FGL179" s="2"/>
      <c r="FGM179" s="2"/>
      <c r="FGN179" s="2"/>
      <c r="FGO179" s="2"/>
      <c r="FGP179" s="2"/>
      <c r="FGQ179" s="2"/>
      <c r="FGR179" s="2"/>
      <c r="FGS179" s="2"/>
      <c r="FGT179" s="2"/>
      <c r="FGU179" s="2"/>
      <c r="FGV179" s="2"/>
      <c r="FGW179" s="2"/>
      <c r="FGX179" s="2"/>
      <c r="FGY179" s="2"/>
      <c r="FGZ179" s="2"/>
      <c r="FHA179" s="2"/>
      <c r="FHB179" s="2"/>
      <c r="FHC179" s="2"/>
      <c r="FHD179" s="2"/>
      <c r="FHE179" s="2"/>
      <c r="FHF179" s="2"/>
      <c r="FHG179" s="2"/>
      <c r="FHH179" s="2"/>
      <c r="FHI179" s="2"/>
      <c r="FHJ179" s="2"/>
      <c r="FHK179" s="2"/>
      <c r="FHL179" s="2"/>
      <c r="FHM179" s="2"/>
      <c r="FHN179" s="2"/>
      <c r="FHO179" s="2"/>
      <c r="FHP179" s="2"/>
      <c r="FHQ179" s="2"/>
      <c r="FHR179" s="2"/>
      <c r="FHS179" s="2"/>
      <c r="FHT179" s="2"/>
      <c r="FHU179" s="2"/>
      <c r="FHV179" s="2"/>
      <c r="FHW179" s="2"/>
      <c r="FHX179" s="2"/>
      <c r="FHY179" s="2"/>
      <c r="FHZ179" s="2"/>
      <c r="FIA179" s="2"/>
      <c r="FIB179" s="2"/>
      <c r="FIC179" s="2"/>
      <c r="FID179" s="2"/>
      <c r="FIE179" s="2"/>
      <c r="FIF179" s="2"/>
      <c r="FIG179" s="2"/>
      <c r="FIH179" s="2"/>
      <c r="FII179" s="2"/>
      <c r="FIJ179" s="2"/>
      <c r="FIK179" s="2"/>
      <c r="FIL179" s="2"/>
      <c r="FIM179" s="2"/>
      <c r="FIN179" s="2"/>
      <c r="FIO179" s="2"/>
      <c r="FIP179" s="2"/>
      <c r="FIQ179" s="2"/>
      <c r="FIR179" s="2"/>
      <c r="FIS179" s="2"/>
      <c r="FIT179" s="2"/>
      <c r="FIU179" s="2"/>
      <c r="FIV179" s="2"/>
      <c r="FIW179" s="2"/>
      <c r="FIX179" s="2"/>
      <c r="FIY179" s="2"/>
      <c r="FIZ179" s="2"/>
      <c r="FJA179" s="2"/>
      <c r="FJB179" s="2"/>
      <c r="FJC179" s="2"/>
      <c r="FJD179" s="2"/>
      <c r="FJE179" s="2"/>
      <c r="FJF179" s="2"/>
      <c r="FJG179" s="2"/>
      <c r="FJH179" s="2"/>
      <c r="FJI179" s="2"/>
      <c r="FJJ179" s="2"/>
      <c r="FJK179" s="2"/>
      <c r="FJL179" s="2"/>
      <c r="FJM179" s="2"/>
      <c r="FJN179" s="2"/>
      <c r="FJO179" s="2"/>
      <c r="FJP179" s="2"/>
      <c r="FJQ179" s="2"/>
      <c r="FJR179" s="2"/>
      <c r="FJS179" s="2"/>
      <c r="FJT179" s="2"/>
      <c r="FJU179" s="2"/>
      <c r="FJV179" s="2"/>
      <c r="FJW179" s="2"/>
      <c r="FJX179" s="2"/>
      <c r="FJY179" s="2"/>
      <c r="FJZ179" s="2"/>
      <c r="FKA179" s="2"/>
      <c r="FKB179" s="2"/>
      <c r="FKC179" s="2"/>
      <c r="FKD179" s="2"/>
      <c r="FKE179" s="2"/>
      <c r="FKF179" s="2"/>
      <c r="FKG179" s="2"/>
      <c r="FKH179" s="2"/>
      <c r="FKI179" s="2"/>
      <c r="FKJ179" s="2"/>
      <c r="FKK179" s="2"/>
      <c r="FKL179" s="2"/>
      <c r="FKM179" s="2"/>
      <c r="FKN179" s="2"/>
      <c r="FKO179" s="2"/>
      <c r="FKP179" s="2"/>
      <c r="FKQ179" s="2"/>
      <c r="FKR179" s="2"/>
      <c r="FKS179" s="2"/>
      <c r="FKT179" s="2"/>
      <c r="FKU179" s="2"/>
      <c r="FKV179" s="2"/>
      <c r="FKW179" s="2"/>
      <c r="FKX179" s="2"/>
      <c r="FKY179" s="2"/>
      <c r="FKZ179" s="2"/>
      <c r="FLA179" s="2"/>
      <c r="FLB179" s="2"/>
      <c r="FLC179" s="2"/>
      <c r="FLD179" s="2"/>
      <c r="FLE179" s="2"/>
      <c r="FLF179" s="2"/>
      <c r="FLG179" s="2"/>
      <c r="FLH179" s="2"/>
      <c r="FLI179" s="2"/>
      <c r="FLJ179" s="2"/>
      <c r="FLK179" s="2"/>
      <c r="FLL179" s="2"/>
      <c r="FLM179" s="2"/>
      <c r="FLN179" s="2"/>
      <c r="FLO179" s="2"/>
      <c r="FLP179" s="2"/>
      <c r="FLQ179" s="2"/>
      <c r="FLR179" s="2"/>
      <c r="FLS179" s="2"/>
      <c r="FLT179" s="2"/>
      <c r="FLU179" s="2"/>
      <c r="FLV179" s="2"/>
      <c r="FLW179" s="2"/>
      <c r="FLX179" s="2"/>
      <c r="FLY179" s="2"/>
      <c r="FLZ179" s="2"/>
      <c r="FMA179" s="2"/>
      <c r="FMB179" s="2"/>
      <c r="FMC179" s="2"/>
      <c r="FMD179" s="2"/>
      <c r="FME179" s="2"/>
      <c r="FMF179" s="2"/>
      <c r="FMG179" s="2"/>
      <c r="FMH179" s="2"/>
      <c r="FMI179" s="2"/>
      <c r="FMJ179" s="2"/>
      <c r="FMK179" s="2"/>
      <c r="FML179" s="2"/>
      <c r="FMM179" s="2"/>
      <c r="FMN179" s="2"/>
      <c r="FMO179" s="2"/>
      <c r="FMP179" s="2"/>
      <c r="FMQ179" s="2"/>
      <c r="FMR179" s="2"/>
      <c r="FMS179" s="2"/>
      <c r="FMT179" s="2"/>
      <c r="FMU179" s="2"/>
      <c r="FMV179" s="2"/>
      <c r="FMW179" s="2"/>
      <c r="FMX179" s="2"/>
      <c r="FMY179" s="2"/>
      <c r="FMZ179" s="2"/>
      <c r="FNA179" s="2"/>
      <c r="FNB179" s="2"/>
      <c r="FNC179" s="2"/>
      <c r="FND179" s="2"/>
      <c r="FNE179" s="2"/>
      <c r="FNF179" s="2"/>
      <c r="FNG179" s="2"/>
      <c r="FNH179" s="2"/>
      <c r="FNI179" s="2"/>
      <c r="FNJ179" s="2"/>
      <c r="FNK179" s="2"/>
      <c r="FNL179" s="2"/>
      <c r="FNM179" s="2"/>
      <c r="FNN179" s="2"/>
      <c r="FNO179" s="2"/>
      <c r="FNP179" s="2"/>
      <c r="FNQ179" s="2"/>
      <c r="FNR179" s="2"/>
      <c r="FNS179" s="2"/>
      <c r="FNT179" s="2"/>
      <c r="FNU179" s="2"/>
      <c r="FNV179" s="2"/>
      <c r="FNW179" s="2"/>
      <c r="FNX179" s="2"/>
      <c r="FNY179" s="2"/>
      <c r="FNZ179" s="2"/>
      <c r="FOA179" s="2"/>
      <c r="FOB179" s="2"/>
      <c r="FOC179" s="2"/>
      <c r="FOD179" s="2"/>
      <c r="FOE179" s="2"/>
      <c r="FOF179" s="2"/>
      <c r="FOG179" s="2"/>
      <c r="FOH179" s="2"/>
      <c r="FOI179" s="2"/>
      <c r="FOJ179" s="2"/>
      <c r="FOK179" s="2"/>
      <c r="FOL179" s="2"/>
      <c r="FOM179" s="2"/>
      <c r="FON179" s="2"/>
      <c r="FOO179" s="2"/>
      <c r="FOP179" s="2"/>
      <c r="FOQ179" s="2"/>
      <c r="FOR179" s="2"/>
      <c r="FOS179" s="2"/>
      <c r="FOT179" s="2"/>
      <c r="FOU179" s="2"/>
      <c r="FOV179" s="2"/>
      <c r="FOW179" s="2"/>
      <c r="FOX179" s="2"/>
      <c r="FOY179" s="2"/>
      <c r="FOZ179" s="2"/>
      <c r="FPA179" s="2"/>
      <c r="FPB179" s="2"/>
      <c r="FPC179" s="2"/>
      <c r="FPD179" s="2"/>
      <c r="FPE179" s="2"/>
      <c r="FPF179" s="2"/>
      <c r="FPG179" s="2"/>
      <c r="FPH179" s="2"/>
      <c r="FPI179" s="2"/>
      <c r="FPJ179" s="2"/>
      <c r="FPK179" s="2"/>
      <c r="FPL179" s="2"/>
      <c r="FPM179" s="2"/>
      <c r="FPN179" s="2"/>
      <c r="FPO179" s="2"/>
      <c r="FPP179" s="2"/>
      <c r="FPQ179" s="2"/>
      <c r="FPR179" s="2"/>
      <c r="FPS179" s="2"/>
      <c r="FPT179" s="2"/>
      <c r="FPU179" s="2"/>
      <c r="FPV179" s="2"/>
      <c r="FPW179" s="2"/>
      <c r="FPX179" s="2"/>
      <c r="FPY179" s="2"/>
      <c r="FPZ179" s="2"/>
      <c r="FQA179" s="2"/>
      <c r="FQB179" s="2"/>
      <c r="FQC179" s="2"/>
      <c r="FQD179" s="2"/>
      <c r="FQE179" s="2"/>
      <c r="FQF179" s="2"/>
      <c r="FQG179" s="2"/>
      <c r="FQH179" s="2"/>
      <c r="FQI179" s="2"/>
      <c r="FQJ179" s="2"/>
      <c r="FQK179" s="2"/>
      <c r="FQL179" s="2"/>
      <c r="FQM179" s="2"/>
      <c r="FQN179" s="2"/>
      <c r="FQO179" s="2"/>
      <c r="FQP179" s="2"/>
      <c r="FQQ179" s="2"/>
      <c r="FQR179" s="2"/>
      <c r="FQS179" s="2"/>
      <c r="FQT179" s="2"/>
      <c r="FQU179" s="2"/>
      <c r="FQV179" s="2"/>
      <c r="FQW179" s="2"/>
      <c r="FQX179" s="2"/>
      <c r="FQY179" s="2"/>
      <c r="FQZ179" s="2"/>
      <c r="FRA179" s="2"/>
      <c r="FRB179" s="2"/>
      <c r="FRC179" s="2"/>
      <c r="FRD179" s="2"/>
      <c r="FRE179" s="2"/>
      <c r="FRF179" s="2"/>
      <c r="FRG179" s="2"/>
      <c r="FRH179" s="2"/>
      <c r="FRI179" s="2"/>
      <c r="FRJ179" s="2"/>
      <c r="FRK179" s="2"/>
      <c r="FRL179" s="2"/>
      <c r="FRM179" s="2"/>
      <c r="FRN179" s="2"/>
      <c r="FRO179" s="2"/>
      <c r="FRP179" s="2"/>
      <c r="FRQ179" s="2"/>
      <c r="FRR179" s="2"/>
      <c r="FRS179" s="2"/>
      <c r="FRT179" s="2"/>
      <c r="FRU179" s="2"/>
      <c r="FRV179" s="2"/>
      <c r="FRW179" s="2"/>
      <c r="FRX179" s="2"/>
      <c r="FRY179" s="2"/>
      <c r="FRZ179" s="2"/>
      <c r="FSA179" s="2"/>
      <c r="FSB179" s="2"/>
      <c r="FSC179" s="2"/>
      <c r="FSD179" s="2"/>
      <c r="FSE179" s="2"/>
      <c r="FSF179" s="2"/>
      <c r="FSG179" s="2"/>
      <c r="FSH179" s="2"/>
      <c r="FSI179" s="2"/>
      <c r="FSJ179" s="2"/>
      <c r="FSK179" s="2"/>
      <c r="FSL179" s="2"/>
      <c r="FSM179" s="2"/>
      <c r="FSN179" s="2"/>
      <c r="FSO179" s="2"/>
      <c r="FSP179" s="2"/>
      <c r="FSQ179" s="2"/>
      <c r="FSR179" s="2"/>
      <c r="FSS179" s="2"/>
      <c r="FST179" s="2"/>
      <c r="FSU179" s="2"/>
      <c r="FSV179" s="2"/>
      <c r="FSW179" s="2"/>
      <c r="FSX179" s="2"/>
      <c r="FSY179" s="2"/>
      <c r="FSZ179" s="2"/>
      <c r="FTA179" s="2"/>
      <c r="FTB179" s="2"/>
      <c r="FTC179" s="2"/>
      <c r="FTD179" s="2"/>
      <c r="FTE179" s="2"/>
      <c r="FTF179" s="2"/>
      <c r="FTG179" s="2"/>
      <c r="FTH179" s="2"/>
      <c r="FTI179" s="2"/>
      <c r="FTJ179" s="2"/>
      <c r="FTK179" s="2"/>
      <c r="FTL179" s="2"/>
      <c r="FTM179" s="2"/>
      <c r="FTN179" s="2"/>
      <c r="FTO179" s="2"/>
      <c r="FTP179" s="2"/>
      <c r="FTQ179" s="2"/>
      <c r="FTR179" s="2"/>
      <c r="FTS179" s="2"/>
      <c r="FTT179" s="2"/>
      <c r="FTU179" s="2"/>
      <c r="FTV179" s="2"/>
      <c r="FTW179" s="2"/>
      <c r="FTX179" s="2"/>
      <c r="FTY179" s="2"/>
      <c r="FTZ179" s="2"/>
      <c r="FUA179" s="2"/>
      <c r="FUB179" s="2"/>
      <c r="FUC179" s="2"/>
      <c r="FUD179" s="2"/>
      <c r="FUE179" s="2"/>
      <c r="FUF179" s="2"/>
      <c r="FUG179" s="2"/>
      <c r="FUH179" s="2"/>
      <c r="FUI179" s="2"/>
      <c r="FUJ179" s="2"/>
      <c r="FUK179" s="2"/>
      <c r="FUL179" s="2"/>
      <c r="FUM179" s="2"/>
      <c r="FUN179" s="2"/>
      <c r="FUO179" s="2"/>
      <c r="FUP179" s="2"/>
      <c r="FUQ179" s="2"/>
      <c r="FUR179" s="2"/>
      <c r="FUS179" s="2"/>
      <c r="FUT179" s="2"/>
      <c r="FUU179" s="2"/>
      <c r="FUV179" s="2"/>
      <c r="FUW179" s="2"/>
      <c r="FUX179" s="2"/>
      <c r="FUY179" s="2"/>
      <c r="FUZ179" s="2"/>
      <c r="FVA179" s="2"/>
      <c r="FVB179" s="2"/>
      <c r="FVC179" s="2"/>
      <c r="FVD179" s="2"/>
      <c r="FVE179" s="2"/>
      <c r="FVF179" s="2"/>
      <c r="FVG179" s="2"/>
      <c r="FVH179" s="2"/>
      <c r="FVI179" s="2"/>
      <c r="FVJ179" s="2"/>
      <c r="FVK179" s="2"/>
      <c r="FVL179" s="2"/>
      <c r="FVM179" s="2"/>
      <c r="FVN179" s="2"/>
      <c r="FVO179" s="2"/>
      <c r="FVP179" s="2"/>
      <c r="FVQ179" s="2"/>
      <c r="FVR179" s="2"/>
      <c r="FVS179" s="2"/>
      <c r="FVT179" s="2"/>
      <c r="FVU179" s="2"/>
      <c r="FVV179" s="2"/>
      <c r="FVW179" s="2"/>
      <c r="FVX179" s="2"/>
      <c r="FVY179" s="2"/>
      <c r="FVZ179" s="2"/>
      <c r="FWA179" s="2"/>
      <c r="FWB179" s="2"/>
      <c r="FWC179" s="2"/>
      <c r="FWD179" s="2"/>
      <c r="FWE179" s="2"/>
      <c r="FWF179" s="2"/>
      <c r="FWG179" s="2"/>
      <c r="FWH179" s="2"/>
      <c r="FWI179" s="2"/>
      <c r="FWJ179" s="2"/>
      <c r="FWK179" s="2"/>
      <c r="FWL179" s="2"/>
      <c r="FWM179" s="2"/>
      <c r="FWN179" s="2"/>
      <c r="FWO179" s="2"/>
      <c r="FWP179" s="2"/>
      <c r="FWQ179" s="2"/>
      <c r="FWR179" s="2"/>
      <c r="FWS179" s="2"/>
      <c r="FWT179" s="2"/>
      <c r="FWU179" s="2"/>
      <c r="FWV179" s="2"/>
      <c r="FWW179" s="2"/>
      <c r="FWX179" s="2"/>
      <c r="FWY179" s="2"/>
      <c r="FWZ179" s="2"/>
      <c r="FXA179" s="2"/>
      <c r="FXB179" s="2"/>
      <c r="FXC179" s="2"/>
      <c r="FXD179" s="2"/>
      <c r="FXE179" s="2"/>
      <c r="FXF179" s="2"/>
      <c r="FXG179" s="2"/>
      <c r="FXH179" s="2"/>
      <c r="FXI179" s="2"/>
      <c r="FXJ179" s="2"/>
      <c r="FXK179" s="2"/>
      <c r="FXL179" s="2"/>
      <c r="FXM179" s="2"/>
      <c r="FXN179" s="2"/>
      <c r="FXO179" s="2"/>
      <c r="FXP179" s="2"/>
      <c r="FXQ179" s="2"/>
      <c r="FXR179" s="2"/>
      <c r="FXS179" s="2"/>
      <c r="FXT179" s="2"/>
      <c r="FXU179" s="2"/>
      <c r="FXV179" s="2"/>
      <c r="FXW179" s="2"/>
      <c r="FXX179" s="2"/>
      <c r="FXY179" s="2"/>
      <c r="FXZ179" s="2"/>
      <c r="FYA179" s="2"/>
      <c r="FYB179" s="2"/>
      <c r="FYC179" s="2"/>
      <c r="FYD179" s="2"/>
      <c r="FYE179" s="2"/>
      <c r="FYF179" s="2"/>
      <c r="FYG179" s="2"/>
      <c r="FYH179" s="2"/>
      <c r="FYI179" s="2"/>
      <c r="FYJ179" s="2"/>
      <c r="FYK179" s="2"/>
      <c r="FYL179" s="2"/>
      <c r="FYM179" s="2"/>
      <c r="FYN179" s="2"/>
      <c r="FYO179" s="2"/>
      <c r="FYP179" s="2"/>
      <c r="FYQ179" s="2"/>
      <c r="FYR179" s="2"/>
      <c r="FYS179" s="2"/>
      <c r="FYT179" s="2"/>
      <c r="FYU179" s="2"/>
      <c r="FYV179" s="2"/>
      <c r="FYW179" s="2"/>
      <c r="FYX179" s="2"/>
      <c r="FYY179" s="2"/>
      <c r="FYZ179" s="2"/>
      <c r="FZA179" s="2"/>
      <c r="FZB179" s="2"/>
      <c r="FZC179" s="2"/>
      <c r="FZD179" s="2"/>
      <c r="FZE179" s="2"/>
      <c r="FZF179" s="2"/>
      <c r="FZG179" s="2"/>
      <c r="FZH179" s="2"/>
      <c r="FZI179" s="2"/>
      <c r="FZJ179" s="2"/>
      <c r="FZK179" s="2"/>
      <c r="FZL179" s="2"/>
      <c r="FZM179" s="2"/>
      <c r="FZN179" s="2"/>
      <c r="FZO179" s="2"/>
      <c r="FZP179" s="2"/>
      <c r="FZQ179" s="2"/>
      <c r="FZR179" s="2"/>
      <c r="FZS179" s="2"/>
      <c r="FZT179" s="2"/>
      <c r="FZU179" s="2"/>
      <c r="FZV179" s="2"/>
      <c r="FZW179" s="2"/>
      <c r="FZX179" s="2"/>
      <c r="FZY179" s="2"/>
      <c r="FZZ179" s="2"/>
      <c r="GAA179" s="2"/>
      <c r="GAB179" s="2"/>
      <c r="GAC179" s="2"/>
      <c r="GAD179" s="2"/>
      <c r="GAE179" s="2"/>
      <c r="GAF179" s="2"/>
      <c r="GAG179" s="2"/>
      <c r="GAH179" s="2"/>
      <c r="GAI179" s="2"/>
      <c r="GAJ179" s="2"/>
      <c r="GAK179" s="2"/>
      <c r="GAL179" s="2"/>
      <c r="GAM179" s="2"/>
      <c r="GAN179" s="2"/>
      <c r="GAO179" s="2"/>
      <c r="GAP179" s="2"/>
      <c r="GAQ179" s="2"/>
      <c r="GAR179" s="2"/>
      <c r="GAS179" s="2"/>
      <c r="GAT179" s="2"/>
      <c r="GAU179" s="2"/>
      <c r="GAV179" s="2"/>
      <c r="GAW179" s="2"/>
      <c r="GAX179" s="2"/>
      <c r="GAY179" s="2"/>
      <c r="GAZ179" s="2"/>
      <c r="GBA179" s="2"/>
      <c r="GBB179" s="2"/>
      <c r="GBC179" s="2"/>
      <c r="GBD179" s="2"/>
      <c r="GBE179" s="2"/>
      <c r="GBF179" s="2"/>
      <c r="GBG179" s="2"/>
      <c r="GBH179" s="2"/>
      <c r="GBI179" s="2"/>
      <c r="GBJ179" s="2"/>
      <c r="GBK179" s="2"/>
      <c r="GBL179" s="2"/>
      <c r="GBM179" s="2"/>
      <c r="GBN179" s="2"/>
      <c r="GBO179" s="2"/>
      <c r="GBP179" s="2"/>
      <c r="GBQ179" s="2"/>
      <c r="GBR179" s="2"/>
      <c r="GBS179" s="2"/>
      <c r="GBT179" s="2"/>
      <c r="GBU179" s="2"/>
      <c r="GBV179" s="2"/>
      <c r="GBW179" s="2"/>
      <c r="GBX179" s="2"/>
      <c r="GBY179" s="2"/>
      <c r="GBZ179" s="2"/>
      <c r="GCA179" s="2"/>
      <c r="GCB179" s="2"/>
      <c r="GCC179" s="2"/>
      <c r="GCD179" s="2"/>
      <c r="GCE179" s="2"/>
      <c r="GCF179" s="2"/>
      <c r="GCG179" s="2"/>
      <c r="GCH179" s="2"/>
      <c r="GCI179" s="2"/>
      <c r="GCJ179" s="2"/>
      <c r="GCK179" s="2"/>
      <c r="GCL179" s="2"/>
      <c r="GCM179" s="2"/>
      <c r="GCN179" s="2"/>
      <c r="GCO179" s="2"/>
      <c r="GCP179" s="2"/>
      <c r="GCQ179" s="2"/>
      <c r="GCR179" s="2"/>
      <c r="GCS179" s="2"/>
      <c r="GCT179" s="2"/>
      <c r="GCU179" s="2"/>
      <c r="GCV179" s="2"/>
      <c r="GCW179" s="2"/>
      <c r="GCX179" s="2"/>
      <c r="GCY179" s="2"/>
      <c r="GCZ179" s="2"/>
      <c r="GDA179" s="2"/>
      <c r="GDB179" s="2"/>
      <c r="GDC179" s="2"/>
      <c r="GDD179" s="2"/>
      <c r="GDE179" s="2"/>
      <c r="GDF179" s="2"/>
      <c r="GDG179" s="2"/>
      <c r="GDH179" s="2"/>
      <c r="GDI179" s="2"/>
      <c r="GDJ179" s="2"/>
      <c r="GDK179" s="2"/>
      <c r="GDL179" s="2"/>
      <c r="GDM179" s="2"/>
      <c r="GDN179" s="2"/>
      <c r="GDO179" s="2"/>
      <c r="GDP179" s="2"/>
      <c r="GDQ179" s="2"/>
      <c r="GDR179" s="2"/>
      <c r="GDS179" s="2"/>
      <c r="GDT179" s="2"/>
      <c r="GDU179" s="2"/>
      <c r="GDV179" s="2"/>
      <c r="GDW179" s="2"/>
      <c r="GDX179" s="2"/>
      <c r="GDY179" s="2"/>
      <c r="GDZ179" s="2"/>
      <c r="GEA179" s="2"/>
      <c r="GEB179" s="2"/>
      <c r="GEC179" s="2"/>
      <c r="GED179" s="2"/>
      <c r="GEE179" s="2"/>
      <c r="GEF179" s="2"/>
      <c r="GEG179" s="2"/>
      <c r="GEH179" s="2"/>
      <c r="GEI179" s="2"/>
      <c r="GEJ179" s="2"/>
      <c r="GEK179" s="2"/>
      <c r="GEL179" s="2"/>
      <c r="GEM179" s="2"/>
      <c r="GEN179" s="2"/>
      <c r="GEO179" s="2"/>
      <c r="GEP179" s="2"/>
      <c r="GEQ179" s="2"/>
      <c r="GER179" s="2"/>
      <c r="GES179" s="2"/>
      <c r="GET179" s="2"/>
      <c r="GEU179" s="2"/>
      <c r="GEV179" s="2"/>
      <c r="GEW179" s="2"/>
      <c r="GEX179" s="2"/>
      <c r="GEY179" s="2"/>
      <c r="GEZ179" s="2"/>
      <c r="GFA179" s="2"/>
      <c r="GFB179" s="2"/>
      <c r="GFC179" s="2"/>
      <c r="GFD179" s="2"/>
      <c r="GFE179" s="2"/>
      <c r="GFF179" s="2"/>
      <c r="GFG179" s="2"/>
      <c r="GFH179" s="2"/>
      <c r="GFI179" s="2"/>
      <c r="GFJ179" s="2"/>
      <c r="GFK179" s="2"/>
      <c r="GFL179" s="2"/>
      <c r="GFM179" s="2"/>
      <c r="GFN179" s="2"/>
      <c r="GFO179" s="2"/>
      <c r="GFP179" s="2"/>
      <c r="GFQ179" s="2"/>
      <c r="GFR179" s="2"/>
      <c r="GFS179" s="2"/>
      <c r="GFT179" s="2"/>
      <c r="GFU179" s="2"/>
      <c r="GFV179" s="2"/>
      <c r="GFW179" s="2"/>
      <c r="GFX179" s="2"/>
      <c r="GFY179" s="2"/>
      <c r="GFZ179" s="2"/>
      <c r="GGA179" s="2"/>
      <c r="GGB179" s="2"/>
      <c r="GGC179" s="2"/>
      <c r="GGD179" s="2"/>
      <c r="GGE179" s="2"/>
      <c r="GGF179" s="2"/>
      <c r="GGG179" s="2"/>
      <c r="GGH179" s="2"/>
      <c r="GGI179" s="2"/>
      <c r="GGJ179" s="2"/>
      <c r="GGK179" s="2"/>
      <c r="GGL179" s="2"/>
      <c r="GGM179" s="2"/>
      <c r="GGN179" s="2"/>
      <c r="GGO179" s="2"/>
      <c r="GGP179" s="2"/>
      <c r="GGQ179" s="2"/>
      <c r="GGR179" s="2"/>
      <c r="GGS179" s="2"/>
      <c r="GGT179" s="2"/>
      <c r="GGU179" s="2"/>
      <c r="GGV179" s="2"/>
      <c r="GGW179" s="2"/>
      <c r="GGX179" s="2"/>
      <c r="GGY179" s="2"/>
      <c r="GGZ179" s="2"/>
      <c r="GHA179" s="2"/>
      <c r="GHB179" s="2"/>
      <c r="GHC179" s="2"/>
      <c r="GHD179" s="2"/>
      <c r="GHE179" s="2"/>
      <c r="GHF179" s="2"/>
      <c r="GHG179" s="2"/>
      <c r="GHH179" s="2"/>
      <c r="GHI179" s="2"/>
      <c r="GHJ179" s="2"/>
      <c r="GHK179" s="2"/>
      <c r="GHL179" s="2"/>
      <c r="GHM179" s="2"/>
      <c r="GHN179" s="2"/>
      <c r="GHO179" s="2"/>
      <c r="GHP179" s="2"/>
      <c r="GHQ179" s="2"/>
      <c r="GHR179" s="2"/>
      <c r="GHS179" s="2"/>
      <c r="GHT179" s="2"/>
      <c r="GHU179" s="2"/>
      <c r="GHV179" s="2"/>
      <c r="GHW179" s="2"/>
      <c r="GHX179" s="2"/>
      <c r="GHY179" s="2"/>
      <c r="GHZ179" s="2"/>
      <c r="GIA179" s="2"/>
      <c r="GIB179" s="2"/>
      <c r="GIC179" s="2"/>
      <c r="GID179" s="2"/>
      <c r="GIE179" s="2"/>
      <c r="GIF179" s="2"/>
      <c r="GIG179" s="2"/>
      <c r="GIH179" s="2"/>
      <c r="GII179" s="2"/>
      <c r="GIJ179" s="2"/>
      <c r="GIK179" s="2"/>
      <c r="GIL179" s="2"/>
      <c r="GIM179" s="2"/>
      <c r="GIN179" s="2"/>
      <c r="GIO179" s="2"/>
      <c r="GIP179" s="2"/>
      <c r="GIQ179" s="2"/>
      <c r="GIR179" s="2"/>
      <c r="GIS179" s="2"/>
      <c r="GIT179" s="2"/>
      <c r="GIU179" s="2"/>
      <c r="GIV179" s="2"/>
      <c r="GIW179" s="2"/>
      <c r="GIX179" s="2"/>
      <c r="GIY179" s="2"/>
      <c r="GIZ179" s="2"/>
      <c r="GJA179" s="2"/>
      <c r="GJB179" s="2"/>
      <c r="GJC179" s="2"/>
      <c r="GJD179" s="2"/>
      <c r="GJE179" s="2"/>
      <c r="GJF179" s="2"/>
      <c r="GJG179" s="2"/>
      <c r="GJH179" s="2"/>
      <c r="GJI179" s="2"/>
      <c r="GJJ179" s="2"/>
      <c r="GJK179" s="2"/>
      <c r="GJL179" s="2"/>
      <c r="GJM179" s="2"/>
      <c r="GJN179" s="2"/>
      <c r="GJO179" s="2"/>
      <c r="GJP179" s="2"/>
      <c r="GJQ179" s="2"/>
      <c r="GJR179" s="2"/>
      <c r="GJS179" s="2"/>
      <c r="GJT179" s="2"/>
      <c r="GJU179" s="2"/>
      <c r="GJV179" s="2"/>
      <c r="GJW179" s="2"/>
      <c r="GJX179" s="2"/>
      <c r="GJY179" s="2"/>
      <c r="GJZ179" s="2"/>
      <c r="GKA179" s="2"/>
      <c r="GKB179" s="2"/>
      <c r="GKC179" s="2"/>
      <c r="GKD179" s="2"/>
      <c r="GKE179" s="2"/>
      <c r="GKF179" s="2"/>
      <c r="GKG179" s="2"/>
      <c r="GKH179" s="2"/>
      <c r="GKI179" s="2"/>
      <c r="GKJ179" s="2"/>
      <c r="GKK179" s="2"/>
      <c r="GKL179" s="2"/>
      <c r="GKM179" s="2"/>
      <c r="GKN179" s="2"/>
      <c r="GKO179" s="2"/>
      <c r="GKP179" s="2"/>
      <c r="GKQ179" s="2"/>
      <c r="GKR179" s="2"/>
      <c r="GKS179" s="2"/>
      <c r="GKT179" s="2"/>
      <c r="GKU179" s="2"/>
      <c r="GKV179" s="2"/>
      <c r="GKW179" s="2"/>
      <c r="GKX179" s="2"/>
      <c r="GKY179" s="2"/>
      <c r="GKZ179" s="2"/>
      <c r="GLA179" s="2"/>
      <c r="GLB179" s="2"/>
      <c r="GLC179" s="2"/>
      <c r="GLD179" s="2"/>
      <c r="GLE179" s="2"/>
      <c r="GLF179" s="2"/>
      <c r="GLG179" s="2"/>
      <c r="GLH179" s="2"/>
      <c r="GLI179" s="2"/>
      <c r="GLJ179" s="2"/>
      <c r="GLK179" s="2"/>
      <c r="GLL179" s="2"/>
      <c r="GLM179" s="2"/>
      <c r="GLN179" s="2"/>
      <c r="GLO179" s="2"/>
      <c r="GLP179" s="2"/>
      <c r="GLQ179" s="2"/>
      <c r="GLR179" s="2"/>
      <c r="GLS179" s="2"/>
      <c r="GLT179" s="2"/>
      <c r="GLU179" s="2"/>
      <c r="GLV179" s="2"/>
      <c r="GLW179" s="2"/>
      <c r="GLX179" s="2"/>
      <c r="GLY179" s="2"/>
      <c r="GLZ179" s="2"/>
      <c r="GMA179" s="2"/>
      <c r="GMB179" s="2"/>
      <c r="GMC179" s="2"/>
      <c r="GMD179" s="2"/>
      <c r="GME179" s="2"/>
      <c r="GMF179" s="2"/>
      <c r="GMG179" s="2"/>
      <c r="GMH179" s="2"/>
      <c r="GMI179" s="2"/>
      <c r="GMJ179" s="2"/>
      <c r="GMK179" s="2"/>
      <c r="GML179" s="2"/>
      <c r="GMM179" s="2"/>
      <c r="GMN179" s="2"/>
      <c r="GMO179" s="2"/>
      <c r="GMP179" s="2"/>
      <c r="GMQ179" s="2"/>
      <c r="GMR179" s="2"/>
      <c r="GMS179" s="2"/>
      <c r="GMT179" s="2"/>
      <c r="GMU179" s="2"/>
      <c r="GMV179" s="2"/>
      <c r="GMW179" s="2"/>
      <c r="GMX179" s="2"/>
      <c r="GMY179" s="2"/>
      <c r="GMZ179" s="2"/>
      <c r="GNA179" s="2"/>
      <c r="GNB179" s="2"/>
      <c r="GNC179" s="2"/>
      <c r="GND179" s="2"/>
      <c r="GNE179" s="2"/>
      <c r="GNF179" s="2"/>
      <c r="GNG179" s="2"/>
      <c r="GNH179" s="2"/>
      <c r="GNI179" s="2"/>
      <c r="GNJ179" s="2"/>
      <c r="GNK179" s="2"/>
      <c r="GNL179" s="2"/>
      <c r="GNM179" s="2"/>
      <c r="GNN179" s="2"/>
      <c r="GNO179" s="2"/>
      <c r="GNP179" s="2"/>
      <c r="GNQ179" s="2"/>
      <c r="GNR179" s="2"/>
      <c r="GNS179" s="2"/>
      <c r="GNT179" s="2"/>
      <c r="GNU179" s="2"/>
      <c r="GNV179" s="2"/>
      <c r="GNW179" s="2"/>
      <c r="GNX179" s="2"/>
      <c r="GNY179" s="2"/>
      <c r="GNZ179" s="2"/>
      <c r="GOA179" s="2"/>
      <c r="GOB179" s="2"/>
      <c r="GOC179" s="2"/>
      <c r="GOD179" s="2"/>
      <c r="GOE179" s="2"/>
      <c r="GOF179" s="2"/>
      <c r="GOG179" s="2"/>
      <c r="GOH179" s="2"/>
      <c r="GOI179" s="2"/>
      <c r="GOJ179" s="2"/>
      <c r="GOK179" s="2"/>
      <c r="GOL179" s="2"/>
      <c r="GOM179" s="2"/>
      <c r="GON179" s="2"/>
      <c r="GOO179" s="2"/>
      <c r="GOP179" s="2"/>
      <c r="GOQ179" s="2"/>
      <c r="GOR179" s="2"/>
      <c r="GOS179" s="2"/>
      <c r="GOT179" s="2"/>
      <c r="GOU179" s="2"/>
      <c r="GOV179" s="2"/>
      <c r="GOW179" s="2"/>
      <c r="GOX179" s="2"/>
      <c r="GOY179" s="2"/>
      <c r="GOZ179" s="2"/>
      <c r="GPA179" s="2"/>
      <c r="GPB179" s="2"/>
      <c r="GPC179" s="2"/>
      <c r="GPD179" s="2"/>
      <c r="GPE179" s="2"/>
      <c r="GPF179" s="2"/>
      <c r="GPG179" s="2"/>
      <c r="GPH179" s="2"/>
      <c r="GPI179" s="2"/>
      <c r="GPJ179" s="2"/>
      <c r="GPK179" s="2"/>
      <c r="GPL179" s="2"/>
      <c r="GPM179" s="2"/>
      <c r="GPN179" s="2"/>
      <c r="GPO179" s="2"/>
      <c r="GPP179" s="2"/>
      <c r="GPQ179" s="2"/>
      <c r="GPR179" s="2"/>
      <c r="GPS179" s="2"/>
      <c r="GPT179" s="2"/>
      <c r="GPU179" s="2"/>
      <c r="GPV179" s="2"/>
      <c r="GPW179" s="2"/>
      <c r="GPX179" s="2"/>
      <c r="GPY179" s="2"/>
      <c r="GPZ179" s="2"/>
      <c r="GQA179" s="2"/>
      <c r="GQB179" s="2"/>
      <c r="GQC179" s="2"/>
      <c r="GQD179" s="2"/>
      <c r="GQE179" s="2"/>
      <c r="GQF179" s="2"/>
      <c r="GQG179" s="2"/>
      <c r="GQH179" s="2"/>
      <c r="GQI179" s="2"/>
      <c r="GQJ179" s="2"/>
      <c r="GQK179" s="2"/>
      <c r="GQL179" s="2"/>
      <c r="GQM179" s="2"/>
      <c r="GQN179" s="2"/>
      <c r="GQO179" s="2"/>
      <c r="GQP179" s="2"/>
      <c r="GQQ179" s="2"/>
      <c r="GQR179" s="2"/>
      <c r="GQS179" s="2"/>
      <c r="GQT179" s="2"/>
      <c r="GQU179" s="2"/>
      <c r="GQV179" s="2"/>
      <c r="GQW179" s="2"/>
      <c r="GQX179" s="2"/>
      <c r="GQY179" s="2"/>
      <c r="GQZ179" s="2"/>
      <c r="GRA179" s="2"/>
      <c r="GRB179" s="2"/>
      <c r="GRC179" s="2"/>
      <c r="GRD179" s="2"/>
      <c r="GRE179" s="2"/>
      <c r="GRF179" s="2"/>
      <c r="GRG179" s="2"/>
      <c r="GRH179" s="2"/>
      <c r="GRI179" s="2"/>
      <c r="GRJ179" s="2"/>
      <c r="GRK179" s="2"/>
      <c r="GRL179" s="2"/>
      <c r="GRM179" s="2"/>
      <c r="GRN179" s="2"/>
      <c r="GRO179" s="2"/>
      <c r="GRP179" s="2"/>
      <c r="GRQ179" s="2"/>
      <c r="GRR179" s="2"/>
      <c r="GRS179" s="2"/>
      <c r="GRT179" s="2"/>
      <c r="GRU179" s="2"/>
      <c r="GRV179" s="2"/>
      <c r="GRW179" s="2"/>
      <c r="GRX179" s="2"/>
      <c r="GRY179" s="2"/>
      <c r="GRZ179" s="2"/>
      <c r="GSA179" s="2"/>
      <c r="GSB179" s="2"/>
      <c r="GSC179" s="2"/>
      <c r="GSD179" s="2"/>
      <c r="GSE179" s="2"/>
      <c r="GSF179" s="2"/>
      <c r="GSG179" s="2"/>
      <c r="GSH179" s="2"/>
      <c r="GSI179" s="2"/>
      <c r="GSJ179" s="2"/>
      <c r="GSK179" s="2"/>
      <c r="GSL179" s="2"/>
      <c r="GSM179" s="2"/>
      <c r="GSN179" s="2"/>
      <c r="GSO179" s="2"/>
      <c r="GSP179" s="2"/>
      <c r="GSQ179" s="2"/>
      <c r="GSR179" s="2"/>
      <c r="GSS179" s="2"/>
      <c r="GST179" s="2"/>
      <c r="GSU179" s="2"/>
      <c r="GSV179" s="2"/>
      <c r="GSW179" s="2"/>
      <c r="GSX179" s="2"/>
      <c r="GSY179" s="2"/>
      <c r="GSZ179" s="2"/>
      <c r="GTA179" s="2"/>
      <c r="GTB179" s="2"/>
      <c r="GTC179" s="2"/>
      <c r="GTD179" s="2"/>
      <c r="GTE179" s="2"/>
      <c r="GTF179" s="2"/>
      <c r="GTG179" s="2"/>
      <c r="GTH179" s="2"/>
      <c r="GTI179" s="2"/>
      <c r="GTJ179" s="2"/>
      <c r="GTK179" s="2"/>
      <c r="GTL179" s="2"/>
      <c r="GTM179" s="2"/>
      <c r="GTN179" s="2"/>
      <c r="GTO179" s="2"/>
      <c r="GTP179" s="2"/>
      <c r="GTQ179" s="2"/>
      <c r="GTR179" s="2"/>
      <c r="GTS179" s="2"/>
      <c r="GTT179" s="2"/>
      <c r="GTU179" s="2"/>
      <c r="GTV179" s="2"/>
      <c r="GTW179" s="2"/>
      <c r="GTX179" s="2"/>
      <c r="GTY179" s="2"/>
      <c r="GTZ179" s="2"/>
      <c r="GUA179" s="2"/>
      <c r="GUB179" s="2"/>
      <c r="GUC179" s="2"/>
      <c r="GUD179" s="2"/>
      <c r="GUE179" s="2"/>
      <c r="GUF179" s="2"/>
      <c r="GUG179" s="2"/>
      <c r="GUH179" s="2"/>
      <c r="GUI179" s="2"/>
      <c r="GUJ179" s="2"/>
      <c r="GUK179" s="2"/>
      <c r="GUL179" s="2"/>
      <c r="GUM179" s="2"/>
      <c r="GUN179" s="2"/>
      <c r="GUO179" s="2"/>
      <c r="GUP179" s="2"/>
      <c r="GUQ179" s="2"/>
      <c r="GUR179" s="2"/>
      <c r="GUS179" s="2"/>
      <c r="GUT179" s="2"/>
      <c r="GUU179" s="2"/>
      <c r="GUV179" s="2"/>
      <c r="GUW179" s="2"/>
      <c r="GUX179" s="2"/>
      <c r="GUY179" s="2"/>
      <c r="GUZ179" s="2"/>
      <c r="GVA179" s="2"/>
      <c r="GVB179" s="2"/>
      <c r="GVC179" s="2"/>
      <c r="GVD179" s="2"/>
      <c r="GVE179" s="2"/>
      <c r="GVF179" s="2"/>
      <c r="GVG179" s="2"/>
      <c r="GVH179" s="2"/>
      <c r="GVI179" s="2"/>
      <c r="GVJ179" s="2"/>
      <c r="GVK179" s="2"/>
      <c r="GVL179" s="2"/>
      <c r="GVM179" s="2"/>
      <c r="GVN179" s="2"/>
      <c r="GVO179" s="2"/>
      <c r="GVP179" s="2"/>
      <c r="GVQ179" s="2"/>
      <c r="GVR179" s="2"/>
      <c r="GVS179" s="2"/>
      <c r="GVT179" s="2"/>
      <c r="GVU179" s="2"/>
      <c r="GVV179" s="2"/>
      <c r="GVW179" s="2"/>
      <c r="GVX179" s="2"/>
      <c r="GVY179" s="2"/>
      <c r="GVZ179" s="2"/>
      <c r="GWA179" s="2"/>
      <c r="GWB179" s="2"/>
      <c r="GWC179" s="2"/>
      <c r="GWD179" s="2"/>
      <c r="GWE179" s="2"/>
      <c r="GWF179" s="2"/>
      <c r="GWG179" s="2"/>
      <c r="GWH179" s="2"/>
      <c r="GWI179" s="2"/>
      <c r="GWJ179" s="2"/>
      <c r="GWK179" s="2"/>
      <c r="GWL179" s="2"/>
      <c r="GWM179" s="2"/>
      <c r="GWN179" s="2"/>
      <c r="GWO179" s="2"/>
      <c r="GWP179" s="2"/>
      <c r="GWQ179" s="2"/>
      <c r="GWR179" s="2"/>
      <c r="GWS179" s="2"/>
      <c r="GWT179" s="2"/>
      <c r="GWU179" s="2"/>
      <c r="GWV179" s="2"/>
      <c r="GWW179" s="2"/>
      <c r="GWX179" s="2"/>
      <c r="GWY179" s="2"/>
      <c r="GWZ179" s="2"/>
      <c r="GXA179" s="2"/>
      <c r="GXB179" s="2"/>
      <c r="GXC179" s="2"/>
      <c r="GXD179" s="2"/>
      <c r="GXE179" s="2"/>
      <c r="GXF179" s="2"/>
      <c r="GXG179" s="2"/>
      <c r="GXH179" s="2"/>
      <c r="GXI179" s="2"/>
      <c r="GXJ179" s="2"/>
      <c r="GXK179" s="2"/>
      <c r="GXL179" s="2"/>
      <c r="GXM179" s="2"/>
      <c r="GXN179" s="2"/>
      <c r="GXO179" s="2"/>
      <c r="GXP179" s="2"/>
      <c r="GXQ179" s="2"/>
      <c r="GXR179" s="2"/>
      <c r="GXS179" s="2"/>
      <c r="GXT179" s="2"/>
      <c r="GXU179" s="2"/>
      <c r="GXV179" s="2"/>
      <c r="GXW179" s="2"/>
      <c r="GXX179" s="2"/>
      <c r="GXY179" s="2"/>
      <c r="GXZ179" s="2"/>
      <c r="GYA179" s="2"/>
      <c r="GYB179" s="2"/>
      <c r="GYC179" s="2"/>
      <c r="GYD179" s="2"/>
      <c r="GYE179" s="2"/>
      <c r="GYF179" s="2"/>
      <c r="GYG179" s="2"/>
      <c r="GYH179" s="2"/>
      <c r="GYI179" s="2"/>
      <c r="GYJ179" s="2"/>
      <c r="GYK179" s="2"/>
      <c r="GYL179" s="2"/>
      <c r="GYM179" s="2"/>
      <c r="GYN179" s="2"/>
      <c r="GYO179" s="2"/>
      <c r="GYP179" s="2"/>
      <c r="GYQ179" s="2"/>
      <c r="GYR179" s="2"/>
      <c r="GYS179" s="2"/>
      <c r="GYT179" s="2"/>
      <c r="GYU179" s="2"/>
      <c r="GYV179" s="2"/>
      <c r="GYW179" s="2"/>
      <c r="GYX179" s="2"/>
      <c r="GYY179" s="2"/>
      <c r="GYZ179" s="2"/>
      <c r="GZA179" s="2"/>
      <c r="GZB179" s="2"/>
      <c r="GZC179" s="2"/>
      <c r="GZD179" s="2"/>
      <c r="GZE179" s="2"/>
      <c r="GZF179" s="2"/>
      <c r="GZG179" s="2"/>
      <c r="GZH179" s="2"/>
      <c r="GZI179" s="2"/>
      <c r="GZJ179" s="2"/>
      <c r="GZK179" s="2"/>
      <c r="GZL179" s="2"/>
      <c r="GZM179" s="2"/>
      <c r="GZN179" s="2"/>
      <c r="GZO179" s="2"/>
      <c r="GZP179" s="2"/>
      <c r="GZQ179" s="2"/>
      <c r="GZR179" s="2"/>
      <c r="GZS179" s="2"/>
      <c r="GZT179" s="2"/>
      <c r="GZU179" s="2"/>
      <c r="GZV179" s="2"/>
      <c r="GZW179" s="2"/>
      <c r="GZX179" s="2"/>
      <c r="GZY179" s="2"/>
      <c r="GZZ179" s="2"/>
      <c r="HAA179" s="2"/>
      <c r="HAB179" s="2"/>
      <c r="HAC179" s="2"/>
      <c r="HAD179" s="2"/>
      <c r="HAE179" s="2"/>
      <c r="HAF179" s="2"/>
      <c r="HAG179" s="2"/>
      <c r="HAH179" s="2"/>
      <c r="HAI179" s="2"/>
      <c r="HAJ179" s="2"/>
      <c r="HAK179" s="2"/>
      <c r="HAL179" s="2"/>
      <c r="HAM179" s="2"/>
      <c r="HAN179" s="2"/>
      <c r="HAO179" s="2"/>
      <c r="HAP179" s="2"/>
      <c r="HAQ179" s="2"/>
      <c r="HAR179" s="2"/>
      <c r="HAS179" s="2"/>
      <c r="HAT179" s="2"/>
      <c r="HAU179" s="2"/>
      <c r="HAV179" s="2"/>
      <c r="HAW179" s="2"/>
      <c r="HAX179" s="2"/>
      <c r="HAY179" s="2"/>
      <c r="HAZ179" s="2"/>
      <c r="HBA179" s="2"/>
      <c r="HBB179" s="2"/>
      <c r="HBC179" s="2"/>
      <c r="HBD179" s="2"/>
      <c r="HBE179" s="2"/>
      <c r="HBF179" s="2"/>
      <c r="HBG179" s="2"/>
      <c r="HBH179" s="2"/>
      <c r="HBI179" s="2"/>
      <c r="HBJ179" s="2"/>
      <c r="HBK179" s="2"/>
      <c r="HBL179" s="2"/>
      <c r="HBM179" s="2"/>
      <c r="HBN179" s="2"/>
      <c r="HBO179" s="2"/>
      <c r="HBP179" s="2"/>
      <c r="HBQ179" s="2"/>
      <c r="HBR179" s="2"/>
      <c r="HBS179" s="2"/>
      <c r="HBT179" s="2"/>
      <c r="HBU179" s="2"/>
      <c r="HBV179" s="2"/>
      <c r="HBW179" s="2"/>
      <c r="HBX179" s="2"/>
      <c r="HBY179" s="2"/>
      <c r="HBZ179" s="2"/>
      <c r="HCA179" s="2"/>
      <c r="HCB179" s="2"/>
      <c r="HCC179" s="2"/>
      <c r="HCD179" s="2"/>
      <c r="HCE179" s="2"/>
      <c r="HCF179" s="2"/>
      <c r="HCG179" s="2"/>
      <c r="HCH179" s="2"/>
      <c r="HCI179" s="2"/>
      <c r="HCJ179" s="2"/>
      <c r="HCK179" s="2"/>
      <c r="HCL179" s="2"/>
      <c r="HCM179" s="2"/>
      <c r="HCN179" s="2"/>
      <c r="HCO179" s="2"/>
      <c r="HCP179" s="2"/>
      <c r="HCQ179" s="2"/>
      <c r="HCR179" s="2"/>
      <c r="HCS179" s="2"/>
      <c r="HCT179" s="2"/>
      <c r="HCU179" s="2"/>
      <c r="HCV179" s="2"/>
      <c r="HCW179" s="2"/>
      <c r="HCX179" s="2"/>
      <c r="HCY179" s="2"/>
      <c r="HCZ179" s="2"/>
      <c r="HDA179" s="2"/>
      <c r="HDB179" s="2"/>
      <c r="HDC179" s="2"/>
      <c r="HDD179" s="2"/>
      <c r="HDE179" s="2"/>
      <c r="HDF179" s="2"/>
      <c r="HDG179" s="2"/>
      <c r="HDH179" s="2"/>
      <c r="HDI179" s="2"/>
      <c r="HDJ179" s="2"/>
      <c r="HDK179" s="2"/>
      <c r="HDL179" s="2"/>
      <c r="HDM179" s="2"/>
      <c r="HDN179" s="2"/>
      <c r="HDO179" s="2"/>
      <c r="HDP179" s="2"/>
      <c r="HDQ179" s="2"/>
      <c r="HDR179" s="2"/>
      <c r="HDS179" s="2"/>
      <c r="HDT179" s="2"/>
      <c r="HDU179" s="2"/>
      <c r="HDV179" s="2"/>
      <c r="HDW179" s="2"/>
      <c r="HDX179" s="2"/>
      <c r="HDY179" s="2"/>
      <c r="HDZ179" s="2"/>
      <c r="HEA179" s="2"/>
      <c r="HEB179" s="2"/>
      <c r="HEC179" s="2"/>
      <c r="HED179" s="2"/>
      <c r="HEE179" s="2"/>
      <c r="HEF179" s="2"/>
      <c r="HEG179" s="2"/>
      <c r="HEH179" s="2"/>
      <c r="HEI179" s="2"/>
      <c r="HEJ179" s="2"/>
      <c r="HEK179" s="2"/>
      <c r="HEL179" s="2"/>
      <c r="HEM179" s="2"/>
      <c r="HEN179" s="2"/>
      <c r="HEO179" s="2"/>
      <c r="HEP179" s="2"/>
      <c r="HEQ179" s="2"/>
      <c r="HER179" s="2"/>
      <c r="HES179" s="2"/>
      <c r="HET179" s="2"/>
      <c r="HEU179" s="2"/>
      <c r="HEV179" s="2"/>
      <c r="HEW179" s="2"/>
      <c r="HEX179" s="2"/>
      <c r="HEY179" s="2"/>
      <c r="HEZ179" s="2"/>
      <c r="HFA179" s="2"/>
      <c r="HFB179" s="2"/>
      <c r="HFC179" s="2"/>
      <c r="HFD179" s="2"/>
      <c r="HFE179" s="2"/>
      <c r="HFF179" s="2"/>
      <c r="HFG179" s="2"/>
      <c r="HFH179" s="2"/>
      <c r="HFI179" s="2"/>
      <c r="HFJ179" s="2"/>
      <c r="HFK179" s="2"/>
      <c r="HFL179" s="2"/>
      <c r="HFM179" s="2"/>
      <c r="HFN179" s="2"/>
      <c r="HFO179" s="2"/>
      <c r="HFP179" s="2"/>
      <c r="HFQ179" s="2"/>
      <c r="HFR179" s="2"/>
      <c r="HFS179" s="2"/>
      <c r="HFT179" s="2"/>
      <c r="HFU179" s="2"/>
      <c r="HFV179" s="2"/>
      <c r="HFW179" s="2"/>
      <c r="HFX179" s="2"/>
      <c r="HFY179" s="2"/>
      <c r="HFZ179" s="2"/>
      <c r="HGA179" s="2"/>
      <c r="HGB179" s="2"/>
      <c r="HGC179" s="2"/>
      <c r="HGD179" s="2"/>
      <c r="HGE179" s="2"/>
      <c r="HGF179" s="2"/>
      <c r="HGG179" s="2"/>
      <c r="HGH179" s="2"/>
      <c r="HGI179" s="2"/>
      <c r="HGJ179" s="2"/>
      <c r="HGK179" s="2"/>
      <c r="HGL179" s="2"/>
      <c r="HGM179" s="2"/>
      <c r="HGN179" s="2"/>
      <c r="HGO179" s="2"/>
      <c r="HGP179" s="2"/>
      <c r="HGQ179" s="2"/>
      <c r="HGR179" s="2"/>
      <c r="HGS179" s="2"/>
      <c r="HGT179" s="2"/>
      <c r="HGU179" s="2"/>
      <c r="HGV179" s="2"/>
      <c r="HGW179" s="2"/>
      <c r="HGX179" s="2"/>
      <c r="HGY179" s="2"/>
      <c r="HGZ179" s="2"/>
      <c r="HHA179" s="2"/>
      <c r="HHB179" s="2"/>
      <c r="HHC179" s="2"/>
      <c r="HHD179" s="2"/>
      <c r="HHE179" s="2"/>
      <c r="HHF179" s="2"/>
      <c r="HHG179" s="2"/>
      <c r="HHH179" s="2"/>
      <c r="HHI179" s="2"/>
      <c r="HHJ179" s="2"/>
      <c r="HHK179" s="2"/>
      <c r="HHL179" s="2"/>
      <c r="HHM179" s="2"/>
      <c r="HHN179" s="2"/>
      <c r="HHO179" s="2"/>
      <c r="HHP179" s="2"/>
      <c r="HHQ179" s="2"/>
      <c r="HHR179" s="2"/>
      <c r="HHS179" s="2"/>
      <c r="HHT179" s="2"/>
      <c r="HHU179" s="2"/>
      <c r="HHV179" s="2"/>
      <c r="HHW179" s="2"/>
      <c r="HHX179" s="2"/>
      <c r="HHY179" s="2"/>
      <c r="HHZ179" s="2"/>
      <c r="HIA179" s="2"/>
      <c r="HIB179" s="2"/>
      <c r="HIC179" s="2"/>
      <c r="HID179" s="2"/>
      <c r="HIE179" s="2"/>
      <c r="HIF179" s="2"/>
      <c r="HIG179" s="2"/>
      <c r="HIH179" s="2"/>
      <c r="HII179" s="2"/>
      <c r="HIJ179" s="2"/>
      <c r="HIK179" s="2"/>
      <c r="HIL179" s="2"/>
      <c r="HIM179" s="2"/>
      <c r="HIN179" s="2"/>
      <c r="HIO179" s="2"/>
      <c r="HIP179" s="2"/>
      <c r="HIQ179" s="2"/>
      <c r="HIR179" s="2"/>
      <c r="HIS179" s="2"/>
      <c r="HIT179" s="2"/>
      <c r="HIU179" s="2"/>
      <c r="HIV179" s="2"/>
      <c r="HIW179" s="2"/>
      <c r="HIX179" s="2"/>
      <c r="HIY179" s="2"/>
      <c r="HIZ179" s="2"/>
      <c r="HJA179" s="2"/>
      <c r="HJB179" s="2"/>
      <c r="HJC179" s="2"/>
      <c r="HJD179" s="2"/>
      <c r="HJE179" s="2"/>
      <c r="HJF179" s="2"/>
      <c r="HJG179" s="2"/>
      <c r="HJH179" s="2"/>
      <c r="HJI179" s="2"/>
      <c r="HJJ179" s="2"/>
      <c r="HJK179" s="2"/>
      <c r="HJL179" s="2"/>
      <c r="HJM179" s="2"/>
      <c r="HJN179" s="2"/>
      <c r="HJO179" s="2"/>
      <c r="HJP179" s="2"/>
      <c r="HJQ179" s="2"/>
      <c r="HJR179" s="2"/>
      <c r="HJS179" s="2"/>
      <c r="HJT179" s="2"/>
      <c r="HJU179" s="2"/>
      <c r="HJV179" s="2"/>
      <c r="HJW179" s="2"/>
      <c r="HJX179" s="2"/>
      <c r="HJY179" s="2"/>
      <c r="HJZ179" s="2"/>
      <c r="HKA179" s="2"/>
      <c r="HKB179" s="2"/>
      <c r="HKC179" s="2"/>
      <c r="HKD179" s="2"/>
      <c r="HKE179" s="2"/>
      <c r="HKF179" s="2"/>
      <c r="HKG179" s="2"/>
      <c r="HKH179" s="2"/>
      <c r="HKI179" s="2"/>
      <c r="HKJ179" s="2"/>
      <c r="HKK179" s="2"/>
      <c r="HKL179" s="2"/>
      <c r="HKM179" s="2"/>
      <c r="HKN179" s="2"/>
      <c r="HKO179" s="2"/>
      <c r="HKP179" s="2"/>
      <c r="HKQ179" s="2"/>
      <c r="HKR179" s="2"/>
      <c r="HKS179" s="2"/>
      <c r="HKT179" s="2"/>
      <c r="HKU179" s="2"/>
      <c r="HKV179" s="2"/>
      <c r="HKW179" s="2"/>
      <c r="HKX179" s="2"/>
      <c r="HKY179" s="2"/>
      <c r="HKZ179" s="2"/>
      <c r="HLA179" s="2"/>
      <c r="HLB179" s="2"/>
      <c r="HLC179" s="2"/>
      <c r="HLD179" s="2"/>
      <c r="HLE179" s="2"/>
      <c r="HLF179" s="2"/>
      <c r="HLG179" s="2"/>
      <c r="HLH179" s="2"/>
      <c r="HLI179" s="2"/>
      <c r="HLJ179" s="2"/>
      <c r="HLK179" s="2"/>
      <c r="HLL179" s="2"/>
      <c r="HLM179" s="2"/>
      <c r="HLN179" s="2"/>
      <c r="HLO179" s="2"/>
      <c r="HLP179" s="2"/>
      <c r="HLQ179" s="2"/>
      <c r="HLR179" s="2"/>
      <c r="HLS179" s="2"/>
      <c r="HLT179" s="2"/>
      <c r="HLU179" s="2"/>
      <c r="HLV179" s="2"/>
      <c r="HLW179" s="2"/>
      <c r="HLX179" s="2"/>
      <c r="HLY179" s="2"/>
      <c r="HLZ179" s="2"/>
      <c r="HMA179" s="2"/>
      <c r="HMB179" s="2"/>
      <c r="HMC179" s="2"/>
      <c r="HMD179" s="2"/>
      <c r="HME179" s="2"/>
      <c r="HMF179" s="2"/>
      <c r="HMG179" s="2"/>
      <c r="HMH179" s="2"/>
      <c r="HMI179" s="2"/>
      <c r="HMJ179" s="2"/>
      <c r="HMK179" s="2"/>
      <c r="HML179" s="2"/>
      <c r="HMM179" s="2"/>
      <c r="HMN179" s="2"/>
      <c r="HMO179" s="2"/>
      <c r="HMP179" s="2"/>
      <c r="HMQ179" s="2"/>
      <c r="HMR179" s="2"/>
      <c r="HMS179" s="2"/>
      <c r="HMT179" s="2"/>
      <c r="HMU179" s="2"/>
      <c r="HMV179" s="2"/>
      <c r="HMW179" s="2"/>
      <c r="HMX179" s="2"/>
      <c r="HMY179" s="2"/>
      <c r="HMZ179" s="2"/>
      <c r="HNA179" s="2"/>
      <c r="HNB179" s="2"/>
      <c r="HNC179" s="2"/>
      <c r="HND179" s="2"/>
      <c r="HNE179" s="2"/>
      <c r="HNF179" s="2"/>
      <c r="HNG179" s="2"/>
      <c r="HNH179" s="2"/>
      <c r="HNI179" s="2"/>
      <c r="HNJ179" s="2"/>
      <c r="HNK179" s="2"/>
      <c r="HNL179" s="2"/>
      <c r="HNM179" s="2"/>
      <c r="HNN179" s="2"/>
      <c r="HNO179" s="2"/>
      <c r="HNP179" s="2"/>
      <c r="HNQ179" s="2"/>
      <c r="HNR179" s="2"/>
      <c r="HNS179" s="2"/>
      <c r="HNT179" s="2"/>
      <c r="HNU179" s="2"/>
      <c r="HNV179" s="2"/>
      <c r="HNW179" s="2"/>
      <c r="HNX179" s="2"/>
      <c r="HNY179" s="2"/>
      <c r="HNZ179" s="2"/>
      <c r="HOA179" s="2"/>
      <c r="HOB179" s="2"/>
      <c r="HOC179" s="2"/>
      <c r="HOD179" s="2"/>
      <c r="HOE179" s="2"/>
      <c r="HOF179" s="2"/>
      <c r="HOG179" s="2"/>
      <c r="HOH179" s="2"/>
      <c r="HOI179" s="2"/>
      <c r="HOJ179" s="2"/>
      <c r="HOK179" s="2"/>
      <c r="HOL179" s="2"/>
      <c r="HOM179" s="2"/>
      <c r="HON179" s="2"/>
      <c r="HOO179" s="2"/>
      <c r="HOP179" s="2"/>
      <c r="HOQ179" s="2"/>
      <c r="HOR179" s="2"/>
      <c r="HOS179" s="2"/>
      <c r="HOT179" s="2"/>
      <c r="HOU179" s="2"/>
      <c r="HOV179" s="2"/>
      <c r="HOW179" s="2"/>
      <c r="HOX179" s="2"/>
      <c r="HOY179" s="2"/>
      <c r="HOZ179" s="2"/>
      <c r="HPA179" s="2"/>
      <c r="HPB179" s="2"/>
      <c r="HPC179" s="2"/>
      <c r="HPD179" s="2"/>
      <c r="HPE179" s="2"/>
      <c r="HPF179" s="2"/>
      <c r="HPG179" s="2"/>
      <c r="HPH179" s="2"/>
      <c r="HPI179" s="2"/>
      <c r="HPJ179" s="2"/>
      <c r="HPK179" s="2"/>
      <c r="HPL179" s="2"/>
      <c r="HPM179" s="2"/>
      <c r="HPN179" s="2"/>
      <c r="HPO179" s="2"/>
      <c r="HPP179" s="2"/>
      <c r="HPQ179" s="2"/>
      <c r="HPR179" s="2"/>
      <c r="HPS179" s="2"/>
      <c r="HPT179" s="2"/>
      <c r="HPU179" s="2"/>
      <c r="HPV179" s="2"/>
      <c r="HPW179" s="2"/>
      <c r="HPX179" s="2"/>
      <c r="HPY179" s="2"/>
      <c r="HPZ179" s="2"/>
      <c r="HQA179" s="2"/>
      <c r="HQB179" s="2"/>
      <c r="HQC179" s="2"/>
      <c r="HQD179" s="2"/>
      <c r="HQE179" s="2"/>
      <c r="HQF179" s="2"/>
      <c r="HQG179" s="2"/>
      <c r="HQH179" s="2"/>
      <c r="HQI179" s="2"/>
      <c r="HQJ179" s="2"/>
      <c r="HQK179" s="2"/>
      <c r="HQL179" s="2"/>
      <c r="HQM179" s="2"/>
      <c r="HQN179" s="2"/>
      <c r="HQO179" s="2"/>
      <c r="HQP179" s="2"/>
      <c r="HQQ179" s="2"/>
      <c r="HQR179" s="2"/>
      <c r="HQS179" s="2"/>
      <c r="HQT179" s="2"/>
      <c r="HQU179" s="2"/>
      <c r="HQV179" s="2"/>
      <c r="HQW179" s="2"/>
      <c r="HQX179" s="2"/>
      <c r="HQY179" s="2"/>
      <c r="HQZ179" s="2"/>
      <c r="HRA179" s="2"/>
      <c r="HRB179" s="2"/>
      <c r="HRC179" s="2"/>
      <c r="HRD179" s="2"/>
      <c r="HRE179" s="2"/>
      <c r="HRF179" s="2"/>
      <c r="HRG179" s="2"/>
      <c r="HRH179" s="2"/>
      <c r="HRI179" s="2"/>
      <c r="HRJ179" s="2"/>
      <c r="HRK179" s="2"/>
      <c r="HRL179" s="2"/>
      <c r="HRM179" s="2"/>
      <c r="HRN179" s="2"/>
      <c r="HRO179" s="2"/>
      <c r="HRP179" s="2"/>
      <c r="HRQ179" s="2"/>
      <c r="HRR179" s="2"/>
      <c r="HRS179" s="2"/>
      <c r="HRT179" s="2"/>
      <c r="HRU179" s="2"/>
      <c r="HRV179" s="2"/>
      <c r="HRW179" s="2"/>
      <c r="HRX179" s="2"/>
      <c r="HRY179" s="2"/>
      <c r="HRZ179" s="2"/>
      <c r="HSA179" s="2"/>
      <c r="HSB179" s="2"/>
      <c r="HSC179" s="2"/>
      <c r="HSD179" s="2"/>
      <c r="HSE179" s="2"/>
      <c r="HSF179" s="2"/>
      <c r="HSG179" s="2"/>
      <c r="HSH179" s="2"/>
      <c r="HSI179" s="2"/>
      <c r="HSJ179" s="2"/>
      <c r="HSK179" s="2"/>
      <c r="HSL179" s="2"/>
      <c r="HSM179" s="2"/>
      <c r="HSN179" s="2"/>
      <c r="HSO179" s="2"/>
      <c r="HSP179" s="2"/>
      <c r="HSQ179" s="2"/>
      <c r="HSR179" s="2"/>
      <c r="HSS179" s="2"/>
      <c r="HST179" s="2"/>
      <c r="HSU179" s="2"/>
      <c r="HSV179" s="2"/>
      <c r="HSW179" s="2"/>
      <c r="HSX179" s="2"/>
      <c r="HSY179" s="2"/>
      <c r="HSZ179" s="2"/>
      <c r="HTA179" s="2"/>
      <c r="HTB179" s="2"/>
      <c r="HTC179" s="2"/>
      <c r="HTD179" s="2"/>
      <c r="HTE179" s="2"/>
      <c r="HTF179" s="2"/>
      <c r="HTG179" s="2"/>
      <c r="HTH179" s="2"/>
      <c r="HTI179" s="2"/>
      <c r="HTJ179" s="2"/>
      <c r="HTK179" s="2"/>
      <c r="HTL179" s="2"/>
      <c r="HTM179" s="2"/>
      <c r="HTN179" s="2"/>
      <c r="HTO179" s="2"/>
      <c r="HTP179" s="2"/>
      <c r="HTQ179" s="2"/>
      <c r="HTR179" s="2"/>
      <c r="HTS179" s="2"/>
      <c r="HTT179" s="2"/>
      <c r="HTU179" s="2"/>
      <c r="HTV179" s="2"/>
      <c r="HTW179" s="2"/>
      <c r="HTX179" s="2"/>
      <c r="HTY179" s="2"/>
      <c r="HTZ179" s="2"/>
      <c r="HUA179" s="2"/>
      <c r="HUB179" s="2"/>
      <c r="HUC179" s="2"/>
      <c r="HUD179" s="2"/>
      <c r="HUE179" s="2"/>
      <c r="HUF179" s="2"/>
      <c r="HUG179" s="2"/>
      <c r="HUH179" s="2"/>
      <c r="HUI179" s="2"/>
      <c r="HUJ179" s="2"/>
      <c r="HUK179" s="2"/>
      <c r="HUL179" s="2"/>
      <c r="HUM179" s="2"/>
      <c r="HUN179" s="2"/>
      <c r="HUO179" s="2"/>
      <c r="HUP179" s="2"/>
      <c r="HUQ179" s="2"/>
      <c r="HUR179" s="2"/>
      <c r="HUS179" s="2"/>
      <c r="HUT179" s="2"/>
      <c r="HUU179" s="2"/>
      <c r="HUV179" s="2"/>
      <c r="HUW179" s="2"/>
      <c r="HUX179" s="2"/>
      <c r="HUY179" s="2"/>
      <c r="HUZ179" s="2"/>
      <c r="HVA179" s="2"/>
      <c r="HVB179" s="2"/>
      <c r="HVC179" s="2"/>
      <c r="HVD179" s="2"/>
      <c r="HVE179" s="2"/>
      <c r="HVF179" s="2"/>
      <c r="HVG179" s="2"/>
      <c r="HVH179" s="2"/>
      <c r="HVI179" s="2"/>
      <c r="HVJ179" s="2"/>
      <c r="HVK179" s="2"/>
      <c r="HVL179" s="2"/>
      <c r="HVM179" s="2"/>
      <c r="HVN179" s="2"/>
      <c r="HVO179" s="2"/>
      <c r="HVP179" s="2"/>
      <c r="HVQ179" s="2"/>
      <c r="HVR179" s="2"/>
      <c r="HVS179" s="2"/>
      <c r="HVT179" s="2"/>
      <c r="HVU179" s="2"/>
      <c r="HVV179" s="2"/>
      <c r="HVW179" s="2"/>
      <c r="HVX179" s="2"/>
      <c r="HVY179" s="2"/>
      <c r="HVZ179" s="2"/>
      <c r="HWA179" s="2"/>
      <c r="HWB179" s="2"/>
      <c r="HWC179" s="2"/>
      <c r="HWD179" s="2"/>
      <c r="HWE179" s="2"/>
      <c r="HWF179" s="2"/>
      <c r="HWG179" s="2"/>
      <c r="HWH179" s="2"/>
      <c r="HWI179" s="2"/>
      <c r="HWJ179" s="2"/>
      <c r="HWK179" s="2"/>
      <c r="HWL179" s="2"/>
      <c r="HWM179" s="2"/>
      <c r="HWN179" s="2"/>
      <c r="HWO179" s="2"/>
      <c r="HWP179" s="2"/>
      <c r="HWQ179" s="2"/>
      <c r="HWR179" s="2"/>
      <c r="HWS179" s="2"/>
      <c r="HWT179" s="2"/>
      <c r="HWU179" s="2"/>
      <c r="HWV179" s="2"/>
      <c r="HWW179" s="2"/>
      <c r="HWX179" s="2"/>
      <c r="HWY179" s="2"/>
      <c r="HWZ179" s="2"/>
      <c r="HXA179" s="2"/>
      <c r="HXB179" s="2"/>
      <c r="HXC179" s="2"/>
      <c r="HXD179" s="2"/>
      <c r="HXE179" s="2"/>
      <c r="HXF179" s="2"/>
      <c r="HXG179" s="2"/>
      <c r="HXH179" s="2"/>
      <c r="HXI179" s="2"/>
      <c r="HXJ179" s="2"/>
      <c r="HXK179" s="2"/>
      <c r="HXL179" s="2"/>
      <c r="HXM179" s="2"/>
      <c r="HXN179" s="2"/>
      <c r="HXO179" s="2"/>
      <c r="HXP179" s="2"/>
      <c r="HXQ179" s="2"/>
      <c r="HXR179" s="2"/>
      <c r="HXS179" s="2"/>
      <c r="HXT179" s="2"/>
      <c r="HXU179" s="2"/>
      <c r="HXV179" s="2"/>
      <c r="HXW179" s="2"/>
      <c r="HXX179" s="2"/>
      <c r="HXY179" s="2"/>
      <c r="HXZ179" s="2"/>
      <c r="HYA179" s="2"/>
      <c r="HYB179" s="2"/>
      <c r="HYC179" s="2"/>
      <c r="HYD179" s="2"/>
      <c r="HYE179" s="2"/>
      <c r="HYF179" s="2"/>
      <c r="HYG179" s="2"/>
      <c r="HYH179" s="2"/>
      <c r="HYI179" s="2"/>
      <c r="HYJ179" s="2"/>
      <c r="HYK179" s="2"/>
      <c r="HYL179" s="2"/>
      <c r="HYM179" s="2"/>
      <c r="HYN179" s="2"/>
      <c r="HYO179" s="2"/>
      <c r="HYP179" s="2"/>
      <c r="HYQ179" s="2"/>
      <c r="HYR179" s="2"/>
      <c r="HYS179" s="2"/>
      <c r="HYT179" s="2"/>
      <c r="HYU179" s="2"/>
      <c r="HYV179" s="2"/>
      <c r="HYW179" s="2"/>
      <c r="HYX179" s="2"/>
      <c r="HYY179" s="2"/>
      <c r="HYZ179" s="2"/>
      <c r="HZA179" s="2"/>
      <c r="HZB179" s="2"/>
      <c r="HZC179" s="2"/>
      <c r="HZD179" s="2"/>
      <c r="HZE179" s="2"/>
      <c r="HZF179" s="2"/>
      <c r="HZG179" s="2"/>
      <c r="HZH179" s="2"/>
      <c r="HZI179" s="2"/>
      <c r="HZJ179" s="2"/>
      <c r="HZK179" s="2"/>
      <c r="HZL179" s="2"/>
      <c r="HZM179" s="2"/>
      <c r="HZN179" s="2"/>
      <c r="HZO179" s="2"/>
      <c r="HZP179" s="2"/>
      <c r="HZQ179" s="2"/>
      <c r="HZR179" s="2"/>
      <c r="HZS179" s="2"/>
      <c r="HZT179" s="2"/>
      <c r="HZU179" s="2"/>
      <c r="HZV179" s="2"/>
      <c r="HZW179" s="2"/>
      <c r="HZX179" s="2"/>
      <c r="HZY179" s="2"/>
      <c r="HZZ179" s="2"/>
      <c r="IAA179" s="2"/>
      <c r="IAB179" s="2"/>
      <c r="IAC179" s="2"/>
      <c r="IAD179" s="2"/>
      <c r="IAE179" s="2"/>
      <c r="IAF179" s="2"/>
      <c r="IAG179" s="2"/>
      <c r="IAH179" s="2"/>
      <c r="IAI179" s="2"/>
      <c r="IAJ179" s="2"/>
      <c r="IAK179" s="2"/>
      <c r="IAL179" s="2"/>
      <c r="IAM179" s="2"/>
      <c r="IAN179" s="2"/>
      <c r="IAO179" s="2"/>
      <c r="IAP179" s="2"/>
      <c r="IAQ179" s="2"/>
      <c r="IAR179" s="2"/>
      <c r="IAS179" s="2"/>
      <c r="IAT179" s="2"/>
      <c r="IAU179" s="2"/>
      <c r="IAV179" s="2"/>
      <c r="IAW179" s="2"/>
      <c r="IAX179" s="2"/>
      <c r="IAY179" s="2"/>
      <c r="IAZ179" s="2"/>
      <c r="IBA179" s="2"/>
      <c r="IBB179" s="2"/>
      <c r="IBC179" s="2"/>
      <c r="IBD179" s="2"/>
      <c r="IBE179" s="2"/>
      <c r="IBF179" s="2"/>
      <c r="IBG179" s="2"/>
      <c r="IBH179" s="2"/>
      <c r="IBI179" s="2"/>
      <c r="IBJ179" s="2"/>
      <c r="IBK179" s="2"/>
      <c r="IBL179" s="2"/>
      <c r="IBM179" s="2"/>
      <c r="IBN179" s="2"/>
      <c r="IBO179" s="2"/>
      <c r="IBP179" s="2"/>
      <c r="IBQ179" s="2"/>
      <c r="IBR179" s="2"/>
      <c r="IBS179" s="2"/>
      <c r="IBT179" s="2"/>
      <c r="IBU179" s="2"/>
      <c r="IBV179" s="2"/>
      <c r="IBW179" s="2"/>
      <c r="IBX179" s="2"/>
      <c r="IBY179" s="2"/>
      <c r="IBZ179" s="2"/>
      <c r="ICA179" s="2"/>
      <c r="ICB179" s="2"/>
      <c r="ICC179" s="2"/>
      <c r="ICD179" s="2"/>
      <c r="ICE179" s="2"/>
      <c r="ICF179" s="2"/>
      <c r="ICG179" s="2"/>
      <c r="ICH179" s="2"/>
      <c r="ICI179" s="2"/>
      <c r="ICJ179" s="2"/>
      <c r="ICK179" s="2"/>
      <c r="ICL179" s="2"/>
      <c r="ICM179" s="2"/>
      <c r="ICN179" s="2"/>
      <c r="ICO179" s="2"/>
      <c r="ICP179" s="2"/>
      <c r="ICQ179" s="2"/>
      <c r="ICR179" s="2"/>
      <c r="ICS179" s="2"/>
      <c r="ICT179" s="2"/>
      <c r="ICU179" s="2"/>
      <c r="ICV179" s="2"/>
      <c r="ICW179" s="2"/>
      <c r="ICX179" s="2"/>
      <c r="ICY179" s="2"/>
      <c r="ICZ179" s="2"/>
      <c r="IDA179" s="2"/>
      <c r="IDB179" s="2"/>
      <c r="IDC179" s="2"/>
      <c r="IDD179" s="2"/>
      <c r="IDE179" s="2"/>
      <c r="IDF179" s="2"/>
      <c r="IDG179" s="2"/>
      <c r="IDH179" s="2"/>
      <c r="IDI179" s="2"/>
      <c r="IDJ179" s="2"/>
      <c r="IDK179" s="2"/>
      <c r="IDL179" s="2"/>
      <c r="IDM179" s="2"/>
      <c r="IDN179" s="2"/>
      <c r="IDO179" s="2"/>
      <c r="IDP179" s="2"/>
      <c r="IDQ179" s="2"/>
      <c r="IDR179" s="2"/>
      <c r="IDS179" s="2"/>
      <c r="IDT179" s="2"/>
      <c r="IDU179" s="2"/>
      <c r="IDV179" s="2"/>
      <c r="IDW179" s="2"/>
      <c r="IDX179" s="2"/>
      <c r="IDY179" s="2"/>
      <c r="IDZ179" s="2"/>
      <c r="IEA179" s="2"/>
      <c r="IEB179" s="2"/>
      <c r="IEC179" s="2"/>
      <c r="IED179" s="2"/>
      <c r="IEE179" s="2"/>
      <c r="IEF179" s="2"/>
      <c r="IEG179" s="2"/>
      <c r="IEH179" s="2"/>
      <c r="IEI179" s="2"/>
      <c r="IEJ179" s="2"/>
      <c r="IEK179" s="2"/>
      <c r="IEL179" s="2"/>
      <c r="IEM179" s="2"/>
      <c r="IEN179" s="2"/>
      <c r="IEO179" s="2"/>
      <c r="IEP179" s="2"/>
      <c r="IEQ179" s="2"/>
      <c r="IER179" s="2"/>
      <c r="IES179" s="2"/>
      <c r="IET179" s="2"/>
      <c r="IEU179" s="2"/>
      <c r="IEV179" s="2"/>
      <c r="IEW179" s="2"/>
      <c r="IEX179" s="2"/>
      <c r="IEY179" s="2"/>
      <c r="IEZ179" s="2"/>
      <c r="IFA179" s="2"/>
      <c r="IFB179" s="2"/>
      <c r="IFC179" s="2"/>
      <c r="IFD179" s="2"/>
      <c r="IFE179" s="2"/>
      <c r="IFF179" s="2"/>
      <c r="IFG179" s="2"/>
      <c r="IFH179" s="2"/>
      <c r="IFI179" s="2"/>
      <c r="IFJ179" s="2"/>
      <c r="IFK179" s="2"/>
      <c r="IFL179" s="2"/>
      <c r="IFM179" s="2"/>
      <c r="IFN179" s="2"/>
      <c r="IFO179" s="2"/>
      <c r="IFP179" s="2"/>
      <c r="IFQ179" s="2"/>
      <c r="IFR179" s="2"/>
      <c r="IFS179" s="2"/>
      <c r="IFT179" s="2"/>
      <c r="IFU179" s="2"/>
      <c r="IFV179" s="2"/>
      <c r="IFW179" s="2"/>
      <c r="IFX179" s="2"/>
      <c r="IFY179" s="2"/>
      <c r="IFZ179" s="2"/>
      <c r="IGA179" s="2"/>
      <c r="IGB179" s="2"/>
      <c r="IGC179" s="2"/>
      <c r="IGD179" s="2"/>
      <c r="IGE179" s="2"/>
      <c r="IGF179" s="2"/>
      <c r="IGG179" s="2"/>
      <c r="IGH179" s="2"/>
      <c r="IGI179" s="2"/>
      <c r="IGJ179" s="2"/>
      <c r="IGK179" s="2"/>
      <c r="IGL179" s="2"/>
      <c r="IGM179" s="2"/>
      <c r="IGN179" s="2"/>
      <c r="IGO179" s="2"/>
      <c r="IGP179" s="2"/>
      <c r="IGQ179" s="2"/>
      <c r="IGR179" s="2"/>
      <c r="IGS179" s="2"/>
      <c r="IGT179" s="2"/>
      <c r="IGU179" s="2"/>
      <c r="IGV179" s="2"/>
      <c r="IGW179" s="2"/>
      <c r="IGX179" s="2"/>
      <c r="IGY179" s="2"/>
      <c r="IGZ179" s="2"/>
      <c r="IHA179" s="2"/>
      <c r="IHB179" s="2"/>
      <c r="IHC179" s="2"/>
      <c r="IHD179" s="2"/>
      <c r="IHE179" s="2"/>
      <c r="IHF179" s="2"/>
      <c r="IHG179" s="2"/>
      <c r="IHH179" s="2"/>
      <c r="IHI179" s="2"/>
      <c r="IHJ179" s="2"/>
      <c r="IHK179" s="2"/>
      <c r="IHL179" s="2"/>
      <c r="IHM179" s="2"/>
      <c r="IHN179" s="2"/>
      <c r="IHO179" s="2"/>
      <c r="IHP179" s="2"/>
      <c r="IHQ179" s="2"/>
      <c r="IHR179" s="2"/>
      <c r="IHS179" s="2"/>
      <c r="IHT179" s="2"/>
      <c r="IHU179" s="2"/>
      <c r="IHV179" s="2"/>
      <c r="IHW179" s="2"/>
      <c r="IHX179" s="2"/>
      <c r="IHY179" s="2"/>
      <c r="IHZ179" s="2"/>
      <c r="IIA179" s="2"/>
      <c r="IIB179" s="2"/>
      <c r="IIC179" s="2"/>
      <c r="IID179" s="2"/>
      <c r="IIE179" s="2"/>
      <c r="IIF179" s="2"/>
      <c r="IIG179" s="2"/>
      <c r="IIH179" s="2"/>
      <c r="III179" s="2"/>
      <c r="IIJ179" s="2"/>
      <c r="IIK179" s="2"/>
      <c r="IIL179" s="2"/>
      <c r="IIM179" s="2"/>
      <c r="IIN179" s="2"/>
      <c r="IIO179" s="2"/>
      <c r="IIP179" s="2"/>
      <c r="IIQ179" s="2"/>
      <c r="IIR179" s="2"/>
      <c r="IIS179" s="2"/>
      <c r="IIT179" s="2"/>
      <c r="IIU179" s="2"/>
      <c r="IIV179" s="2"/>
      <c r="IIW179" s="2"/>
      <c r="IIX179" s="2"/>
      <c r="IIY179" s="2"/>
      <c r="IIZ179" s="2"/>
      <c r="IJA179" s="2"/>
      <c r="IJB179" s="2"/>
      <c r="IJC179" s="2"/>
      <c r="IJD179" s="2"/>
      <c r="IJE179" s="2"/>
      <c r="IJF179" s="2"/>
      <c r="IJG179" s="2"/>
      <c r="IJH179" s="2"/>
      <c r="IJI179" s="2"/>
      <c r="IJJ179" s="2"/>
      <c r="IJK179" s="2"/>
      <c r="IJL179" s="2"/>
      <c r="IJM179" s="2"/>
      <c r="IJN179" s="2"/>
      <c r="IJO179" s="2"/>
      <c r="IJP179" s="2"/>
      <c r="IJQ179" s="2"/>
      <c r="IJR179" s="2"/>
      <c r="IJS179" s="2"/>
      <c r="IJT179" s="2"/>
      <c r="IJU179" s="2"/>
      <c r="IJV179" s="2"/>
      <c r="IJW179" s="2"/>
      <c r="IJX179" s="2"/>
      <c r="IJY179" s="2"/>
      <c r="IJZ179" s="2"/>
      <c r="IKA179" s="2"/>
      <c r="IKB179" s="2"/>
      <c r="IKC179" s="2"/>
      <c r="IKD179" s="2"/>
      <c r="IKE179" s="2"/>
      <c r="IKF179" s="2"/>
      <c r="IKG179" s="2"/>
      <c r="IKH179" s="2"/>
      <c r="IKI179" s="2"/>
      <c r="IKJ179" s="2"/>
      <c r="IKK179" s="2"/>
      <c r="IKL179" s="2"/>
      <c r="IKM179" s="2"/>
      <c r="IKN179" s="2"/>
      <c r="IKO179" s="2"/>
      <c r="IKP179" s="2"/>
      <c r="IKQ179" s="2"/>
      <c r="IKR179" s="2"/>
      <c r="IKS179" s="2"/>
      <c r="IKT179" s="2"/>
      <c r="IKU179" s="2"/>
      <c r="IKV179" s="2"/>
      <c r="IKW179" s="2"/>
      <c r="IKX179" s="2"/>
      <c r="IKY179" s="2"/>
      <c r="IKZ179" s="2"/>
      <c r="ILA179" s="2"/>
      <c r="ILB179" s="2"/>
      <c r="ILC179" s="2"/>
      <c r="ILD179" s="2"/>
      <c r="ILE179" s="2"/>
      <c r="ILF179" s="2"/>
      <c r="ILG179" s="2"/>
      <c r="ILH179" s="2"/>
      <c r="ILI179" s="2"/>
      <c r="ILJ179" s="2"/>
      <c r="ILK179" s="2"/>
      <c r="ILL179" s="2"/>
      <c r="ILM179" s="2"/>
      <c r="ILN179" s="2"/>
      <c r="ILO179" s="2"/>
      <c r="ILP179" s="2"/>
      <c r="ILQ179" s="2"/>
      <c r="ILR179" s="2"/>
      <c r="ILS179" s="2"/>
      <c r="ILT179" s="2"/>
      <c r="ILU179" s="2"/>
      <c r="ILV179" s="2"/>
      <c r="ILW179" s="2"/>
      <c r="ILX179" s="2"/>
      <c r="ILY179" s="2"/>
      <c r="ILZ179" s="2"/>
      <c r="IMA179" s="2"/>
      <c r="IMB179" s="2"/>
      <c r="IMC179" s="2"/>
      <c r="IMD179" s="2"/>
      <c r="IME179" s="2"/>
      <c r="IMF179" s="2"/>
      <c r="IMG179" s="2"/>
      <c r="IMH179" s="2"/>
      <c r="IMI179" s="2"/>
      <c r="IMJ179" s="2"/>
      <c r="IMK179" s="2"/>
      <c r="IML179" s="2"/>
      <c r="IMM179" s="2"/>
      <c r="IMN179" s="2"/>
      <c r="IMO179" s="2"/>
      <c r="IMP179" s="2"/>
      <c r="IMQ179" s="2"/>
      <c r="IMR179" s="2"/>
      <c r="IMS179" s="2"/>
      <c r="IMT179" s="2"/>
      <c r="IMU179" s="2"/>
      <c r="IMV179" s="2"/>
      <c r="IMW179" s="2"/>
      <c r="IMX179" s="2"/>
      <c r="IMY179" s="2"/>
      <c r="IMZ179" s="2"/>
      <c r="INA179" s="2"/>
      <c r="INB179" s="2"/>
      <c r="INC179" s="2"/>
      <c r="IND179" s="2"/>
      <c r="INE179" s="2"/>
      <c r="INF179" s="2"/>
      <c r="ING179" s="2"/>
      <c r="INH179" s="2"/>
      <c r="INI179" s="2"/>
      <c r="INJ179" s="2"/>
      <c r="INK179" s="2"/>
      <c r="INL179" s="2"/>
      <c r="INM179" s="2"/>
      <c r="INN179" s="2"/>
      <c r="INO179" s="2"/>
      <c r="INP179" s="2"/>
      <c r="INQ179" s="2"/>
      <c r="INR179" s="2"/>
      <c r="INS179" s="2"/>
      <c r="INT179" s="2"/>
      <c r="INU179" s="2"/>
      <c r="INV179" s="2"/>
      <c r="INW179" s="2"/>
      <c r="INX179" s="2"/>
      <c r="INY179" s="2"/>
      <c r="INZ179" s="2"/>
      <c r="IOA179" s="2"/>
      <c r="IOB179" s="2"/>
      <c r="IOC179" s="2"/>
      <c r="IOD179" s="2"/>
      <c r="IOE179" s="2"/>
      <c r="IOF179" s="2"/>
      <c r="IOG179" s="2"/>
      <c r="IOH179" s="2"/>
      <c r="IOI179" s="2"/>
      <c r="IOJ179" s="2"/>
      <c r="IOK179" s="2"/>
      <c r="IOL179" s="2"/>
      <c r="IOM179" s="2"/>
      <c r="ION179" s="2"/>
      <c r="IOO179" s="2"/>
      <c r="IOP179" s="2"/>
      <c r="IOQ179" s="2"/>
      <c r="IOR179" s="2"/>
      <c r="IOS179" s="2"/>
      <c r="IOT179" s="2"/>
      <c r="IOU179" s="2"/>
      <c r="IOV179" s="2"/>
      <c r="IOW179" s="2"/>
      <c r="IOX179" s="2"/>
      <c r="IOY179" s="2"/>
      <c r="IOZ179" s="2"/>
      <c r="IPA179" s="2"/>
      <c r="IPB179" s="2"/>
      <c r="IPC179" s="2"/>
      <c r="IPD179" s="2"/>
      <c r="IPE179" s="2"/>
      <c r="IPF179" s="2"/>
      <c r="IPG179" s="2"/>
      <c r="IPH179" s="2"/>
      <c r="IPI179" s="2"/>
      <c r="IPJ179" s="2"/>
      <c r="IPK179" s="2"/>
      <c r="IPL179" s="2"/>
      <c r="IPM179" s="2"/>
      <c r="IPN179" s="2"/>
      <c r="IPO179" s="2"/>
      <c r="IPP179" s="2"/>
      <c r="IPQ179" s="2"/>
      <c r="IPR179" s="2"/>
      <c r="IPS179" s="2"/>
      <c r="IPT179" s="2"/>
      <c r="IPU179" s="2"/>
      <c r="IPV179" s="2"/>
      <c r="IPW179" s="2"/>
      <c r="IPX179" s="2"/>
      <c r="IPY179" s="2"/>
      <c r="IPZ179" s="2"/>
      <c r="IQA179" s="2"/>
      <c r="IQB179" s="2"/>
      <c r="IQC179" s="2"/>
      <c r="IQD179" s="2"/>
      <c r="IQE179" s="2"/>
      <c r="IQF179" s="2"/>
      <c r="IQG179" s="2"/>
      <c r="IQH179" s="2"/>
      <c r="IQI179" s="2"/>
      <c r="IQJ179" s="2"/>
      <c r="IQK179" s="2"/>
      <c r="IQL179" s="2"/>
      <c r="IQM179" s="2"/>
      <c r="IQN179" s="2"/>
      <c r="IQO179" s="2"/>
      <c r="IQP179" s="2"/>
      <c r="IQQ179" s="2"/>
      <c r="IQR179" s="2"/>
      <c r="IQS179" s="2"/>
      <c r="IQT179" s="2"/>
      <c r="IQU179" s="2"/>
      <c r="IQV179" s="2"/>
      <c r="IQW179" s="2"/>
      <c r="IQX179" s="2"/>
      <c r="IQY179" s="2"/>
      <c r="IQZ179" s="2"/>
      <c r="IRA179" s="2"/>
      <c r="IRB179" s="2"/>
      <c r="IRC179" s="2"/>
      <c r="IRD179" s="2"/>
      <c r="IRE179" s="2"/>
      <c r="IRF179" s="2"/>
      <c r="IRG179" s="2"/>
      <c r="IRH179" s="2"/>
      <c r="IRI179" s="2"/>
      <c r="IRJ179" s="2"/>
      <c r="IRK179" s="2"/>
      <c r="IRL179" s="2"/>
      <c r="IRM179" s="2"/>
      <c r="IRN179" s="2"/>
      <c r="IRO179" s="2"/>
      <c r="IRP179" s="2"/>
      <c r="IRQ179" s="2"/>
      <c r="IRR179" s="2"/>
      <c r="IRS179" s="2"/>
      <c r="IRT179" s="2"/>
      <c r="IRU179" s="2"/>
      <c r="IRV179" s="2"/>
      <c r="IRW179" s="2"/>
      <c r="IRX179" s="2"/>
      <c r="IRY179" s="2"/>
      <c r="IRZ179" s="2"/>
      <c r="ISA179" s="2"/>
      <c r="ISB179" s="2"/>
      <c r="ISC179" s="2"/>
      <c r="ISD179" s="2"/>
      <c r="ISE179" s="2"/>
      <c r="ISF179" s="2"/>
      <c r="ISG179" s="2"/>
      <c r="ISH179" s="2"/>
      <c r="ISI179" s="2"/>
      <c r="ISJ179" s="2"/>
      <c r="ISK179" s="2"/>
      <c r="ISL179" s="2"/>
      <c r="ISM179" s="2"/>
      <c r="ISN179" s="2"/>
      <c r="ISO179" s="2"/>
      <c r="ISP179" s="2"/>
      <c r="ISQ179" s="2"/>
      <c r="ISR179" s="2"/>
      <c r="ISS179" s="2"/>
      <c r="IST179" s="2"/>
      <c r="ISU179" s="2"/>
      <c r="ISV179" s="2"/>
      <c r="ISW179" s="2"/>
      <c r="ISX179" s="2"/>
      <c r="ISY179" s="2"/>
      <c r="ISZ179" s="2"/>
      <c r="ITA179" s="2"/>
      <c r="ITB179" s="2"/>
      <c r="ITC179" s="2"/>
      <c r="ITD179" s="2"/>
      <c r="ITE179" s="2"/>
      <c r="ITF179" s="2"/>
      <c r="ITG179" s="2"/>
      <c r="ITH179" s="2"/>
      <c r="ITI179" s="2"/>
      <c r="ITJ179" s="2"/>
      <c r="ITK179" s="2"/>
      <c r="ITL179" s="2"/>
      <c r="ITM179" s="2"/>
      <c r="ITN179" s="2"/>
      <c r="ITO179" s="2"/>
      <c r="ITP179" s="2"/>
      <c r="ITQ179" s="2"/>
      <c r="ITR179" s="2"/>
      <c r="ITS179" s="2"/>
      <c r="ITT179" s="2"/>
      <c r="ITU179" s="2"/>
      <c r="ITV179" s="2"/>
      <c r="ITW179" s="2"/>
      <c r="ITX179" s="2"/>
      <c r="ITY179" s="2"/>
      <c r="ITZ179" s="2"/>
      <c r="IUA179" s="2"/>
      <c r="IUB179" s="2"/>
      <c r="IUC179" s="2"/>
      <c r="IUD179" s="2"/>
      <c r="IUE179" s="2"/>
      <c r="IUF179" s="2"/>
      <c r="IUG179" s="2"/>
      <c r="IUH179" s="2"/>
      <c r="IUI179" s="2"/>
      <c r="IUJ179" s="2"/>
      <c r="IUK179" s="2"/>
      <c r="IUL179" s="2"/>
      <c r="IUM179" s="2"/>
      <c r="IUN179" s="2"/>
      <c r="IUO179" s="2"/>
      <c r="IUP179" s="2"/>
      <c r="IUQ179" s="2"/>
      <c r="IUR179" s="2"/>
      <c r="IUS179" s="2"/>
      <c r="IUT179" s="2"/>
      <c r="IUU179" s="2"/>
      <c r="IUV179" s="2"/>
      <c r="IUW179" s="2"/>
      <c r="IUX179" s="2"/>
      <c r="IUY179" s="2"/>
      <c r="IUZ179" s="2"/>
      <c r="IVA179" s="2"/>
      <c r="IVB179" s="2"/>
      <c r="IVC179" s="2"/>
      <c r="IVD179" s="2"/>
      <c r="IVE179" s="2"/>
      <c r="IVF179" s="2"/>
      <c r="IVG179" s="2"/>
      <c r="IVH179" s="2"/>
      <c r="IVI179" s="2"/>
      <c r="IVJ179" s="2"/>
      <c r="IVK179" s="2"/>
      <c r="IVL179" s="2"/>
      <c r="IVM179" s="2"/>
      <c r="IVN179" s="2"/>
      <c r="IVO179" s="2"/>
      <c r="IVP179" s="2"/>
      <c r="IVQ179" s="2"/>
      <c r="IVR179" s="2"/>
      <c r="IVS179" s="2"/>
      <c r="IVT179" s="2"/>
      <c r="IVU179" s="2"/>
      <c r="IVV179" s="2"/>
      <c r="IVW179" s="2"/>
      <c r="IVX179" s="2"/>
      <c r="IVY179" s="2"/>
      <c r="IVZ179" s="2"/>
      <c r="IWA179" s="2"/>
      <c r="IWB179" s="2"/>
      <c r="IWC179" s="2"/>
      <c r="IWD179" s="2"/>
      <c r="IWE179" s="2"/>
      <c r="IWF179" s="2"/>
      <c r="IWG179" s="2"/>
      <c r="IWH179" s="2"/>
      <c r="IWI179" s="2"/>
      <c r="IWJ179" s="2"/>
      <c r="IWK179" s="2"/>
      <c r="IWL179" s="2"/>
      <c r="IWM179" s="2"/>
      <c r="IWN179" s="2"/>
      <c r="IWO179" s="2"/>
      <c r="IWP179" s="2"/>
      <c r="IWQ179" s="2"/>
      <c r="IWR179" s="2"/>
      <c r="IWS179" s="2"/>
      <c r="IWT179" s="2"/>
      <c r="IWU179" s="2"/>
      <c r="IWV179" s="2"/>
      <c r="IWW179" s="2"/>
      <c r="IWX179" s="2"/>
      <c r="IWY179" s="2"/>
      <c r="IWZ179" s="2"/>
      <c r="IXA179" s="2"/>
      <c r="IXB179" s="2"/>
      <c r="IXC179" s="2"/>
      <c r="IXD179" s="2"/>
      <c r="IXE179" s="2"/>
      <c r="IXF179" s="2"/>
      <c r="IXG179" s="2"/>
      <c r="IXH179" s="2"/>
      <c r="IXI179" s="2"/>
      <c r="IXJ179" s="2"/>
      <c r="IXK179" s="2"/>
      <c r="IXL179" s="2"/>
      <c r="IXM179" s="2"/>
      <c r="IXN179" s="2"/>
      <c r="IXO179" s="2"/>
      <c r="IXP179" s="2"/>
      <c r="IXQ179" s="2"/>
      <c r="IXR179" s="2"/>
      <c r="IXS179" s="2"/>
      <c r="IXT179" s="2"/>
      <c r="IXU179" s="2"/>
      <c r="IXV179" s="2"/>
      <c r="IXW179" s="2"/>
      <c r="IXX179" s="2"/>
      <c r="IXY179" s="2"/>
      <c r="IXZ179" s="2"/>
      <c r="IYA179" s="2"/>
      <c r="IYB179" s="2"/>
      <c r="IYC179" s="2"/>
      <c r="IYD179" s="2"/>
      <c r="IYE179" s="2"/>
      <c r="IYF179" s="2"/>
      <c r="IYG179" s="2"/>
      <c r="IYH179" s="2"/>
      <c r="IYI179" s="2"/>
      <c r="IYJ179" s="2"/>
      <c r="IYK179" s="2"/>
      <c r="IYL179" s="2"/>
      <c r="IYM179" s="2"/>
      <c r="IYN179" s="2"/>
      <c r="IYO179" s="2"/>
      <c r="IYP179" s="2"/>
      <c r="IYQ179" s="2"/>
      <c r="IYR179" s="2"/>
      <c r="IYS179" s="2"/>
      <c r="IYT179" s="2"/>
      <c r="IYU179" s="2"/>
      <c r="IYV179" s="2"/>
      <c r="IYW179" s="2"/>
      <c r="IYX179" s="2"/>
      <c r="IYY179" s="2"/>
      <c r="IYZ179" s="2"/>
      <c r="IZA179" s="2"/>
      <c r="IZB179" s="2"/>
      <c r="IZC179" s="2"/>
      <c r="IZD179" s="2"/>
      <c r="IZE179" s="2"/>
      <c r="IZF179" s="2"/>
      <c r="IZG179" s="2"/>
      <c r="IZH179" s="2"/>
      <c r="IZI179" s="2"/>
      <c r="IZJ179" s="2"/>
      <c r="IZK179" s="2"/>
      <c r="IZL179" s="2"/>
      <c r="IZM179" s="2"/>
      <c r="IZN179" s="2"/>
      <c r="IZO179" s="2"/>
      <c r="IZP179" s="2"/>
      <c r="IZQ179" s="2"/>
      <c r="IZR179" s="2"/>
      <c r="IZS179" s="2"/>
      <c r="IZT179" s="2"/>
      <c r="IZU179" s="2"/>
      <c r="IZV179" s="2"/>
      <c r="IZW179" s="2"/>
      <c r="IZX179" s="2"/>
      <c r="IZY179" s="2"/>
      <c r="IZZ179" s="2"/>
      <c r="JAA179" s="2"/>
      <c r="JAB179" s="2"/>
      <c r="JAC179" s="2"/>
      <c r="JAD179" s="2"/>
      <c r="JAE179" s="2"/>
      <c r="JAF179" s="2"/>
      <c r="JAG179" s="2"/>
      <c r="JAH179" s="2"/>
      <c r="JAI179" s="2"/>
      <c r="JAJ179" s="2"/>
      <c r="JAK179" s="2"/>
      <c r="JAL179" s="2"/>
      <c r="JAM179" s="2"/>
      <c r="JAN179" s="2"/>
      <c r="JAO179" s="2"/>
      <c r="JAP179" s="2"/>
      <c r="JAQ179" s="2"/>
      <c r="JAR179" s="2"/>
      <c r="JAS179" s="2"/>
      <c r="JAT179" s="2"/>
      <c r="JAU179" s="2"/>
      <c r="JAV179" s="2"/>
      <c r="JAW179" s="2"/>
      <c r="JAX179" s="2"/>
      <c r="JAY179" s="2"/>
      <c r="JAZ179" s="2"/>
      <c r="JBA179" s="2"/>
      <c r="JBB179" s="2"/>
      <c r="JBC179" s="2"/>
      <c r="JBD179" s="2"/>
      <c r="JBE179" s="2"/>
      <c r="JBF179" s="2"/>
      <c r="JBG179" s="2"/>
      <c r="JBH179" s="2"/>
      <c r="JBI179" s="2"/>
      <c r="JBJ179" s="2"/>
      <c r="JBK179" s="2"/>
      <c r="JBL179" s="2"/>
      <c r="JBM179" s="2"/>
      <c r="JBN179" s="2"/>
      <c r="JBO179" s="2"/>
      <c r="JBP179" s="2"/>
      <c r="JBQ179" s="2"/>
      <c r="JBR179" s="2"/>
      <c r="JBS179" s="2"/>
      <c r="JBT179" s="2"/>
      <c r="JBU179" s="2"/>
      <c r="JBV179" s="2"/>
      <c r="JBW179" s="2"/>
      <c r="JBX179" s="2"/>
      <c r="JBY179" s="2"/>
      <c r="JBZ179" s="2"/>
      <c r="JCA179" s="2"/>
      <c r="JCB179" s="2"/>
      <c r="JCC179" s="2"/>
      <c r="JCD179" s="2"/>
      <c r="JCE179" s="2"/>
      <c r="JCF179" s="2"/>
      <c r="JCG179" s="2"/>
      <c r="JCH179" s="2"/>
      <c r="JCI179" s="2"/>
      <c r="JCJ179" s="2"/>
      <c r="JCK179" s="2"/>
      <c r="JCL179" s="2"/>
      <c r="JCM179" s="2"/>
      <c r="JCN179" s="2"/>
      <c r="JCO179" s="2"/>
      <c r="JCP179" s="2"/>
      <c r="JCQ179" s="2"/>
      <c r="JCR179" s="2"/>
      <c r="JCS179" s="2"/>
      <c r="JCT179" s="2"/>
      <c r="JCU179" s="2"/>
      <c r="JCV179" s="2"/>
      <c r="JCW179" s="2"/>
      <c r="JCX179" s="2"/>
      <c r="JCY179" s="2"/>
      <c r="JCZ179" s="2"/>
      <c r="JDA179" s="2"/>
      <c r="JDB179" s="2"/>
      <c r="JDC179" s="2"/>
      <c r="JDD179" s="2"/>
      <c r="JDE179" s="2"/>
      <c r="JDF179" s="2"/>
      <c r="JDG179" s="2"/>
      <c r="JDH179" s="2"/>
      <c r="JDI179" s="2"/>
      <c r="JDJ179" s="2"/>
      <c r="JDK179" s="2"/>
      <c r="JDL179" s="2"/>
      <c r="JDM179" s="2"/>
      <c r="JDN179" s="2"/>
      <c r="JDO179" s="2"/>
      <c r="JDP179" s="2"/>
      <c r="JDQ179" s="2"/>
      <c r="JDR179" s="2"/>
      <c r="JDS179" s="2"/>
      <c r="JDT179" s="2"/>
      <c r="JDU179" s="2"/>
      <c r="JDV179" s="2"/>
      <c r="JDW179" s="2"/>
      <c r="JDX179" s="2"/>
      <c r="JDY179" s="2"/>
      <c r="JDZ179" s="2"/>
      <c r="JEA179" s="2"/>
      <c r="JEB179" s="2"/>
      <c r="JEC179" s="2"/>
      <c r="JED179" s="2"/>
      <c r="JEE179" s="2"/>
      <c r="JEF179" s="2"/>
      <c r="JEG179" s="2"/>
      <c r="JEH179" s="2"/>
      <c r="JEI179" s="2"/>
      <c r="JEJ179" s="2"/>
      <c r="JEK179" s="2"/>
      <c r="JEL179" s="2"/>
      <c r="JEM179" s="2"/>
      <c r="JEN179" s="2"/>
      <c r="JEO179" s="2"/>
      <c r="JEP179" s="2"/>
      <c r="JEQ179" s="2"/>
      <c r="JER179" s="2"/>
      <c r="JES179" s="2"/>
      <c r="JET179" s="2"/>
      <c r="JEU179" s="2"/>
      <c r="JEV179" s="2"/>
      <c r="JEW179" s="2"/>
      <c r="JEX179" s="2"/>
      <c r="JEY179" s="2"/>
      <c r="JEZ179" s="2"/>
      <c r="JFA179" s="2"/>
      <c r="JFB179" s="2"/>
      <c r="JFC179" s="2"/>
      <c r="JFD179" s="2"/>
      <c r="JFE179" s="2"/>
      <c r="JFF179" s="2"/>
      <c r="JFG179" s="2"/>
      <c r="JFH179" s="2"/>
      <c r="JFI179" s="2"/>
      <c r="JFJ179" s="2"/>
      <c r="JFK179" s="2"/>
      <c r="JFL179" s="2"/>
      <c r="JFM179" s="2"/>
      <c r="JFN179" s="2"/>
      <c r="JFO179" s="2"/>
      <c r="JFP179" s="2"/>
      <c r="JFQ179" s="2"/>
      <c r="JFR179" s="2"/>
      <c r="JFS179" s="2"/>
      <c r="JFT179" s="2"/>
      <c r="JFU179" s="2"/>
      <c r="JFV179" s="2"/>
      <c r="JFW179" s="2"/>
      <c r="JFX179" s="2"/>
      <c r="JFY179" s="2"/>
      <c r="JFZ179" s="2"/>
      <c r="JGA179" s="2"/>
      <c r="JGB179" s="2"/>
      <c r="JGC179" s="2"/>
      <c r="JGD179" s="2"/>
      <c r="JGE179" s="2"/>
      <c r="JGF179" s="2"/>
      <c r="JGG179" s="2"/>
      <c r="JGH179" s="2"/>
      <c r="JGI179" s="2"/>
      <c r="JGJ179" s="2"/>
      <c r="JGK179" s="2"/>
      <c r="JGL179" s="2"/>
      <c r="JGM179" s="2"/>
      <c r="JGN179" s="2"/>
      <c r="JGO179" s="2"/>
      <c r="JGP179" s="2"/>
      <c r="JGQ179" s="2"/>
      <c r="JGR179" s="2"/>
      <c r="JGS179" s="2"/>
      <c r="JGT179" s="2"/>
      <c r="JGU179" s="2"/>
      <c r="JGV179" s="2"/>
      <c r="JGW179" s="2"/>
      <c r="JGX179" s="2"/>
      <c r="JGY179" s="2"/>
      <c r="JGZ179" s="2"/>
      <c r="JHA179" s="2"/>
      <c r="JHB179" s="2"/>
      <c r="JHC179" s="2"/>
      <c r="JHD179" s="2"/>
      <c r="JHE179" s="2"/>
      <c r="JHF179" s="2"/>
      <c r="JHG179" s="2"/>
      <c r="JHH179" s="2"/>
      <c r="JHI179" s="2"/>
      <c r="JHJ179" s="2"/>
      <c r="JHK179" s="2"/>
      <c r="JHL179" s="2"/>
      <c r="JHM179" s="2"/>
      <c r="JHN179" s="2"/>
      <c r="JHO179" s="2"/>
      <c r="JHP179" s="2"/>
      <c r="JHQ179" s="2"/>
      <c r="JHR179" s="2"/>
      <c r="JHS179" s="2"/>
      <c r="JHT179" s="2"/>
      <c r="JHU179" s="2"/>
      <c r="JHV179" s="2"/>
      <c r="JHW179" s="2"/>
      <c r="JHX179" s="2"/>
      <c r="JHY179" s="2"/>
      <c r="JHZ179" s="2"/>
      <c r="JIA179" s="2"/>
      <c r="JIB179" s="2"/>
      <c r="JIC179" s="2"/>
      <c r="JID179" s="2"/>
      <c r="JIE179" s="2"/>
      <c r="JIF179" s="2"/>
      <c r="JIG179" s="2"/>
      <c r="JIH179" s="2"/>
      <c r="JII179" s="2"/>
      <c r="JIJ179" s="2"/>
      <c r="JIK179" s="2"/>
      <c r="JIL179" s="2"/>
      <c r="JIM179" s="2"/>
      <c r="JIN179" s="2"/>
      <c r="JIO179" s="2"/>
      <c r="JIP179" s="2"/>
      <c r="JIQ179" s="2"/>
      <c r="JIR179" s="2"/>
      <c r="JIS179" s="2"/>
      <c r="JIT179" s="2"/>
      <c r="JIU179" s="2"/>
      <c r="JIV179" s="2"/>
      <c r="JIW179" s="2"/>
      <c r="JIX179" s="2"/>
      <c r="JIY179" s="2"/>
      <c r="JIZ179" s="2"/>
      <c r="JJA179" s="2"/>
      <c r="JJB179" s="2"/>
      <c r="JJC179" s="2"/>
      <c r="JJD179" s="2"/>
      <c r="JJE179" s="2"/>
      <c r="JJF179" s="2"/>
      <c r="JJG179" s="2"/>
      <c r="JJH179" s="2"/>
      <c r="JJI179" s="2"/>
      <c r="JJJ179" s="2"/>
      <c r="JJK179" s="2"/>
      <c r="JJL179" s="2"/>
      <c r="JJM179" s="2"/>
      <c r="JJN179" s="2"/>
      <c r="JJO179" s="2"/>
      <c r="JJP179" s="2"/>
      <c r="JJQ179" s="2"/>
      <c r="JJR179" s="2"/>
      <c r="JJS179" s="2"/>
      <c r="JJT179" s="2"/>
      <c r="JJU179" s="2"/>
      <c r="JJV179" s="2"/>
      <c r="JJW179" s="2"/>
      <c r="JJX179" s="2"/>
      <c r="JJY179" s="2"/>
      <c r="JJZ179" s="2"/>
      <c r="JKA179" s="2"/>
      <c r="JKB179" s="2"/>
      <c r="JKC179" s="2"/>
      <c r="JKD179" s="2"/>
      <c r="JKE179" s="2"/>
      <c r="JKF179" s="2"/>
      <c r="JKG179" s="2"/>
      <c r="JKH179" s="2"/>
      <c r="JKI179" s="2"/>
      <c r="JKJ179" s="2"/>
      <c r="JKK179" s="2"/>
      <c r="JKL179" s="2"/>
      <c r="JKM179" s="2"/>
      <c r="JKN179" s="2"/>
      <c r="JKO179" s="2"/>
      <c r="JKP179" s="2"/>
      <c r="JKQ179" s="2"/>
      <c r="JKR179" s="2"/>
      <c r="JKS179" s="2"/>
      <c r="JKT179" s="2"/>
      <c r="JKU179" s="2"/>
      <c r="JKV179" s="2"/>
      <c r="JKW179" s="2"/>
      <c r="JKX179" s="2"/>
      <c r="JKY179" s="2"/>
      <c r="JKZ179" s="2"/>
      <c r="JLA179" s="2"/>
      <c r="JLB179" s="2"/>
      <c r="JLC179" s="2"/>
      <c r="JLD179" s="2"/>
      <c r="JLE179" s="2"/>
      <c r="JLF179" s="2"/>
      <c r="JLG179" s="2"/>
      <c r="JLH179" s="2"/>
      <c r="JLI179" s="2"/>
      <c r="JLJ179" s="2"/>
      <c r="JLK179" s="2"/>
      <c r="JLL179" s="2"/>
      <c r="JLM179" s="2"/>
      <c r="JLN179" s="2"/>
      <c r="JLO179" s="2"/>
      <c r="JLP179" s="2"/>
      <c r="JLQ179" s="2"/>
      <c r="JLR179" s="2"/>
      <c r="JLS179" s="2"/>
      <c r="JLT179" s="2"/>
      <c r="JLU179" s="2"/>
      <c r="JLV179" s="2"/>
      <c r="JLW179" s="2"/>
      <c r="JLX179" s="2"/>
      <c r="JLY179" s="2"/>
      <c r="JLZ179" s="2"/>
      <c r="JMA179" s="2"/>
      <c r="JMB179" s="2"/>
      <c r="JMC179" s="2"/>
      <c r="JMD179" s="2"/>
      <c r="JME179" s="2"/>
      <c r="JMF179" s="2"/>
      <c r="JMG179" s="2"/>
      <c r="JMH179" s="2"/>
      <c r="JMI179" s="2"/>
      <c r="JMJ179" s="2"/>
      <c r="JMK179" s="2"/>
      <c r="JML179" s="2"/>
      <c r="JMM179" s="2"/>
      <c r="JMN179" s="2"/>
      <c r="JMO179" s="2"/>
      <c r="JMP179" s="2"/>
      <c r="JMQ179" s="2"/>
      <c r="JMR179" s="2"/>
      <c r="JMS179" s="2"/>
      <c r="JMT179" s="2"/>
      <c r="JMU179" s="2"/>
      <c r="JMV179" s="2"/>
      <c r="JMW179" s="2"/>
      <c r="JMX179" s="2"/>
      <c r="JMY179" s="2"/>
      <c r="JMZ179" s="2"/>
      <c r="JNA179" s="2"/>
      <c r="JNB179" s="2"/>
      <c r="JNC179" s="2"/>
      <c r="JND179" s="2"/>
      <c r="JNE179" s="2"/>
      <c r="JNF179" s="2"/>
      <c r="JNG179" s="2"/>
      <c r="JNH179" s="2"/>
      <c r="JNI179" s="2"/>
      <c r="JNJ179" s="2"/>
      <c r="JNK179" s="2"/>
      <c r="JNL179" s="2"/>
      <c r="JNM179" s="2"/>
      <c r="JNN179" s="2"/>
      <c r="JNO179" s="2"/>
      <c r="JNP179" s="2"/>
      <c r="JNQ179" s="2"/>
      <c r="JNR179" s="2"/>
      <c r="JNS179" s="2"/>
      <c r="JNT179" s="2"/>
      <c r="JNU179" s="2"/>
      <c r="JNV179" s="2"/>
      <c r="JNW179" s="2"/>
      <c r="JNX179" s="2"/>
      <c r="JNY179" s="2"/>
      <c r="JNZ179" s="2"/>
      <c r="JOA179" s="2"/>
      <c r="JOB179" s="2"/>
      <c r="JOC179" s="2"/>
      <c r="JOD179" s="2"/>
      <c r="JOE179" s="2"/>
      <c r="JOF179" s="2"/>
      <c r="JOG179" s="2"/>
      <c r="JOH179" s="2"/>
      <c r="JOI179" s="2"/>
      <c r="JOJ179" s="2"/>
      <c r="JOK179" s="2"/>
      <c r="JOL179" s="2"/>
      <c r="JOM179" s="2"/>
      <c r="JON179" s="2"/>
      <c r="JOO179" s="2"/>
      <c r="JOP179" s="2"/>
      <c r="JOQ179" s="2"/>
      <c r="JOR179" s="2"/>
      <c r="JOS179" s="2"/>
      <c r="JOT179" s="2"/>
      <c r="JOU179" s="2"/>
      <c r="JOV179" s="2"/>
      <c r="JOW179" s="2"/>
      <c r="JOX179" s="2"/>
      <c r="JOY179" s="2"/>
      <c r="JOZ179" s="2"/>
      <c r="JPA179" s="2"/>
      <c r="JPB179" s="2"/>
      <c r="JPC179" s="2"/>
      <c r="JPD179" s="2"/>
      <c r="JPE179" s="2"/>
      <c r="JPF179" s="2"/>
      <c r="JPG179" s="2"/>
      <c r="JPH179" s="2"/>
      <c r="JPI179" s="2"/>
      <c r="JPJ179" s="2"/>
      <c r="JPK179" s="2"/>
      <c r="JPL179" s="2"/>
      <c r="JPM179" s="2"/>
      <c r="JPN179" s="2"/>
      <c r="JPO179" s="2"/>
      <c r="JPP179" s="2"/>
      <c r="JPQ179" s="2"/>
      <c r="JPR179" s="2"/>
      <c r="JPS179" s="2"/>
      <c r="JPT179" s="2"/>
      <c r="JPU179" s="2"/>
      <c r="JPV179" s="2"/>
      <c r="JPW179" s="2"/>
      <c r="JPX179" s="2"/>
      <c r="JPY179" s="2"/>
      <c r="JPZ179" s="2"/>
      <c r="JQA179" s="2"/>
      <c r="JQB179" s="2"/>
      <c r="JQC179" s="2"/>
      <c r="JQD179" s="2"/>
      <c r="JQE179" s="2"/>
      <c r="JQF179" s="2"/>
      <c r="JQG179" s="2"/>
      <c r="JQH179" s="2"/>
      <c r="JQI179" s="2"/>
      <c r="JQJ179" s="2"/>
      <c r="JQK179" s="2"/>
      <c r="JQL179" s="2"/>
      <c r="JQM179" s="2"/>
      <c r="JQN179" s="2"/>
      <c r="JQO179" s="2"/>
      <c r="JQP179" s="2"/>
      <c r="JQQ179" s="2"/>
      <c r="JQR179" s="2"/>
      <c r="JQS179" s="2"/>
      <c r="JQT179" s="2"/>
      <c r="JQU179" s="2"/>
      <c r="JQV179" s="2"/>
      <c r="JQW179" s="2"/>
      <c r="JQX179" s="2"/>
      <c r="JQY179" s="2"/>
      <c r="JQZ179" s="2"/>
      <c r="JRA179" s="2"/>
      <c r="JRB179" s="2"/>
      <c r="JRC179" s="2"/>
      <c r="JRD179" s="2"/>
      <c r="JRE179" s="2"/>
      <c r="JRF179" s="2"/>
      <c r="JRG179" s="2"/>
      <c r="JRH179" s="2"/>
      <c r="JRI179" s="2"/>
      <c r="JRJ179" s="2"/>
      <c r="JRK179" s="2"/>
      <c r="JRL179" s="2"/>
      <c r="JRM179" s="2"/>
      <c r="JRN179" s="2"/>
      <c r="JRO179" s="2"/>
      <c r="JRP179" s="2"/>
      <c r="JRQ179" s="2"/>
      <c r="JRR179" s="2"/>
      <c r="JRS179" s="2"/>
      <c r="JRT179" s="2"/>
      <c r="JRU179" s="2"/>
      <c r="JRV179" s="2"/>
      <c r="JRW179" s="2"/>
      <c r="JRX179" s="2"/>
      <c r="JRY179" s="2"/>
      <c r="JRZ179" s="2"/>
      <c r="JSA179" s="2"/>
      <c r="JSB179" s="2"/>
      <c r="JSC179" s="2"/>
      <c r="JSD179" s="2"/>
      <c r="JSE179" s="2"/>
      <c r="JSF179" s="2"/>
      <c r="JSG179" s="2"/>
      <c r="JSH179" s="2"/>
      <c r="JSI179" s="2"/>
      <c r="JSJ179" s="2"/>
      <c r="JSK179" s="2"/>
      <c r="JSL179" s="2"/>
      <c r="JSM179" s="2"/>
      <c r="JSN179" s="2"/>
      <c r="JSO179" s="2"/>
      <c r="JSP179" s="2"/>
      <c r="JSQ179" s="2"/>
      <c r="JSR179" s="2"/>
      <c r="JSS179" s="2"/>
      <c r="JST179" s="2"/>
      <c r="JSU179" s="2"/>
      <c r="JSV179" s="2"/>
      <c r="JSW179" s="2"/>
      <c r="JSX179" s="2"/>
      <c r="JSY179" s="2"/>
      <c r="JSZ179" s="2"/>
      <c r="JTA179" s="2"/>
      <c r="JTB179" s="2"/>
      <c r="JTC179" s="2"/>
      <c r="JTD179" s="2"/>
      <c r="JTE179" s="2"/>
      <c r="JTF179" s="2"/>
      <c r="JTG179" s="2"/>
      <c r="JTH179" s="2"/>
      <c r="JTI179" s="2"/>
      <c r="JTJ179" s="2"/>
      <c r="JTK179" s="2"/>
      <c r="JTL179" s="2"/>
      <c r="JTM179" s="2"/>
      <c r="JTN179" s="2"/>
      <c r="JTO179" s="2"/>
      <c r="JTP179" s="2"/>
      <c r="JTQ179" s="2"/>
      <c r="JTR179" s="2"/>
      <c r="JTS179" s="2"/>
      <c r="JTT179" s="2"/>
      <c r="JTU179" s="2"/>
      <c r="JTV179" s="2"/>
      <c r="JTW179" s="2"/>
      <c r="JTX179" s="2"/>
      <c r="JTY179" s="2"/>
      <c r="JTZ179" s="2"/>
      <c r="JUA179" s="2"/>
      <c r="JUB179" s="2"/>
      <c r="JUC179" s="2"/>
      <c r="JUD179" s="2"/>
      <c r="JUE179" s="2"/>
      <c r="JUF179" s="2"/>
      <c r="JUG179" s="2"/>
      <c r="JUH179" s="2"/>
      <c r="JUI179" s="2"/>
      <c r="JUJ179" s="2"/>
      <c r="JUK179" s="2"/>
      <c r="JUL179" s="2"/>
      <c r="JUM179" s="2"/>
      <c r="JUN179" s="2"/>
      <c r="JUO179" s="2"/>
      <c r="JUP179" s="2"/>
      <c r="JUQ179" s="2"/>
      <c r="JUR179" s="2"/>
      <c r="JUS179" s="2"/>
      <c r="JUT179" s="2"/>
      <c r="JUU179" s="2"/>
      <c r="JUV179" s="2"/>
      <c r="JUW179" s="2"/>
      <c r="JUX179" s="2"/>
      <c r="JUY179" s="2"/>
      <c r="JUZ179" s="2"/>
      <c r="JVA179" s="2"/>
      <c r="JVB179" s="2"/>
      <c r="JVC179" s="2"/>
      <c r="JVD179" s="2"/>
      <c r="JVE179" s="2"/>
      <c r="JVF179" s="2"/>
      <c r="JVG179" s="2"/>
      <c r="JVH179" s="2"/>
      <c r="JVI179" s="2"/>
      <c r="JVJ179" s="2"/>
      <c r="JVK179" s="2"/>
      <c r="JVL179" s="2"/>
      <c r="JVM179" s="2"/>
      <c r="JVN179" s="2"/>
      <c r="JVO179" s="2"/>
      <c r="JVP179" s="2"/>
      <c r="JVQ179" s="2"/>
      <c r="JVR179" s="2"/>
      <c r="JVS179" s="2"/>
      <c r="JVT179" s="2"/>
      <c r="JVU179" s="2"/>
      <c r="JVV179" s="2"/>
      <c r="JVW179" s="2"/>
      <c r="JVX179" s="2"/>
      <c r="JVY179" s="2"/>
      <c r="JVZ179" s="2"/>
      <c r="JWA179" s="2"/>
      <c r="JWB179" s="2"/>
      <c r="JWC179" s="2"/>
      <c r="JWD179" s="2"/>
      <c r="JWE179" s="2"/>
      <c r="JWF179" s="2"/>
      <c r="JWG179" s="2"/>
      <c r="JWH179" s="2"/>
      <c r="JWI179" s="2"/>
      <c r="JWJ179" s="2"/>
      <c r="JWK179" s="2"/>
      <c r="JWL179" s="2"/>
      <c r="JWM179" s="2"/>
      <c r="JWN179" s="2"/>
      <c r="JWO179" s="2"/>
      <c r="JWP179" s="2"/>
      <c r="JWQ179" s="2"/>
      <c r="JWR179" s="2"/>
      <c r="JWS179" s="2"/>
      <c r="JWT179" s="2"/>
      <c r="JWU179" s="2"/>
      <c r="JWV179" s="2"/>
      <c r="JWW179" s="2"/>
      <c r="JWX179" s="2"/>
      <c r="JWY179" s="2"/>
      <c r="JWZ179" s="2"/>
      <c r="JXA179" s="2"/>
      <c r="JXB179" s="2"/>
      <c r="JXC179" s="2"/>
      <c r="JXD179" s="2"/>
      <c r="JXE179" s="2"/>
      <c r="JXF179" s="2"/>
      <c r="JXG179" s="2"/>
      <c r="JXH179" s="2"/>
      <c r="JXI179" s="2"/>
      <c r="JXJ179" s="2"/>
      <c r="JXK179" s="2"/>
      <c r="JXL179" s="2"/>
      <c r="JXM179" s="2"/>
      <c r="JXN179" s="2"/>
      <c r="JXO179" s="2"/>
      <c r="JXP179" s="2"/>
      <c r="JXQ179" s="2"/>
      <c r="JXR179" s="2"/>
      <c r="JXS179" s="2"/>
      <c r="JXT179" s="2"/>
      <c r="JXU179" s="2"/>
      <c r="JXV179" s="2"/>
      <c r="JXW179" s="2"/>
      <c r="JXX179" s="2"/>
      <c r="JXY179" s="2"/>
      <c r="JXZ179" s="2"/>
      <c r="JYA179" s="2"/>
      <c r="JYB179" s="2"/>
      <c r="JYC179" s="2"/>
      <c r="JYD179" s="2"/>
      <c r="JYE179" s="2"/>
      <c r="JYF179" s="2"/>
      <c r="JYG179" s="2"/>
      <c r="JYH179" s="2"/>
      <c r="JYI179" s="2"/>
      <c r="JYJ179" s="2"/>
      <c r="JYK179" s="2"/>
      <c r="JYL179" s="2"/>
      <c r="JYM179" s="2"/>
      <c r="JYN179" s="2"/>
      <c r="JYO179" s="2"/>
      <c r="JYP179" s="2"/>
      <c r="JYQ179" s="2"/>
      <c r="JYR179" s="2"/>
      <c r="JYS179" s="2"/>
      <c r="JYT179" s="2"/>
      <c r="JYU179" s="2"/>
      <c r="JYV179" s="2"/>
      <c r="JYW179" s="2"/>
      <c r="JYX179" s="2"/>
      <c r="JYY179" s="2"/>
      <c r="JYZ179" s="2"/>
      <c r="JZA179" s="2"/>
      <c r="JZB179" s="2"/>
      <c r="JZC179" s="2"/>
      <c r="JZD179" s="2"/>
      <c r="JZE179" s="2"/>
      <c r="JZF179" s="2"/>
      <c r="JZG179" s="2"/>
      <c r="JZH179" s="2"/>
      <c r="JZI179" s="2"/>
      <c r="JZJ179" s="2"/>
      <c r="JZK179" s="2"/>
      <c r="JZL179" s="2"/>
      <c r="JZM179" s="2"/>
      <c r="JZN179" s="2"/>
      <c r="JZO179" s="2"/>
      <c r="JZP179" s="2"/>
      <c r="JZQ179" s="2"/>
      <c r="JZR179" s="2"/>
      <c r="JZS179" s="2"/>
      <c r="JZT179" s="2"/>
      <c r="JZU179" s="2"/>
      <c r="JZV179" s="2"/>
      <c r="JZW179" s="2"/>
      <c r="JZX179" s="2"/>
      <c r="JZY179" s="2"/>
      <c r="JZZ179" s="2"/>
      <c r="KAA179" s="2"/>
      <c r="KAB179" s="2"/>
      <c r="KAC179" s="2"/>
      <c r="KAD179" s="2"/>
      <c r="KAE179" s="2"/>
      <c r="KAF179" s="2"/>
      <c r="KAG179" s="2"/>
      <c r="KAH179" s="2"/>
      <c r="KAI179" s="2"/>
      <c r="KAJ179" s="2"/>
      <c r="KAK179" s="2"/>
      <c r="KAL179" s="2"/>
      <c r="KAM179" s="2"/>
      <c r="KAN179" s="2"/>
      <c r="KAO179" s="2"/>
      <c r="KAP179" s="2"/>
      <c r="KAQ179" s="2"/>
      <c r="KAR179" s="2"/>
      <c r="KAS179" s="2"/>
      <c r="KAT179" s="2"/>
      <c r="KAU179" s="2"/>
      <c r="KAV179" s="2"/>
      <c r="KAW179" s="2"/>
      <c r="KAX179" s="2"/>
      <c r="KAY179" s="2"/>
      <c r="KAZ179" s="2"/>
      <c r="KBA179" s="2"/>
      <c r="KBB179" s="2"/>
      <c r="KBC179" s="2"/>
      <c r="KBD179" s="2"/>
      <c r="KBE179" s="2"/>
      <c r="KBF179" s="2"/>
      <c r="KBG179" s="2"/>
      <c r="KBH179" s="2"/>
      <c r="KBI179" s="2"/>
      <c r="KBJ179" s="2"/>
      <c r="KBK179" s="2"/>
      <c r="KBL179" s="2"/>
      <c r="KBM179" s="2"/>
      <c r="KBN179" s="2"/>
      <c r="KBO179" s="2"/>
      <c r="KBP179" s="2"/>
      <c r="KBQ179" s="2"/>
      <c r="KBR179" s="2"/>
      <c r="KBS179" s="2"/>
      <c r="KBT179" s="2"/>
      <c r="KBU179" s="2"/>
      <c r="KBV179" s="2"/>
      <c r="KBW179" s="2"/>
      <c r="KBX179" s="2"/>
      <c r="KBY179" s="2"/>
      <c r="KBZ179" s="2"/>
      <c r="KCA179" s="2"/>
      <c r="KCB179" s="2"/>
      <c r="KCC179" s="2"/>
      <c r="KCD179" s="2"/>
      <c r="KCE179" s="2"/>
      <c r="KCF179" s="2"/>
      <c r="KCG179" s="2"/>
      <c r="KCH179" s="2"/>
      <c r="KCI179" s="2"/>
      <c r="KCJ179" s="2"/>
      <c r="KCK179" s="2"/>
      <c r="KCL179" s="2"/>
      <c r="KCM179" s="2"/>
      <c r="KCN179" s="2"/>
      <c r="KCO179" s="2"/>
      <c r="KCP179" s="2"/>
      <c r="KCQ179" s="2"/>
      <c r="KCR179" s="2"/>
      <c r="KCS179" s="2"/>
      <c r="KCT179" s="2"/>
      <c r="KCU179" s="2"/>
      <c r="KCV179" s="2"/>
      <c r="KCW179" s="2"/>
      <c r="KCX179" s="2"/>
      <c r="KCY179" s="2"/>
      <c r="KCZ179" s="2"/>
      <c r="KDA179" s="2"/>
      <c r="KDB179" s="2"/>
      <c r="KDC179" s="2"/>
      <c r="KDD179" s="2"/>
      <c r="KDE179" s="2"/>
      <c r="KDF179" s="2"/>
      <c r="KDG179" s="2"/>
      <c r="KDH179" s="2"/>
      <c r="KDI179" s="2"/>
      <c r="KDJ179" s="2"/>
      <c r="KDK179" s="2"/>
      <c r="KDL179" s="2"/>
      <c r="KDM179" s="2"/>
      <c r="KDN179" s="2"/>
      <c r="KDO179" s="2"/>
      <c r="KDP179" s="2"/>
      <c r="KDQ179" s="2"/>
      <c r="KDR179" s="2"/>
      <c r="KDS179" s="2"/>
      <c r="KDT179" s="2"/>
      <c r="KDU179" s="2"/>
      <c r="KDV179" s="2"/>
      <c r="KDW179" s="2"/>
      <c r="KDX179" s="2"/>
      <c r="KDY179" s="2"/>
      <c r="KDZ179" s="2"/>
      <c r="KEA179" s="2"/>
      <c r="KEB179" s="2"/>
      <c r="KEC179" s="2"/>
      <c r="KED179" s="2"/>
      <c r="KEE179" s="2"/>
      <c r="KEF179" s="2"/>
      <c r="KEG179" s="2"/>
      <c r="KEH179" s="2"/>
      <c r="KEI179" s="2"/>
      <c r="KEJ179" s="2"/>
      <c r="KEK179" s="2"/>
      <c r="KEL179" s="2"/>
      <c r="KEM179" s="2"/>
      <c r="KEN179" s="2"/>
      <c r="KEO179" s="2"/>
      <c r="KEP179" s="2"/>
      <c r="KEQ179" s="2"/>
      <c r="KER179" s="2"/>
      <c r="KES179" s="2"/>
      <c r="KET179" s="2"/>
      <c r="KEU179" s="2"/>
      <c r="KEV179" s="2"/>
      <c r="KEW179" s="2"/>
      <c r="KEX179" s="2"/>
      <c r="KEY179" s="2"/>
      <c r="KEZ179" s="2"/>
      <c r="KFA179" s="2"/>
      <c r="KFB179" s="2"/>
      <c r="KFC179" s="2"/>
      <c r="KFD179" s="2"/>
      <c r="KFE179" s="2"/>
      <c r="KFF179" s="2"/>
      <c r="KFG179" s="2"/>
      <c r="KFH179" s="2"/>
      <c r="KFI179" s="2"/>
      <c r="KFJ179" s="2"/>
      <c r="KFK179" s="2"/>
      <c r="KFL179" s="2"/>
      <c r="KFM179" s="2"/>
      <c r="KFN179" s="2"/>
      <c r="KFO179" s="2"/>
      <c r="KFP179" s="2"/>
      <c r="KFQ179" s="2"/>
      <c r="KFR179" s="2"/>
      <c r="KFS179" s="2"/>
      <c r="KFT179" s="2"/>
      <c r="KFU179" s="2"/>
      <c r="KFV179" s="2"/>
      <c r="KFW179" s="2"/>
      <c r="KFX179" s="2"/>
      <c r="KFY179" s="2"/>
      <c r="KFZ179" s="2"/>
      <c r="KGA179" s="2"/>
      <c r="KGB179" s="2"/>
      <c r="KGC179" s="2"/>
      <c r="KGD179" s="2"/>
      <c r="KGE179" s="2"/>
      <c r="KGF179" s="2"/>
      <c r="KGG179" s="2"/>
      <c r="KGH179" s="2"/>
      <c r="KGI179" s="2"/>
      <c r="KGJ179" s="2"/>
      <c r="KGK179" s="2"/>
      <c r="KGL179" s="2"/>
      <c r="KGM179" s="2"/>
      <c r="KGN179" s="2"/>
      <c r="KGO179" s="2"/>
      <c r="KGP179" s="2"/>
      <c r="KGQ179" s="2"/>
      <c r="KGR179" s="2"/>
      <c r="KGS179" s="2"/>
      <c r="KGT179" s="2"/>
      <c r="KGU179" s="2"/>
      <c r="KGV179" s="2"/>
      <c r="KGW179" s="2"/>
      <c r="KGX179" s="2"/>
      <c r="KGY179" s="2"/>
      <c r="KGZ179" s="2"/>
      <c r="KHA179" s="2"/>
      <c r="KHB179" s="2"/>
      <c r="KHC179" s="2"/>
      <c r="KHD179" s="2"/>
      <c r="KHE179" s="2"/>
      <c r="KHF179" s="2"/>
      <c r="KHG179" s="2"/>
      <c r="KHH179" s="2"/>
      <c r="KHI179" s="2"/>
      <c r="KHJ179" s="2"/>
      <c r="KHK179" s="2"/>
      <c r="KHL179" s="2"/>
      <c r="KHM179" s="2"/>
      <c r="KHN179" s="2"/>
      <c r="KHO179" s="2"/>
      <c r="KHP179" s="2"/>
      <c r="KHQ179" s="2"/>
      <c r="KHR179" s="2"/>
      <c r="KHS179" s="2"/>
      <c r="KHT179" s="2"/>
      <c r="KHU179" s="2"/>
      <c r="KHV179" s="2"/>
      <c r="KHW179" s="2"/>
      <c r="KHX179" s="2"/>
      <c r="KHY179" s="2"/>
      <c r="KHZ179" s="2"/>
      <c r="KIA179" s="2"/>
      <c r="KIB179" s="2"/>
      <c r="KIC179" s="2"/>
      <c r="KID179" s="2"/>
      <c r="KIE179" s="2"/>
      <c r="KIF179" s="2"/>
      <c r="KIG179" s="2"/>
      <c r="KIH179" s="2"/>
      <c r="KII179" s="2"/>
      <c r="KIJ179" s="2"/>
      <c r="KIK179" s="2"/>
      <c r="KIL179" s="2"/>
      <c r="KIM179" s="2"/>
      <c r="KIN179" s="2"/>
      <c r="KIO179" s="2"/>
      <c r="KIP179" s="2"/>
      <c r="KIQ179" s="2"/>
      <c r="KIR179" s="2"/>
      <c r="KIS179" s="2"/>
      <c r="KIT179" s="2"/>
      <c r="KIU179" s="2"/>
      <c r="KIV179" s="2"/>
      <c r="KIW179" s="2"/>
      <c r="KIX179" s="2"/>
      <c r="KIY179" s="2"/>
      <c r="KIZ179" s="2"/>
      <c r="KJA179" s="2"/>
      <c r="KJB179" s="2"/>
      <c r="KJC179" s="2"/>
      <c r="KJD179" s="2"/>
      <c r="KJE179" s="2"/>
      <c r="KJF179" s="2"/>
      <c r="KJG179" s="2"/>
      <c r="KJH179" s="2"/>
      <c r="KJI179" s="2"/>
      <c r="KJJ179" s="2"/>
      <c r="KJK179" s="2"/>
      <c r="KJL179" s="2"/>
      <c r="KJM179" s="2"/>
      <c r="KJN179" s="2"/>
      <c r="KJO179" s="2"/>
      <c r="KJP179" s="2"/>
      <c r="KJQ179" s="2"/>
      <c r="KJR179" s="2"/>
      <c r="KJS179" s="2"/>
      <c r="KJT179" s="2"/>
      <c r="KJU179" s="2"/>
      <c r="KJV179" s="2"/>
      <c r="KJW179" s="2"/>
      <c r="KJX179" s="2"/>
      <c r="KJY179" s="2"/>
      <c r="KJZ179" s="2"/>
      <c r="KKA179" s="2"/>
      <c r="KKB179" s="2"/>
      <c r="KKC179" s="2"/>
      <c r="KKD179" s="2"/>
      <c r="KKE179" s="2"/>
      <c r="KKF179" s="2"/>
      <c r="KKG179" s="2"/>
      <c r="KKH179" s="2"/>
      <c r="KKI179" s="2"/>
      <c r="KKJ179" s="2"/>
      <c r="KKK179" s="2"/>
      <c r="KKL179" s="2"/>
      <c r="KKM179" s="2"/>
      <c r="KKN179" s="2"/>
      <c r="KKO179" s="2"/>
      <c r="KKP179" s="2"/>
      <c r="KKQ179" s="2"/>
      <c r="KKR179" s="2"/>
      <c r="KKS179" s="2"/>
      <c r="KKT179" s="2"/>
      <c r="KKU179" s="2"/>
      <c r="KKV179" s="2"/>
      <c r="KKW179" s="2"/>
      <c r="KKX179" s="2"/>
      <c r="KKY179" s="2"/>
      <c r="KKZ179" s="2"/>
      <c r="KLA179" s="2"/>
      <c r="KLB179" s="2"/>
      <c r="KLC179" s="2"/>
      <c r="KLD179" s="2"/>
      <c r="KLE179" s="2"/>
      <c r="KLF179" s="2"/>
      <c r="KLG179" s="2"/>
      <c r="KLH179" s="2"/>
      <c r="KLI179" s="2"/>
      <c r="KLJ179" s="2"/>
      <c r="KLK179" s="2"/>
      <c r="KLL179" s="2"/>
      <c r="KLM179" s="2"/>
      <c r="KLN179" s="2"/>
      <c r="KLO179" s="2"/>
      <c r="KLP179" s="2"/>
      <c r="KLQ179" s="2"/>
      <c r="KLR179" s="2"/>
      <c r="KLS179" s="2"/>
      <c r="KLT179" s="2"/>
      <c r="KLU179" s="2"/>
      <c r="KLV179" s="2"/>
      <c r="KLW179" s="2"/>
      <c r="KLX179" s="2"/>
      <c r="KLY179" s="2"/>
      <c r="KLZ179" s="2"/>
      <c r="KMA179" s="2"/>
      <c r="KMB179" s="2"/>
      <c r="KMC179" s="2"/>
      <c r="KMD179" s="2"/>
      <c r="KME179" s="2"/>
      <c r="KMF179" s="2"/>
      <c r="KMG179" s="2"/>
      <c r="KMH179" s="2"/>
      <c r="KMI179" s="2"/>
      <c r="KMJ179" s="2"/>
      <c r="KMK179" s="2"/>
      <c r="KML179" s="2"/>
      <c r="KMM179" s="2"/>
      <c r="KMN179" s="2"/>
      <c r="KMO179" s="2"/>
      <c r="KMP179" s="2"/>
      <c r="KMQ179" s="2"/>
      <c r="KMR179" s="2"/>
      <c r="KMS179" s="2"/>
      <c r="KMT179" s="2"/>
      <c r="KMU179" s="2"/>
      <c r="KMV179" s="2"/>
      <c r="KMW179" s="2"/>
      <c r="KMX179" s="2"/>
      <c r="KMY179" s="2"/>
      <c r="KMZ179" s="2"/>
      <c r="KNA179" s="2"/>
      <c r="KNB179" s="2"/>
      <c r="KNC179" s="2"/>
      <c r="KND179" s="2"/>
      <c r="KNE179" s="2"/>
      <c r="KNF179" s="2"/>
      <c r="KNG179" s="2"/>
      <c r="KNH179" s="2"/>
      <c r="KNI179" s="2"/>
      <c r="KNJ179" s="2"/>
      <c r="KNK179" s="2"/>
      <c r="KNL179" s="2"/>
      <c r="KNM179" s="2"/>
      <c r="KNN179" s="2"/>
      <c r="KNO179" s="2"/>
      <c r="KNP179" s="2"/>
      <c r="KNQ179" s="2"/>
      <c r="KNR179" s="2"/>
      <c r="KNS179" s="2"/>
      <c r="KNT179" s="2"/>
      <c r="KNU179" s="2"/>
      <c r="KNV179" s="2"/>
      <c r="KNW179" s="2"/>
      <c r="KNX179" s="2"/>
      <c r="KNY179" s="2"/>
      <c r="KNZ179" s="2"/>
      <c r="KOA179" s="2"/>
      <c r="KOB179" s="2"/>
      <c r="KOC179" s="2"/>
      <c r="KOD179" s="2"/>
      <c r="KOE179" s="2"/>
      <c r="KOF179" s="2"/>
      <c r="KOG179" s="2"/>
      <c r="KOH179" s="2"/>
      <c r="KOI179" s="2"/>
      <c r="KOJ179" s="2"/>
      <c r="KOK179" s="2"/>
      <c r="KOL179" s="2"/>
      <c r="KOM179" s="2"/>
      <c r="KON179" s="2"/>
      <c r="KOO179" s="2"/>
      <c r="KOP179" s="2"/>
      <c r="KOQ179" s="2"/>
      <c r="KOR179" s="2"/>
      <c r="KOS179" s="2"/>
      <c r="KOT179" s="2"/>
      <c r="KOU179" s="2"/>
      <c r="KOV179" s="2"/>
      <c r="KOW179" s="2"/>
      <c r="KOX179" s="2"/>
      <c r="KOY179" s="2"/>
      <c r="KOZ179" s="2"/>
      <c r="KPA179" s="2"/>
      <c r="KPB179" s="2"/>
      <c r="KPC179" s="2"/>
      <c r="KPD179" s="2"/>
      <c r="KPE179" s="2"/>
      <c r="KPF179" s="2"/>
      <c r="KPG179" s="2"/>
      <c r="KPH179" s="2"/>
      <c r="KPI179" s="2"/>
      <c r="KPJ179" s="2"/>
      <c r="KPK179" s="2"/>
      <c r="KPL179" s="2"/>
      <c r="KPM179" s="2"/>
      <c r="KPN179" s="2"/>
      <c r="KPO179" s="2"/>
      <c r="KPP179" s="2"/>
      <c r="KPQ179" s="2"/>
      <c r="KPR179" s="2"/>
      <c r="KPS179" s="2"/>
      <c r="KPT179" s="2"/>
      <c r="KPU179" s="2"/>
      <c r="KPV179" s="2"/>
      <c r="KPW179" s="2"/>
      <c r="KPX179" s="2"/>
      <c r="KPY179" s="2"/>
      <c r="KPZ179" s="2"/>
      <c r="KQA179" s="2"/>
      <c r="KQB179" s="2"/>
      <c r="KQC179" s="2"/>
      <c r="KQD179" s="2"/>
      <c r="KQE179" s="2"/>
      <c r="KQF179" s="2"/>
      <c r="KQG179" s="2"/>
      <c r="KQH179" s="2"/>
      <c r="KQI179" s="2"/>
      <c r="KQJ179" s="2"/>
      <c r="KQK179" s="2"/>
      <c r="KQL179" s="2"/>
      <c r="KQM179" s="2"/>
      <c r="KQN179" s="2"/>
      <c r="KQO179" s="2"/>
      <c r="KQP179" s="2"/>
      <c r="KQQ179" s="2"/>
      <c r="KQR179" s="2"/>
      <c r="KQS179" s="2"/>
      <c r="KQT179" s="2"/>
      <c r="KQU179" s="2"/>
      <c r="KQV179" s="2"/>
      <c r="KQW179" s="2"/>
      <c r="KQX179" s="2"/>
      <c r="KQY179" s="2"/>
      <c r="KQZ179" s="2"/>
      <c r="KRA179" s="2"/>
      <c r="KRB179" s="2"/>
      <c r="KRC179" s="2"/>
      <c r="KRD179" s="2"/>
      <c r="KRE179" s="2"/>
      <c r="KRF179" s="2"/>
      <c r="KRG179" s="2"/>
      <c r="KRH179" s="2"/>
      <c r="KRI179" s="2"/>
      <c r="KRJ179" s="2"/>
      <c r="KRK179" s="2"/>
      <c r="KRL179" s="2"/>
      <c r="KRM179" s="2"/>
      <c r="KRN179" s="2"/>
      <c r="KRO179" s="2"/>
      <c r="KRP179" s="2"/>
      <c r="KRQ179" s="2"/>
      <c r="KRR179" s="2"/>
      <c r="KRS179" s="2"/>
      <c r="KRT179" s="2"/>
      <c r="KRU179" s="2"/>
      <c r="KRV179" s="2"/>
      <c r="KRW179" s="2"/>
      <c r="KRX179" s="2"/>
      <c r="KRY179" s="2"/>
      <c r="KRZ179" s="2"/>
      <c r="KSA179" s="2"/>
      <c r="KSB179" s="2"/>
      <c r="KSC179" s="2"/>
      <c r="KSD179" s="2"/>
      <c r="KSE179" s="2"/>
      <c r="KSF179" s="2"/>
      <c r="KSG179" s="2"/>
      <c r="KSH179" s="2"/>
      <c r="KSI179" s="2"/>
      <c r="KSJ179" s="2"/>
      <c r="KSK179" s="2"/>
      <c r="KSL179" s="2"/>
      <c r="KSM179" s="2"/>
      <c r="KSN179" s="2"/>
      <c r="KSO179" s="2"/>
      <c r="KSP179" s="2"/>
      <c r="KSQ179" s="2"/>
      <c r="KSR179" s="2"/>
      <c r="KSS179" s="2"/>
      <c r="KST179" s="2"/>
      <c r="KSU179" s="2"/>
      <c r="KSV179" s="2"/>
      <c r="KSW179" s="2"/>
      <c r="KSX179" s="2"/>
      <c r="KSY179" s="2"/>
      <c r="KSZ179" s="2"/>
      <c r="KTA179" s="2"/>
      <c r="KTB179" s="2"/>
      <c r="KTC179" s="2"/>
      <c r="KTD179" s="2"/>
      <c r="KTE179" s="2"/>
      <c r="KTF179" s="2"/>
      <c r="KTG179" s="2"/>
      <c r="KTH179" s="2"/>
      <c r="KTI179" s="2"/>
      <c r="KTJ179" s="2"/>
      <c r="KTK179" s="2"/>
      <c r="KTL179" s="2"/>
      <c r="KTM179" s="2"/>
      <c r="KTN179" s="2"/>
      <c r="KTO179" s="2"/>
      <c r="KTP179" s="2"/>
      <c r="KTQ179" s="2"/>
      <c r="KTR179" s="2"/>
      <c r="KTS179" s="2"/>
      <c r="KTT179" s="2"/>
      <c r="KTU179" s="2"/>
      <c r="KTV179" s="2"/>
      <c r="KTW179" s="2"/>
      <c r="KTX179" s="2"/>
      <c r="KTY179" s="2"/>
      <c r="KTZ179" s="2"/>
      <c r="KUA179" s="2"/>
      <c r="KUB179" s="2"/>
      <c r="KUC179" s="2"/>
      <c r="KUD179" s="2"/>
      <c r="KUE179" s="2"/>
      <c r="KUF179" s="2"/>
      <c r="KUG179" s="2"/>
      <c r="KUH179" s="2"/>
      <c r="KUI179" s="2"/>
      <c r="KUJ179" s="2"/>
      <c r="KUK179" s="2"/>
      <c r="KUL179" s="2"/>
      <c r="KUM179" s="2"/>
      <c r="KUN179" s="2"/>
      <c r="KUO179" s="2"/>
      <c r="KUP179" s="2"/>
      <c r="KUQ179" s="2"/>
      <c r="KUR179" s="2"/>
      <c r="KUS179" s="2"/>
      <c r="KUT179" s="2"/>
      <c r="KUU179" s="2"/>
      <c r="KUV179" s="2"/>
      <c r="KUW179" s="2"/>
      <c r="KUX179" s="2"/>
      <c r="KUY179" s="2"/>
      <c r="KUZ179" s="2"/>
      <c r="KVA179" s="2"/>
      <c r="KVB179" s="2"/>
      <c r="KVC179" s="2"/>
      <c r="KVD179" s="2"/>
      <c r="KVE179" s="2"/>
      <c r="KVF179" s="2"/>
      <c r="KVG179" s="2"/>
      <c r="KVH179" s="2"/>
      <c r="KVI179" s="2"/>
      <c r="KVJ179" s="2"/>
      <c r="KVK179" s="2"/>
      <c r="KVL179" s="2"/>
      <c r="KVM179" s="2"/>
      <c r="KVN179" s="2"/>
      <c r="KVO179" s="2"/>
      <c r="KVP179" s="2"/>
      <c r="KVQ179" s="2"/>
      <c r="KVR179" s="2"/>
      <c r="KVS179" s="2"/>
      <c r="KVT179" s="2"/>
      <c r="KVU179" s="2"/>
      <c r="KVV179" s="2"/>
      <c r="KVW179" s="2"/>
      <c r="KVX179" s="2"/>
      <c r="KVY179" s="2"/>
      <c r="KVZ179" s="2"/>
      <c r="KWA179" s="2"/>
      <c r="KWB179" s="2"/>
      <c r="KWC179" s="2"/>
      <c r="KWD179" s="2"/>
      <c r="KWE179" s="2"/>
      <c r="KWF179" s="2"/>
      <c r="KWG179" s="2"/>
      <c r="KWH179" s="2"/>
      <c r="KWI179" s="2"/>
      <c r="KWJ179" s="2"/>
      <c r="KWK179" s="2"/>
      <c r="KWL179" s="2"/>
      <c r="KWM179" s="2"/>
      <c r="KWN179" s="2"/>
      <c r="KWO179" s="2"/>
      <c r="KWP179" s="2"/>
      <c r="KWQ179" s="2"/>
      <c r="KWR179" s="2"/>
      <c r="KWS179" s="2"/>
      <c r="KWT179" s="2"/>
      <c r="KWU179" s="2"/>
      <c r="KWV179" s="2"/>
      <c r="KWW179" s="2"/>
      <c r="KWX179" s="2"/>
      <c r="KWY179" s="2"/>
      <c r="KWZ179" s="2"/>
      <c r="KXA179" s="2"/>
      <c r="KXB179" s="2"/>
      <c r="KXC179" s="2"/>
      <c r="KXD179" s="2"/>
      <c r="KXE179" s="2"/>
      <c r="KXF179" s="2"/>
      <c r="KXG179" s="2"/>
      <c r="KXH179" s="2"/>
      <c r="KXI179" s="2"/>
      <c r="KXJ179" s="2"/>
      <c r="KXK179" s="2"/>
      <c r="KXL179" s="2"/>
      <c r="KXM179" s="2"/>
      <c r="KXN179" s="2"/>
      <c r="KXO179" s="2"/>
      <c r="KXP179" s="2"/>
      <c r="KXQ179" s="2"/>
      <c r="KXR179" s="2"/>
      <c r="KXS179" s="2"/>
      <c r="KXT179" s="2"/>
      <c r="KXU179" s="2"/>
      <c r="KXV179" s="2"/>
      <c r="KXW179" s="2"/>
      <c r="KXX179" s="2"/>
      <c r="KXY179" s="2"/>
      <c r="KXZ179" s="2"/>
      <c r="KYA179" s="2"/>
      <c r="KYB179" s="2"/>
      <c r="KYC179" s="2"/>
      <c r="KYD179" s="2"/>
      <c r="KYE179" s="2"/>
      <c r="KYF179" s="2"/>
      <c r="KYG179" s="2"/>
      <c r="KYH179" s="2"/>
      <c r="KYI179" s="2"/>
      <c r="KYJ179" s="2"/>
      <c r="KYK179" s="2"/>
      <c r="KYL179" s="2"/>
      <c r="KYM179" s="2"/>
      <c r="KYN179" s="2"/>
      <c r="KYO179" s="2"/>
      <c r="KYP179" s="2"/>
      <c r="KYQ179" s="2"/>
      <c r="KYR179" s="2"/>
      <c r="KYS179" s="2"/>
      <c r="KYT179" s="2"/>
      <c r="KYU179" s="2"/>
      <c r="KYV179" s="2"/>
      <c r="KYW179" s="2"/>
      <c r="KYX179" s="2"/>
      <c r="KYY179" s="2"/>
      <c r="KYZ179" s="2"/>
      <c r="KZA179" s="2"/>
      <c r="KZB179" s="2"/>
      <c r="KZC179" s="2"/>
      <c r="KZD179" s="2"/>
      <c r="KZE179" s="2"/>
      <c r="KZF179" s="2"/>
      <c r="KZG179" s="2"/>
      <c r="KZH179" s="2"/>
      <c r="KZI179" s="2"/>
      <c r="KZJ179" s="2"/>
      <c r="KZK179" s="2"/>
      <c r="KZL179" s="2"/>
      <c r="KZM179" s="2"/>
      <c r="KZN179" s="2"/>
      <c r="KZO179" s="2"/>
      <c r="KZP179" s="2"/>
      <c r="KZQ179" s="2"/>
      <c r="KZR179" s="2"/>
      <c r="KZS179" s="2"/>
      <c r="KZT179" s="2"/>
      <c r="KZU179" s="2"/>
      <c r="KZV179" s="2"/>
      <c r="KZW179" s="2"/>
      <c r="KZX179" s="2"/>
      <c r="KZY179" s="2"/>
      <c r="KZZ179" s="2"/>
      <c r="LAA179" s="2"/>
      <c r="LAB179" s="2"/>
      <c r="LAC179" s="2"/>
      <c r="LAD179" s="2"/>
      <c r="LAE179" s="2"/>
      <c r="LAF179" s="2"/>
      <c r="LAG179" s="2"/>
      <c r="LAH179" s="2"/>
      <c r="LAI179" s="2"/>
      <c r="LAJ179" s="2"/>
      <c r="LAK179" s="2"/>
      <c r="LAL179" s="2"/>
      <c r="LAM179" s="2"/>
      <c r="LAN179" s="2"/>
      <c r="LAO179" s="2"/>
      <c r="LAP179" s="2"/>
      <c r="LAQ179" s="2"/>
      <c r="LAR179" s="2"/>
      <c r="LAS179" s="2"/>
      <c r="LAT179" s="2"/>
      <c r="LAU179" s="2"/>
      <c r="LAV179" s="2"/>
      <c r="LAW179" s="2"/>
      <c r="LAX179" s="2"/>
      <c r="LAY179" s="2"/>
      <c r="LAZ179" s="2"/>
      <c r="LBA179" s="2"/>
      <c r="LBB179" s="2"/>
      <c r="LBC179" s="2"/>
      <c r="LBD179" s="2"/>
      <c r="LBE179" s="2"/>
      <c r="LBF179" s="2"/>
      <c r="LBG179" s="2"/>
      <c r="LBH179" s="2"/>
      <c r="LBI179" s="2"/>
      <c r="LBJ179" s="2"/>
      <c r="LBK179" s="2"/>
      <c r="LBL179" s="2"/>
      <c r="LBM179" s="2"/>
      <c r="LBN179" s="2"/>
      <c r="LBO179" s="2"/>
      <c r="LBP179" s="2"/>
      <c r="LBQ179" s="2"/>
      <c r="LBR179" s="2"/>
      <c r="LBS179" s="2"/>
      <c r="LBT179" s="2"/>
      <c r="LBU179" s="2"/>
      <c r="LBV179" s="2"/>
      <c r="LBW179" s="2"/>
      <c r="LBX179" s="2"/>
      <c r="LBY179" s="2"/>
      <c r="LBZ179" s="2"/>
      <c r="LCA179" s="2"/>
      <c r="LCB179" s="2"/>
      <c r="LCC179" s="2"/>
      <c r="LCD179" s="2"/>
      <c r="LCE179" s="2"/>
      <c r="LCF179" s="2"/>
      <c r="LCG179" s="2"/>
      <c r="LCH179" s="2"/>
      <c r="LCI179" s="2"/>
      <c r="LCJ179" s="2"/>
      <c r="LCK179" s="2"/>
      <c r="LCL179" s="2"/>
      <c r="LCM179" s="2"/>
      <c r="LCN179" s="2"/>
      <c r="LCO179" s="2"/>
      <c r="LCP179" s="2"/>
      <c r="LCQ179" s="2"/>
      <c r="LCR179" s="2"/>
      <c r="LCS179" s="2"/>
      <c r="LCT179" s="2"/>
      <c r="LCU179" s="2"/>
      <c r="LCV179" s="2"/>
      <c r="LCW179" s="2"/>
      <c r="LCX179" s="2"/>
      <c r="LCY179" s="2"/>
      <c r="LCZ179" s="2"/>
      <c r="LDA179" s="2"/>
      <c r="LDB179" s="2"/>
      <c r="LDC179" s="2"/>
      <c r="LDD179" s="2"/>
      <c r="LDE179" s="2"/>
      <c r="LDF179" s="2"/>
      <c r="LDG179" s="2"/>
      <c r="LDH179" s="2"/>
      <c r="LDI179" s="2"/>
      <c r="LDJ179" s="2"/>
      <c r="LDK179" s="2"/>
      <c r="LDL179" s="2"/>
      <c r="LDM179" s="2"/>
      <c r="LDN179" s="2"/>
      <c r="LDO179" s="2"/>
      <c r="LDP179" s="2"/>
      <c r="LDQ179" s="2"/>
      <c r="LDR179" s="2"/>
      <c r="LDS179" s="2"/>
      <c r="LDT179" s="2"/>
      <c r="LDU179" s="2"/>
      <c r="LDV179" s="2"/>
      <c r="LDW179" s="2"/>
      <c r="LDX179" s="2"/>
      <c r="LDY179" s="2"/>
      <c r="LDZ179" s="2"/>
      <c r="LEA179" s="2"/>
      <c r="LEB179" s="2"/>
      <c r="LEC179" s="2"/>
      <c r="LED179" s="2"/>
      <c r="LEE179" s="2"/>
      <c r="LEF179" s="2"/>
      <c r="LEG179" s="2"/>
      <c r="LEH179" s="2"/>
      <c r="LEI179" s="2"/>
      <c r="LEJ179" s="2"/>
      <c r="LEK179" s="2"/>
      <c r="LEL179" s="2"/>
      <c r="LEM179" s="2"/>
      <c r="LEN179" s="2"/>
      <c r="LEO179" s="2"/>
      <c r="LEP179" s="2"/>
      <c r="LEQ179" s="2"/>
      <c r="LER179" s="2"/>
      <c r="LES179" s="2"/>
      <c r="LET179" s="2"/>
      <c r="LEU179" s="2"/>
      <c r="LEV179" s="2"/>
      <c r="LEW179" s="2"/>
      <c r="LEX179" s="2"/>
      <c r="LEY179" s="2"/>
      <c r="LEZ179" s="2"/>
      <c r="LFA179" s="2"/>
      <c r="LFB179" s="2"/>
      <c r="LFC179" s="2"/>
      <c r="LFD179" s="2"/>
      <c r="LFE179" s="2"/>
      <c r="LFF179" s="2"/>
      <c r="LFG179" s="2"/>
      <c r="LFH179" s="2"/>
      <c r="LFI179" s="2"/>
      <c r="LFJ179" s="2"/>
      <c r="LFK179" s="2"/>
      <c r="LFL179" s="2"/>
      <c r="LFM179" s="2"/>
      <c r="LFN179" s="2"/>
      <c r="LFO179" s="2"/>
      <c r="LFP179" s="2"/>
      <c r="LFQ179" s="2"/>
      <c r="LFR179" s="2"/>
      <c r="LFS179" s="2"/>
      <c r="LFT179" s="2"/>
      <c r="LFU179" s="2"/>
      <c r="LFV179" s="2"/>
      <c r="LFW179" s="2"/>
      <c r="LFX179" s="2"/>
      <c r="LFY179" s="2"/>
      <c r="LFZ179" s="2"/>
      <c r="LGA179" s="2"/>
      <c r="LGB179" s="2"/>
      <c r="LGC179" s="2"/>
      <c r="LGD179" s="2"/>
      <c r="LGE179" s="2"/>
      <c r="LGF179" s="2"/>
      <c r="LGG179" s="2"/>
      <c r="LGH179" s="2"/>
      <c r="LGI179" s="2"/>
      <c r="LGJ179" s="2"/>
      <c r="LGK179" s="2"/>
      <c r="LGL179" s="2"/>
      <c r="LGM179" s="2"/>
      <c r="LGN179" s="2"/>
      <c r="LGO179" s="2"/>
      <c r="LGP179" s="2"/>
      <c r="LGQ179" s="2"/>
      <c r="LGR179" s="2"/>
      <c r="LGS179" s="2"/>
      <c r="LGT179" s="2"/>
      <c r="LGU179" s="2"/>
      <c r="LGV179" s="2"/>
      <c r="LGW179" s="2"/>
      <c r="LGX179" s="2"/>
      <c r="LGY179" s="2"/>
      <c r="LGZ179" s="2"/>
      <c r="LHA179" s="2"/>
      <c r="LHB179" s="2"/>
      <c r="LHC179" s="2"/>
      <c r="LHD179" s="2"/>
      <c r="LHE179" s="2"/>
      <c r="LHF179" s="2"/>
      <c r="LHG179" s="2"/>
      <c r="LHH179" s="2"/>
      <c r="LHI179" s="2"/>
      <c r="LHJ179" s="2"/>
      <c r="LHK179" s="2"/>
      <c r="LHL179" s="2"/>
      <c r="LHM179" s="2"/>
      <c r="LHN179" s="2"/>
      <c r="LHO179" s="2"/>
      <c r="LHP179" s="2"/>
      <c r="LHQ179" s="2"/>
      <c r="LHR179" s="2"/>
      <c r="LHS179" s="2"/>
      <c r="LHT179" s="2"/>
      <c r="LHU179" s="2"/>
      <c r="LHV179" s="2"/>
      <c r="LHW179" s="2"/>
      <c r="LHX179" s="2"/>
      <c r="LHY179" s="2"/>
      <c r="LHZ179" s="2"/>
      <c r="LIA179" s="2"/>
      <c r="LIB179" s="2"/>
      <c r="LIC179" s="2"/>
      <c r="LID179" s="2"/>
      <c r="LIE179" s="2"/>
      <c r="LIF179" s="2"/>
      <c r="LIG179" s="2"/>
      <c r="LIH179" s="2"/>
      <c r="LII179" s="2"/>
      <c r="LIJ179" s="2"/>
      <c r="LIK179" s="2"/>
      <c r="LIL179" s="2"/>
      <c r="LIM179" s="2"/>
      <c r="LIN179" s="2"/>
      <c r="LIO179" s="2"/>
      <c r="LIP179" s="2"/>
      <c r="LIQ179" s="2"/>
      <c r="LIR179" s="2"/>
      <c r="LIS179" s="2"/>
      <c r="LIT179" s="2"/>
      <c r="LIU179" s="2"/>
      <c r="LIV179" s="2"/>
      <c r="LIW179" s="2"/>
      <c r="LIX179" s="2"/>
      <c r="LIY179" s="2"/>
      <c r="LIZ179" s="2"/>
      <c r="LJA179" s="2"/>
      <c r="LJB179" s="2"/>
      <c r="LJC179" s="2"/>
      <c r="LJD179" s="2"/>
      <c r="LJE179" s="2"/>
      <c r="LJF179" s="2"/>
      <c r="LJG179" s="2"/>
      <c r="LJH179" s="2"/>
      <c r="LJI179" s="2"/>
      <c r="LJJ179" s="2"/>
      <c r="LJK179" s="2"/>
      <c r="LJL179" s="2"/>
      <c r="LJM179" s="2"/>
      <c r="LJN179" s="2"/>
      <c r="LJO179" s="2"/>
      <c r="LJP179" s="2"/>
      <c r="LJQ179" s="2"/>
      <c r="LJR179" s="2"/>
      <c r="LJS179" s="2"/>
      <c r="LJT179" s="2"/>
      <c r="LJU179" s="2"/>
      <c r="LJV179" s="2"/>
      <c r="LJW179" s="2"/>
      <c r="LJX179" s="2"/>
      <c r="LJY179" s="2"/>
      <c r="LJZ179" s="2"/>
      <c r="LKA179" s="2"/>
      <c r="LKB179" s="2"/>
      <c r="LKC179" s="2"/>
      <c r="LKD179" s="2"/>
      <c r="LKE179" s="2"/>
      <c r="LKF179" s="2"/>
      <c r="LKG179" s="2"/>
      <c r="LKH179" s="2"/>
      <c r="LKI179" s="2"/>
      <c r="LKJ179" s="2"/>
      <c r="LKK179" s="2"/>
      <c r="LKL179" s="2"/>
      <c r="LKM179" s="2"/>
      <c r="LKN179" s="2"/>
      <c r="LKO179" s="2"/>
      <c r="LKP179" s="2"/>
      <c r="LKQ179" s="2"/>
      <c r="LKR179" s="2"/>
      <c r="LKS179" s="2"/>
      <c r="LKT179" s="2"/>
      <c r="LKU179" s="2"/>
      <c r="LKV179" s="2"/>
      <c r="LKW179" s="2"/>
      <c r="LKX179" s="2"/>
      <c r="LKY179" s="2"/>
      <c r="LKZ179" s="2"/>
      <c r="LLA179" s="2"/>
      <c r="LLB179" s="2"/>
      <c r="LLC179" s="2"/>
      <c r="LLD179" s="2"/>
      <c r="LLE179" s="2"/>
      <c r="LLF179" s="2"/>
      <c r="LLG179" s="2"/>
      <c r="LLH179" s="2"/>
      <c r="LLI179" s="2"/>
      <c r="LLJ179" s="2"/>
      <c r="LLK179" s="2"/>
      <c r="LLL179" s="2"/>
      <c r="LLM179" s="2"/>
      <c r="LLN179" s="2"/>
      <c r="LLO179" s="2"/>
      <c r="LLP179" s="2"/>
      <c r="LLQ179" s="2"/>
      <c r="LLR179" s="2"/>
      <c r="LLS179" s="2"/>
      <c r="LLT179" s="2"/>
      <c r="LLU179" s="2"/>
      <c r="LLV179" s="2"/>
      <c r="LLW179" s="2"/>
      <c r="LLX179" s="2"/>
      <c r="LLY179" s="2"/>
      <c r="LLZ179" s="2"/>
      <c r="LMA179" s="2"/>
      <c r="LMB179" s="2"/>
      <c r="LMC179" s="2"/>
      <c r="LMD179" s="2"/>
      <c r="LME179" s="2"/>
      <c r="LMF179" s="2"/>
      <c r="LMG179" s="2"/>
      <c r="LMH179" s="2"/>
      <c r="LMI179" s="2"/>
      <c r="LMJ179" s="2"/>
      <c r="LMK179" s="2"/>
      <c r="LML179" s="2"/>
      <c r="LMM179" s="2"/>
      <c r="LMN179" s="2"/>
      <c r="LMO179" s="2"/>
      <c r="LMP179" s="2"/>
      <c r="LMQ179" s="2"/>
      <c r="LMR179" s="2"/>
      <c r="LMS179" s="2"/>
      <c r="LMT179" s="2"/>
      <c r="LMU179" s="2"/>
      <c r="LMV179" s="2"/>
      <c r="LMW179" s="2"/>
      <c r="LMX179" s="2"/>
      <c r="LMY179" s="2"/>
      <c r="LMZ179" s="2"/>
      <c r="LNA179" s="2"/>
      <c r="LNB179" s="2"/>
      <c r="LNC179" s="2"/>
      <c r="LND179" s="2"/>
      <c r="LNE179" s="2"/>
      <c r="LNF179" s="2"/>
      <c r="LNG179" s="2"/>
      <c r="LNH179" s="2"/>
      <c r="LNI179" s="2"/>
      <c r="LNJ179" s="2"/>
      <c r="LNK179" s="2"/>
      <c r="LNL179" s="2"/>
      <c r="LNM179" s="2"/>
      <c r="LNN179" s="2"/>
      <c r="LNO179" s="2"/>
      <c r="LNP179" s="2"/>
      <c r="LNQ179" s="2"/>
      <c r="LNR179" s="2"/>
      <c r="LNS179" s="2"/>
      <c r="LNT179" s="2"/>
      <c r="LNU179" s="2"/>
      <c r="LNV179" s="2"/>
      <c r="LNW179" s="2"/>
      <c r="LNX179" s="2"/>
      <c r="LNY179" s="2"/>
      <c r="LNZ179" s="2"/>
      <c r="LOA179" s="2"/>
      <c r="LOB179" s="2"/>
      <c r="LOC179" s="2"/>
      <c r="LOD179" s="2"/>
      <c r="LOE179" s="2"/>
      <c r="LOF179" s="2"/>
      <c r="LOG179" s="2"/>
      <c r="LOH179" s="2"/>
      <c r="LOI179" s="2"/>
      <c r="LOJ179" s="2"/>
      <c r="LOK179" s="2"/>
      <c r="LOL179" s="2"/>
      <c r="LOM179" s="2"/>
      <c r="LON179" s="2"/>
      <c r="LOO179" s="2"/>
      <c r="LOP179" s="2"/>
      <c r="LOQ179" s="2"/>
      <c r="LOR179" s="2"/>
      <c r="LOS179" s="2"/>
      <c r="LOT179" s="2"/>
      <c r="LOU179" s="2"/>
      <c r="LOV179" s="2"/>
      <c r="LOW179" s="2"/>
      <c r="LOX179" s="2"/>
      <c r="LOY179" s="2"/>
      <c r="LOZ179" s="2"/>
      <c r="LPA179" s="2"/>
      <c r="LPB179" s="2"/>
      <c r="LPC179" s="2"/>
      <c r="LPD179" s="2"/>
      <c r="LPE179" s="2"/>
      <c r="LPF179" s="2"/>
      <c r="LPG179" s="2"/>
      <c r="LPH179" s="2"/>
      <c r="LPI179" s="2"/>
      <c r="LPJ179" s="2"/>
      <c r="LPK179" s="2"/>
      <c r="LPL179" s="2"/>
      <c r="LPM179" s="2"/>
      <c r="LPN179" s="2"/>
      <c r="LPO179" s="2"/>
      <c r="LPP179" s="2"/>
      <c r="LPQ179" s="2"/>
      <c r="LPR179" s="2"/>
      <c r="LPS179" s="2"/>
      <c r="LPT179" s="2"/>
      <c r="LPU179" s="2"/>
      <c r="LPV179" s="2"/>
      <c r="LPW179" s="2"/>
      <c r="LPX179" s="2"/>
      <c r="LPY179" s="2"/>
      <c r="LPZ179" s="2"/>
      <c r="LQA179" s="2"/>
      <c r="LQB179" s="2"/>
      <c r="LQC179" s="2"/>
      <c r="LQD179" s="2"/>
      <c r="LQE179" s="2"/>
      <c r="LQF179" s="2"/>
      <c r="LQG179" s="2"/>
      <c r="LQH179" s="2"/>
      <c r="LQI179" s="2"/>
      <c r="LQJ179" s="2"/>
      <c r="LQK179" s="2"/>
      <c r="LQL179" s="2"/>
      <c r="LQM179" s="2"/>
      <c r="LQN179" s="2"/>
      <c r="LQO179" s="2"/>
      <c r="LQP179" s="2"/>
      <c r="LQQ179" s="2"/>
      <c r="LQR179" s="2"/>
      <c r="LQS179" s="2"/>
      <c r="LQT179" s="2"/>
      <c r="LQU179" s="2"/>
      <c r="LQV179" s="2"/>
      <c r="LQW179" s="2"/>
      <c r="LQX179" s="2"/>
      <c r="LQY179" s="2"/>
      <c r="LQZ179" s="2"/>
      <c r="LRA179" s="2"/>
      <c r="LRB179" s="2"/>
      <c r="LRC179" s="2"/>
      <c r="LRD179" s="2"/>
      <c r="LRE179" s="2"/>
      <c r="LRF179" s="2"/>
      <c r="LRG179" s="2"/>
      <c r="LRH179" s="2"/>
      <c r="LRI179" s="2"/>
      <c r="LRJ179" s="2"/>
      <c r="LRK179" s="2"/>
      <c r="LRL179" s="2"/>
      <c r="LRM179" s="2"/>
      <c r="LRN179" s="2"/>
      <c r="LRO179" s="2"/>
      <c r="LRP179" s="2"/>
      <c r="LRQ179" s="2"/>
      <c r="LRR179" s="2"/>
      <c r="LRS179" s="2"/>
      <c r="LRT179" s="2"/>
      <c r="LRU179" s="2"/>
      <c r="LRV179" s="2"/>
      <c r="LRW179" s="2"/>
      <c r="LRX179" s="2"/>
      <c r="LRY179" s="2"/>
      <c r="LRZ179" s="2"/>
      <c r="LSA179" s="2"/>
      <c r="LSB179" s="2"/>
      <c r="LSC179" s="2"/>
      <c r="LSD179" s="2"/>
      <c r="LSE179" s="2"/>
      <c r="LSF179" s="2"/>
      <c r="LSG179" s="2"/>
      <c r="LSH179" s="2"/>
      <c r="LSI179" s="2"/>
      <c r="LSJ179" s="2"/>
      <c r="LSK179" s="2"/>
      <c r="LSL179" s="2"/>
      <c r="LSM179" s="2"/>
      <c r="LSN179" s="2"/>
      <c r="LSO179" s="2"/>
      <c r="LSP179" s="2"/>
      <c r="LSQ179" s="2"/>
      <c r="LSR179" s="2"/>
      <c r="LSS179" s="2"/>
      <c r="LST179" s="2"/>
      <c r="LSU179" s="2"/>
      <c r="LSV179" s="2"/>
      <c r="LSW179" s="2"/>
      <c r="LSX179" s="2"/>
      <c r="LSY179" s="2"/>
      <c r="LSZ179" s="2"/>
      <c r="LTA179" s="2"/>
      <c r="LTB179" s="2"/>
      <c r="LTC179" s="2"/>
      <c r="LTD179" s="2"/>
      <c r="LTE179" s="2"/>
      <c r="LTF179" s="2"/>
      <c r="LTG179" s="2"/>
      <c r="LTH179" s="2"/>
      <c r="LTI179" s="2"/>
      <c r="LTJ179" s="2"/>
      <c r="LTK179" s="2"/>
      <c r="LTL179" s="2"/>
      <c r="LTM179" s="2"/>
      <c r="LTN179" s="2"/>
      <c r="LTO179" s="2"/>
      <c r="LTP179" s="2"/>
      <c r="LTQ179" s="2"/>
      <c r="LTR179" s="2"/>
      <c r="LTS179" s="2"/>
      <c r="LTT179" s="2"/>
      <c r="LTU179" s="2"/>
      <c r="LTV179" s="2"/>
      <c r="LTW179" s="2"/>
      <c r="LTX179" s="2"/>
      <c r="LTY179" s="2"/>
      <c r="LTZ179" s="2"/>
      <c r="LUA179" s="2"/>
      <c r="LUB179" s="2"/>
      <c r="LUC179" s="2"/>
      <c r="LUD179" s="2"/>
      <c r="LUE179" s="2"/>
      <c r="LUF179" s="2"/>
      <c r="LUG179" s="2"/>
      <c r="LUH179" s="2"/>
      <c r="LUI179" s="2"/>
      <c r="LUJ179" s="2"/>
      <c r="LUK179" s="2"/>
      <c r="LUL179" s="2"/>
      <c r="LUM179" s="2"/>
      <c r="LUN179" s="2"/>
      <c r="LUO179" s="2"/>
      <c r="LUP179" s="2"/>
      <c r="LUQ179" s="2"/>
      <c r="LUR179" s="2"/>
      <c r="LUS179" s="2"/>
      <c r="LUT179" s="2"/>
      <c r="LUU179" s="2"/>
      <c r="LUV179" s="2"/>
      <c r="LUW179" s="2"/>
      <c r="LUX179" s="2"/>
      <c r="LUY179" s="2"/>
      <c r="LUZ179" s="2"/>
      <c r="LVA179" s="2"/>
      <c r="LVB179" s="2"/>
      <c r="LVC179" s="2"/>
      <c r="LVD179" s="2"/>
      <c r="LVE179" s="2"/>
      <c r="LVF179" s="2"/>
      <c r="LVG179" s="2"/>
      <c r="LVH179" s="2"/>
      <c r="LVI179" s="2"/>
      <c r="LVJ179" s="2"/>
      <c r="LVK179" s="2"/>
      <c r="LVL179" s="2"/>
      <c r="LVM179" s="2"/>
      <c r="LVN179" s="2"/>
      <c r="LVO179" s="2"/>
      <c r="LVP179" s="2"/>
      <c r="LVQ179" s="2"/>
      <c r="LVR179" s="2"/>
      <c r="LVS179" s="2"/>
      <c r="LVT179" s="2"/>
      <c r="LVU179" s="2"/>
      <c r="LVV179" s="2"/>
      <c r="LVW179" s="2"/>
      <c r="LVX179" s="2"/>
      <c r="LVY179" s="2"/>
      <c r="LVZ179" s="2"/>
      <c r="LWA179" s="2"/>
      <c r="LWB179" s="2"/>
      <c r="LWC179" s="2"/>
      <c r="LWD179" s="2"/>
      <c r="LWE179" s="2"/>
      <c r="LWF179" s="2"/>
      <c r="LWG179" s="2"/>
      <c r="LWH179" s="2"/>
      <c r="LWI179" s="2"/>
      <c r="LWJ179" s="2"/>
      <c r="LWK179" s="2"/>
      <c r="LWL179" s="2"/>
      <c r="LWM179" s="2"/>
      <c r="LWN179" s="2"/>
      <c r="LWO179" s="2"/>
      <c r="LWP179" s="2"/>
      <c r="LWQ179" s="2"/>
      <c r="LWR179" s="2"/>
      <c r="LWS179" s="2"/>
      <c r="LWT179" s="2"/>
      <c r="LWU179" s="2"/>
      <c r="LWV179" s="2"/>
      <c r="LWW179" s="2"/>
      <c r="LWX179" s="2"/>
      <c r="LWY179" s="2"/>
      <c r="LWZ179" s="2"/>
      <c r="LXA179" s="2"/>
      <c r="LXB179" s="2"/>
      <c r="LXC179" s="2"/>
      <c r="LXD179" s="2"/>
      <c r="LXE179" s="2"/>
      <c r="LXF179" s="2"/>
      <c r="LXG179" s="2"/>
      <c r="LXH179" s="2"/>
      <c r="LXI179" s="2"/>
      <c r="LXJ179" s="2"/>
      <c r="LXK179" s="2"/>
      <c r="LXL179" s="2"/>
      <c r="LXM179" s="2"/>
      <c r="LXN179" s="2"/>
      <c r="LXO179" s="2"/>
      <c r="LXP179" s="2"/>
      <c r="LXQ179" s="2"/>
      <c r="LXR179" s="2"/>
      <c r="LXS179" s="2"/>
      <c r="LXT179" s="2"/>
      <c r="LXU179" s="2"/>
      <c r="LXV179" s="2"/>
      <c r="LXW179" s="2"/>
      <c r="LXX179" s="2"/>
      <c r="LXY179" s="2"/>
      <c r="LXZ179" s="2"/>
      <c r="LYA179" s="2"/>
      <c r="LYB179" s="2"/>
      <c r="LYC179" s="2"/>
      <c r="LYD179" s="2"/>
      <c r="LYE179" s="2"/>
      <c r="LYF179" s="2"/>
      <c r="LYG179" s="2"/>
      <c r="LYH179" s="2"/>
      <c r="LYI179" s="2"/>
      <c r="LYJ179" s="2"/>
      <c r="LYK179" s="2"/>
      <c r="LYL179" s="2"/>
      <c r="LYM179" s="2"/>
      <c r="LYN179" s="2"/>
      <c r="LYO179" s="2"/>
      <c r="LYP179" s="2"/>
      <c r="LYQ179" s="2"/>
      <c r="LYR179" s="2"/>
      <c r="LYS179" s="2"/>
      <c r="LYT179" s="2"/>
      <c r="LYU179" s="2"/>
      <c r="LYV179" s="2"/>
      <c r="LYW179" s="2"/>
      <c r="LYX179" s="2"/>
      <c r="LYY179" s="2"/>
      <c r="LYZ179" s="2"/>
      <c r="LZA179" s="2"/>
      <c r="LZB179" s="2"/>
      <c r="LZC179" s="2"/>
      <c r="LZD179" s="2"/>
      <c r="LZE179" s="2"/>
      <c r="LZF179" s="2"/>
      <c r="LZG179" s="2"/>
      <c r="LZH179" s="2"/>
      <c r="LZI179" s="2"/>
      <c r="LZJ179" s="2"/>
      <c r="LZK179" s="2"/>
      <c r="LZL179" s="2"/>
      <c r="LZM179" s="2"/>
      <c r="LZN179" s="2"/>
      <c r="LZO179" s="2"/>
      <c r="LZP179" s="2"/>
      <c r="LZQ179" s="2"/>
      <c r="LZR179" s="2"/>
      <c r="LZS179" s="2"/>
      <c r="LZT179" s="2"/>
      <c r="LZU179" s="2"/>
      <c r="LZV179" s="2"/>
      <c r="LZW179" s="2"/>
      <c r="LZX179" s="2"/>
      <c r="LZY179" s="2"/>
      <c r="LZZ179" s="2"/>
      <c r="MAA179" s="2"/>
      <c r="MAB179" s="2"/>
      <c r="MAC179" s="2"/>
      <c r="MAD179" s="2"/>
      <c r="MAE179" s="2"/>
      <c r="MAF179" s="2"/>
      <c r="MAG179" s="2"/>
      <c r="MAH179" s="2"/>
      <c r="MAI179" s="2"/>
      <c r="MAJ179" s="2"/>
      <c r="MAK179" s="2"/>
      <c r="MAL179" s="2"/>
      <c r="MAM179" s="2"/>
      <c r="MAN179" s="2"/>
      <c r="MAO179" s="2"/>
      <c r="MAP179" s="2"/>
      <c r="MAQ179" s="2"/>
      <c r="MAR179" s="2"/>
      <c r="MAS179" s="2"/>
      <c r="MAT179" s="2"/>
      <c r="MAU179" s="2"/>
      <c r="MAV179" s="2"/>
      <c r="MAW179" s="2"/>
      <c r="MAX179" s="2"/>
      <c r="MAY179" s="2"/>
      <c r="MAZ179" s="2"/>
      <c r="MBA179" s="2"/>
      <c r="MBB179" s="2"/>
      <c r="MBC179" s="2"/>
      <c r="MBD179" s="2"/>
      <c r="MBE179" s="2"/>
      <c r="MBF179" s="2"/>
      <c r="MBG179" s="2"/>
      <c r="MBH179" s="2"/>
      <c r="MBI179" s="2"/>
      <c r="MBJ179" s="2"/>
      <c r="MBK179" s="2"/>
      <c r="MBL179" s="2"/>
      <c r="MBM179" s="2"/>
      <c r="MBN179" s="2"/>
      <c r="MBO179" s="2"/>
      <c r="MBP179" s="2"/>
      <c r="MBQ179" s="2"/>
      <c r="MBR179" s="2"/>
      <c r="MBS179" s="2"/>
      <c r="MBT179" s="2"/>
      <c r="MBU179" s="2"/>
      <c r="MBV179" s="2"/>
      <c r="MBW179" s="2"/>
      <c r="MBX179" s="2"/>
      <c r="MBY179" s="2"/>
      <c r="MBZ179" s="2"/>
      <c r="MCA179" s="2"/>
      <c r="MCB179" s="2"/>
      <c r="MCC179" s="2"/>
      <c r="MCD179" s="2"/>
      <c r="MCE179" s="2"/>
      <c r="MCF179" s="2"/>
      <c r="MCG179" s="2"/>
      <c r="MCH179" s="2"/>
      <c r="MCI179" s="2"/>
      <c r="MCJ179" s="2"/>
      <c r="MCK179" s="2"/>
      <c r="MCL179" s="2"/>
      <c r="MCM179" s="2"/>
      <c r="MCN179" s="2"/>
      <c r="MCO179" s="2"/>
      <c r="MCP179" s="2"/>
      <c r="MCQ179" s="2"/>
      <c r="MCR179" s="2"/>
      <c r="MCS179" s="2"/>
      <c r="MCT179" s="2"/>
      <c r="MCU179" s="2"/>
      <c r="MCV179" s="2"/>
      <c r="MCW179" s="2"/>
      <c r="MCX179" s="2"/>
      <c r="MCY179" s="2"/>
      <c r="MCZ179" s="2"/>
      <c r="MDA179" s="2"/>
      <c r="MDB179" s="2"/>
      <c r="MDC179" s="2"/>
      <c r="MDD179" s="2"/>
      <c r="MDE179" s="2"/>
      <c r="MDF179" s="2"/>
      <c r="MDG179" s="2"/>
      <c r="MDH179" s="2"/>
      <c r="MDI179" s="2"/>
      <c r="MDJ179" s="2"/>
      <c r="MDK179" s="2"/>
      <c r="MDL179" s="2"/>
      <c r="MDM179" s="2"/>
      <c r="MDN179" s="2"/>
      <c r="MDO179" s="2"/>
      <c r="MDP179" s="2"/>
      <c r="MDQ179" s="2"/>
      <c r="MDR179" s="2"/>
      <c r="MDS179" s="2"/>
      <c r="MDT179" s="2"/>
      <c r="MDU179" s="2"/>
      <c r="MDV179" s="2"/>
      <c r="MDW179" s="2"/>
      <c r="MDX179" s="2"/>
      <c r="MDY179" s="2"/>
      <c r="MDZ179" s="2"/>
      <c r="MEA179" s="2"/>
      <c r="MEB179" s="2"/>
      <c r="MEC179" s="2"/>
      <c r="MED179" s="2"/>
      <c r="MEE179" s="2"/>
      <c r="MEF179" s="2"/>
      <c r="MEG179" s="2"/>
      <c r="MEH179" s="2"/>
      <c r="MEI179" s="2"/>
      <c r="MEJ179" s="2"/>
      <c r="MEK179" s="2"/>
      <c r="MEL179" s="2"/>
      <c r="MEM179" s="2"/>
      <c r="MEN179" s="2"/>
      <c r="MEO179" s="2"/>
      <c r="MEP179" s="2"/>
      <c r="MEQ179" s="2"/>
      <c r="MER179" s="2"/>
      <c r="MES179" s="2"/>
      <c r="MET179" s="2"/>
      <c r="MEU179" s="2"/>
      <c r="MEV179" s="2"/>
      <c r="MEW179" s="2"/>
      <c r="MEX179" s="2"/>
      <c r="MEY179" s="2"/>
      <c r="MEZ179" s="2"/>
      <c r="MFA179" s="2"/>
      <c r="MFB179" s="2"/>
      <c r="MFC179" s="2"/>
      <c r="MFD179" s="2"/>
      <c r="MFE179" s="2"/>
      <c r="MFF179" s="2"/>
      <c r="MFG179" s="2"/>
      <c r="MFH179" s="2"/>
      <c r="MFI179" s="2"/>
      <c r="MFJ179" s="2"/>
      <c r="MFK179" s="2"/>
      <c r="MFL179" s="2"/>
      <c r="MFM179" s="2"/>
      <c r="MFN179" s="2"/>
      <c r="MFO179" s="2"/>
      <c r="MFP179" s="2"/>
      <c r="MFQ179" s="2"/>
      <c r="MFR179" s="2"/>
      <c r="MFS179" s="2"/>
      <c r="MFT179" s="2"/>
      <c r="MFU179" s="2"/>
      <c r="MFV179" s="2"/>
      <c r="MFW179" s="2"/>
      <c r="MFX179" s="2"/>
      <c r="MFY179" s="2"/>
      <c r="MFZ179" s="2"/>
      <c r="MGA179" s="2"/>
      <c r="MGB179" s="2"/>
      <c r="MGC179" s="2"/>
      <c r="MGD179" s="2"/>
      <c r="MGE179" s="2"/>
      <c r="MGF179" s="2"/>
      <c r="MGG179" s="2"/>
      <c r="MGH179" s="2"/>
      <c r="MGI179" s="2"/>
      <c r="MGJ179" s="2"/>
      <c r="MGK179" s="2"/>
      <c r="MGL179" s="2"/>
      <c r="MGM179" s="2"/>
      <c r="MGN179" s="2"/>
      <c r="MGO179" s="2"/>
      <c r="MGP179" s="2"/>
      <c r="MGQ179" s="2"/>
      <c r="MGR179" s="2"/>
      <c r="MGS179" s="2"/>
      <c r="MGT179" s="2"/>
      <c r="MGU179" s="2"/>
      <c r="MGV179" s="2"/>
      <c r="MGW179" s="2"/>
      <c r="MGX179" s="2"/>
      <c r="MGY179" s="2"/>
      <c r="MGZ179" s="2"/>
      <c r="MHA179" s="2"/>
      <c r="MHB179" s="2"/>
      <c r="MHC179" s="2"/>
      <c r="MHD179" s="2"/>
      <c r="MHE179" s="2"/>
      <c r="MHF179" s="2"/>
      <c r="MHG179" s="2"/>
      <c r="MHH179" s="2"/>
      <c r="MHI179" s="2"/>
      <c r="MHJ179" s="2"/>
      <c r="MHK179" s="2"/>
      <c r="MHL179" s="2"/>
      <c r="MHM179" s="2"/>
      <c r="MHN179" s="2"/>
      <c r="MHO179" s="2"/>
      <c r="MHP179" s="2"/>
      <c r="MHQ179" s="2"/>
      <c r="MHR179" s="2"/>
      <c r="MHS179" s="2"/>
      <c r="MHT179" s="2"/>
      <c r="MHU179" s="2"/>
      <c r="MHV179" s="2"/>
      <c r="MHW179" s="2"/>
      <c r="MHX179" s="2"/>
      <c r="MHY179" s="2"/>
      <c r="MHZ179" s="2"/>
      <c r="MIA179" s="2"/>
      <c r="MIB179" s="2"/>
      <c r="MIC179" s="2"/>
      <c r="MID179" s="2"/>
      <c r="MIE179" s="2"/>
      <c r="MIF179" s="2"/>
      <c r="MIG179" s="2"/>
      <c r="MIH179" s="2"/>
      <c r="MII179" s="2"/>
      <c r="MIJ179" s="2"/>
      <c r="MIK179" s="2"/>
      <c r="MIL179" s="2"/>
      <c r="MIM179" s="2"/>
      <c r="MIN179" s="2"/>
      <c r="MIO179" s="2"/>
      <c r="MIP179" s="2"/>
      <c r="MIQ179" s="2"/>
      <c r="MIR179" s="2"/>
      <c r="MIS179" s="2"/>
      <c r="MIT179" s="2"/>
      <c r="MIU179" s="2"/>
      <c r="MIV179" s="2"/>
      <c r="MIW179" s="2"/>
      <c r="MIX179" s="2"/>
      <c r="MIY179" s="2"/>
      <c r="MIZ179" s="2"/>
      <c r="MJA179" s="2"/>
      <c r="MJB179" s="2"/>
      <c r="MJC179" s="2"/>
      <c r="MJD179" s="2"/>
      <c r="MJE179" s="2"/>
      <c r="MJF179" s="2"/>
      <c r="MJG179" s="2"/>
      <c r="MJH179" s="2"/>
      <c r="MJI179" s="2"/>
      <c r="MJJ179" s="2"/>
      <c r="MJK179" s="2"/>
      <c r="MJL179" s="2"/>
      <c r="MJM179" s="2"/>
      <c r="MJN179" s="2"/>
      <c r="MJO179" s="2"/>
      <c r="MJP179" s="2"/>
      <c r="MJQ179" s="2"/>
      <c r="MJR179" s="2"/>
      <c r="MJS179" s="2"/>
      <c r="MJT179" s="2"/>
      <c r="MJU179" s="2"/>
      <c r="MJV179" s="2"/>
      <c r="MJW179" s="2"/>
      <c r="MJX179" s="2"/>
      <c r="MJY179" s="2"/>
      <c r="MJZ179" s="2"/>
      <c r="MKA179" s="2"/>
      <c r="MKB179" s="2"/>
      <c r="MKC179" s="2"/>
      <c r="MKD179" s="2"/>
      <c r="MKE179" s="2"/>
      <c r="MKF179" s="2"/>
      <c r="MKG179" s="2"/>
      <c r="MKH179" s="2"/>
      <c r="MKI179" s="2"/>
      <c r="MKJ179" s="2"/>
      <c r="MKK179" s="2"/>
      <c r="MKL179" s="2"/>
      <c r="MKM179" s="2"/>
      <c r="MKN179" s="2"/>
      <c r="MKO179" s="2"/>
      <c r="MKP179" s="2"/>
      <c r="MKQ179" s="2"/>
      <c r="MKR179" s="2"/>
      <c r="MKS179" s="2"/>
      <c r="MKT179" s="2"/>
      <c r="MKU179" s="2"/>
      <c r="MKV179" s="2"/>
      <c r="MKW179" s="2"/>
      <c r="MKX179" s="2"/>
      <c r="MKY179" s="2"/>
      <c r="MKZ179" s="2"/>
      <c r="MLA179" s="2"/>
      <c r="MLB179" s="2"/>
      <c r="MLC179" s="2"/>
      <c r="MLD179" s="2"/>
      <c r="MLE179" s="2"/>
      <c r="MLF179" s="2"/>
      <c r="MLG179" s="2"/>
      <c r="MLH179" s="2"/>
      <c r="MLI179" s="2"/>
      <c r="MLJ179" s="2"/>
      <c r="MLK179" s="2"/>
      <c r="MLL179" s="2"/>
      <c r="MLM179" s="2"/>
      <c r="MLN179" s="2"/>
      <c r="MLO179" s="2"/>
      <c r="MLP179" s="2"/>
      <c r="MLQ179" s="2"/>
      <c r="MLR179" s="2"/>
      <c r="MLS179" s="2"/>
      <c r="MLT179" s="2"/>
      <c r="MLU179" s="2"/>
      <c r="MLV179" s="2"/>
      <c r="MLW179" s="2"/>
      <c r="MLX179" s="2"/>
      <c r="MLY179" s="2"/>
      <c r="MLZ179" s="2"/>
      <c r="MMA179" s="2"/>
      <c r="MMB179" s="2"/>
      <c r="MMC179" s="2"/>
      <c r="MMD179" s="2"/>
      <c r="MME179" s="2"/>
      <c r="MMF179" s="2"/>
      <c r="MMG179" s="2"/>
      <c r="MMH179" s="2"/>
      <c r="MMI179" s="2"/>
      <c r="MMJ179" s="2"/>
      <c r="MMK179" s="2"/>
      <c r="MML179" s="2"/>
      <c r="MMM179" s="2"/>
      <c r="MMN179" s="2"/>
      <c r="MMO179" s="2"/>
      <c r="MMP179" s="2"/>
      <c r="MMQ179" s="2"/>
      <c r="MMR179" s="2"/>
      <c r="MMS179" s="2"/>
      <c r="MMT179" s="2"/>
      <c r="MMU179" s="2"/>
      <c r="MMV179" s="2"/>
      <c r="MMW179" s="2"/>
      <c r="MMX179" s="2"/>
      <c r="MMY179" s="2"/>
      <c r="MMZ179" s="2"/>
      <c r="MNA179" s="2"/>
      <c r="MNB179" s="2"/>
      <c r="MNC179" s="2"/>
      <c r="MND179" s="2"/>
      <c r="MNE179" s="2"/>
      <c r="MNF179" s="2"/>
      <c r="MNG179" s="2"/>
      <c r="MNH179" s="2"/>
      <c r="MNI179" s="2"/>
      <c r="MNJ179" s="2"/>
      <c r="MNK179" s="2"/>
      <c r="MNL179" s="2"/>
      <c r="MNM179" s="2"/>
      <c r="MNN179" s="2"/>
      <c r="MNO179" s="2"/>
      <c r="MNP179" s="2"/>
      <c r="MNQ179" s="2"/>
      <c r="MNR179" s="2"/>
      <c r="MNS179" s="2"/>
      <c r="MNT179" s="2"/>
      <c r="MNU179" s="2"/>
      <c r="MNV179" s="2"/>
      <c r="MNW179" s="2"/>
      <c r="MNX179" s="2"/>
      <c r="MNY179" s="2"/>
      <c r="MNZ179" s="2"/>
      <c r="MOA179" s="2"/>
      <c r="MOB179" s="2"/>
      <c r="MOC179" s="2"/>
      <c r="MOD179" s="2"/>
      <c r="MOE179" s="2"/>
      <c r="MOF179" s="2"/>
      <c r="MOG179" s="2"/>
      <c r="MOH179" s="2"/>
      <c r="MOI179" s="2"/>
      <c r="MOJ179" s="2"/>
      <c r="MOK179" s="2"/>
      <c r="MOL179" s="2"/>
      <c r="MOM179" s="2"/>
      <c r="MON179" s="2"/>
      <c r="MOO179" s="2"/>
      <c r="MOP179" s="2"/>
      <c r="MOQ179" s="2"/>
      <c r="MOR179" s="2"/>
      <c r="MOS179" s="2"/>
      <c r="MOT179" s="2"/>
      <c r="MOU179" s="2"/>
      <c r="MOV179" s="2"/>
      <c r="MOW179" s="2"/>
      <c r="MOX179" s="2"/>
      <c r="MOY179" s="2"/>
      <c r="MOZ179" s="2"/>
      <c r="MPA179" s="2"/>
      <c r="MPB179" s="2"/>
      <c r="MPC179" s="2"/>
      <c r="MPD179" s="2"/>
      <c r="MPE179" s="2"/>
      <c r="MPF179" s="2"/>
      <c r="MPG179" s="2"/>
      <c r="MPH179" s="2"/>
      <c r="MPI179" s="2"/>
      <c r="MPJ179" s="2"/>
      <c r="MPK179" s="2"/>
      <c r="MPL179" s="2"/>
      <c r="MPM179" s="2"/>
      <c r="MPN179" s="2"/>
      <c r="MPO179" s="2"/>
      <c r="MPP179" s="2"/>
      <c r="MPQ179" s="2"/>
      <c r="MPR179" s="2"/>
      <c r="MPS179" s="2"/>
      <c r="MPT179" s="2"/>
      <c r="MPU179" s="2"/>
      <c r="MPV179" s="2"/>
      <c r="MPW179" s="2"/>
      <c r="MPX179" s="2"/>
      <c r="MPY179" s="2"/>
      <c r="MPZ179" s="2"/>
      <c r="MQA179" s="2"/>
      <c r="MQB179" s="2"/>
      <c r="MQC179" s="2"/>
      <c r="MQD179" s="2"/>
      <c r="MQE179" s="2"/>
      <c r="MQF179" s="2"/>
      <c r="MQG179" s="2"/>
      <c r="MQH179" s="2"/>
      <c r="MQI179" s="2"/>
      <c r="MQJ179" s="2"/>
      <c r="MQK179" s="2"/>
      <c r="MQL179" s="2"/>
      <c r="MQM179" s="2"/>
      <c r="MQN179" s="2"/>
      <c r="MQO179" s="2"/>
      <c r="MQP179" s="2"/>
      <c r="MQQ179" s="2"/>
      <c r="MQR179" s="2"/>
      <c r="MQS179" s="2"/>
      <c r="MQT179" s="2"/>
      <c r="MQU179" s="2"/>
      <c r="MQV179" s="2"/>
      <c r="MQW179" s="2"/>
      <c r="MQX179" s="2"/>
      <c r="MQY179" s="2"/>
      <c r="MQZ179" s="2"/>
      <c r="MRA179" s="2"/>
      <c r="MRB179" s="2"/>
      <c r="MRC179" s="2"/>
      <c r="MRD179" s="2"/>
      <c r="MRE179" s="2"/>
      <c r="MRF179" s="2"/>
      <c r="MRG179" s="2"/>
      <c r="MRH179" s="2"/>
      <c r="MRI179" s="2"/>
      <c r="MRJ179" s="2"/>
      <c r="MRK179" s="2"/>
      <c r="MRL179" s="2"/>
      <c r="MRM179" s="2"/>
      <c r="MRN179" s="2"/>
      <c r="MRO179" s="2"/>
      <c r="MRP179" s="2"/>
      <c r="MRQ179" s="2"/>
      <c r="MRR179" s="2"/>
      <c r="MRS179" s="2"/>
      <c r="MRT179" s="2"/>
      <c r="MRU179" s="2"/>
      <c r="MRV179" s="2"/>
      <c r="MRW179" s="2"/>
      <c r="MRX179" s="2"/>
      <c r="MRY179" s="2"/>
      <c r="MRZ179" s="2"/>
      <c r="MSA179" s="2"/>
      <c r="MSB179" s="2"/>
      <c r="MSC179" s="2"/>
      <c r="MSD179" s="2"/>
      <c r="MSE179" s="2"/>
      <c r="MSF179" s="2"/>
      <c r="MSG179" s="2"/>
      <c r="MSH179" s="2"/>
      <c r="MSI179" s="2"/>
      <c r="MSJ179" s="2"/>
      <c r="MSK179" s="2"/>
      <c r="MSL179" s="2"/>
      <c r="MSM179" s="2"/>
      <c r="MSN179" s="2"/>
      <c r="MSO179" s="2"/>
      <c r="MSP179" s="2"/>
      <c r="MSQ179" s="2"/>
      <c r="MSR179" s="2"/>
      <c r="MSS179" s="2"/>
      <c r="MST179" s="2"/>
      <c r="MSU179" s="2"/>
      <c r="MSV179" s="2"/>
      <c r="MSW179" s="2"/>
      <c r="MSX179" s="2"/>
      <c r="MSY179" s="2"/>
      <c r="MSZ179" s="2"/>
      <c r="MTA179" s="2"/>
      <c r="MTB179" s="2"/>
      <c r="MTC179" s="2"/>
      <c r="MTD179" s="2"/>
      <c r="MTE179" s="2"/>
      <c r="MTF179" s="2"/>
      <c r="MTG179" s="2"/>
      <c r="MTH179" s="2"/>
      <c r="MTI179" s="2"/>
      <c r="MTJ179" s="2"/>
      <c r="MTK179" s="2"/>
      <c r="MTL179" s="2"/>
      <c r="MTM179" s="2"/>
      <c r="MTN179" s="2"/>
      <c r="MTO179" s="2"/>
      <c r="MTP179" s="2"/>
      <c r="MTQ179" s="2"/>
      <c r="MTR179" s="2"/>
      <c r="MTS179" s="2"/>
      <c r="MTT179" s="2"/>
      <c r="MTU179" s="2"/>
      <c r="MTV179" s="2"/>
      <c r="MTW179" s="2"/>
      <c r="MTX179" s="2"/>
      <c r="MTY179" s="2"/>
      <c r="MTZ179" s="2"/>
      <c r="MUA179" s="2"/>
      <c r="MUB179" s="2"/>
      <c r="MUC179" s="2"/>
      <c r="MUD179" s="2"/>
      <c r="MUE179" s="2"/>
      <c r="MUF179" s="2"/>
      <c r="MUG179" s="2"/>
      <c r="MUH179" s="2"/>
      <c r="MUI179" s="2"/>
      <c r="MUJ179" s="2"/>
      <c r="MUK179" s="2"/>
      <c r="MUL179" s="2"/>
      <c r="MUM179" s="2"/>
      <c r="MUN179" s="2"/>
      <c r="MUO179" s="2"/>
      <c r="MUP179" s="2"/>
      <c r="MUQ179" s="2"/>
      <c r="MUR179" s="2"/>
      <c r="MUS179" s="2"/>
      <c r="MUT179" s="2"/>
      <c r="MUU179" s="2"/>
      <c r="MUV179" s="2"/>
      <c r="MUW179" s="2"/>
      <c r="MUX179" s="2"/>
      <c r="MUY179" s="2"/>
      <c r="MUZ179" s="2"/>
      <c r="MVA179" s="2"/>
      <c r="MVB179" s="2"/>
      <c r="MVC179" s="2"/>
      <c r="MVD179" s="2"/>
      <c r="MVE179" s="2"/>
      <c r="MVF179" s="2"/>
      <c r="MVG179" s="2"/>
      <c r="MVH179" s="2"/>
      <c r="MVI179" s="2"/>
      <c r="MVJ179" s="2"/>
      <c r="MVK179" s="2"/>
      <c r="MVL179" s="2"/>
      <c r="MVM179" s="2"/>
      <c r="MVN179" s="2"/>
      <c r="MVO179" s="2"/>
      <c r="MVP179" s="2"/>
      <c r="MVQ179" s="2"/>
      <c r="MVR179" s="2"/>
      <c r="MVS179" s="2"/>
      <c r="MVT179" s="2"/>
      <c r="MVU179" s="2"/>
      <c r="MVV179" s="2"/>
      <c r="MVW179" s="2"/>
      <c r="MVX179" s="2"/>
      <c r="MVY179" s="2"/>
      <c r="MVZ179" s="2"/>
      <c r="MWA179" s="2"/>
      <c r="MWB179" s="2"/>
      <c r="MWC179" s="2"/>
      <c r="MWD179" s="2"/>
      <c r="MWE179" s="2"/>
      <c r="MWF179" s="2"/>
      <c r="MWG179" s="2"/>
      <c r="MWH179" s="2"/>
      <c r="MWI179" s="2"/>
      <c r="MWJ179" s="2"/>
      <c r="MWK179" s="2"/>
      <c r="MWL179" s="2"/>
      <c r="MWM179" s="2"/>
      <c r="MWN179" s="2"/>
      <c r="MWO179" s="2"/>
      <c r="MWP179" s="2"/>
      <c r="MWQ179" s="2"/>
      <c r="MWR179" s="2"/>
      <c r="MWS179" s="2"/>
      <c r="MWT179" s="2"/>
      <c r="MWU179" s="2"/>
      <c r="MWV179" s="2"/>
      <c r="MWW179" s="2"/>
      <c r="MWX179" s="2"/>
      <c r="MWY179" s="2"/>
      <c r="MWZ179" s="2"/>
      <c r="MXA179" s="2"/>
      <c r="MXB179" s="2"/>
      <c r="MXC179" s="2"/>
      <c r="MXD179" s="2"/>
      <c r="MXE179" s="2"/>
      <c r="MXF179" s="2"/>
      <c r="MXG179" s="2"/>
      <c r="MXH179" s="2"/>
      <c r="MXI179" s="2"/>
      <c r="MXJ179" s="2"/>
      <c r="MXK179" s="2"/>
      <c r="MXL179" s="2"/>
      <c r="MXM179" s="2"/>
      <c r="MXN179" s="2"/>
      <c r="MXO179" s="2"/>
      <c r="MXP179" s="2"/>
      <c r="MXQ179" s="2"/>
      <c r="MXR179" s="2"/>
      <c r="MXS179" s="2"/>
      <c r="MXT179" s="2"/>
      <c r="MXU179" s="2"/>
      <c r="MXV179" s="2"/>
      <c r="MXW179" s="2"/>
      <c r="MXX179" s="2"/>
      <c r="MXY179" s="2"/>
      <c r="MXZ179" s="2"/>
      <c r="MYA179" s="2"/>
      <c r="MYB179" s="2"/>
      <c r="MYC179" s="2"/>
      <c r="MYD179" s="2"/>
      <c r="MYE179" s="2"/>
      <c r="MYF179" s="2"/>
      <c r="MYG179" s="2"/>
      <c r="MYH179" s="2"/>
      <c r="MYI179" s="2"/>
      <c r="MYJ179" s="2"/>
      <c r="MYK179" s="2"/>
      <c r="MYL179" s="2"/>
      <c r="MYM179" s="2"/>
      <c r="MYN179" s="2"/>
      <c r="MYO179" s="2"/>
      <c r="MYP179" s="2"/>
      <c r="MYQ179" s="2"/>
      <c r="MYR179" s="2"/>
      <c r="MYS179" s="2"/>
      <c r="MYT179" s="2"/>
      <c r="MYU179" s="2"/>
      <c r="MYV179" s="2"/>
      <c r="MYW179" s="2"/>
      <c r="MYX179" s="2"/>
      <c r="MYY179" s="2"/>
      <c r="MYZ179" s="2"/>
      <c r="MZA179" s="2"/>
      <c r="MZB179" s="2"/>
      <c r="MZC179" s="2"/>
      <c r="MZD179" s="2"/>
      <c r="MZE179" s="2"/>
      <c r="MZF179" s="2"/>
      <c r="MZG179" s="2"/>
      <c r="MZH179" s="2"/>
      <c r="MZI179" s="2"/>
      <c r="MZJ179" s="2"/>
      <c r="MZK179" s="2"/>
      <c r="MZL179" s="2"/>
      <c r="MZM179" s="2"/>
      <c r="MZN179" s="2"/>
      <c r="MZO179" s="2"/>
      <c r="MZP179" s="2"/>
      <c r="MZQ179" s="2"/>
      <c r="MZR179" s="2"/>
      <c r="MZS179" s="2"/>
      <c r="MZT179" s="2"/>
      <c r="MZU179" s="2"/>
      <c r="MZV179" s="2"/>
      <c r="MZW179" s="2"/>
      <c r="MZX179" s="2"/>
      <c r="MZY179" s="2"/>
      <c r="MZZ179" s="2"/>
      <c r="NAA179" s="2"/>
      <c r="NAB179" s="2"/>
      <c r="NAC179" s="2"/>
      <c r="NAD179" s="2"/>
      <c r="NAE179" s="2"/>
      <c r="NAF179" s="2"/>
      <c r="NAG179" s="2"/>
      <c r="NAH179" s="2"/>
      <c r="NAI179" s="2"/>
      <c r="NAJ179" s="2"/>
      <c r="NAK179" s="2"/>
      <c r="NAL179" s="2"/>
      <c r="NAM179" s="2"/>
      <c r="NAN179" s="2"/>
      <c r="NAO179" s="2"/>
      <c r="NAP179" s="2"/>
      <c r="NAQ179" s="2"/>
      <c r="NAR179" s="2"/>
      <c r="NAS179" s="2"/>
      <c r="NAT179" s="2"/>
      <c r="NAU179" s="2"/>
      <c r="NAV179" s="2"/>
      <c r="NAW179" s="2"/>
      <c r="NAX179" s="2"/>
      <c r="NAY179" s="2"/>
      <c r="NAZ179" s="2"/>
      <c r="NBA179" s="2"/>
      <c r="NBB179" s="2"/>
      <c r="NBC179" s="2"/>
      <c r="NBD179" s="2"/>
      <c r="NBE179" s="2"/>
      <c r="NBF179" s="2"/>
      <c r="NBG179" s="2"/>
      <c r="NBH179" s="2"/>
      <c r="NBI179" s="2"/>
      <c r="NBJ179" s="2"/>
      <c r="NBK179" s="2"/>
      <c r="NBL179" s="2"/>
      <c r="NBM179" s="2"/>
      <c r="NBN179" s="2"/>
      <c r="NBO179" s="2"/>
      <c r="NBP179" s="2"/>
      <c r="NBQ179" s="2"/>
      <c r="NBR179" s="2"/>
      <c r="NBS179" s="2"/>
      <c r="NBT179" s="2"/>
      <c r="NBU179" s="2"/>
      <c r="NBV179" s="2"/>
      <c r="NBW179" s="2"/>
      <c r="NBX179" s="2"/>
      <c r="NBY179" s="2"/>
      <c r="NBZ179" s="2"/>
      <c r="NCA179" s="2"/>
      <c r="NCB179" s="2"/>
      <c r="NCC179" s="2"/>
      <c r="NCD179" s="2"/>
      <c r="NCE179" s="2"/>
      <c r="NCF179" s="2"/>
      <c r="NCG179" s="2"/>
      <c r="NCH179" s="2"/>
      <c r="NCI179" s="2"/>
      <c r="NCJ179" s="2"/>
      <c r="NCK179" s="2"/>
      <c r="NCL179" s="2"/>
      <c r="NCM179" s="2"/>
      <c r="NCN179" s="2"/>
      <c r="NCO179" s="2"/>
      <c r="NCP179" s="2"/>
      <c r="NCQ179" s="2"/>
      <c r="NCR179" s="2"/>
      <c r="NCS179" s="2"/>
      <c r="NCT179" s="2"/>
      <c r="NCU179" s="2"/>
      <c r="NCV179" s="2"/>
      <c r="NCW179" s="2"/>
      <c r="NCX179" s="2"/>
      <c r="NCY179" s="2"/>
      <c r="NCZ179" s="2"/>
      <c r="NDA179" s="2"/>
      <c r="NDB179" s="2"/>
      <c r="NDC179" s="2"/>
      <c r="NDD179" s="2"/>
      <c r="NDE179" s="2"/>
      <c r="NDF179" s="2"/>
      <c r="NDG179" s="2"/>
      <c r="NDH179" s="2"/>
      <c r="NDI179" s="2"/>
      <c r="NDJ179" s="2"/>
      <c r="NDK179" s="2"/>
      <c r="NDL179" s="2"/>
      <c r="NDM179" s="2"/>
      <c r="NDN179" s="2"/>
      <c r="NDO179" s="2"/>
      <c r="NDP179" s="2"/>
      <c r="NDQ179" s="2"/>
      <c r="NDR179" s="2"/>
      <c r="NDS179" s="2"/>
      <c r="NDT179" s="2"/>
      <c r="NDU179" s="2"/>
      <c r="NDV179" s="2"/>
      <c r="NDW179" s="2"/>
      <c r="NDX179" s="2"/>
      <c r="NDY179" s="2"/>
      <c r="NDZ179" s="2"/>
      <c r="NEA179" s="2"/>
      <c r="NEB179" s="2"/>
      <c r="NEC179" s="2"/>
      <c r="NED179" s="2"/>
      <c r="NEE179" s="2"/>
      <c r="NEF179" s="2"/>
      <c r="NEG179" s="2"/>
      <c r="NEH179" s="2"/>
      <c r="NEI179" s="2"/>
      <c r="NEJ179" s="2"/>
      <c r="NEK179" s="2"/>
      <c r="NEL179" s="2"/>
      <c r="NEM179" s="2"/>
      <c r="NEN179" s="2"/>
      <c r="NEO179" s="2"/>
      <c r="NEP179" s="2"/>
      <c r="NEQ179" s="2"/>
      <c r="NER179" s="2"/>
      <c r="NES179" s="2"/>
      <c r="NET179" s="2"/>
      <c r="NEU179" s="2"/>
      <c r="NEV179" s="2"/>
      <c r="NEW179" s="2"/>
      <c r="NEX179" s="2"/>
      <c r="NEY179" s="2"/>
      <c r="NEZ179" s="2"/>
      <c r="NFA179" s="2"/>
      <c r="NFB179" s="2"/>
      <c r="NFC179" s="2"/>
      <c r="NFD179" s="2"/>
      <c r="NFE179" s="2"/>
      <c r="NFF179" s="2"/>
      <c r="NFG179" s="2"/>
      <c r="NFH179" s="2"/>
      <c r="NFI179" s="2"/>
      <c r="NFJ179" s="2"/>
      <c r="NFK179" s="2"/>
      <c r="NFL179" s="2"/>
      <c r="NFM179" s="2"/>
      <c r="NFN179" s="2"/>
      <c r="NFO179" s="2"/>
      <c r="NFP179" s="2"/>
      <c r="NFQ179" s="2"/>
      <c r="NFR179" s="2"/>
      <c r="NFS179" s="2"/>
      <c r="NFT179" s="2"/>
      <c r="NFU179" s="2"/>
      <c r="NFV179" s="2"/>
      <c r="NFW179" s="2"/>
      <c r="NFX179" s="2"/>
      <c r="NFY179" s="2"/>
      <c r="NFZ179" s="2"/>
      <c r="NGA179" s="2"/>
      <c r="NGB179" s="2"/>
      <c r="NGC179" s="2"/>
      <c r="NGD179" s="2"/>
      <c r="NGE179" s="2"/>
      <c r="NGF179" s="2"/>
      <c r="NGG179" s="2"/>
      <c r="NGH179" s="2"/>
      <c r="NGI179" s="2"/>
      <c r="NGJ179" s="2"/>
      <c r="NGK179" s="2"/>
      <c r="NGL179" s="2"/>
      <c r="NGM179" s="2"/>
      <c r="NGN179" s="2"/>
      <c r="NGO179" s="2"/>
      <c r="NGP179" s="2"/>
      <c r="NGQ179" s="2"/>
      <c r="NGR179" s="2"/>
      <c r="NGS179" s="2"/>
      <c r="NGT179" s="2"/>
      <c r="NGU179" s="2"/>
      <c r="NGV179" s="2"/>
      <c r="NGW179" s="2"/>
      <c r="NGX179" s="2"/>
      <c r="NGY179" s="2"/>
      <c r="NGZ179" s="2"/>
      <c r="NHA179" s="2"/>
      <c r="NHB179" s="2"/>
      <c r="NHC179" s="2"/>
      <c r="NHD179" s="2"/>
      <c r="NHE179" s="2"/>
      <c r="NHF179" s="2"/>
      <c r="NHG179" s="2"/>
      <c r="NHH179" s="2"/>
      <c r="NHI179" s="2"/>
      <c r="NHJ179" s="2"/>
      <c r="NHK179" s="2"/>
      <c r="NHL179" s="2"/>
      <c r="NHM179" s="2"/>
      <c r="NHN179" s="2"/>
      <c r="NHO179" s="2"/>
      <c r="NHP179" s="2"/>
      <c r="NHQ179" s="2"/>
      <c r="NHR179" s="2"/>
      <c r="NHS179" s="2"/>
      <c r="NHT179" s="2"/>
      <c r="NHU179" s="2"/>
      <c r="NHV179" s="2"/>
      <c r="NHW179" s="2"/>
      <c r="NHX179" s="2"/>
      <c r="NHY179" s="2"/>
      <c r="NHZ179" s="2"/>
      <c r="NIA179" s="2"/>
      <c r="NIB179" s="2"/>
      <c r="NIC179" s="2"/>
      <c r="NID179" s="2"/>
      <c r="NIE179" s="2"/>
      <c r="NIF179" s="2"/>
      <c r="NIG179" s="2"/>
      <c r="NIH179" s="2"/>
      <c r="NII179" s="2"/>
      <c r="NIJ179" s="2"/>
      <c r="NIK179" s="2"/>
      <c r="NIL179" s="2"/>
      <c r="NIM179" s="2"/>
      <c r="NIN179" s="2"/>
      <c r="NIO179" s="2"/>
      <c r="NIP179" s="2"/>
      <c r="NIQ179" s="2"/>
      <c r="NIR179" s="2"/>
      <c r="NIS179" s="2"/>
      <c r="NIT179" s="2"/>
      <c r="NIU179" s="2"/>
      <c r="NIV179" s="2"/>
      <c r="NIW179" s="2"/>
      <c r="NIX179" s="2"/>
      <c r="NIY179" s="2"/>
      <c r="NIZ179" s="2"/>
      <c r="NJA179" s="2"/>
      <c r="NJB179" s="2"/>
      <c r="NJC179" s="2"/>
      <c r="NJD179" s="2"/>
      <c r="NJE179" s="2"/>
      <c r="NJF179" s="2"/>
      <c r="NJG179" s="2"/>
      <c r="NJH179" s="2"/>
      <c r="NJI179" s="2"/>
      <c r="NJJ179" s="2"/>
      <c r="NJK179" s="2"/>
      <c r="NJL179" s="2"/>
      <c r="NJM179" s="2"/>
      <c r="NJN179" s="2"/>
      <c r="NJO179" s="2"/>
      <c r="NJP179" s="2"/>
      <c r="NJQ179" s="2"/>
      <c r="NJR179" s="2"/>
      <c r="NJS179" s="2"/>
      <c r="NJT179" s="2"/>
      <c r="NJU179" s="2"/>
      <c r="NJV179" s="2"/>
      <c r="NJW179" s="2"/>
      <c r="NJX179" s="2"/>
      <c r="NJY179" s="2"/>
      <c r="NJZ179" s="2"/>
      <c r="NKA179" s="2"/>
      <c r="NKB179" s="2"/>
      <c r="NKC179" s="2"/>
      <c r="NKD179" s="2"/>
      <c r="NKE179" s="2"/>
      <c r="NKF179" s="2"/>
      <c r="NKG179" s="2"/>
      <c r="NKH179" s="2"/>
      <c r="NKI179" s="2"/>
      <c r="NKJ179" s="2"/>
      <c r="NKK179" s="2"/>
      <c r="NKL179" s="2"/>
      <c r="NKM179" s="2"/>
      <c r="NKN179" s="2"/>
      <c r="NKO179" s="2"/>
      <c r="NKP179" s="2"/>
      <c r="NKQ179" s="2"/>
      <c r="NKR179" s="2"/>
      <c r="NKS179" s="2"/>
      <c r="NKT179" s="2"/>
      <c r="NKU179" s="2"/>
      <c r="NKV179" s="2"/>
      <c r="NKW179" s="2"/>
      <c r="NKX179" s="2"/>
      <c r="NKY179" s="2"/>
      <c r="NKZ179" s="2"/>
      <c r="NLA179" s="2"/>
      <c r="NLB179" s="2"/>
      <c r="NLC179" s="2"/>
      <c r="NLD179" s="2"/>
      <c r="NLE179" s="2"/>
      <c r="NLF179" s="2"/>
      <c r="NLG179" s="2"/>
      <c r="NLH179" s="2"/>
      <c r="NLI179" s="2"/>
      <c r="NLJ179" s="2"/>
      <c r="NLK179" s="2"/>
      <c r="NLL179" s="2"/>
      <c r="NLM179" s="2"/>
      <c r="NLN179" s="2"/>
      <c r="NLO179" s="2"/>
      <c r="NLP179" s="2"/>
      <c r="NLQ179" s="2"/>
      <c r="NLR179" s="2"/>
      <c r="NLS179" s="2"/>
      <c r="NLT179" s="2"/>
      <c r="NLU179" s="2"/>
      <c r="NLV179" s="2"/>
      <c r="NLW179" s="2"/>
      <c r="NLX179" s="2"/>
      <c r="NLY179" s="2"/>
      <c r="NLZ179" s="2"/>
      <c r="NMA179" s="2"/>
      <c r="NMB179" s="2"/>
      <c r="NMC179" s="2"/>
      <c r="NMD179" s="2"/>
      <c r="NME179" s="2"/>
      <c r="NMF179" s="2"/>
      <c r="NMG179" s="2"/>
      <c r="NMH179" s="2"/>
      <c r="NMI179" s="2"/>
      <c r="NMJ179" s="2"/>
      <c r="NMK179" s="2"/>
      <c r="NML179" s="2"/>
      <c r="NMM179" s="2"/>
      <c r="NMN179" s="2"/>
      <c r="NMO179" s="2"/>
      <c r="NMP179" s="2"/>
      <c r="NMQ179" s="2"/>
      <c r="NMR179" s="2"/>
      <c r="NMS179" s="2"/>
      <c r="NMT179" s="2"/>
      <c r="NMU179" s="2"/>
      <c r="NMV179" s="2"/>
      <c r="NMW179" s="2"/>
      <c r="NMX179" s="2"/>
      <c r="NMY179" s="2"/>
      <c r="NMZ179" s="2"/>
      <c r="NNA179" s="2"/>
      <c r="NNB179" s="2"/>
      <c r="NNC179" s="2"/>
      <c r="NND179" s="2"/>
      <c r="NNE179" s="2"/>
      <c r="NNF179" s="2"/>
      <c r="NNG179" s="2"/>
      <c r="NNH179" s="2"/>
      <c r="NNI179" s="2"/>
      <c r="NNJ179" s="2"/>
      <c r="NNK179" s="2"/>
      <c r="NNL179" s="2"/>
      <c r="NNM179" s="2"/>
      <c r="NNN179" s="2"/>
      <c r="NNO179" s="2"/>
      <c r="NNP179" s="2"/>
      <c r="NNQ179" s="2"/>
      <c r="NNR179" s="2"/>
      <c r="NNS179" s="2"/>
      <c r="NNT179" s="2"/>
      <c r="NNU179" s="2"/>
      <c r="NNV179" s="2"/>
      <c r="NNW179" s="2"/>
      <c r="NNX179" s="2"/>
      <c r="NNY179" s="2"/>
      <c r="NNZ179" s="2"/>
      <c r="NOA179" s="2"/>
      <c r="NOB179" s="2"/>
      <c r="NOC179" s="2"/>
      <c r="NOD179" s="2"/>
      <c r="NOE179" s="2"/>
      <c r="NOF179" s="2"/>
      <c r="NOG179" s="2"/>
      <c r="NOH179" s="2"/>
      <c r="NOI179" s="2"/>
      <c r="NOJ179" s="2"/>
      <c r="NOK179" s="2"/>
      <c r="NOL179" s="2"/>
      <c r="NOM179" s="2"/>
      <c r="NON179" s="2"/>
      <c r="NOO179" s="2"/>
      <c r="NOP179" s="2"/>
      <c r="NOQ179" s="2"/>
      <c r="NOR179" s="2"/>
      <c r="NOS179" s="2"/>
      <c r="NOT179" s="2"/>
      <c r="NOU179" s="2"/>
      <c r="NOV179" s="2"/>
      <c r="NOW179" s="2"/>
      <c r="NOX179" s="2"/>
      <c r="NOY179" s="2"/>
      <c r="NOZ179" s="2"/>
      <c r="NPA179" s="2"/>
      <c r="NPB179" s="2"/>
      <c r="NPC179" s="2"/>
      <c r="NPD179" s="2"/>
      <c r="NPE179" s="2"/>
      <c r="NPF179" s="2"/>
      <c r="NPG179" s="2"/>
      <c r="NPH179" s="2"/>
      <c r="NPI179" s="2"/>
      <c r="NPJ179" s="2"/>
      <c r="NPK179" s="2"/>
      <c r="NPL179" s="2"/>
      <c r="NPM179" s="2"/>
      <c r="NPN179" s="2"/>
      <c r="NPO179" s="2"/>
      <c r="NPP179" s="2"/>
      <c r="NPQ179" s="2"/>
      <c r="NPR179" s="2"/>
      <c r="NPS179" s="2"/>
      <c r="NPT179" s="2"/>
      <c r="NPU179" s="2"/>
      <c r="NPV179" s="2"/>
      <c r="NPW179" s="2"/>
      <c r="NPX179" s="2"/>
      <c r="NPY179" s="2"/>
      <c r="NPZ179" s="2"/>
      <c r="NQA179" s="2"/>
      <c r="NQB179" s="2"/>
      <c r="NQC179" s="2"/>
      <c r="NQD179" s="2"/>
      <c r="NQE179" s="2"/>
      <c r="NQF179" s="2"/>
      <c r="NQG179" s="2"/>
      <c r="NQH179" s="2"/>
      <c r="NQI179" s="2"/>
      <c r="NQJ179" s="2"/>
      <c r="NQK179" s="2"/>
      <c r="NQL179" s="2"/>
      <c r="NQM179" s="2"/>
      <c r="NQN179" s="2"/>
      <c r="NQO179" s="2"/>
      <c r="NQP179" s="2"/>
      <c r="NQQ179" s="2"/>
      <c r="NQR179" s="2"/>
      <c r="NQS179" s="2"/>
      <c r="NQT179" s="2"/>
      <c r="NQU179" s="2"/>
      <c r="NQV179" s="2"/>
      <c r="NQW179" s="2"/>
      <c r="NQX179" s="2"/>
      <c r="NQY179" s="2"/>
      <c r="NQZ179" s="2"/>
      <c r="NRA179" s="2"/>
      <c r="NRB179" s="2"/>
      <c r="NRC179" s="2"/>
      <c r="NRD179" s="2"/>
      <c r="NRE179" s="2"/>
      <c r="NRF179" s="2"/>
      <c r="NRG179" s="2"/>
      <c r="NRH179" s="2"/>
      <c r="NRI179" s="2"/>
      <c r="NRJ179" s="2"/>
      <c r="NRK179" s="2"/>
      <c r="NRL179" s="2"/>
      <c r="NRM179" s="2"/>
      <c r="NRN179" s="2"/>
      <c r="NRO179" s="2"/>
      <c r="NRP179" s="2"/>
      <c r="NRQ179" s="2"/>
      <c r="NRR179" s="2"/>
      <c r="NRS179" s="2"/>
      <c r="NRT179" s="2"/>
      <c r="NRU179" s="2"/>
      <c r="NRV179" s="2"/>
      <c r="NRW179" s="2"/>
      <c r="NRX179" s="2"/>
      <c r="NRY179" s="2"/>
      <c r="NRZ179" s="2"/>
      <c r="NSA179" s="2"/>
      <c r="NSB179" s="2"/>
      <c r="NSC179" s="2"/>
      <c r="NSD179" s="2"/>
      <c r="NSE179" s="2"/>
      <c r="NSF179" s="2"/>
      <c r="NSG179" s="2"/>
      <c r="NSH179" s="2"/>
      <c r="NSI179" s="2"/>
      <c r="NSJ179" s="2"/>
      <c r="NSK179" s="2"/>
      <c r="NSL179" s="2"/>
      <c r="NSM179" s="2"/>
      <c r="NSN179" s="2"/>
      <c r="NSO179" s="2"/>
      <c r="NSP179" s="2"/>
      <c r="NSQ179" s="2"/>
      <c r="NSR179" s="2"/>
      <c r="NSS179" s="2"/>
      <c r="NST179" s="2"/>
      <c r="NSU179" s="2"/>
      <c r="NSV179" s="2"/>
      <c r="NSW179" s="2"/>
      <c r="NSX179" s="2"/>
      <c r="NSY179" s="2"/>
      <c r="NSZ179" s="2"/>
      <c r="NTA179" s="2"/>
      <c r="NTB179" s="2"/>
      <c r="NTC179" s="2"/>
      <c r="NTD179" s="2"/>
      <c r="NTE179" s="2"/>
      <c r="NTF179" s="2"/>
      <c r="NTG179" s="2"/>
      <c r="NTH179" s="2"/>
      <c r="NTI179" s="2"/>
      <c r="NTJ179" s="2"/>
      <c r="NTK179" s="2"/>
      <c r="NTL179" s="2"/>
      <c r="NTM179" s="2"/>
      <c r="NTN179" s="2"/>
      <c r="NTO179" s="2"/>
      <c r="NTP179" s="2"/>
      <c r="NTQ179" s="2"/>
      <c r="NTR179" s="2"/>
      <c r="NTS179" s="2"/>
      <c r="NTT179" s="2"/>
      <c r="NTU179" s="2"/>
      <c r="NTV179" s="2"/>
      <c r="NTW179" s="2"/>
      <c r="NTX179" s="2"/>
      <c r="NTY179" s="2"/>
      <c r="NTZ179" s="2"/>
      <c r="NUA179" s="2"/>
      <c r="NUB179" s="2"/>
      <c r="NUC179" s="2"/>
      <c r="NUD179" s="2"/>
      <c r="NUE179" s="2"/>
      <c r="NUF179" s="2"/>
      <c r="NUG179" s="2"/>
      <c r="NUH179" s="2"/>
      <c r="NUI179" s="2"/>
      <c r="NUJ179" s="2"/>
      <c r="NUK179" s="2"/>
      <c r="NUL179" s="2"/>
      <c r="NUM179" s="2"/>
      <c r="NUN179" s="2"/>
      <c r="NUO179" s="2"/>
      <c r="NUP179" s="2"/>
      <c r="NUQ179" s="2"/>
      <c r="NUR179" s="2"/>
      <c r="NUS179" s="2"/>
      <c r="NUT179" s="2"/>
      <c r="NUU179" s="2"/>
      <c r="NUV179" s="2"/>
      <c r="NUW179" s="2"/>
      <c r="NUX179" s="2"/>
      <c r="NUY179" s="2"/>
      <c r="NUZ179" s="2"/>
      <c r="NVA179" s="2"/>
      <c r="NVB179" s="2"/>
      <c r="NVC179" s="2"/>
      <c r="NVD179" s="2"/>
      <c r="NVE179" s="2"/>
      <c r="NVF179" s="2"/>
      <c r="NVG179" s="2"/>
      <c r="NVH179" s="2"/>
      <c r="NVI179" s="2"/>
      <c r="NVJ179" s="2"/>
      <c r="NVK179" s="2"/>
      <c r="NVL179" s="2"/>
      <c r="NVM179" s="2"/>
      <c r="NVN179" s="2"/>
      <c r="NVO179" s="2"/>
      <c r="NVP179" s="2"/>
      <c r="NVQ179" s="2"/>
      <c r="NVR179" s="2"/>
      <c r="NVS179" s="2"/>
      <c r="NVT179" s="2"/>
      <c r="NVU179" s="2"/>
      <c r="NVV179" s="2"/>
      <c r="NVW179" s="2"/>
      <c r="NVX179" s="2"/>
      <c r="NVY179" s="2"/>
      <c r="NVZ179" s="2"/>
      <c r="NWA179" s="2"/>
      <c r="NWB179" s="2"/>
      <c r="NWC179" s="2"/>
      <c r="NWD179" s="2"/>
      <c r="NWE179" s="2"/>
      <c r="NWF179" s="2"/>
      <c r="NWG179" s="2"/>
      <c r="NWH179" s="2"/>
      <c r="NWI179" s="2"/>
      <c r="NWJ179" s="2"/>
      <c r="NWK179" s="2"/>
      <c r="NWL179" s="2"/>
      <c r="NWM179" s="2"/>
      <c r="NWN179" s="2"/>
      <c r="NWO179" s="2"/>
      <c r="NWP179" s="2"/>
      <c r="NWQ179" s="2"/>
      <c r="NWR179" s="2"/>
      <c r="NWS179" s="2"/>
      <c r="NWT179" s="2"/>
      <c r="NWU179" s="2"/>
      <c r="NWV179" s="2"/>
      <c r="NWW179" s="2"/>
      <c r="NWX179" s="2"/>
      <c r="NWY179" s="2"/>
      <c r="NWZ179" s="2"/>
      <c r="NXA179" s="2"/>
      <c r="NXB179" s="2"/>
      <c r="NXC179" s="2"/>
      <c r="NXD179" s="2"/>
      <c r="NXE179" s="2"/>
      <c r="NXF179" s="2"/>
      <c r="NXG179" s="2"/>
      <c r="NXH179" s="2"/>
      <c r="NXI179" s="2"/>
      <c r="NXJ179" s="2"/>
      <c r="NXK179" s="2"/>
      <c r="NXL179" s="2"/>
      <c r="NXM179" s="2"/>
      <c r="NXN179" s="2"/>
      <c r="NXO179" s="2"/>
      <c r="NXP179" s="2"/>
      <c r="NXQ179" s="2"/>
      <c r="NXR179" s="2"/>
      <c r="NXS179" s="2"/>
      <c r="NXT179" s="2"/>
      <c r="NXU179" s="2"/>
      <c r="NXV179" s="2"/>
      <c r="NXW179" s="2"/>
      <c r="NXX179" s="2"/>
      <c r="NXY179" s="2"/>
      <c r="NXZ179" s="2"/>
      <c r="NYA179" s="2"/>
      <c r="NYB179" s="2"/>
      <c r="NYC179" s="2"/>
      <c r="NYD179" s="2"/>
      <c r="NYE179" s="2"/>
      <c r="NYF179" s="2"/>
      <c r="NYG179" s="2"/>
      <c r="NYH179" s="2"/>
      <c r="NYI179" s="2"/>
      <c r="NYJ179" s="2"/>
      <c r="NYK179" s="2"/>
      <c r="NYL179" s="2"/>
      <c r="NYM179" s="2"/>
      <c r="NYN179" s="2"/>
      <c r="NYO179" s="2"/>
      <c r="NYP179" s="2"/>
      <c r="NYQ179" s="2"/>
      <c r="NYR179" s="2"/>
      <c r="NYS179" s="2"/>
      <c r="NYT179" s="2"/>
      <c r="NYU179" s="2"/>
      <c r="NYV179" s="2"/>
      <c r="NYW179" s="2"/>
      <c r="NYX179" s="2"/>
      <c r="NYY179" s="2"/>
      <c r="NYZ179" s="2"/>
      <c r="NZA179" s="2"/>
      <c r="NZB179" s="2"/>
      <c r="NZC179" s="2"/>
      <c r="NZD179" s="2"/>
      <c r="NZE179" s="2"/>
      <c r="NZF179" s="2"/>
      <c r="NZG179" s="2"/>
      <c r="NZH179" s="2"/>
      <c r="NZI179" s="2"/>
      <c r="NZJ179" s="2"/>
      <c r="NZK179" s="2"/>
      <c r="NZL179" s="2"/>
      <c r="NZM179" s="2"/>
      <c r="NZN179" s="2"/>
      <c r="NZO179" s="2"/>
      <c r="NZP179" s="2"/>
      <c r="NZQ179" s="2"/>
      <c r="NZR179" s="2"/>
      <c r="NZS179" s="2"/>
      <c r="NZT179" s="2"/>
      <c r="NZU179" s="2"/>
      <c r="NZV179" s="2"/>
      <c r="NZW179" s="2"/>
      <c r="NZX179" s="2"/>
      <c r="NZY179" s="2"/>
      <c r="NZZ179" s="2"/>
      <c r="OAA179" s="2"/>
      <c r="OAB179" s="2"/>
      <c r="OAC179" s="2"/>
      <c r="OAD179" s="2"/>
      <c r="OAE179" s="2"/>
      <c r="OAF179" s="2"/>
      <c r="OAG179" s="2"/>
      <c r="OAH179" s="2"/>
      <c r="OAI179" s="2"/>
      <c r="OAJ179" s="2"/>
      <c r="OAK179" s="2"/>
      <c r="OAL179" s="2"/>
      <c r="OAM179" s="2"/>
      <c r="OAN179" s="2"/>
      <c r="OAO179" s="2"/>
      <c r="OAP179" s="2"/>
      <c r="OAQ179" s="2"/>
      <c r="OAR179" s="2"/>
      <c r="OAS179" s="2"/>
      <c r="OAT179" s="2"/>
      <c r="OAU179" s="2"/>
      <c r="OAV179" s="2"/>
      <c r="OAW179" s="2"/>
      <c r="OAX179" s="2"/>
      <c r="OAY179" s="2"/>
      <c r="OAZ179" s="2"/>
      <c r="OBA179" s="2"/>
      <c r="OBB179" s="2"/>
      <c r="OBC179" s="2"/>
      <c r="OBD179" s="2"/>
      <c r="OBE179" s="2"/>
      <c r="OBF179" s="2"/>
      <c r="OBG179" s="2"/>
      <c r="OBH179" s="2"/>
      <c r="OBI179" s="2"/>
      <c r="OBJ179" s="2"/>
      <c r="OBK179" s="2"/>
      <c r="OBL179" s="2"/>
      <c r="OBM179" s="2"/>
      <c r="OBN179" s="2"/>
      <c r="OBO179" s="2"/>
      <c r="OBP179" s="2"/>
      <c r="OBQ179" s="2"/>
      <c r="OBR179" s="2"/>
      <c r="OBS179" s="2"/>
      <c r="OBT179" s="2"/>
      <c r="OBU179" s="2"/>
      <c r="OBV179" s="2"/>
      <c r="OBW179" s="2"/>
      <c r="OBX179" s="2"/>
      <c r="OBY179" s="2"/>
      <c r="OBZ179" s="2"/>
      <c r="OCA179" s="2"/>
      <c r="OCB179" s="2"/>
      <c r="OCC179" s="2"/>
      <c r="OCD179" s="2"/>
      <c r="OCE179" s="2"/>
      <c r="OCF179" s="2"/>
      <c r="OCG179" s="2"/>
      <c r="OCH179" s="2"/>
      <c r="OCI179" s="2"/>
      <c r="OCJ179" s="2"/>
      <c r="OCK179" s="2"/>
      <c r="OCL179" s="2"/>
      <c r="OCM179" s="2"/>
      <c r="OCN179" s="2"/>
      <c r="OCO179" s="2"/>
      <c r="OCP179" s="2"/>
      <c r="OCQ179" s="2"/>
      <c r="OCR179" s="2"/>
      <c r="OCS179" s="2"/>
      <c r="OCT179" s="2"/>
      <c r="OCU179" s="2"/>
      <c r="OCV179" s="2"/>
      <c r="OCW179" s="2"/>
      <c r="OCX179" s="2"/>
      <c r="OCY179" s="2"/>
      <c r="OCZ179" s="2"/>
      <c r="ODA179" s="2"/>
      <c r="ODB179" s="2"/>
      <c r="ODC179" s="2"/>
      <c r="ODD179" s="2"/>
      <c r="ODE179" s="2"/>
      <c r="ODF179" s="2"/>
      <c r="ODG179" s="2"/>
      <c r="ODH179" s="2"/>
      <c r="ODI179" s="2"/>
      <c r="ODJ179" s="2"/>
      <c r="ODK179" s="2"/>
      <c r="ODL179" s="2"/>
      <c r="ODM179" s="2"/>
      <c r="ODN179" s="2"/>
      <c r="ODO179" s="2"/>
      <c r="ODP179" s="2"/>
      <c r="ODQ179" s="2"/>
      <c r="ODR179" s="2"/>
      <c r="ODS179" s="2"/>
      <c r="ODT179" s="2"/>
      <c r="ODU179" s="2"/>
      <c r="ODV179" s="2"/>
      <c r="ODW179" s="2"/>
      <c r="ODX179" s="2"/>
      <c r="ODY179" s="2"/>
      <c r="ODZ179" s="2"/>
      <c r="OEA179" s="2"/>
      <c r="OEB179" s="2"/>
      <c r="OEC179" s="2"/>
      <c r="OED179" s="2"/>
      <c r="OEE179" s="2"/>
      <c r="OEF179" s="2"/>
      <c r="OEG179" s="2"/>
      <c r="OEH179" s="2"/>
      <c r="OEI179" s="2"/>
      <c r="OEJ179" s="2"/>
      <c r="OEK179" s="2"/>
      <c r="OEL179" s="2"/>
      <c r="OEM179" s="2"/>
      <c r="OEN179" s="2"/>
      <c r="OEO179" s="2"/>
      <c r="OEP179" s="2"/>
      <c r="OEQ179" s="2"/>
      <c r="OER179" s="2"/>
      <c r="OES179" s="2"/>
      <c r="OET179" s="2"/>
      <c r="OEU179" s="2"/>
      <c r="OEV179" s="2"/>
      <c r="OEW179" s="2"/>
      <c r="OEX179" s="2"/>
      <c r="OEY179" s="2"/>
      <c r="OEZ179" s="2"/>
      <c r="OFA179" s="2"/>
      <c r="OFB179" s="2"/>
      <c r="OFC179" s="2"/>
      <c r="OFD179" s="2"/>
      <c r="OFE179" s="2"/>
      <c r="OFF179" s="2"/>
      <c r="OFG179" s="2"/>
      <c r="OFH179" s="2"/>
      <c r="OFI179" s="2"/>
      <c r="OFJ179" s="2"/>
      <c r="OFK179" s="2"/>
      <c r="OFL179" s="2"/>
      <c r="OFM179" s="2"/>
      <c r="OFN179" s="2"/>
      <c r="OFO179" s="2"/>
      <c r="OFP179" s="2"/>
      <c r="OFQ179" s="2"/>
      <c r="OFR179" s="2"/>
      <c r="OFS179" s="2"/>
      <c r="OFT179" s="2"/>
      <c r="OFU179" s="2"/>
      <c r="OFV179" s="2"/>
      <c r="OFW179" s="2"/>
      <c r="OFX179" s="2"/>
      <c r="OFY179" s="2"/>
      <c r="OFZ179" s="2"/>
      <c r="OGA179" s="2"/>
      <c r="OGB179" s="2"/>
      <c r="OGC179" s="2"/>
      <c r="OGD179" s="2"/>
      <c r="OGE179" s="2"/>
      <c r="OGF179" s="2"/>
      <c r="OGG179" s="2"/>
      <c r="OGH179" s="2"/>
      <c r="OGI179" s="2"/>
      <c r="OGJ179" s="2"/>
      <c r="OGK179" s="2"/>
      <c r="OGL179" s="2"/>
      <c r="OGM179" s="2"/>
      <c r="OGN179" s="2"/>
      <c r="OGO179" s="2"/>
      <c r="OGP179" s="2"/>
      <c r="OGQ179" s="2"/>
      <c r="OGR179" s="2"/>
      <c r="OGS179" s="2"/>
      <c r="OGT179" s="2"/>
      <c r="OGU179" s="2"/>
      <c r="OGV179" s="2"/>
      <c r="OGW179" s="2"/>
      <c r="OGX179" s="2"/>
      <c r="OGY179" s="2"/>
      <c r="OGZ179" s="2"/>
      <c r="OHA179" s="2"/>
      <c r="OHB179" s="2"/>
      <c r="OHC179" s="2"/>
      <c r="OHD179" s="2"/>
      <c r="OHE179" s="2"/>
      <c r="OHF179" s="2"/>
      <c r="OHG179" s="2"/>
      <c r="OHH179" s="2"/>
      <c r="OHI179" s="2"/>
      <c r="OHJ179" s="2"/>
      <c r="OHK179" s="2"/>
      <c r="OHL179" s="2"/>
      <c r="OHM179" s="2"/>
      <c r="OHN179" s="2"/>
      <c r="OHO179" s="2"/>
      <c r="OHP179" s="2"/>
      <c r="OHQ179" s="2"/>
      <c r="OHR179" s="2"/>
      <c r="OHS179" s="2"/>
      <c r="OHT179" s="2"/>
      <c r="OHU179" s="2"/>
      <c r="OHV179" s="2"/>
      <c r="OHW179" s="2"/>
      <c r="OHX179" s="2"/>
      <c r="OHY179" s="2"/>
      <c r="OHZ179" s="2"/>
      <c r="OIA179" s="2"/>
      <c r="OIB179" s="2"/>
      <c r="OIC179" s="2"/>
      <c r="OID179" s="2"/>
      <c r="OIE179" s="2"/>
      <c r="OIF179" s="2"/>
      <c r="OIG179" s="2"/>
      <c r="OIH179" s="2"/>
      <c r="OII179" s="2"/>
      <c r="OIJ179" s="2"/>
      <c r="OIK179" s="2"/>
      <c r="OIL179" s="2"/>
      <c r="OIM179" s="2"/>
      <c r="OIN179" s="2"/>
      <c r="OIO179" s="2"/>
      <c r="OIP179" s="2"/>
      <c r="OIQ179" s="2"/>
      <c r="OIR179" s="2"/>
      <c r="OIS179" s="2"/>
      <c r="OIT179" s="2"/>
      <c r="OIU179" s="2"/>
      <c r="OIV179" s="2"/>
      <c r="OIW179" s="2"/>
      <c r="OIX179" s="2"/>
      <c r="OIY179" s="2"/>
      <c r="OIZ179" s="2"/>
      <c r="OJA179" s="2"/>
      <c r="OJB179" s="2"/>
      <c r="OJC179" s="2"/>
      <c r="OJD179" s="2"/>
      <c r="OJE179" s="2"/>
      <c r="OJF179" s="2"/>
      <c r="OJG179" s="2"/>
      <c r="OJH179" s="2"/>
      <c r="OJI179" s="2"/>
      <c r="OJJ179" s="2"/>
      <c r="OJK179" s="2"/>
      <c r="OJL179" s="2"/>
      <c r="OJM179" s="2"/>
      <c r="OJN179" s="2"/>
      <c r="OJO179" s="2"/>
      <c r="OJP179" s="2"/>
      <c r="OJQ179" s="2"/>
      <c r="OJR179" s="2"/>
      <c r="OJS179" s="2"/>
      <c r="OJT179" s="2"/>
      <c r="OJU179" s="2"/>
      <c r="OJV179" s="2"/>
      <c r="OJW179" s="2"/>
      <c r="OJX179" s="2"/>
      <c r="OJY179" s="2"/>
      <c r="OJZ179" s="2"/>
      <c r="OKA179" s="2"/>
      <c r="OKB179" s="2"/>
      <c r="OKC179" s="2"/>
      <c r="OKD179" s="2"/>
      <c r="OKE179" s="2"/>
      <c r="OKF179" s="2"/>
      <c r="OKG179" s="2"/>
      <c r="OKH179" s="2"/>
      <c r="OKI179" s="2"/>
      <c r="OKJ179" s="2"/>
      <c r="OKK179" s="2"/>
      <c r="OKL179" s="2"/>
      <c r="OKM179" s="2"/>
      <c r="OKN179" s="2"/>
      <c r="OKO179" s="2"/>
      <c r="OKP179" s="2"/>
      <c r="OKQ179" s="2"/>
      <c r="OKR179" s="2"/>
      <c r="OKS179" s="2"/>
      <c r="OKT179" s="2"/>
      <c r="OKU179" s="2"/>
      <c r="OKV179" s="2"/>
      <c r="OKW179" s="2"/>
      <c r="OKX179" s="2"/>
      <c r="OKY179" s="2"/>
      <c r="OKZ179" s="2"/>
      <c r="OLA179" s="2"/>
      <c r="OLB179" s="2"/>
      <c r="OLC179" s="2"/>
      <c r="OLD179" s="2"/>
      <c r="OLE179" s="2"/>
      <c r="OLF179" s="2"/>
      <c r="OLG179" s="2"/>
      <c r="OLH179" s="2"/>
      <c r="OLI179" s="2"/>
      <c r="OLJ179" s="2"/>
      <c r="OLK179" s="2"/>
      <c r="OLL179" s="2"/>
      <c r="OLM179" s="2"/>
      <c r="OLN179" s="2"/>
      <c r="OLO179" s="2"/>
      <c r="OLP179" s="2"/>
      <c r="OLQ179" s="2"/>
      <c r="OLR179" s="2"/>
      <c r="OLS179" s="2"/>
      <c r="OLT179" s="2"/>
      <c r="OLU179" s="2"/>
      <c r="OLV179" s="2"/>
      <c r="OLW179" s="2"/>
      <c r="OLX179" s="2"/>
      <c r="OLY179" s="2"/>
      <c r="OLZ179" s="2"/>
      <c r="OMA179" s="2"/>
      <c r="OMB179" s="2"/>
      <c r="OMC179" s="2"/>
      <c r="OMD179" s="2"/>
      <c r="OME179" s="2"/>
      <c r="OMF179" s="2"/>
      <c r="OMG179" s="2"/>
      <c r="OMH179" s="2"/>
      <c r="OMI179" s="2"/>
      <c r="OMJ179" s="2"/>
      <c r="OMK179" s="2"/>
      <c r="OML179" s="2"/>
      <c r="OMM179" s="2"/>
      <c r="OMN179" s="2"/>
      <c r="OMO179" s="2"/>
      <c r="OMP179" s="2"/>
      <c r="OMQ179" s="2"/>
      <c r="OMR179" s="2"/>
      <c r="OMS179" s="2"/>
      <c r="OMT179" s="2"/>
      <c r="OMU179" s="2"/>
      <c r="OMV179" s="2"/>
      <c r="OMW179" s="2"/>
      <c r="OMX179" s="2"/>
      <c r="OMY179" s="2"/>
      <c r="OMZ179" s="2"/>
      <c r="ONA179" s="2"/>
      <c r="ONB179" s="2"/>
      <c r="ONC179" s="2"/>
      <c r="OND179" s="2"/>
      <c r="ONE179" s="2"/>
      <c r="ONF179" s="2"/>
      <c r="ONG179" s="2"/>
      <c r="ONH179" s="2"/>
      <c r="ONI179" s="2"/>
      <c r="ONJ179" s="2"/>
      <c r="ONK179" s="2"/>
      <c r="ONL179" s="2"/>
      <c r="ONM179" s="2"/>
      <c r="ONN179" s="2"/>
      <c r="ONO179" s="2"/>
      <c r="ONP179" s="2"/>
      <c r="ONQ179" s="2"/>
      <c r="ONR179" s="2"/>
      <c r="ONS179" s="2"/>
      <c r="ONT179" s="2"/>
      <c r="ONU179" s="2"/>
      <c r="ONV179" s="2"/>
      <c r="ONW179" s="2"/>
      <c r="ONX179" s="2"/>
      <c r="ONY179" s="2"/>
      <c r="ONZ179" s="2"/>
      <c r="OOA179" s="2"/>
      <c r="OOB179" s="2"/>
      <c r="OOC179" s="2"/>
      <c r="OOD179" s="2"/>
      <c r="OOE179" s="2"/>
      <c r="OOF179" s="2"/>
      <c r="OOG179" s="2"/>
      <c r="OOH179" s="2"/>
      <c r="OOI179" s="2"/>
      <c r="OOJ179" s="2"/>
      <c r="OOK179" s="2"/>
      <c r="OOL179" s="2"/>
      <c r="OOM179" s="2"/>
      <c r="OON179" s="2"/>
      <c r="OOO179" s="2"/>
      <c r="OOP179" s="2"/>
      <c r="OOQ179" s="2"/>
      <c r="OOR179" s="2"/>
      <c r="OOS179" s="2"/>
      <c r="OOT179" s="2"/>
      <c r="OOU179" s="2"/>
      <c r="OOV179" s="2"/>
      <c r="OOW179" s="2"/>
      <c r="OOX179" s="2"/>
      <c r="OOY179" s="2"/>
      <c r="OOZ179" s="2"/>
      <c r="OPA179" s="2"/>
      <c r="OPB179" s="2"/>
      <c r="OPC179" s="2"/>
      <c r="OPD179" s="2"/>
      <c r="OPE179" s="2"/>
      <c r="OPF179" s="2"/>
      <c r="OPG179" s="2"/>
      <c r="OPH179" s="2"/>
      <c r="OPI179" s="2"/>
      <c r="OPJ179" s="2"/>
      <c r="OPK179" s="2"/>
      <c r="OPL179" s="2"/>
      <c r="OPM179" s="2"/>
      <c r="OPN179" s="2"/>
      <c r="OPO179" s="2"/>
      <c r="OPP179" s="2"/>
      <c r="OPQ179" s="2"/>
      <c r="OPR179" s="2"/>
      <c r="OPS179" s="2"/>
      <c r="OPT179" s="2"/>
      <c r="OPU179" s="2"/>
      <c r="OPV179" s="2"/>
      <c r="OPW179" s="2"/>
      <c r="OPX179" s="2"/>
      <c r="OPY179" s="2"/>
      <c r="OPZ179" s="2"/>
      <c r="OQA179" s="2"/>
      <c r="OQB179" s="2"/>
      <c r="OQC179" s="2"/>
      <c r="OQD179" s="2"/>
      <c r="OQE179" s="2"/>
      <c r="OQF179" s="2"/>
      <c r="OQG179" s="2"/>
      <c r="OQH179" s="2"/>
      <c r="OQI179" s="2"/>
      <c r="OQJ179" s="2"/>
      <c r="OQK179" s="2"/>
      <c r="OQL179" s="2"/>
      <c r="OQM179" s="2"/>
      <c r="OQN179" s="2"/>
      <c r="OQO179" s="2"/>
      <c r="OQP179" s="2"/>
      <c r="OQQ179" s="2"/>
      <c r="OQR179" s="2"/>
      <c r="OQS179" s="2"/>
      <c r="OQT179" s="2"/>
      <c r="OQU179" s="2"/>
      <c r="OQV179" s="2"/>
      <c r="OQW179" s="2"/>
      <c r="OQX179" s="2"/>
      <c r="OQY179" s="2"/>
      <c r="OQZ179" s="2"/>
      <c r="ORA179" s="2"/>
      <c r="ORB179" s="2"/>
      <c r="ORC179" s="2"/>
      <c r="ORD179" s="2"/>
      <c r="ORE179" s="2"/>
      <c r="ORF179" s="2"/>
      <c r="ORG179" s="2"/>
      <c r="ORH179" s="2"/>
      <c r="ORI179" s="2"/>
      <c r="ORJ179" s="2"/>
      <c r="ORK179" s="2"/>
      <c r="ORL179" s="2"/>
      <c r="ORM179" s="2"/>
      <c r="ORN179" s="2"/>
      <c r="ORO179" s="2"/>
      <c r="ORP179" s="2"/>
      <c r="ORQ179" s="2"/>
      <c r="ORR179" s="2"/>
      <c r="ORS179" s="2"/>
      <c r="ORT179" s="2"/>
      <c r="ORU179" s="2"/>
      <c r="ORV179" s="2"/>
      <c r="ORW179" s="2"/>
      <c r="ORX179" s="2"/>
      <c r="ORY179" s="2"/>
      <c r="ORZ179" s="2"/>
      <c r="OSA179" s="2"/>
      <c r="OSB179" s="2"/>
      <c r="OSC179" s="2"/>
      <c r="OSD179" s="2"/>
      <c r="OSE179" s="2"/>
      <c r="OSF179" s="2"/>
      <c r="OSG179" s="2"/>
      <c r="OSH179" s="2"/>
      <c r="OSI179" s="2"/>
      <c r="OSJ179" s="2"/>
      <c r="OSK179" s="2"/>
      <c r="OSL179" s="2"/>
      <c r="OSM179" s="2"/>
      <c r="OSN179" s="2"/>
      <c r="OSO179" s="2"/>
      <c r="OSP179" s="2"/>
      <c r="OSQ179" s="2"/>
      <c r="OSR179" s="2"/>
      <c r="OSS179" s="2"/>
      <c r="OST179" s="2"/>
      <c r="OSU179" s="2"/>
      <c r="OSV179" s="2"/>
      <c r="OSW179" s="2"/>
      <c r="OSX179" s="2"/>
      <c r="OSY179" s="2"/>
      <c r="OSZ179" s="2"/>
      <c r="OTA179" s="2"/>
      <c r="OTB179" s="2"/>
      <c r="OTC179" s="2"/>
      <c r="OTD179" s="2"/>
      <c r="OTE179" s="2"/>
      <c r="OTF179" s="2"/>
      <c r="OTG179" s="2"/>
      <c r="OTH179" s="2"/>
      <c r="OTI179" s="2"/>
      <c r="OTJ179" s="2"/>
      <c r="OTK179" s="2"/>
      <c r="OTL179" s="2"/>
      <c r="OTM179" s="2"/>
      <c r="OTN179" s="2"/>
      <c r="OTO179" s="2"/>
      <c r="OTP179" s="2"/>
      <c r="OTQ179" s="2"/>
      <c r="OTR179" s="2"/>
      <c r="OTS179" s="2"/>
      <c r="OTT179" s="2"/>
      <c r="OTU179" s="2"/>
      <c r="OTV179" s="2"/>
      <c r="OTW179" s="2"/>
      <c r="OTX179" s="2"/>
      <c r="OTY179" s="2"/>
      <c r="OTZ179" s="2"/>
      <c r="OUA179" s="2"/>
      <c r="OUB179" s="2"/>
      <c r="OUC179" s="2"/>
      <c r="OUD179" s="2"/>
      <c r="OUE179" s="2"/>
      <c r="OUF179" s="2"/>
      <c r="OUG179" s="2"/>
      <c r="OUH179" s="2"/>
      <c r="OUI179" s="2"/>
      <c r="OUJ179" s="2"/>
      <c r="OUK179" s="2"/>
      <c r="OUL179" s="2"/>
      <c r="OUM179" s="2"/>
      <c r="OUN179" s="2"/>
      <c r="OUO179" s="2"/>
      <c r="OUP179" s="2"/>
      <c r="OUQ179" s="2"/>
      <c r="OUR179" s="2"/>
      <c r="OUS179" s="2"/>
      <c r="OUT179" s="2"/>
      <c r="OUU179" s="2"/>
      <c r="OUV179" s="2"/>
      <c r="OUW179" s="2"/>
      <c r="OUX179" s="2"/>
      <c r="OUY179" s="2"/>
      <c r="OUZ179" s="2"/>
      <c r="OVA179" s="2"/>
      <c r="OVB179" s="2"/>
      <c r="OVC179" s="2"/>
      <c r="OVD179" s="2"/>
      <c r="OVE179" s="2"/>
      <c r="OVF179" s="2"/>
      <c r="OVG179" s="2"/>
      <c r="OVH179" s="2"/>
      <c r="OVI179" s="2"/>
      <c r="OVJ179" s="2"/>
      <c r="OVK179" s="2"/>
      <c r="OVL179" s="2"/>
      <c r="OVM179" s="2"/>
      <c r="OVN179" s="2"/>
      <c r="OVO179" s="2"/>
      <c r="OVP179" s="2"/>
      <c r="OVQ179" s="2"/>
      <c r="OVR179" s="2"/>
      <c r="OVS179" s="2"/>
      <c r="OVT179" s="2"/>
      <c r="OVU179" s="2"/>
      <c r="OVV179" s="2"/>
      <c r="OVW179" s="2"/>
      <c r="OVX179" s="2"/>
      <c r="OVY179" s="2"/>
      <c r="OVZ179" s="2"/>
      <c r="OWA179" s="2"/>
      <c r="OWB179" s="2"/>
      <c r="OWC179" s="2"/>
      <c r="OWD179" s="2"/>
      <c r="OWE179" s="2"/>
      <c r="OWF179" s="2"/>
      <c r="OWG179" s="2"/>
      <c r="OWH179" s="2"/>
      <c r="OWI179" s="2"/>
      <c r="OWJ179" s="2"/>
      <c r="OWK179" s="2"/>
      <c r="OWL179" s="2"/>
      <c r="OWM179" s="2"/>
      <c r="OWN179" s="2"/>
      <c r="OWO179" s="2"/>
      <c r="OWP179" s="2"/>
      <c r="OWQ179" s="2"/>
      <c r="OWR179" s="2"/>
      <c r="OWS179" s="2"/>
      <c r="OWT179" s="2"/>
      <c r="OWU179" s="2"/>
      <c r="OWV179" s="2"/>
      <c r="OWW179" s="2"/>
      <c r="OWX179" s="2"/>
      <c r="OWY179" s="2"/>
      <c r="OWZ179" s="2"/>
      <c r="OXA179" s="2"/>
      <c r="OXB179" s="2"/>
      <c r="OXC179" s="2"/>
      <c r="OXD179" s="2"/>
      <c r="OXE179" s="2"/>
      <c r="OXF179" s="2"/>
      <c r="OXG179" s="2"/>
      <c r="OXH179" s="2"/>
      <c r="OXI179" s="2"/>
      <c r="OXJ179" s="2"/>
      <c r="OXK179" s="2"/>
      <c r="OXL179" s="2"/>
      <c r="OXM179" s="2"/>
      <c r="OXN179" s="2"/>
      <c r="OXO179" s="2"/>
      <c r="OXP179" s="2"/>
      <c r="OXQ179" s="2"/>
      <c r="OXR179" s="2"/>
      <c r="OXS179" s="2"/>
      <c r="OXT179" s="2"/>
      <c r="OXU179" s="2"/>
      <c r="OXV179" s="2"/>
      <c r="OXW179" s="2"/>
      <c r="OXX179" s="2"/>
      <c r="OXY179" s="2"/>
      <c r="OXZ179" s="2"/>
      <c r="OYA179" s="2"/>
      <c r="OYB179" s="2"/>
      <c r="OYC179" s="2"/>
      <c r="OYD179" s="2"/>
      <c r="OYE179" s="2"/>
      <c r="OYF179" s="2"/>
      <c r="OYG179" s="2"/>
      <c r="OYH179" s="2"/>
      <c r="OYI179" s="2"/>
      <c r="OYJ179" s="2"/>
      <c r="OYK179" s="2"/>
      <c r="OYL179" s="2"/>
      <c r="OYM179" s="2"/>
      <c r="OYN179" s="2"/>
      <c r="OYO179" s="2"/>
      <c r="OYP179" s="2"/>
      <c r="OYQ179" s="2"/>
      <c r="OYR179" s="2"/>
      <c r="OYS179" s="2"/>
      <c r="OYT179" s="2"/>
      <c r="OYU179" s="2"/>
      <c r="OYV179" s="2"/>
      <c r="OYW179" s="2"/>
      <c r="OYX179" s="2"/>
      <c r="OYY179" s="2"/>
      <c r="OYZ179" s="2"/>
      <c r="OZA179" s="2"/>
      <c r="OZB179" s="2"/>
      <c r="OZC179" s="2"/>
      <c r="OZD179" s="2"/>
      <c r="OZE179" s="2"/>
      <c r="OZF179" s="2"/>
      <c r="OZG179" s="2"/>
      <c r="OZH179" s="2"/>
      <c r="OZI179" s="2"/>
      <c r="OZJ179" s="2"/>
      <c r="OZK179" s="2"/>
      <c r="OZL179" s="2"/>
      <c r="OZM179" s="2"/>
      <c r="OZN179" s="2"/>
      <c r="OZO179" s="2"/>
      <c r="OZP179" s="2"/>
      <c r="OZQ179" s="2"/>
      <c r="OZR179" s="2"/>
      <c r="OZS179" s="2"/>
      <c r="OZT179" s="2"/>
      <c r="OZU179" s="2"/>
      <c r="OZV179" s="2"/>
      <c r="OZW179" s="2"/>
      <c r="OZX179" s="2"/>
      <c r="OZY179" s="2"/>
      <c r="OZZ179" s="2"/>
      <c r="PAA179" s="2"/>
      <c r="PAB179" s="2"/>
      <c r="PAC179" s="2"/>
      <c r="PAD179" s="2"/>
      <c r="PAE179" s="2"/>
      <c r="PAF179" s="2"/>
      <c r="PAG179" s="2"/>
      <c r="PAH179" s="2"/>
      <c r="PAI179" s="2"/>
      <c r="PAJ179" s="2"/>
      <c r="PAK179" s="2"/>
      <c r="PAL179" s="2"/>
      <c r="PAM179" s="2"/>
      <c r="PAN179" s="2"/>
      <c r="PAO179" s="2"/>
      <c r="PAP179" s="2"/>
      <c r="PAQ179" s="2"/>
      <c r="PAR179" s="2"/>
      <c r="PAS179" s="2"/>
      <c r="PAT179" s="2"/>
      <c r="PAU179" s="2"/>
      <c r="PAV179" s="2"/>
      <c r="PAW179" s="2"/>
      <c r="PAX179" s="2"/>
      <c r="PAY179" s="2"/>
      <c r="PAZ179" s="2"/>
      <c r="PBA179" s="2"/>
      <c r="PBB179" s="2"/>
      <c r="PBC179" s="2"/>
      <c r="PBD179" s="2"/>
      <c r="PBE179" s="2"/>
      <c r="PBF179" s="2"/>
      <c r="PBG179" s="2"/>
      <c r="PBH179" s="2"/>
      <c r="PBI179" s="2"/>
      <c r="PBJ179" s="2"/>
      <c r="PBK179" s="2"/>
      <c r="PBL179" s="2"/>
      <c r="PBM179" s="2"/>
      <c r="PBN179" s="2"/>
      <c r="PBO179" s="2"/>
      <c r="PBP179" s="2"/>
      <c r="PBQ179" s="2"/>
      <c r="PBR179" s="2"/>
      <c r="PBS179" s="2"/>
      <c r="PBT179" s="2"/>
      <c r="PBU179" s="2"/>
      <c r="PBV179" s="2"/>
      <c r="PBW179" s="2"/>
      <c r="PBX179" s="2"/>
      <c r="PBY179" s="2"/>
      <c r="PBZ179" s="2"/>
      <c r="PCA179" s="2"/>
      <c r="PCB179" s="2"/>
      <c r="PCC179" s="2"/>
      <c r="PCD179" s="2"/>
      <c r="PCE179" s="2"/>
      <c r="PCF179" s="2"/>
      <c r="PCG179" s="2"/>
      <c r="PCH179" s="2"/>
      <c r="PCI179" s="2"/>
      <c r="PCJ179" s="2"/>
      <c r="PCK179" s="2"/>
      <c r="PCL179" s="2"/>
      <c r="PCM179" s="2"/>
      <c r="PCN179" s="2"/>
      <c r="PCO179" s="2"/>
      <c r="PCP179" s="2"/>
      <c r="PCQ179" s="2"/>
      <c r="PCR179" s="2"/>
      <c r="PCS179" s="2"/>
      <c r="PCT179" s="2"/>
      <c r="PCU179" s="2"/>
      <c r="PCV179" s="2"/>
      <c r="PCW179" s="2"/>
      <c r="PCX179" s="2"/>
      <c r="PCY179" s="2"/>
      <c r="PCZ179" s="2"/>
      <c r="PDA179" s="2"/>
      <c r="PDB179" s="2"/>
      <c r="PDC179" s="2"/>
      <c r="PDD179" s="2"/>
      <c r="PDE179" s="2"/>
      <c r="PDF179" s="2"/>
      <c r="PDG179" s="2"/>
      <c r="PDH179" s="2"/>
      <c r="PDI179" s="2"/>
      <c r="PDJ179" s="2"/>
      <c r="PDK179" s="2"/>
      <c r="PDL179" s="2"/>
      <c r="PDM179" s="2"/>
      <c r="PDN179" s="2"/>
      <c r="PDO179" s="2"/>
      <c r="PDP179" s="2"/>
      <c r="PDQ179" s="2"/>
      <c r="PDR179" s="2"/>
      <c r="PDS179" s="2"/>
      <c r="PDT179" s="2"/>
      <c r="PDU179" s="2"/>
      <c r="PDV179" s="2"/>
      <c r="PDW179" s="2"/>
      <c r="PDX179" s="2"/>
      <c r="PDY179" s="2"/>
      <c r="PDZ179" s="2"/>
      <c r="PEA179" s="2"/>
      <c r="PEB179" s="2"/>
      <c r="PEC179" s="2"/>
      <c r="PED179" s="2"/>
      <c r="PEE179" s="2"/>
      <c r="PEF179" s="2"/>
      <c r="PEG179" s="2"/>
      <c r="PEH179" s="2"/>
      <c r="PEI179" s="2"/>
      <c r="PEJ179" s="2"/>
      <c r="PEK179" s="2"/>
      <c r="PEL179" s="2"/>
      <c r="PEM179" s="2"/>
      <c r="PEN179" s="2"/>
      <c r="PEO179" s="2"/>
      <c r="PEP179" s="2"/>
      <c r="PEQ179" s="2"/>
      <c r="PER179" s="2"/>
      <c r="PES179" s="2"/>
      <c r="PET179" s="2"/>
      <c r="PEU179" s="2"/>
      <c r="PEV179" s="2"/>
      <c r="PEW179" s="2"/>
      <c r="PEX179" s="2"/>
      <c r="PEY179" s="2"/>
      <c r="PEZ179" s="2"/>
      <c r="PFA179" s="2"/>
      <c r="PFB179" s="2"/>
      <c r="PFC179" s="2"/>
      <c r="PFD179" s="2"/>
      <c r="PFE179" s="2"/>
      <c r="PFF179" s="2"/>
      <c r="PFG179" s="2"/>
      <c r="PFH179" s="2"/>
      <c r="PFI179" s="2"/>
      <c r="PFJ179" s="2"/>
      <c r="PFK179" s="2"/>
      <c r="PFL179" s="2"/>
      <c r="PFM179" s="2"/>
      <c r="PFN179" s="2"/>
      <c r="PFO179" s="2"/>
      <c r="PFP179" s="2"/>
      <c r="PFQ179" s="2"/>
      <c r="PFR179" s="2"/>
      <c r="PFS179" s="2"/>
      <c r="PFT179" s="2"/>
      <c r="PFU179" s="2"/>
      <c r="PFV179" s="2"/>
      <c r="PFW179" s="2"/>
      <c r="PFX179" s="2"/>
      <c r="PFY179" s="2"/>
      <c r="PFZ179" s="2"/>
      <c r="PGA179" s="2"/>
      <c r="PGB179" s="2"/>
      <c r="PGC179" s="2"/>
      <c r="PGD179" s="2"/>
      <c r="PGE179" s="2"/>
      <c r="PGF179" s="2"/>
      <c r="PGG179" s="2"/>
      <c r="PGH179" s="2"/>
      <c r="PGI179" s="2"/>
      <c r="PGJ179" s="2"/>
      <c r="PGK179" s="2"/>
      <c r="PGL179" s="2"/>
      <c r="PGM179" s="2"/>
      <c r="PGN179" s="2"/>
      <c r="PGO179" s="2"/>
      <c r="PGP179" s="2"/>
      <c r="PGQ179" s="2"/>
      <c r="PGR179" s="2"/>
      <c r="PGS179" s="2"/>
      <c r="PGT179" s="2"/>
      <c r="PGU179" s="2"/>
      <c r="PGV179" s="2"/>
      <c r="PGW179" s="2"/>
      <c r="PGX179" s="2"/>
      <c r="PGY179" s="2"/>
      <c r="PGZ179" s="2"/>
      <c r="PHA179" s="2"/>
      <c r="PHB179" s="2"/>
      <c r="PHC179" s="2"/>
      <c r="PHD179" s="2"/>
      <c r="PHE179" s="2"/>
      <c r="PHF179" s="2"/>
      <c r="PHG179" s="2"/>
      <c r="PHH179" s="2"/>
      <c r="PHI179" s="2"/>
      <c r="PHJ179" s="2"/>
      <c r="PHK179" s="2"/>
      <c r="PHL179" s="2"/>
      <c r="PHM179" s="2"/>
      <c r="PHN179" s="2"/>
      <c r="PHO179" s="2"/>
      <c r="PHP179" s="2"/>
      <c r="PHQ179" s="2"/>
      <c r="PHR179" s="2"/>
      <c r="PHS179" s="2"/>
      <c r="PHT179" s="2"/>
      <c r="PHU179" s="2"/>
      <c r="PHV179" s="2"/>
      <c r="PHW179" s="2"/>
      <c r="PHX179" s="2"/>
      <c r="PHY179" s="2"/>
      <c r="PHZ179" s="2"/>
      <c r="PIA179" s="2"/>
      <c r="PIB179" s="2"/>
      <c r="PIC179" s="2"/>
      <c r="PID179" s="2"/>
      <c r="PIE179" s="2"/>
      <c r="PIF179" s="2"/>
      <c r="PIG179" s="2"/>
      <c r="PIH179" s="2"/>
      <c r="PII179" s="2"/>
      <c r="PIJ179" s="2"/>
      <c r="PIK179" s="2"/>
      <c r="PIL179" s="2"/>
      <c r="PIM179" s="2"/>
      <c r="PIN179" s="2"/>
      <c r="PIO179" s="2"/>
      <c r="PIP179" s="2"/>
      <c r="PIQ179" s="2"/>
      <c r="PIR179" s="2"/>
      <c r="PIS179" s="2"/>
      <c r="PIT179" s="2"/>
      <c r="PIU179" s="2"/>
      <c r="PIV179" s="2"/>
      <c r="PIW179" s="2"/>
      <c r="PIX179" s="2"/>
      <c r="PIY179" s="2"/>
      <c r="PIZ179" s="2"/>
      <c r="PJA179" s="2"/>
      <c r="PJB179" s="2"/>
      <c r="PJC179" s="2"/>
      <c r="PJD179" s="2"/>
      <c r="PJE179" s="2"/>
      <c r="PJF179" s="2"/>
      <c r="PJG179" s="2"/>
      <c r="PJH179" s="2"/>
      <c r="PJI179" s="2"/>
      <c r="PJJ179" s="2"/>
      <c r="PJK179" s="2"/>
      <c r="PJL179" s="2"/>
      <c r="PJM179" s="2"/>
      <c r="PJN179" s="2"/>
      <c r="PJO179" s="2"/>
      <c r="PJP179" s="2"/>
      <c r="PJQ179" s="2"/>
      <c r="PJR179" s="2"/>
      <c r="PJS179" s="2"/>
      <c r="PJT179" s="2"/>
      <c r="PJU179" s="2"/>
      <c r="PJV179" s="2"/>
      <c r="PJW179" s="2"/>
      <c r="PJX179" s="2"/>
      <c r="PJY179" s="2"/>
      <c r="PJZ179" s="2"/>
      <c r="PKA179" s="2"/>
      <c r="PKB179" s="2"/>
      <c r="PKC179" s="2"/>
      <c r="PKD179" s="2"/>
      <c r="PKE179" s="2"/>
      <c r="PKF179" s="2"/>
      <c r="PKG179" s="2"/>
      <c r="PKH179" s="2"/>
      <c r="PKI179" s="2"/>
      <c r="PKJ179" s="2"/>
      <c r="PKK179" s="2"/>
      <c r="PKL179" s="2"/>
      <c r="PKM179" s="2"/>
      <c r="PKN179" s="2"/>
      <c r="PKO179" s="2"/>
      <c r="PKP179" s="2"/>
      <c r="PKQ179" s="2"/>
      <c r="PKR179" s="2"/>
      <c r="PKS179" s="2"/>
      <c r="PKT179" s="2"/>
      <c r="PKU179" s="2"/>
      <c r="PKV179" s="2"/>
      <c r="PKW179" s="2"/>
      <c r="PKX179" s="2"/>
      <c r="PKY179" s="2"/>
      <c r="PKZ179" s="2"/>
      <c r="PLA179" s="2"/>
      <c r="PLB179" s="2"/>
      <c r="PLC179" s="2"/>
      <c r="PLD179" s="2"/>
      <c r="PLE179" s="2"/>
      <c r="PLF179" s="2"/>
      <c r="PLG179" s="2"/>
      <c r="PLH179" s="2"/>
      <c r="PLI179" s="2"/>
      <c r="PLJ179" s="2"/>
      <c r="PLK179" s="2"/>
      <c r="PLL179" s="2"/>
      <c r="PLM179" s="2"/>
      <c r="PLN179" s="2"/>
      <c r="PLO179" s="2"/>
      <c r="PLP179" s="2"/>
      <c r="PLQ179" s="2"/>
      <c r="PLR179" s="2"/>
      <c r="PLS179" s="2"/>
      <c r="PLT179" s="2"/>
      <c r="PLU179" s="2"/>
      <c r="PLV179" s="2"/>
      <c r="PLW179" s="2"/>
      <c r="PLX179" s="2"/>
      <c r="PLY179" s="2"/>
      <c r="PLZ179" s="2"/>
      <c r="PMA179" s="2"/>
      <c r="PMB179" s="2"/>
      <c r="PMC179" s="2"/>
      <c r="PMD179" s="2"/>
      <c r="PME179" s="2"/>
      <c r="PMF179" s="2"/>
      <c r="PMG179" s="2"/>
      <c r="PMH179" s="2"/>
      <c r="PMI179" s="2"/>
      <c r="PMJ179" s="2"/>
      <c r="PMK179" s="2"/>
      <c r="PML179" s="2"/>
      <c r="PMM179" s="2"/>
      <c r="PMN179" s="2"/>
      <c r="PMO179" s="2"/>
      <c r="PMP179" s="2"/>
      <c r="PMQ179" s="2"/>
      <c r="PMR179" s="2"/>
      <c r="PMS179" s="2"/>
      <c r="PMT179" s="2"/>
      <c r="PMU179" s="2"/>
      <c r="PMV179" s="2"/>
      <c r="PMW179" s="2"/>
      <c r="PMX179" s="2"/>
      <c r="PMY179" s="2"/>
      <c r="PMZ179" s="2"/>
      <c r="PNA179" s="2"/>
      <c r="PNB179" s="2"/>
      <c r="PNC179" s="2"/>
      <c r="PND179" s="2"/>
      <c r="PNE179" s="2"/>
      <c r="PNF179" s="2"/>
      <c r="PNG179" s="2"/>
      <c r="PNH179" s="2"/>
      <c r="PNI179" s="2"/>
      <c r="PNJ179" s="2"/>
      <c r="PNK179" s="2"/>
      <c r="PNL179" s="2"/>
      <c r="PNM179" s="2"/>
      <c r="PNN179" s="2"/>
      <c r="PNO179" s="2"/>
      <c r="PNP179" s="2"/>
      <c r="PNQ179" s="2"/>
      <c r="PNR179" s="2"/>
      <c r="PNS179" s="2"/>
      <c r="PNT179" s="2"/>
      <c r="PNU179" s="2"/>
      <c r="PNV179" s="2"/>
      <c r="PNW179" s="2"/>
      <c r="PNX179" s="2"/>
      <c r="PNY179" s="2"/>
      <c r="PNZ179" s="2"/>
      <c r="POA179" s="2"/>
      <c r="POB179" s="2"/>
      <c r="POC179" s="2"/>
      <c r="POD179" s="2"/>
      <c r="POE179" s="2"/>
      <c r="POF179" s="2"/>
      <c r="POG179" s="2"/>
      <c r="POH179" s="2"/>
      <c r="POI179" s="2"/>
      <c r="POJ179" s="2"/>
      <c r="POK179" s="2"/>
      <c r="POL179" s="2"/>
      <c r="POM179" s="2"/>
      <c r="PON179" s="2"/>
      <c r="POO179" s="2"/>
      <c r="POP179" s="2"/>
      <c r="POQ179" s="2"/>
      <c r="POR179" s="2"/>
      <c r="POS179" s="2"/>
      <c r="POT179" s="2"/>
      <c r="POU179" s="2"/>
      <c r="POV179" s="2"/>
      <c r="POW179" s="2"/>
      <c r="POX179" s="2"/>
      <c r="POY179" s="2"/>
      <c r="POZ179" s="2"/>
      <c r="PPA179" s="2"/>
      <c r="PPB179" s="2"/>
      <c r="PPC179" s="2"/>
      <c r="PPD179" s="2"/>
      <c r="PPE179" s="2"/>
      <c r="PPF179" s="2"/>
      <c r="PPG179" s="2"/>
      <c r="PPH179" s="2"/>
      <c r="PPI179" s="2"/>
      <c r="PPJ179" s="2"/>
      <c r="PPK179" s="2"/>
      <c r="PPL179" s="2"/>
      <c r="PPM179" s="2"/>
      <c r="PPN179" s="2"/>
      <c r="PPO179" s="2"/>
      <c r="PPP179" s="2"/>
      <c r="PPQ179" s="2"/>
      <c r="PPR179" s="2"/>
      <c r="PPS179" s="2"/>
      <c r="PPT179" s="2"/>
      <c r="PPU179" s="2"/>
      <c r="PPV179" s="2"/>
      <c r="PPW179" s="2"/>
      <c r="PPX179" s="2"/>
      <c r="PPY179" s="2"/>
      <c r="PPZ179" s="2"/>
      <c r="PQA179" s="2"/>
      <c r="PQB179" s="2"/>
      <c r="PQC179" s="2"/>
      <c r="PQD179" s="2"/>
      <c r="PQE179" s="2"/>
      <c r="PQF179" s="2"/>
      <c r="PQG179" s="2"/>
      <c r="PQH179" s="2"/>
      <c r="PQI179" s="2"/>
      <c r="PQJ179" s="2"/>
      <c r="PQK179" s="2"/>
      <c r="PQL179" s="2"/>
      <c r="PQM179" s="2"/>
      <c r="PQN179" s="2"/>
      <c r="PQO179" s="2"/>
      <c r="PQP179" s="2"/>
      <c r="PQQ179" s="2"/>
      <c r="PQR179" s="2"/>
      <c r="PQS179" s="2"/>
      <c r="PQT179" s="2"/>
      <c r="PQU179" s="2"/>
      <c r="PQV179" s="2"/>
      <c r="PQW179" s="2"/>
      <c r="PQX179" s="2"/>
      <c r="PQY179" s="2"/>
      <c r="PQZ179" s="2"/>
      <c r="PRA179" s="2"/>
      <c r="PRB179" s="2"/>
      <c r="PRC179" s="2"/>
      <c r="PRD179" s="2"/>
      <c r="PRE179" s="2"/>
      <c r="PRF179" s="2"/>
      <c r="PRG179" s="2"/>
      <c r="PRH179" s="2"/>
      <c r="PRI179" s="2"/>
      <c r="PRJ179" s="2"/>
      <c r="PRK179" s="2"/>
      <c r="PRL179" s="2"/>
      <c r="PRM179" s="2"/>
      <c r="PRN179" s="2"/>
      <c r="PRO179" s="2"/>
      <c r="PRP179" s="2"/>
      <c r="PRQ179" s="2"/>
      <c r="PRR179" s="2"/>
      <c r="PRS179" s="2"/>
      <c r="PRT179" s="2"/>
      <c r="PRU179" s="2"/>
      <c r="PRV179" s="2"/>
      <c r="PRW179" s="2"/>
      <c r="PRX179" s="2"/>
      <c r="PRY179" s="2"/>
      <c r="PRZ179" s="2"/>
      <c r="PSA179" s="2"/>
      <c r="PSB179" s="2"/>
      <c r="PSC179" s="2"/>
      <c r="PSD179" s="2"/>
      <c r="PSE179" s="2"/>
      <c r="PSF179" s="2"/>
      <c r="PSG179" s="2"/>
      <c r="PSH179" s="2"/>
      <c r="PSI179" s="2"/>
      <c r="PSJ179" s="2"/>
      <c r="PSK179" s="2"/>
      <c r="PSL179" s="2"/>
      <c r="PSM179" s="2"/>
      <c r="PSN179" s="2"/>
      <c r="PSO179" s="2"/>
      <c r="PSP179" s="2"/>
      <c r="PSQ179" s="2"/>
      <c r="PSR179" s="2"/>
      <c r="PSS179" s="2"/>
      <c r="PST179" s="2"/>
      <c r="PSU179" s="2"/>
      <c r="PSV179" s="2"/>
      <c r="PSW179" s="2"/>
      <c r="PSX179" s="2"/>
      <c r="PSY179" s="2"/>
      <c r="PSZ179" s="2"/>
      <c r="PTA179" s="2"/>
      <c r="PTB179" s="2"/>
      <c r="PTC179" s="2"/>
      <c r="PTD179" s="2"/>
      <c r="PTE179" s="2"/>
      <c r="PTF179" s="2"/>
      <c r="PTG179" s="2"/>
      <c r="PTH179" s="2"/>
      <c r="PTI179" s="2"/>
      <c r="PTJ179" s="2"/>
      <c r="PTK179" s="2"/>
      <c r="PTL179" s="2"/>
      <c r="PTM179" s="2"/>
      <c r="PTN179" s="2"/>
      <c r="PTO179" s="2"/>
      <c r="PTP179" s="2"/>
      <c r="PTQ179" s="2"/>
      <c r="PTR179" s="2"/>
      <c r="PTS179" s="2"/>
      <c r="PTT179" s="2"/>
      <c r="PTU179" s="2"/>
      <c r="PTV179" s="2"/>
      <c r="PTW179" s="2"/>
      <c r="PTX179" s="2"/>
      <c r="PTY179" s="2"/>
      <c r="PTZ179" s="2"/>
      <c r="PUA179" s="2"/>
      <c r="PUB179" s="2"/>
      <c r="PUC179" s="2"/>
      <c r="PUD179" s="2"/>
      <c r="PUE179" s="2"/>
      <c r="PUF179" s="2"/>
      <c r="PUG179" s="2"/>
      <c r="PUH179" s="2"/>
      <c r="PUI179" s="2"/>
      <c r="PUJ179" s="2"/>
      <c r="PUK179" s="2"/>
      <c r="PUL179" s="2"/>
      <c r="PUM179" s="2"/>
      <c r="PUN179" s="2"/>
      <c r="PUO179" s="2"/>
      <c r="PUP179" s="2"/>
      <c r="PUQ179" s="2"/>
      <c r="PUR179" s="2"/>
      <c r="PUS179" s="2"/>
      <c r="PUT179" s="2"/>
      <c r="PUU179" s="2"/>
      <c r="PUV179" s="2"/>
      <c r="PUW179" s="2"/>
      <c r="PUX179" s="2"/>
      <c r="PUY179" s="2"/>
      <c r="PUZ179" s="2"/>
      <c r="PVA179" s="2"/>
      <c r="PVB179" s="2"/>
      <c r="PVC179" s="2"/>
      <c r="PVD179" s="2"/>
      <c r="PVE179" s="2"/>
      <c r="PVF179" s="2"/>
      <c r="PVG179" s="2"/>
      <c r="PVH179" s="2"/>
      <c r="PVI179" s="2"/>
      <c r="PVJ179" s="2"/>
      <c r="PVK179" s="2"/>
      <c r="PVL179" s="2"/>
      <c r="PVM179" s="2"/>
      <c r="PVN179" s="2"/>
      <c r="PVO179" s="2"/>
      <c r="PVP179" s="2"/>
      <c r="PVQ179" s="2"/>
      <c r="PVR179" s="2"/>
      <c r="PVS179" s="2"/>
      <c r="PVT179" s="2"/>
      <c r="PVU179" s="2"/>
      <c r="PVV179" s="2"/>
      <c r="PVW179" s="2"/>
      <c r="PVX179" s="2"/>
      <c r="PVY179" s="2"/>
      <c r="PVZ179" s="2"/>
      <c r="PWA179" s="2"/>
      <c r="PWB179" s="2"/>
      <c r="PWC179" s="2"/>
      <c r="PWD179" s="2"/>
      <c r="PWE179" s="2"/>
      <c r="PWF179" s="2"/>
      <c r="PWG179" s="2"/>
      <c r="PWH179" s="2"/>
      <c r="PWI179" s="2"/>
      <c r="PWJ179" s="2"/>
      <c r="PWK179" s="2"/>
      <c r="PWL179" s="2"/>
      <c r="PWM179" s="2"/>
      <c r="PWN179" s="2"/>
      <c r="PWO179" s="2"/>
      <c r="PWP179" s="2"/>
      <c r="PWQ179" s="2"/>
      <c r="PWR179" s="2"/>
      <c r="PWS179" s="2"/>
      <c r="PWT179" s="2"/>
      <c r="PWU179" s="2"/>
      <c r="PWV179" s="2"/>
      <c r="PWW179" s="2"/>
      <c r="PWX179" s="2"/>
      <c r="PWY179" s="2"/>
      <c r="PWZ179" s="2"/>
      <c r="PXA179" s="2"/>
      <c r="PXB179" s="2"/>
      <c r="PXC179" s="2"/>
      <c r="PXD179" s="2"/>
      <c r="PXE179" s="2"/>
      <c r="PXF179" s="2"/>
      <c r="PXG179" s="2"/>
      <c r="PXH179" s="2"/>
      <c r="PXI179" s="2"/>
      <c r="PXJ179" s="2"/>
      <c r="PXK179" s="2"/>
      <c r="PXL179" s="2"/>
      <c r="PXM179" s="2"/>
      <c r="PXN179" s="2"/>
      <c r="PXO179" s="2"/>
      <c r="PXP179" s="2"/>
      <c r="PXQ179" s="2"/>
      <c r="PXR179" s="2"/>
      <c r="PXS179" s="2"/>
      <c r="PXT179" s="2"/>
      <c r="PXU179" s="2"/>
      <c r="PXV179" s="2"/>
      <c r="PXW179" s="2"/>
      <c r="PXX179" s="2"/>
      <c r="PXY179" s="2"/>
      <c r="PXZ179" s="2"/>
      <c r="PYA179" s="2"/>
      <c r="PYB179" s="2"/>
      <c r="PYC179" s="2"/>
      <c r="PYD179" s="2"/>
      <c r="PYE179" s="2"/>
      <c r="PYF179" s="2"/>
      <c r="PYG179" s="2"/>
      <c r="PYH179" s="2"/>
      <c r="PYI179" s="2"/>
      <c r="PYJ179" s="2"/>
      <c r="PYK179" s="2"/>
      <c r="PYL179" s="2"/>
      <c r="PYM179" s="2"/>
      <c r="PYN179" s="2"/>
      <c r="PYO179" s="2"/>
      <c r="PYP179" s="2"/>
      <c r="PYQ179" s="2"/>
      <c r="PYR179" s="2"/>
      <c r="PYS179" s="2"/>
      <c r="PYT179" s="2"/>
      <c r="PYU179" s="2"/>
      <c r="PYV179" s="2"/>
      <c r="PYW179" s="2"/>
      <c r="PYX179" s="2"/>
      <c r="PYY179" s="2"/>
      <c r="PYZ179" s="2"/>
      <c r="PZA179" s="2"/>
      <c r="PZB179" s="2"/>
      <c r="PZC179" s="2"/>
      <c r="PZD179" s="2"/>
      <c r="PZE179" s="2"/>
      <c r="PZF179" s="2"/>
      <c r="PZG179" s="2"/>
      <c r="PZH179" s="2"/>
      <c r="PZI179" s="2"/>
      <c r="PZJ179" s="2"/>
      <c r="PZK179" s="2"/>
      <c r="PZL179" s="2"/>
      <c r="PZM179" s="2"/>
      <c r="PZN179" s="2"/>
      <c r="PZO179" s="2"/>
      <c r="PZP179" s="2"/>
      <c r="PZQ179" s="2"/>
      <c r="PZR179" s="2"/>
      <c r="PZS179" s="2"/>
      <c r="PZT179" s="2"/>
      <c r="PZU179" s="2"/>
      <c r="PZV179" s="2"/>
      <c r="PZW179" s="2"/>
      <c r="PZX179" s="2"/>
      <c r="PZY179" s="2"/>
      <c r="PZZ179" s="2"/>
      <c r="QAA179" s="2"/>
      <c r="QAB179" s="2"/>
      <c r="QAC179" s="2"/>
      <c r="QAD179" s="2"/>
      <c r="QAE179" s="2"/>
      <c r="QAF179" s="2"/>
      <c r="QAG179" s="2"/>
      <c r="QAH179" s="2"/>
      <c r="QAI179" s="2"/>
      <c r="QAJ179" s="2"/>
      <c r="QAK179" s="2"/>
      <c r="QAL179" s="2"/>
      <c r="QAM179" s="2"/>
      <c r="QAN179" s="2"/>
      <c r="QAO179" s="2"/>
      <c r="QAP179" s="2"/>
      <c r="QAQ179" s="2"/>
      <c r="QAR179" s="2"/>
      <c r="QAS179" s="2"/>
      <c r="QAT179" s="2"/>
      <c r="QAU179" s="2"/>
      <c r="QAV179" s="2"/>
      <c r="QAW179" s="2"/>
      <c r="QAX179" s="2"/>
      <c r="QAY179" s="2"/>
      <c r="QAZ179" s="2"/>
      <c r="QBA179" s="2"/>
      <c r="QBB179" s="2"/>
      <c r="QBC179" s="2"/>
      <c r="QBD179" s="2"/>
      <c r="QBE179" s="2"/>
      <c r="QBF179" s="2"/>
      <c r="QBG179" s="2"/>
      <c r="QBH179" s="2"/>
      <c r="QBI179" s="2"/>
      <c r="QBJ179" s="2"/>
      <c r="QBK179" s="2"/>
      <c r="QBL179" s="2"/>
      <c r="QBM179" s="2"/>
      <c r="QBN179" s="2"/>
      <c r="QBO179" s="2"/>
      <c r="QBP179" s="2"/>
      <c r="QBQ179" s="2"/>
      <c r="QBR179" s="2"/>
      <c r="QBS179" s="2"/>
      <c r="QBT179" s="2"/>
      <c r="QBU179" s="2"/>
      <c r="QBV179" s="2"/>
      <c r="QBW179" s="2"/>
      <c r="QBX179" s="2"/>
      <c r="QBY179" s="2"/>
      <c r="QBZ179" s="2"/>
      <c r="QCA179" s="2"/>
      <c r="QCB179" s="2"/>
      <c r="QCC179" s="2"/>
      <c r="QCD179" s="2"/>
      <c r="QCE179" s="2"/>
      <c r="QCF179" s="2"/>
      <c r="QCG179" s="2"/>
      <c r="QCH179" s="2"/>
      <c r="QCI179" s="2"/>
      <c r="QCJ179" s="2"/>
      <c r="QCK179" s="2"/>
      <c r="QCL179" s="2"/>
      <c r="QCM179" s="2"/>
      <c r="QCN179" s="2"/>
      <c r="QCO179" s="2"/>
      <c r="QCP179" s="2"/>
      <c r="QCQ179" s="2"/>
      <c r="QCR179" s="2"/>
      <c r="QCS179" s="2"/>
      <c r="QCT179" s="2"/>
      <c r="QCU179" s="2"/>
      <c r="QCV179" s="2"/>
      <c r="QCW179" s="2"/>
      <c r="QCX179" s="2"/>
      <c r="QCY179" s="2"/>
      <c r="QCZ179" s="2"/>
      <c r="QDA179" s="2"/>
      <c r="QDB179" s="2"/>
      <c r="QDC179" s="2"/>
      <c r="QDD179" s="2"/>
      <c r="QDE179" s="2"/>
      <c r="QDF179" s="2"/>
      <c r="QDG179" s="2"/>
      <c r="QDH179" s="2"/>
      <c r="QDI179" s="2"/>
      <c r="QDJ179" s="2"/>
      <c r="QDK179" s="2"/>
      <c r="QDL179" s="2"/>
      <c r="QDM179" s="2"/>
      <c r="QDN179" s="2"/>
      <c r="QDO179" s="2"/>
      <c r="QDP179" s="2"/>
      <c r="QDQ179" s="2"/>
      <c r="QDR179" s="2"/>
      <c r="QDS179" s="2"/>
      <c r="QDT179" s="2"/>
      <c r="QDU179" s="2"/>
      <c r="QDV179" s="2"/>
      <c r="QDW179" s="2"/>
      <c r="QDX179" s="2"/>
      <c r="QDY179" s="2"/>
      <c r="QDZ179" s="2"/>
      <c r="QEA179" s="2"/>
      <c r="QEB179" s="2"/>
      <c r="QEC179" s="2"/>
      <c r="QED179" s="2"/>
      <c r="QEE179" s="2"/>
      <c r="QEF179" s="2"/>
      <c r="QEG179" s="2"/>
      <c r="QEH179" s="2"/>
      <c r="QEI179" s="2"/>
      <c r="QEJ179" s="2"/>
      <c r="QEK179" s="2"/>
      <c r="QEL179" s="2"/>
      <c r="QEM179" s="2"/>
      <c r="QEN179" s="2"/>
      <c r="QEO179" s="2"/>
      <c r="QEP179" s="2"/>
      <c r="QEQ179" s="2"/>
      <c r="QER179" s="2"/>
      <c r="QES179" s="2"/>
      <c r="QET179" s="2"/>
      <c r="QEU179" s="2"/>
      <c r="QEV179" s="2"/>
      <c r="QEW179" s="2"/>
      <c r="QEX179" s="2"/>
      <c r="QEY179" s="2"/>
      <c r="QEZ179" s="2"/>
      <c r="QFA179" s="2"/>
      <c r="QFB179" s="2"/>
      <c r="QFC179" s="2"/>
      <c r="QFD179" s="2"/>
      <c r="QFE179" s="2"/>
      <c r="QFF179" s="2"/>
      <c r="QFG179" s="2"/>
      <c r="QFH179" s="2"/>
      <c r="QFI179" s="2"/>
      <c r="QFJ179" s="2"/>
      <c r="QFK179" s="2"/>
      <c r="QFL179" s="2"/>
      <c r="QFM179" s="2"/>
      <c r="QFN179" s="2"/>
      <c r="QFO179" s="2"/>
      <c r="QFP179" s="2"/>
      <c r="QFQ179" s="2"/>
      <c r="QFR179" s="2"/>
      <c r="QFS179" s="2"/>
      <c r="QFT179" s="2"/>
      <c r="QFU179" s="2"/>
      <c r="QFV179" s="2"/>
      <c r="QFW179" s="2"/>
      <c r="QFX179" s="2"/>
      <c r="QFY179" s="2"/>
      <c r="QFZ179" s="2"/>
      <c r="QGA179" s="2"/>
      <c r="QGB179" s="2"/>
      <c r="QGC179" s="2"/>
      <c r="QGD179" s="2"/>
      <c r="QGE179" s="2"/>
      <c r="QGF179" s="2"/>
      <c r="QGG179" s="2"/>
      <c r="QGH179" s="2"/>
      <c r="QGI179" s="2"/>
      <c r="QGJ179" s="2"/>
      <c r="QGK179" s="2"/>
      <c r="QGL179" s="2"/>
      <c r="QGM179" s="2"/>
      <c r="QGN179" s="2"/>
      <c r="QGO179" s="2"/>
      <c r="QGP179" s="2"/>
      <c r="QGQ179" s="2"/>
      <c r="QGR179" s="2"/>
      <c r="QGS179" s="2"/>
      <c r="QGT179" s="2"/>
      <c r="QGU179" s="2"/>
      <c r="QGV179" s="2"/>
      <c r="QGW179" s="2"/>
      <c r="QGX179" s="2"/>
      <c r="QGY179" s="2"/>
      <c r="QGZ179" s="2"/>
      <c r="QHA179" s="2"/>
      <c r="QHB179" s="2"/>
      <c r="QHC179" s="2"/>
      <c r="QHD179" s="2"/>
      <c r="QHE179" s="2"/>
      <c r="QHF179" s="2"/>
      <c r="QHG179" s="2"/>
      <c r="QHH179" s="2"/>
      <c r="QHI179" s="2"/>
      <c r="QHJ179" s="2"/>
      <c r="QHK179" s="2"/>
      <c r="QHL179" s="2"/>
      <c r="QHM179" s="2"/>
      <c r="QHN179" s="2"/>
      <c r="QHO179" s="2"/>
      <c r="QHP179" s="2"/>
      <c r="QHQ179" s="2"/>
      <c r="QHR179" s="2"/>
      <c r="QHS179" s="2"/>
      <c r="QHT179" s="2"/>
      <c r="QHU179" s="2"/>
      <c r="QHV179" s="2"/>
      <c r="QHW179" s="2"/>
      <c r="QHX179" s="2"/>
      <c r="QHY179" s="2"/>
      <c r="QHZ179" s="2"/>
      <c r="QIA179" s="2"/>
      <c r="QIB179" s="2"/>
      <c r="QIC179" s="2"/>
      <c r="QID179" s="2"/>
      <c r="QIE179" s="2"/>
      <c r="QIF179" s="2"/>
      <c r="QIG179" s="2"/>
      <c r="QIH179" s="2"/>
      <c r="QII179" s="2"/>
      <c r="QIJ179" s="2"/>
      <c r="QIK179" s="2"/>
      <c r="QIL179" s="2"/>
      <c r="QIM179" s="2"/>
      <c r="QIN179" s="2"/>
      <c r="QIO179" s="2"/>
      <c r="QIP179" s="2"/>
      <c r="QIQ179" s="2"/>
      <c r="QIR179" s="2"/>
      <c r="QIS179" s="2"/>
      <c r="QIT179" s="2"/>
      <c r="QIU179" s="2"/>
      <c r="QIV179" s="2"/>
      <c r="QIW179" s="2"/>
      <c r="QIX179" s="2"/>
      <c r="QIY179" s="2"/>
      <c r="QIZ179" s="2"/>
      <c r="QJA179" s="2"/>
      <c r="QJB179" s="2"/>
      <c r="QJC179" s="2"/>
      <c r="QJD179" s="2"/>
      <c r="QJE179" s="2"/>
      <c r="QJF179" s="2"/>
      <c r="QJG179" s="2"/>
      <c r="QJH179" s="2"/>
      <c r="QJI179" s="2"/>
      <c r="QJJ179" s="2"/>
      <c r="QJK179" s="2"/>
      <c r="QJL179" s="2"/>
      <c r="QJM179" s="2"/>
      <c r="QJN179" s="2"/>
      <c r="QJO179" s="2"/>
      <c r="QJP179" s="2"/>
      <c r="QJQ179" s="2"/>
      <c r="QJR179" s="2"/>
      <c r="QJS179" s="2"/>
      <c r="QJT179" s="2"/>
      <c r="QJU179" s="2"/>
      <c r="QJV179" s="2"/>
      <c r="QJW179" s="2"/>
      <c r="QJX179" s="2"/>
      <c r="QJY179" s="2"/>
      <c r="QJZ179" s="2"/>
      <c r="QKA179" s="2"/>
      <c r="QKB179" s="2"/>
      <c r="QKC179" s="2"/>
      <c r="QKD179" s="2"/>
      <c r="QKE179" s="2"/>
      <c r="QKF179" s="2"/>
      <c r="QKG179" s="2"/>
      <c r="QKH179" s="2"/>
      <c r="QKI179" s="2"/>
      <c r="QKJ179" s="2"/>
      <c r="QKK179" s="2"/>
      <c r="QKL179" s="2"/>
      <c r="QKM179" s="2"/>
      <c r="QKN179" s="2"/>
      <c r="QKO179" s="2"/>
      <c r="QKP179" s="2"/>
      <c r="QKQ179" s="2"/>
      <c r="QKR179" s="2"/>
      <c r="QKS179" s="2"/>
      <c r="QKT179" s="2"/>
      <c r="QKU179" s="2"/>
      <c r="QKV179" s="2"/>
      <c r="QKW179" s="2"/>
      <c r="QKX179" s="2"/>
      <c r="QKY179" s="2"/>
      <c r="QKZ179" s="2"/>
      <c r="QLA179" s="2"/>
      <c r="QLB179" s="2"/>
      <c r="QLC179" s="2"/>
      <c r="QLD179" s="2"/>
      <c r="QLE179" s="2"/>
      <c r="QLF179" s="2"/>
      <c r="QLG179" s="2"/>
      <c r="QLH179" s="2"/>
      <c r="QLI179" s="2"/>
      <c r="QLJ179" s="2"/>
      <c r="QLK179" s="2"/>
      <c r="QLL179" s="2"/>
      <c r="QLM179" s="2"/>
      <c r="QLN179" s="2"/>
      <c r="QLO179" s="2"/>
      <c r="QLP179" s="2"/>
      <c r="QLQ179" s="2"/>
      <c r="QLR179" s="2"/>
      <c r="QLS179" s="2"/>
      <c r="QLT179" s="2"/>
      <c r="QLU179" s="2"/>
      <c r="QLV179" s="2"/>
      <c r="QLW179" s="2"/>
      <c r="QLX179" s="2"/>
      <c r="QLY179" s="2"/>
      <c r="QLZ179" s="2"/>
      <c r="QMA179" s="2"/>
      <c r="QMB179" s="2"/>
      <c r="QMC179" s="2"/>
      <c r="QMD179" s="2"/>
      <c r="QME179" s="2"/>
      <c r="QMF179" s="2"/>
      <c r="QMG179" s="2"/>
      <c r="QMH179" s="2"/>
      <c r="QMI179" s="2"/>
      <c r="QMJ179" s="2"/>
      <c r="QMK179" s="2"/>
      <c r="QML179" s="2"/>
      <c r="QMM179" s="2"/>
      <c r="QMN179" s="2"/>
      <c r="QMO179" s="2"/>
      <c r="QMP179" s="2"/>
      <c r="QMQ179" s="2"/>
      <c r="QMR179" s="2"/>
      <c r="QMS179" s="2"/>
      <c r="QMT179" s="2"/>
      <c r="QMU179" s="2"/>
      <c r="QMV179" s="2"/>
      <c r="QMW179" s="2"/>
      <c r="QMX179" s="2"/>
      <c r="QMY179" s="2"/>
      <c r="QMZ179" s="2"/>
      <c r="QNA179" s="2"/>
      <c r="QNB179" s="2"/>
      <c r="QNC179" s="2"/>
      <c r="QND179" s="2"/>
      <c r="QNE179" s="2"/>
      <c r="QNF179" s="2"/>
      <c r="QNG179" s="2"/>
      <c r="QNH179" s="2"/>
      <c r="QNI179" s="2"/>
      <c r="QNJ179" s="2"/>
      <c r="QNK179" s="2"/>
      <c r="QNL179" s="2"/>
      <c r="QNM179" s="2"/>
      <c r="QNN179" s="2"/>
      <c r="QNO179" s="2"/>
      <c r="QNP179" s="2"/>
      <c r="QNQ179" s="2"/>
      <c r="QNR179" s="2"/>
      <c r="QNS179" s="2"/>
      <c r="QNT179" s="2"/>
      <c r="QNU179" s="2"/>
      <c r="QNV179" s="2"/>
      <c r="QNW179" s="2"/>
      <c r="QNX179" s="2"/>
      <c r="QNY179" s="2"/>
      <c r="QNZ179" s="2"/>
      <c r="QOA179" s="2"/>
      <c r="QOB179" s="2"/>
      <c r="QOC179" s="2"/>
      <c r="QOD179" s="2"/>
      <c r="QOE179" s="2"/>
      <c r="QOF179" s="2"/>
      <c r="QOG179" s="2"/>
      <c r="QOH179" s="2"/>
      <c r="QOI179" s="2"/>
      <c r="QOJ179" s="2"/>
      <c r="QOK179" s="2"/>
      <c r="QOL179" s="2"/>
      <c r="QOM179" s="2"/>
      <c r="QON179" s="2"/>
      <c r="QOO179" s="2"/>
      <c r="QOP179" s="2"/>
      <c r="QOQ179" s="2"/>
      <c r="QOR179" s="2"/>
      <c r="QOS179" s="2"/>
      <c r="QOT179" s="2"/>
      <c r="QOU179" s="2"/>
      <c r="QOV179" s="2"/>
      <c r="QOW179" s="2"/>
      <c r="QOX179" s="2"/>
      <c r="QOY179" s="2"/>
      <c r="QOZ179" s="2"/>
      <c r="QPA179" s="2"/>
      <c r="QPB179" s="2"/>
      <c r="QPC179" s="2"/>
      <c r="QPD179" s="2"/>
      <c r="QPE179" s="2"/>
      <c r="QPF179" s="2"/>
      <c r="QPG179" s="2"/>
      <c r="QPH179" s="2"/>
      <c r="QPI179" s="2"/>
      <c r="QPJ179" s="2"/>
      <c r="QPK179" s="2"/>
      <c r="QPL179" s="2"/>
      <c r="QPM179" s="2"/>
      <c r="QPN179" s="2"/>
      <c r="QPO179" s="2"/>
      <c r="QPP179" s="2"/>
      <c r="QPQ179" s="2"/>
      <c r="QPR179" s="2"/>
      <c r="QPS179" s="2"/>
      <c r="QPT179" s="2"/>
      <c r="QPU179" s="2"/>
      <c r="QPV179" s="2"/>
      <c r="QPW179" s="2"/>
      <c r="QPX179" s="2"/>
      <c r="QPY179" s="2"/>
      <c r="QPZ179" s="2"/>
      <c r="QQA179" s="2"/>
      <c r="QQB179" s="2"/>
      <c r="QQC179" s="2"/>
      <c r="QQD179" s="2"/>
      <c r="QQE179" s="2"/>
      <c r="QQF179" s="2"/>
      <c r="QQG179" s="2"/>
      <c r="QQH179" s="2"/>
      <c r="QQI179" s="2"/>
      <c r="QQJ179" s="2"/>
      <c r="QQK179" s="2"/>
      <c r="QQL179" s="2"/>
      <c r="QQM179" s="2"/>
      <c r="QQN179" s="2"/>
      <c r="QQO179" s="2"/>
      <c r="QQP179" s="2"/>
      <c r="QQQ179" s="2"/>
      <c r="QQR179" s="2"/>
      <c r="QQS179" s="2"/>
      <c r="QQT179" s="2"/>
      <c r="QQU179" s="2"/>
      <c r="QQV179" s="2"/>
      <c r="QQW179" s="2"/>
      <c r="QQX179" s="2"/>
      <c r="QQY179" s="2"/>
      <c r="QQZ179" s="2"/>
      <c r="QRA179" s="2"/>
      <c r="QRB179" s="2"/>
      <c r="QRC179" s="2"/>
      <c r="QRD179" s="2"/>
      <c r="QRE179" s="2"/>
      <c r="QRF179" s="2"/>
      <c r="QRG179" s="2"/>
      <c r="QRH179" s="2"/>
      <c r="QRI179" s="2"/>
      <c r="QRJ179" s="2"/>
      <c r="QRK179" s="2"/>
      <c r="QRL179" s="2"/>
      <c r="QRM179" s="2"/>
      <c r="QRN179" s="2"/>
      <c r="QRO179" s="2"/>
      <c r="QRP179" s="2"/>
      <c r="QRQ179" s="2"/>
      <c r="QRR179" s="2"/>
      <c r="QRS179" s="2"/>
      <c r="QRT179" s="2"/>
      <c r="QRU179" s="2"/>
      <c r="QRV179" s="2"/>
      <c r="QRW179" s="2"/>
      <c r="QRX179" s="2"/>
      <c r="QRY179" s="2"/>
      <c r="QRZ179" s="2"/>
      <c r="QSA179" s="2"/>
      <c r="QSB179" s="2"/>
      <c r="QSC179" s="2"/>
      <c r="QSD179" s="2"/>
      <c r="QSE179" s="2"/>
      <c r="QSF179" s="2"/>
      <c r="QSG179" s="2"/>
      <c r="QSH179" s="2"/>
      <c r="QSI179" s="2"/>
      <c r="QSJ179" s="2"/>
      <c r="QSK179" s="2"/>
      <c r="QSL179" s="2"/>
      <c r="QSM179" s="2"/>
      <c r="QSN179" s="2"/>
      <c r="QSO179" s="2"/>
      <c r="QSP179" s="2"/>
      <c r="QSQ179" s="2"/>
      <c r="QSR179" s="2"/>
      <c r="QSS179" s="2"/>
      <c r="QST179" s="2"/>
      <c r="QSU179" s="2"/>
      <c r="QSV179" s="2"/>
      <c r="QSW179" s="2"/>
      <c r="QSX179" s="2"/>
      <c r="QSY179" s="2"/>
      <c r="QSZ179" s="2"/>
      <c r="QTA179" s="2"/>
      <c r="QTB179" s="2"/>
      <c r="QTC179" s="2"/>
      <c r="QTD179" s="2"/>
      <c r="QTE179" s="2"/>
      <c r="QTF179" s="2"/>
      <c r="QTG179" s="2"/>
      <c r="QTH179" s="2"/>
      <c r="QTI179" s="2"/>
      <c r="QTJ179" s="2"/>
      <c r="QTK179" s="2"/>
      <c r="QTL179" s="2"/>
      <c r="QTM179" s="2"/>
      <c r="QTN179" s="2"/>
      <c r="QTO179" s="2"/>
      <c r="QTP179" s="2"/>
      <c r="QTQ179" s="2"/>
      <c r="QTR179" s="2"/>
      <c r="QTS179" s="2"/>
      <c r="QTT179" s="2"/>
      <c r="QTU179" s="2"/>
      <c r="QTV179" s="2"/>
      <c r="QTW179" s="2"/>
      <c r="QTX179" s="2"/>
      <c r="QTY179" s="2"/>
      <c r="QTZ179" s="2"/>
      <c r="QUA179" s="2"/>
      <c r="QUB179" s="2"/>
      <c r="QUC179" s="2"/>
      <c r="QUD179" s="2"/>
      <c r="QUE179" s="2"/>
      <c r="QUF179" s="2"/>
      <c r="QUG179" s="2"/>
      <c r="QUH179" s="2"/>
      <c r="QUI179" s="2"/>
      <c r="QUJ179" s="2"/>
      <c r="QUK179" s="2"/>
      <c r="QUL179" s="2"/>
      <c r="QUM179" s="2"/>
      <c r="QUN179" s="2"/>
      <c r="QUO179" s="2"/>
      <c r="QUP179" s="2"/>
      <c r="QUQ179" s="2"/>
      <c r="QUR179" s="2"/>
      <c r="QUS179" s="2"/>
      <c r="QUT179" s="2"/>
      <c r="QUU179" s="2"/>
      <c r="QUV179" s="2"/>
      <c r="QUW179" s="2"/>
      <c r="QUX179" s="2"/>
      <c r="QUY179" s="2"/>
      <c r="QUZ179" s="2"/>
      <c r="QVA179" s="2"/>
      <c r="QVB179" s="2"/>
      <c r="QVC179" s="2"/>
      <c r="QVD179" s="2"/>
      <c r="QVE179" s="2"/>
      <c r="QVF179" s="2"/>
      <c r="QVG179" s="2"/>
      <c r="QVH179" s="2"/>
      <c r="QVI179" s="2"/>
      <c r="QVJ179" s="2"/>
      <c r="QVK179" s="2"/>
      <c r="QVL179" s="2"/>
      <c r="QVM179" s="2"/>
      <c r="QVN179" s="2"/>
      <c r="QVO179" s="2"/>
      <c r="QVP179" s="2"/>
      <c r="QVQ179" s="2"/>
      <c r="QVR179" s="2"/>
      <c r="QVS179" s="2"/>
      <c r="QVT179" s="2"/>
      <c r="QVU179" s="2"/>
      <c r="QVV179" s="2"/>
      <c r="QVW179" s="2"/>
      <c r="QVX179" s="2"/>
      <c r="QVY179" s="2"/>
      <c r="QVZ179" s="2"/>
      <c r="QWA179" s="2"/>
      <c r="QWB179" s="2"/>
      <c r="QWC179" s="2"/>
      <c r="QWD179" s="2"/>
      <c r="QWE179" s="2"/>
      <c r="QWF179" s="2"/>
      <c r="QWG179" s="2"/>
      <c r="QWH179" s="2"/>
      <c r="QWI179" s="2"/>
      <c r="QWJ179" s="2"/>
      <c r="QWK179" s="2"/>
      <c r="QWL179" s="2"/>
      <c r="QWM179" s="2"/>
      <c r="QWN179" s="2"/>
      <c r="QWO179" s="2"/>
      <c r="QWP179" s="2"/>
      <c r="QWQ179" s="2"/>
      <c r="QWR179" s="2"/>
      <c r="QWS179" s="2"/>
      <c r="QWT179" s="2"/>
      <c r="QWU179" s="2"/>
      <c r="QWV179" s="2"/>
      <c r="QWW179" s="2"/>
      <c r="QWX179" s="2"/>
      <c r="QWY179" s="2"/>
      <c r="QWZ179" s="2"/>
      <c r="QXA179" s="2"/>
      <c r="QXB179" s="2"/>
      <c r="QXC179" s="2"/>
      <c r="QXD179" s="2"/>
      <c r="QXE179" s="2"/>
      <c r="QXF179" s="2"/>
      <c r="QXG179" s="2"/>
      <c r="QXH179" s="2"/>
      <c r="QXI179" s="2"/>
      <c r="QXJ179" s="2"/>
      <c r="QXK179" s="2"/>
      <c r="QXL179" s="2"/>
      <c r="QXM179" s="2"/>
      <c r="QXN179" s="2"/>
      <c r="QXO179" s="2"/>
      <c r="QXP179" s="2"/>
      <c r="QXQ179" s="2"/>
      <c r="QXR179" s="2"/>
      <c r="QXS179" s="2"/>
      <c r="QXT179" s="2"/>
      <c r="QXU179" s="2"/>
      <c r="QXV179" s="2"/>
      <c r="QXW179" s="2"/>
      <c r="QXX179" s="2"/>
      <c r="QXY179" s="2"/>
      <c r="QXZ179" s="2"/>
      <c r="QYA179" s="2"/>
      <c r="QYB179" s="2"/>
      <c r="QYC179" s="2"/>
      <c r="QYD179" s="2"/>
      <c r="QYE179" s="2"/>
      <c r="QYF179" s="2"/>
      <c r="QYG179" s="2"/>
      <c r="QYH179" s="2"/>
      <c r="QYI179" s="2"/>
      <c r="QYJ179" s="2"/>
      <c r="QYK179" s="2"/>
      <c r="QYL179" s="2"/>
      <c r="QYM179" s="2"/>
      <c r="QYN179" s="2"/>
      <c r="QYO179" s="2"/>
      <c r="QYP179" s="2"/>
      <c r="QYQ179" s="2"/>
      <c r="QYR179" s="2"/>
      <c r="QYS179" s="2"/>
      <c r="QYT179" s="2"/>
      <c r="QYU179" s="2"/>
      <c r="QYV179" s="2"/>
      <c r="QYW179" s="2"/>
      <c r="QYX179" s="2"/>
      <c r="QYY179" s="2"/>
      <c r="QYZ179" s="2"/>
      <c r="QZA179" s="2"/>
      <c r="QZB179" s="2"/>
      <c r="QZC179" s="2"/>
      <c r="QZD179" s="2"/>
      <c r="QZE179" s="2"/>
      <c r="QZF179" s="2"/>
      <c r="QZG179" s="2"/>
      <c r="QZH179" s="2"/>
      <c r="QZI179" s="2"/>
      <c r="QZJ179" s="2"/>
      <c r="QZK179" s="2"/>
      <c r="QZL179" s="2"/>
      <c r="QZM179" s="2"/>
      <c r="QZN179" s="2"/>
      <c r="QZO179" s="2"/>
      <c r="QZP179" s="2"/>
      <c r="QZQ179" s="2"/>
      <c r="QZR179" s="2"/>
      <c r="QZS179" s="2"/>
      <c r="QZT179" s="2"/>
      <c r="QZU179" s="2"/>
      <c r="QZV179" s="2"/>
      <c r="QZW179" s="2"/>
      <c r="QZX179" s="2"/>
      <c r="QZY179" s="2"/>
      <c r="QZZ179" s="2"/>
      <c r="RAA179" s="2"/>
      <c r="RAB179" s="2"/>
      <c r="RAC179" s="2"/>
      <c r="RAD179" s="2"/>
      <c r="RAE179" s="2"/>
      <c r="RAF179" s="2"/>
      <c r="RAG179" s="2"/>
      <c r="RAH179" s="2"/>
      <c r="RAI179" s="2"/>
      <c r="RAJ179" s="2"/>
      <c r="RAK179" s="2"/>
      <c r="RAL179" s="2"/>
      <c r="RAM179" s="2"/>
      <c r="RAN179" s="2"/>
      <c r="RAO179" s="2"/>
      <c r="RAP179" s="2"/>
      <c r="RAQ179" s="2"/>
      <c r="RAR179" s="2"/>
      <c r="RAS179" s="2"/>
      <c r="RAT179" s="2"/>
      <c r="RAU179" s="2"/>
      <c r="RAV179" s="2"/>
      <c r="RAW179" s="2"/>
      <c r="RAX179" s="2"/>
      <c r="RAY179" s="2"/>
      <c r="RAZ179" s="2"/>
      <c r="RBA179" s="2"/>
      <c r="RBB179" s="2"/>
      <c r="RBC179" s="2"/>
      <c r="RBD179" s="2"/>
      <c r="RBE179" s="2"/>
      <c r="RBF179" s="2"/>
      <c r="RBG179" s="2"/>
      <c r="RBH179" s="2"/>
      <c r="RBI179" s="2"/>
      <c r="RBJ179" s="2"/>
      <c r="RBK179" s="2"/>
      <c r="RBL179" s="2"/>
      <c r="RBM179" s="2"/>
      <c r="RBN179" s="2"/>
      <c r="RBO179" s="2"/>
      <c r="RBP179" s="2"/>
      <c r="RBQ179" s="2"/>
      <c r="RBR179" s="2"/>
      <c r="RBS179" s="2"/>
      <c r="RBT179" s="2"/>
      <c r="RBU179" s="2"/>
      <c r="RBV179" s="2"/>
      <c r="RBW179" s="2"/>
      <c r="RBX179" s="2"/>
      <c r="RBY179" s="2"/>
      <c r="RBZ179" s="2"/>
      <c r="RCA179" s="2"/>
      <c r="RCB179" s="2"/>
      <c r="RCC179" s="2"/>
      <c r="RCD179" s="2"/>
      <c r="RCE179" s="2"/>
      <c r="RCF179" s="2"/>
      <c r="RCG179" s="2"/>
      <c r="RCH179" s="2"/>
      <c r="RCI179" s="2"/>
      <c r="RCJ179" s="2"/>
      <c r="RCK179" s="2"/>
      <c r="RCL179" s="2"/>
      <c r="RCM179" s="2"/>
      <c r="RCN179" s="2"/>
      <c r="RCO179" s="2"/>
      <c r="RCP179" s="2"/>
      <c r="RCQ179" s="2"/>
      <c r="RCR179" s="2"/>
      <c r="RCS179" s="2"/>
      <c r="RCT179" s="2"/>
      <c r="RCU179" s="2"/>
      <c r="RCV179" s="2"/>
      <c r="RCW179" s="2"/>
      <c r="RCX179" s="2"/>
      <c r="RCY179" s="2"/>
      <c r="RCZ179" s="2"/>
      <c r="RDA179" s="2"/>
      <c r="RDB179" s="2"/>
      <c r="RDC179" s="2"/>
      <c r="RDD179" s="2"/>
      <c r="RDE179" s="2"/>
      <c r="RDF179" s="2"/>
      <c r="RDG179" s="2"/>
      <c r="RDH179" s="2"/>
      <c r="RDI179" s="2"/>
      <c r="RDJ179" s="2"/>
      <c r="RDK179" s="2"/>
      <c r="RDL179" s="2"/>
      <c r="RDM179" s="2"/>
      <c r="RDN179" s="2"/>
      <c r="RDO179" s="2"/>
      <c r="RDP179" s="2"/>
      <c r="RDQ179" s="2"/>
      <c r="RDR179" s="2"/>
      <c r="RDS179" s="2"/>
      <c r="RDT179" s="2"/>
      <c r="RDU179" s="2"/>
      <c r="RDV179" s="2"/>
      <c r="RDW179" s="2"/>
      <c r="RDX179" s="2"/>
      <c r="RDY179" s="2"/>
      <c r="RDZ179" s="2"/>
      <c r="REA179" s="2"/>
      <c r="REB179" s="2"/>
      <c r="REC179" s="2"/>
      <c r="RED179" s="2"/>
      <c r="REE179" s="2"/>
      <c r="REF179" s="2"/>
      <c r="REG179" s="2"/>
      <c r="REH179" s="2"/>
      <c r="REI179" s="2"/>
      <c r="REJ179" s="2"/>
      <c r="REK179" s="2"/>
      <c r="REL179" s="2"/>
      <c r="REM179" s="2"/>
      <c r="REN179" s="2"/>
      <c r="REO179" s="2"/>
      <c r="REP179" s="2"/>
      <c r="REQ179" s="2"/>
      <c r="RER179" s="2"/>
      <c r="RES179" s="2"/>
      <c r="RET179" s="2"/>
      <c r="REU179" s="2"/>
      <c r="REV179" s="2"/>
      <c r="REW179" s="2"/>
      <c r="REX179" s="2"/>
      <c r="REY179" s="2"/>
      <c r="REZ179" s="2"/>
      <c r="RFA179" s="2"/>
      <c r="RFB179" s="2"/>
      <c r="RFC179" s="2"/>
      <c r="RFD179" s="2"/>
      <c r="RFE179" s="2"/>
      <c r="RFF179" s="2"/>
      <c r="RFG179" s="2"/>
      <c r="RFH179" s="2"/>
      <c r="RFI179" s="2"/>
      <c r="RFJ179" s="2"/>
      <c r="RFK179" s="2"/>
      <c r="RFL179" s="2"/>
      <c r="RFM179" s="2"/>
      <c r="RFN179" s="2"/>
      <c r="RFO179" s="2"/>
      <c r="RFP179" s="2"/>
      <c r="RFQ179" s="2"/>
      <c r="RFR179" s="2"/>
      <c r="RFS179" s="2"/>
      <c r="RFT179" s="2"/>
      <c r="RFU179" s="2"/>
      <c r="RFV179" s="2"/>
      <c r="RFW179" s="2"/>
      <c r="RFX179" s="2"/>
      <c r="RFY179" s="2"/>
      <c r="RFZ179" s="2"/>
      <c r="RGA179" s="2"/>
      <c r="RGB179" s="2"/>
      <c r="RGC179" s="2"/>
      <c r="RGD179" s="2"/>
      <c r="RGE179" s="2"/>
      <c r="RGF179" s="2"/>
      <c r="RGG179" s="2"/>
      <c r="RGH179" s="2"/>
      <c r="RGI179" s="2"/>
      <c r="RGJ179" s="2"/>
      <c r="RGK179" s="2"/>
      <c r="RGL179" s="2"/>
      <c r="RGM179" s="2"/>
      <c r="RGN179" s="2"/>
      <c r="RGO179" s="2"/>
      <c r="RGP179" s="2"/>
      <c r="RGQ179" s="2"/>
      <c r="RGR179" s="2"/>
      <c r="RGS179" s="2"/>
      <c r="RGT179" s="2"/>
      <c r="RGU179" s="2"/>
      <c r="RGV179" s="2"/>
      <c r="RGW179" s="2"/>
      <c r="RGX179" s="2"/>
      <c r="RGY179" s="2"/>
      <c r="RGZ179" s="2"/>
      <c r="RHA179" s="2"/>
      <c r="RHB179" s="2"/>
      <c r="RHC179" s="2"/>
      <c r="RHD179" s="2"/>
      <c r="RHE179" s="2"/>
      <c r="RHF179" s="2"/>
      <c r="RHG179" s="2"/>
      <c r="RHH179" s="2"/>
      <c r="RHI179" s="2"/>
      <c r="RHJ179" s="2"/>
      <c r="RHK179" s="2"/>
      <c r="RHL179" s="2"/>
      <c r="RHM179" s="2"/>
      <c r="RHN179" s="2"/>
      <c r="RHO179" s="2"/>
      <c r="RHP179" s="2"/>
      <c r="RHQ179" s="2"/>
      <c r="RHR179" s="2"/>
      <c r="RHS179" s="2"/>
      <c r="RHT179" s="2"/>
      <c r="RHU179" s="2"/>
      <c r="RHV179" s="2"/>
      <c r="RHW179" s="2"/>
      <c r="RHX179" s="2"/>
      <c r="RHY179" s="2"/>
      <c r="RHZ179" s="2"/>
      <c r="RIA179" s="2"/>
      <c r="RIB179" s="2"/>
      <c r="RIC179" s="2"/>
      <c r="RID179" s="2"/>
      <c r="RIE179" s="2"/>
      <c r="RIF179" s="2"/>
      <c r="RIG179" s="2"/>
      <c r="RIH179" s="2"/>
      <c r="RII179" s="2"/>
      <c r="RIJ179" s="2"/>
      <c r="RIK179" s="2"/>
      <c r="RIL179" s="2"/>
      <c r="RIM179" s="2"/>
      <c r="RIN179" s="2"/>
      <c r="RIO179" s="2"/>
      <c r="RIP179" s="2"/>
      <c r="RIQ179" s="2"/>
      <c r="RIR179" s="2"/>
      <c r="RIS179" s="2"/>
      <c r="RIT179" s="2"/>
      <c r="RIU179" s="2"/>
      <c r="RIV179" s="2"/>
      <c r="RIW179" s="2"/>
      <c r="RIX179" s="2"/>
      <c r="RIY179" s="2"/>
      <c r="RIZ179" s="2"/>
      <c r="RJA179" s="2"/>
      <c r="RJB179" s="2"/>
      <c r="RJC179" s="2"/>
      <c r="RJD179" s="2"/>
      <c r="RJE179" s="2"/>
      <c r="RJF179" s="2"/>
      <c r="RJG179" s="2"/>
      <c r="RJH179" s="2"/>
      <c r="RJI179" s="2"/>
      <c r="RJJ179" s="2"/>
      <c r="RJK179" s="2"/>
      <c r="RJL179" s="2"/>
      <c r="RJM179" s="2"/>
      <c r="RJN179" s="2"/>
      <c r="RJO179" s="2"/>
      <c r="RJP179" s="2"/>
      <c r="RJQ179" s="2"/>
      <c r="RJR179" s="2"/>
      <c r="RJS179" s="2"/>
      <c r="RJT179" s="2"/>
      <c r="RJU179" s="2"/>
      <c r="RJV179" s="2"/>
      <c r="RJW179" s="2"/>
      <c r="RJX179" s="2"/>
      <c r="RJY179" s="2"/>
      <c r="RJZ179" s="2"/>
      <c r="RKA179" s="2"/>
      <c r="RKB179" s="2"/>
      <c r="RKC179" s="2"/>
      <c r="RKD179" s="2"/>
      <c r="RKE179" s="2"/>
      <c r="RKF179" s="2"/>
      <c r="RKG179" s="2"/>
      <c r="RKH179" s="2"/>
      <c r="RKI179" s="2"/>
      <c r="RKJ179" s="2"/>
      <c r="RKK179" s="2"/>
      <c r="RKL179" s="2"/>
      <c r="RKM179" s="2"/>
      <c r="RKN179" s="2"/>
      <c r="RKO179" s="2"/>
      <c r="RKP179" s="2"/>
      <c r="RKQ179" s="2"/>
      <c r="RKR179" s="2"/>
      <c r="RKS179" s="2"/>
      <c r="RKT179" s="2"/>
      <c r="RKU179" s="2"/>
      <c r="RKV179" s="2"/>
      <c r="RKW179" s="2"/>
      <c r="RKX179" s="2"/>
      <c r="RKY179" s="2"/>
      <c r="RKZ179" s="2"/>
      <c r="RLA179" s="2"/>
      <c r="RLB179" s="2"/>
      <c r="RLC179" s="2"/>
      <c r="RLD179" s="2"/>
      <c r="RLE179" s="2"/>
      <c r="RLF179" s="2"/>
      <c r="RLG179" s="2"/>
      <c r="RLH179" s="2"/>
      <c r="RLI179" s="2"/>
      <c r="RLJ179" s="2"/>
      <c r="RLK179" s="2"/>
      <c r="RLL179" s="2"/>
      <c r="RLM179" s="2"/>
      <c r="RLN179" s="2"/>
      <c r="RLO179" s="2"/>
      <c r="RLP179" s="2"/>
      <c r="RLQ179" s="2"/>
      <c r="RLR179" s="2"/>
      <c r="RLS179" s="2"/>
      <c r="RLT179" s="2"/>
      <c r="RLU179" s="2"/>
      <c r="RLV179" s="2"/>
      <c r="RLW179" s="2"/>
      <c r="RLX179" s="2"/>
      <c r="RLY179" s="2"/>
      <c r="RLZ179" s="2"/>
      <c r="RMA179" s="2"/>
      <c r="RMB179" s="2"/>
      <c r="RMC179" s="2"/>
      <c r="RMD179" s="2"/>
      <c r="RME179" s="2"/>
      <c r="RMF179" s="2"/>
      <c r="RMG179" s="2"/>
      <c r="RMH179" s="2"/>
      <c r="RMI179" s="2"/>
      <c r="RMJ179" s="2"/>
      <c r="RMK179" s="2"/>
      <c r="RML179" s="2"/>
      <c r="RMM179" s="2"/>
      <c r="RMN179" s="2"/>
      <c r="RMO179" s="2"/>
      <c r="RMP179" s="2"/>
      <c r="RMQ179" s="2"/>
      <c r="RMR179" s="2"/>
      <c r="RMS179" s="2"/>
      <c r="RMT179" s="2"/>
      <c r="RMU179" s="2"/>
      <c r="RMV179" s="2"/>
      <c r="RMW179" s="2"/>
      <c r="RMX179" s="2"/>
      <c r="RMY179" s="2"/>
      <c r="RMZ179" s="2"/>
      <c r="RNA179" s="2"/>
      <c r="RNB179" s="2"/>
      <c r="RNC179" s="2"/>
      <c r="RND179" s="2"/>
      <c r="RNE179" s="2"/>
      <c r="RNF179" s="2"/>
      <c r="RNG179" s="2"/>
      <c r="RNH179" s="2"/>
      <c r="RNI179" s="2"/>
      <c r="RNJ179" s="2"/>
      <c r="RNK179" s="2"/>
      <c r="RNL179" s="2"/>
      <c r="RNM179" s="2"/>
      <c r="RNN179" s="2"/>
      <c r="RNO179" s="2"/>
      <c r="RNP179" s="2"/>
      <c r="RNQ179" s="2"/>
      <c r="RNR179" s="2"/>
      <c r="RNS179" s="2"/>
      <c r="RNT179" s="2"/>
      <c r="RNU179" s="2"/>
      <c r="RNV179" s="2"/>
      <c r="RNW179" s="2"/>
      <c r="RNX179" s="2"/>
      <c r="RNY179" s="2"/>
      <c r="RNZ179" s="2"/>
      <c r="ROA179" s="2"/>
      <c r="ROB179" s="2"/>
      <c r="ROC179" s="2"/>
      <c r="ROD179" s="2"/>
      <c r="ROE179" s="2"/>
      <c r="ROF179" s="2"/>
      <c r="ROG179" s="2"/>
      <c r="ROH179" s="2"/>
      <c r="ROI179" s="2"/>
      <c r="ROJ179" s="2"/>
      <c r="ROK179" s="2"/>
      <c r="ROL179" s="2"/>
      <c r="ROM179" s="2"/>
      <c r="RON179" s="2"/>
      <c r="ROO179" s="2"/>
      <c r="ROP179" s="2"/>
      <c r="ROQ179" s="2"/>
      <c r="ROR179" s="2"/>
      <c r="ROS179" s="2"/>
      <c r="ROT179" s="2"/>
      <c r="ROU179" s="2"/>
      <c r="ROV179" s="2"/>
      <c r="ROW179" s="2"/>
      <c r="ROX179" s="2"/>
      <c r="ROY179" s="2"/>
      <c r="ROZ179" s="2"/>
      <c r="RPA179" s="2"/>
      <c r="RPB179" s="2"/>
      <c r="RPC179" s="2"/>
      <c r="RPD179" s="2"/>
      <c r="RPE179" s="2"/>
      <c r="RPF179" s="2"/>
      <c r="RPG179" s="2"/>
      <c r="RPH179" s="2"/>
      <c r="RPI179" s="2"/>
      <c r="RPJ179" s="2"/>
      <c r="RPK179" s="2"/>
      <c r="RPL179" s="2"/>
      <c r="RPM179" s="2"/>
      <c r="RPN179" s="2"/>
      <c r="RPO179" s="2"/>
      <c r="RPP179" s="2"/>
      <c r="RPQ179" s="2"/>
      <c r="RPR179" s="2"/>
      <c r="RPS179" s="2"/>
      <c r="RPT179" s="2"/>
      <c r="RPU179" s="2"/>
      <c r="RPV179" s="2"/>
      <c r="RPW179" s="2"/>
      <c r="RPX179" s="2"/>
      <c r="RPY179" s="2"/>
      <c r="RPZ179" s="2"/>
      <c r="RQA179" s="2"/>
      <c r="RQB179" s="2"/>
      <c r="RQC179" s="2"/>
      <c r="RQD179" s="2"/>
      <c r="RQE179" s="2"/>
      <c r="RQF179" s="2"/>
      <c r="RQG179" s="2"/>
      <c r="RQH179" s="2"/>
      <c r="RQI179" s="2"/>
      <c r="RQJ179" s="2"/>
      <c r="RQK179" s="2"/>
      <c r="RQL179" s="2"/>
      <c r="RQM179" s="2"/>
      <c r="RQN179" s="2"/>
      <c r="RQO179" s="2"/>
      <c r="RQP179" s="2"/>
      <c r="RQQ179" s="2"/>
      <c r="RQR179" s="2"/>
      <c r="RQS179" s="2"/>
      <c r="RQT179" s="2"/>
      <c r="RQU179" s="2"/>
      <c r="RQV179" s="2"/>
      <c r="RQW179" s="2"/>
      <c r="RQX179" s="2"/>
      <c r="RQY179" s="2"/>
      <c r="RQZ179" s="2"/>
      <c r="RRA179" s="2"/>
      <c r="RRB179" s="2"/>
      <c r="RRC179" s="2"/>
      <c r="RRD179" s="2"/>
      <c r="RRE179" s="2"/>
      <c r="RRF179" s="2"/>
      <c r="RRG179" s="2"/>
      <c r="RRH179" s="2"/>
      <c r="RRI179" s="2"/>
      <c r="RRJ179" s="2"/>
      <c r="RRK179" s="2"/>
      <c r="RRL179" s="2"/>
      <c r="RRM179" s="2"/>
      <c r="RRN179" s="2"/>
      <c r="RRO179" s="2"/>
      <c r="RRP179" s="2"/>
      <c r="RRQ179" s="2"/>
      <c r="RRR179" s="2"/>
      <c r="RRS179" s="2"/>
      <c r="RRT179" s="2"/>
      <c r="RRU179" s="2"/>
      <c r="RRV179" s="2"/>
      <c r="RRW179" s="2"/>
      <c r="RRX179" s="2"/>
      <c r="RRY179" s="2"/>
      <c r="RRZ179" s="2"/>
      <c r="RSA179" s="2"/>
      <c r="RSB179" s="2"/>
      <c r="RSC179" s="2"/>
      <c r="RSD179" s="2"/>
      <c r="RSE179" s="2"/>
      <c r="RSF179" s="2"/>
      <c r="RSG179" s="2"/>
      <c r="RSH179" s="2"/>
      <c r="RSI179" s="2"/>
      <c r="RSJ179" s="2"/>
      <c r="RSK179" s="2"/>
      <c r="RSL179" s="2"/>
      <c r="RSM179" s="2"/>
      <c r="RSN179" s="2"/>
      <c r="RSO179" s="2"/>
      <c r="RSP179" s="2"/>
      <c r="RSQ179" s="2"/>
      <c r="RSR179" s="2"/>
      <c r="RSS179" s="2"/>
      <c r="RST179" s="2"/>
      <c r="RSU179" s="2"/>
      <c r="RSV179" s="2"/>
      <c r="RSW179" s="2"/>
      <c r="RSX179" s="2"/>
      <c r="RSY179" s="2"/>
      <c r="RSZ179" s="2"/>
      <c r="RTA179" s="2"/>
      <c r="RTB179" s="2"/>
      <c r="RTC179" s="2"/>
      <c r="RTD179" s="2"/>
      <c r="RTE179" s="2"/>
      <c r="RTF179" s="2"/>
      <c r="RTG179" s="2"/>
      <c r="RTH179" s="2"/>
      <c r="RTI179" s="2"/>
      <c r="RTJ179" s="2"/>
      <c r="RTK179" s="2"/>
      <c r="RTL179" s="2"/>
      <c r="RTM179" s="2"/>
      <c r="RTN179" s="2"/>
      <c r="RTO179" s="2"/>
      <c r="RTP179" s="2"/>
      <c r="RTQ179" s="2"/>
      <c r="RTR179" s="2"/>
      <c r="RTS179" s="2"/>
      <c r="RTT179" s="2"/>
      <c r="RTU179" s="2"/>
      <c r="RTV179" s="2"/>
      <c r="RTW179" s="2"/>
      <c r="RTX179" s="2"/>
      <c r="RTY179" s="2"/>
      <c r="RTZ179" s="2"/>
      <c r="RUA179" s="2"/>
      <c r="RUB179" s="2"/>
      <c r="RUC179" s="2"/>
      <c r="RUD179" s="2"/>
      <c r="RUE179" s="2"/>
      <c r="RUF179" s="2"/>
      <c r="RUG179" s="2"/>
      <c r="RUH179" s="2"/>
      <c r="RUI179" s="2"/>
      <c r="RUJ179" s="2"/>
      <c r="RUK179" s="2"/>
      <c r="RUL179" s="2"/>
      <c r="RUM179" s="2"/>
      <c r="RUN179" s="2"/>
      <c r="RUO179" s="2"/>
      <c r="RUP179" s="2"/>
      <c r="RUQ179" s="2"/>
      <c r="RUR179" s="2"/>
      <c r="RUS179" s="2"/>
      <c r="RUT179" s="2"/>
      <c r="RUU179" s="2"/>
      <c r="RUV179" s="2"/>
      <c r="RUW179" s="2"/>
      <c r="RUX179" s="2"/>
      <c r="RUY179" s="2"/>
      <c r="RUZ179" s="2"/>
      <c r="RVA179" s="2"/>
      <c r="RVB179" s="2"/>
      <c r="RVC179" s="2"/>
      <c r="RVD179" s="2"/>
      <c r="RVE179" s="2"/>
      <c r="RVF179" s="2"/>
      <c r="RVG179" s="2"/>
      <c r="RVH179" s="2"/>
      <c r="RVI179" s="2"/>
      <c r="RVJ179" s="2"/>
      <c r="RVK179" s="2"/>
      <c r="RVL179" s="2"/>
      <c r="RVM179" s="2"/>
      <c r="RVN179" s="2"/>
      <c r="RVO179" s="2"/>
      <c r="RVP179" s="2"/>
      <c r="RVQ179" s="2"/>
      <c r="RVR179" s="2"/>
      <c r="RVS179" s="2"/>
      <c r="RVT179" s="2"/>
      <c r="RVU179" s="2"/>
      <c r="RVV179" s="2"/>
      <c r="RVW179" s="2"/>
      <c r="RVX179" s="2"/>
      <c r="RVY179" s="2"/>
      <c r="RVZ179" s="2"/>
      <c r="RWA179" s="2"/>
      <c r="RWB179" s="2"/>
      <c r="RWC179" s="2"/>
      <c r="RWD179" s="2"/>
      <c r="RWE179" s="2"/>
      <c r="RWF179" s="2"/>
      <c r="RWG179" s="2"/>
      <c r="RWH179" s="2"/>
      <c r="RWI179" s="2"/>
      <c r="RWJ179" s="2"/>
      <c r="RWK179" s="2"/>
      <c r="RWL179" s="2"/>
      <c r="RWM179" s="2"/>
      <c r="RWN179" s="2"/>
      <c r="RWO179" s="2"/>
      <c r="RWP179" s="2"/>
      <c r="RWQ179" s="2"/>
      <c r="RWR179" s="2"/>
      <c r="RWS179" s="2"/>
      <c r="RWT179" s="2"/>
      <c r="RWU179" s="2"/>
      <c r="RWV179" s="2"/>
      <c r="RWW179" s="2"/>
      <c r="RWX179" s="2"/>
      <c r="RWY179" s="2"/>
      <c r="RWZ179" s="2"/>
      <c r="RXA179" s="2"/>
      <c r="RXB179" s="2"/>
      <c r="RXC179" s="2"/>
      <c r="RXD179" s="2"/>
      <c r="RXE179" s="2"/>
      <c r="RXF179" s="2"/>
      <c r="RXG179" s="2"/>
      <c r="RXH179" s="2"/>
      <c r="RXI179" s="2"/>
      <c r="RXJ179" s="2"/>
      <c r="RXK179" s="2"/>
      <c r="RXL179" s="2"/>
      <c r="RXM179" s="2"/>
      <c r="RXN179" s="2"/>
      <c r="RXO179" s="2"/>
      <c r="RXP179" s="2"/>
      <c r="RXQ179" s="2"/>
      <c r="RXR179" s="2"/>
      <c r="RXS179" s="2"/>
      <c r="RXT179" s="2"/>
      <c r="RXU179" s="2"/>
      <c r="RXV179" s="2"/>
      <c r="RXW179" s="2"/>
      <c r="RXX179" s="2"/>
      <c r="RXY179" s="2"/>
      <c r="RXZ179" s="2"/>
      <c r="RYA179" s="2"/>
      <c r="RYB179" s="2"/>
      <c r="RYC179" s="2"/>
      <c r="RYD179" s="2"/>
      <c r="RYE179" s="2"/>
      <c r="RYF179" s="2"/>
      <c r="RYG179" s="2"/>
      <c r="RYH179" s="2"/>
      <c r="RYI179" s="2"/>
      <c r="RYJ179" s="2"/>
      <c r="RYK179" s="2"/>
      <c r="RYL179" s="2"/>
      <c r="RYM179" s="2"/>
      <c r="RYN179" s="2"/>
      <c r="RYO179" s="2"/>
      <c r="RYP179" s="2"/>
      <c r="RYQ179" s="2"/>
      <c r="RYR179" s="2"/>
      <c r="RYS179" s="2"/>
      <c r="RYT179" s="2"/>
      <c r="RYU179" s="2"/>
      <c r="RYV179" s="2"/>
      <c r="RYW179" s="2"/>
      <c r="RYX179" s="2"/>
      <c r="RYY179" s="2"/>
      <c r="RYZ179" s="2"/>
      <c r="RZA179" s="2"/>
      <c r="RZB179" s="2"/>
      <c r="RZC179" s="2"/>
      <c r="RZD179" s="2"/>
      <c r="RZE179" s="2"/>
      <c r="RZF179" s="2"/>
      <c r="RZG179" s="2"/>
      <c r="RZH179" s="2"/>
      <c r="RZI179" s="2"/>
      <c r="RZJ179" s="2"/>
      <c r="RZK179" s="2"/>
      <c r="RZL179" s="2"/>
      <c r="RZM179" s="2"/>
      <c r="RZN179" s="2"/>
      <c r="RZO179" s="2"/>
      <c r="RZP179" s="2"/>
      <c r="RZQ179" s="2"/>
      <c r="RZR179" s="2"/>
      <c r="RZS179" s="2"/>
      <c r="RZT179" s="2"/>
      <c r="RZU179" s="2"/>
      <c r="RZV179" s="2"/>
      <c r="RZW179" s="2"/>
      <c r="RZX179" s="2"/>
      <c r="RZY179" s="2"/>
      <c r="RZZ179" s="2"/>
      <c r="SAA179" s="2"/>
      <c r="SAB179" s="2"/>
      <c r="SAC179" s="2"/>
      <c r="SAD179" s="2"/>
      <c r="SAE179" s="2"/>
      <c r="SAF179" s="2"/>
      <c r="SAG179" s="2"/>
      <c r="SAH179" s="2"/>
      <c r="SAI179" s="2"/>
      <c r="SAJ179" s="2"/>
      <c r="SAK179" s="2"/>
      <c r="SAL179" s="2"/>
      <c r="SAM179" s="2"/>
      <c r="SAN179" s="2"/>
      <c r="SAO179" s="2"/>
      <c r="SAP179" s="2"/>
      <c r="SAQ179" s="2"/>
      <c r="SAR179" s="2"/>
      <c r="SAS179" s="2"/>
      <c r="SAT179" s="2"/>
      <c r="SAU179" s="2"/>
      <c r="SAV179" s="2"/>
      <c r="SAW179" s="2"/>
      <c r="SAX179" s="2"/>
      <c r="SAY179" s="2"/>
      <c r="SAZ179" s="2"/>
      <c r="SBA179" s="2"/>
      <c r="SBB179" s="2"/>
      <c r="SBC179" s="2"/>
      <c r="SBD179" s="2"/>
      <c r="SBE179" s="2"/>
      <c r="SBF179" s="2"/>
      <c r="SBG179" s="2"/>
      <c r="SBH179" s="2"/>
      <c r="SBI179" s="2"/>
      <c r="SBJ179" s="2"/>
      <c r="SBK179" s="2"/>
      <c r="SBL179" s="2"/>
      <c r="SBM179" s="2"/>
      <c r="SBN179" s="2"/>
      <c r="SBO179" s="2"/>
      <c r="SBP179" s="2"/>
      <c r="SBQ179" s="2"/>
      <c r="SBR179" s="2"/>
      <c r="SBS179" s="2"/>
      <c r="SBT179" s="2"/>
      <c r="SBU179" s="2"/>
      <c r="SBV179" s="2"/>
      <c r="SBW179" s="2"/>
      <c r="SBX179" s="2"/>
      <c r="SBY179" s="2"/>
      <c r="SBZ179" s="2"/>
      <c r="SCA179" s="2"/>
      <c r="SCB179" s="2"/>
      <c r="SCC179" s="2"/>
      <c r="SCD179" s="2"/>
      <c r="SCE179" s="2"/>
      <c r="SCF179" s="2"/>
      <c r="SCG179" s="2"/>
      <c r="SCH179" s="2"/>
      <c r="SCI179" s="2"/>
      <c r="SCJ179" s="2"/>
      <c r="SCK179" s="2"/>
      <c r="SCL179" s="2"/>
      <c r="SCM179" s="2"/>
      <c r="SCN179" s="2"/>
      <c r="SCO179" s="2"/>
      <c r="SCP179" s="2"/>
      <c r="SCQ179" s="2"/>
      <c r="SCR179" s="2"/>
      <c r="SCS179" s="2"/>
      <c r="SCT179" s="2"/>
      <c r="SCU179" s="2"/>
      <c r="SCV179" s="2"/>
      <c r="SCW179" s="2"/>
      <c r="SCX179" s="2"/>
      <c r="SCY179" s="2"/>
      <c r="SCZ179" s="2"/>
      <c r="SDA179" s="2"/>
      <c r="SDB179" s="2"/>
      <c r="SDC179" s="2"/>
      <c r="SDD179" s="2"/>
      <c r="SDE179" s="2"/>
      <c r="SDF179" s="2"/>
      <c r="SDG179" s="2"/>
      <c r="SDH179" s="2"/>
      <c r="SDI179" s="2"/>
      <c r="SDJ179" s="2"/>
      <c r="SDK179" s="2"/>
      <c r="SDL179" s="2"/>
      <c r="SDM179" s="2"/>
      <c r="SDN179" s="2"/>
      <c r="SDO179" s="2"/>
      <c r="SDP179" s="2"/>
      <c r="SDQ179" s="2"/>
      <c r="SDR179" s="2"/>
      <c r="SDS179" s="2"/>
      <c r="SDT179" s="2"/>
      <c r="SDU179" s="2"/>
      <c r="SDV179" s="2"/>
      <c r="SDW179" s="2"/>
      <c r="SDX179" s="2"/>
      <c r="SDY179" s="2"/>
      <c r="SDZ179" s="2"/>
      <c r="SEA179" s="2"/>
      <c r="SEB179" s="2"/>
      <c r="SEC179" s="2"/>
      <c r="SED179" s="2"/>
      <c r="SEE179" s="2"/>
      <c r="SEF179" s="2"/>
      <c r="SEG179" s="2"/>
      <c r="SEH179" s="2"/>
      <c r="SEI179" s="2"/>
      <c r="SEJ179" s="2"/>
      <c r="SEK179" s="2"/>
      <c r="SEL179" s="2"/>
      <c r="SEM179" s="2"/>
      <c r="SEN179" s="2"/>
      <c r="SEO179" s="2"/>
      <c r="SEP179" s="2"/>
      <c r="SEQ179" s="2"/>
      <c r="SER179" s="2"/>
      <c r="SES179" s="2"/>
      <c r="SET179" s="2"/>
      <c r="SEU179" s="2"/>
      <c r="SEV179" s="2"/>
      <c r="SEW179" s="2"/>
      <c r="SEX179" s="2"/>
      <c r="SEY179" s="2"/>
      <c r="SEZ179" s="2"/>
      <c r="SFA179" s="2"/>
      <c r="SFB179" s="2"/>
      <c r="SFC179" s="2"/>
      <c r="SFD179" s="2"/>
      <c r="SFE179" s="2"/>
      <c r="SFF179" s="2"/>
      <c r="SFG179" s="2"/>
      <c r="SFH179" s="2"/>
      <c r="SFI179" s="2"/>
      <c r="SFJ179" s="2"/>
      <c r="SFK179" s="2"/>
      <c r="SFL179" s="2"/>
      <c r="SFM179" s="2"/>
      <c r="SFN179" s="2"/>
      <c r="SFO179" s="2"/>
      <c r="SFP179" s="2"/>
      <c r="SFQ179" s="2"/>
      <c r="SFR179" s="2"/>
      <c r="SFS179" s="2"/>
      <c r="SFT179" s="2"/>
      <c r="SFU179" s="2"/>
      <c r="SFV179" s="2"/>
      <c r="SFW179" s="2"/>
      <c r="SFX179" s="2"/>
      <c r="SFY179" s="2"/>
      <c r="SFZ179" s="2"/>
      <c r="SGA179" s="2"/>
      <c r="SGB179" s="2"/>
      <c r="SGC179" s="2"/>
      <c r="SGD179" s="2"/>
      <c r="SGE179" s="2"/>
      <c r="SGF179" s="2"/>
      <c r="SGG179" s="2"/>
      <c r="SGH179" s="2"/>
      <c r="SGI179" s="2"/>
      <c r="SGJ179" s="2"/>
      <c r="SGK179" s="2"/>
      <c r="SGL179" s="2"/>
      <c r="SGM179" s="2"/>
      <c r="SGN179" s="2"/>
      <c r="SGO179" s="2"/>
      <c r="SGP179" s="2"/>
      <c r="SGQ179" s="2"/>
      <c r="SGR179" s="2"/>
      <c r="SGS179" s="2"/>
      <c r="SGT179" s="2"/>
      <c r="SGU179" s="2"/>
      <c r="SGV179" s="2"/>
      <c r="SGW179" s="2"/>
      <c r="SGX179" s="2"/>
      <c r="SGY179" s="2"/>
      <c r="SGZ179" s="2"/>
      <c r="SHA179" s="2"/>
      <c r="SHB179" s="2"/>
      <c r="SHC179" s="2"/>
      <c r="SHD179" s="2"/>
      <c r="SHE179" s="2"/>
      <c r="SHF179" s="2"/>
      <c r="SHG179" s="2"/>
      <c r="SHH179" s="2"/>
      <c r="SHI179" s="2"/>
      <c r="SHJ179" s="2"/>
      <c r="SHK179" s="2"/>
      <c r="SHL179" s="2"/>
      <c r="SHM179" s="2"/>
      <c r="SHN179" s="2"/>
      <c r="SHO179" s="2"/>
      <c r="SHP179" s="2"/>
      <c r="SHQ179" s="2"/>
      <c r="SHR179" s="2"/>
      <c r="SHS179" s="2"/>
      <c r="SHT179" s="2"/>
      <c r="SHU179" s="2"/>
      <c r="SHV179" s="2"/>
      <c r="SHW179" s="2"/>
      <c r="SHX179" s="2"/>
      <c r="SHY179" s="2"/>
      <c r="SHZ179" s="2"/>
      <c r="SIA179" s="2"/>
      <c r="SIB179" s="2"/>
      <c r="SIC179" s="2"/>
      <c r="SID179" s="2"/>
      <c r="SIE179" s="2"/>
      <c r="SIF179" s="2"/>
      <c r="SIG179" s="2"/>
      <c r="SIH179" s="2"/>
      <c r="SII179" s="2"/>
      <c r="SIJ179" s="2"/>
      <c r="SIK179" s="2"/>
      <c r="SIL179" s="2"/>
      <c r="SIM179" s="2"/>
      <c r="SIN179" s="2"/>
      <c r="SIO179" s="2"/>
      <c r="SIP179" s="2"/>
      <c r="SIQ179" s="2"/>
      <c r="SIR179" s="2"/>
      <c r="SIS179" s="2"/>
      <c r="SIT179" s="2"/>
      <c r="SIU179" s="2"/>
      <c r="SIV179" s="2"/>
      <c r="SIW179" s="2"/>
      <c r="SIX179" s="2"/>
      <c r="SIY179" s="2"/>
      <c r="SIZ179" s="2"/>
      <c r="SJA179" s="2"/>
      <c r="SJB179" s="2"/>
      <c r="SJC179" s="2"/>
      <c r="SJD179" s="2"/>
      <c r="SJE179" s="2"/>
      <c r="SJF179" s="2"/>
      <c r="SJG179" s="2"/>
      <c r="SJH179" s="2"/>
      <c r="SJI179" s="2"/>
      <c r="SJJ179" s="2"/>
      <c r="SJK179" s="2"/>
      <c r="SJL179" s="2"/>
      <c r="SJM179" s="2"/>
      <c r="SJN179" s="2"/>
      <c r="SJO179" s="2"/>
      <c r="SJP179" s="2"/>
      <c r="SJQ179" s="2"/>
      <c r="SJR179" s="2"/>
      <c r="SJS179" s="2"/>
      <c r="SJT179" s="2"/>
      <c r="SJU179" s="2"/>
      <c r="SJV179" s="2"/>
      <c r="SJW179" s="2"/>
      <c r="SJX179" s="2"/>
      <c r="SJY179" s="2"/>
      <c r="SJZ179" s="2"/>
      <c r="SKA179" s="2"/>
      <c r="SKB179" s="2"/>
      <c r="SKC179" s="2"/>
      <c r="SKD179" s="2"/>
      <c r="SKE179" s="2"/>
      <c r="SKF179" s="2"/>
      <c r="SKG179" s="2"/>
      <c r="SKH179" s="2"/>
      <c r="SKI179" s="2"/>
      <c r="SKJ179" s="2"/>
      <c r="SKK179" s="2"/>
      <c r="SKL179" s="2"/>
      <c r="SKM179" s="2"/>
      <c r="SKN179" s="2"/>
      <c r="SKO179" s="2"/>
      <c r="SKP179" s="2"/>
      <c r="SKQ179" s="2"/>
      <c r="SKR179" s="2"/>
      <c r="SKS179" s="2"/>
      <c r="SKT179" s="2"/>
      <c r="SKU179" s="2"/>
      <c r="SKV179" s="2"/>
      <c r="SKW179" s="2"/>
      <c r="SKX179" s="2"/>
      <c r="SKY179" s="2"/>
      <c r="SKZ179" s="2"/>
      <c r="SLA179" s="2"/>
      <c r="SLB179" s="2"/>
      <c r="SLC179" s="2"/>
      <c r="SLD179" s="2"/>
      <c r="SLE179" s="2"/>
      <c r="SLF179" s="2"/>
      <c r="SLG179" s="2"/>
      <c r="SLH179" s="2"/>
      <c r="SLI179" s="2"/>
      <c r="SLJ179" s="2"/>
      <c r="SLK179" s="2"/>
      <c r="SLL179" s="2"/>
      <c r="SLM179" s="2"/>
      <c r="SLN179" s="2"/>
      <c r="SLO179" s="2"/>
      <c r="SLP179" s="2"/>
      <c r="SLQ179" s="2"/>
      <c r="SLR179" s="2"/>
      <c r="SLS179" s="2"/>
      <c r="SLT179" s="2"/>
      <c r="SLU179" s="2"/>
      <c r="SLV179" s="2"/>
      <c r="SLW179" s="2"/>
      <c r="SLX179" s="2"/>
      <c r="SLY179" s="2"/>
      <c r="SLZ179" s="2"/>
      <c r="SMA179" s="2"/>
      <c r="SMB179" s="2"/>
      <c r="SMC179" s="2"/>
      <c r="SMD179" s="2"/>
      <c r="SME179" s="2"/>
      <c r="SMF179" s="2"/>
      <c r="SMG179" s="2"/>
      <c r="SMH179" s="2"/>
      <c r="SMI179" s="2"/>
      <c r="SMJ179" s="2"/>
      <c r="SMK179" s="2"/>
      <c r="SML179" s="2"/>
      <c r="SMM179" s="2"/>
      <c r="SMN179" s="2"/>
      <c r="SMO179" s="2"/>
      <c r="SMP179" s="2"/>
      <c r="SMQ179" s="2"/>
      <c r="SMR179" s="2"/>
      <c r="SMS179" s="2"/>
      <c r="SMT179" s="2"/>
      <c r="SMU179" s="2"/>
      <c r="SMV179" s="2"/>
      <c r="SMW179" s="2"/>
      <c r="SMX179" s="2"/>
      <c r="SMY179" s="2"/>
      <c r="SMZ179" s="2"/>
      <c r="SNA179" s="2"/>
      <c r="SNB179" s="2"/>
      <c r="SNC179" s="2"/>
      <c r="SND179" s="2"/>
      <c r="SNE179" s="2"/>
      <c r="SNF179" s="2"/>
      <c r="SNG179" s="2"/>
      <c r="SNH179" s="2"/>
      <c r="SNI179" s="2"/>
      <c r="SNJ179" s="2"/>
      <c r="SNK179" s="2"/>
      <c r="SNL179" s="2"/>
      <c r="SNM179" s="2"/>
      <c r="SNN179" s="2"/>
      <c r="SNO179" s="2"/>
      <c r="SNP179" s="2"/>
      <c r="SNQ179" s="2"/>
      <c r="SNR179" s="2"/>
      <c r="SNS179" s="2"/>
      <c r="SNT179" s="2"/>
      <c r="SNU179" s="2"/>
      <c r="SNV179" s="2"/>
      <c r="SNW179" s="2"/>
      <c r="SNX179" s="2"/>
      <c r="SNY179" s="2"/>
      <c r="SNZ179" s="2"/>
      <c r="SOA179" s="2"/>
      <c r="SOB179" s="2"/>
      <c r="SOC179" s="2"/>
      <c r="SOD179" s="2"/>
      <c r="SOE179" s="2"/>
      <c r="SOF179" s="2"/>
      <c r="SOG179" s="2"/>
      <c r="SOH179" s="2"/>
      <c r="SOI179" s="2"/>
      <c r="SOJ179" s="2"/>
      <c r="SOK179" s="2"/>
      <c r="SOL179" s="2"/>
      <c r="SOM179" s="2"/>
      <c r="SON179" s="2"/>
      <c r="SOO179" s="2"/>
      <c r="SOP179" s="2"/>
      <c r="SOQ179" s="2"/>
      <c r="SOR179" s="2"/>
      <c r="SOS179" s="2"/>
      <c r="SOT179" s="2"/>
      <c r="SOU179" s="2"/>
      <c r="SOV179" s="2"/>
      <c r="SOW179" s="2"/>
      <c r="SOX179" s="2"/>
      <c r="SOY179" s="2"/>
      <c r="SOZ179" s="2"/>
      <c r="SPA179" s="2"/>
      <c r="SPB179" s="2"/>
      <c r="SPC179" s="2"/>
      <c r="SPD179" s="2"/>
      <c r="SPE179" s="2"/>
      <c r="SPF179" s="2"/>
      <c r="SPG179" s="2"/>
      <c r="SPH179" s="2"/>
      <c r="SPI179" s="2"/>
      <c r="SPJ179" s="2"/>
      <c r="SPK179" s="2"/>
      <c r="SPL179" s="2"/>
      <c r="SPM179" s="2"/>
      <c r="SPN179" s="2"/>
      <c r="SPO179" s="2"/>
      <c r="SPP179" s="2"/>
      <c r="SPQ179" s="2"/>
      <c r="SPR179" s="2"/>
      <c r="SPS179" s="2"/>
      <c r="SPT179" s="2"/>
      <c r="SPU179" s="2"/>
      <c r="SPV179" s="2"/>
      <c r="SPW179" s="2"/>
      <c r="SPX179" s="2"/>
      <c r="SPY179" s="2"/>
      <c r="SPZ179" s="2"/>
      <c r="SQA179" s="2"/>
      <c r="SQB179" s="2"/>
      <c r="SQC179" s="2"/>
      <c r="SQD179" s="2"/>
      <c r="SQE179" s="2"/>
      <c r="SQF179" s="2"/>
      <c r="SQG179" s="2"/>
      <c r="SQH179" s="2"/>
      <c r="SQI179" s="2"/>
      <c r="SQJ179" s="2"/>
      <c r="SQK179" s="2"/>
      <c r="SQL179" s="2"/>
      <c r="SQM179" s="2"/>
      <c r="SQN179" s="2"/>
      <c r="SQO179" s="2"/>
      <c r="SQP179" s="2"/>
      <c r="SQQ179" s="2"/>
      <c r="SQR179" s="2"/>
      <c r="SQS179" s="2"/>
      <c r="SQT179" s="2"/>
      <c r="SQU179" s="2"/>
      <c r="SQV179" s="2"/>
      <c r="SQW179" s="2"/>
      <c r="SQX179" s="2"/>
      <c r="SQY179" s="2"/>
      <c r="SQZ179" s="2"/>
      <c r="SRA179" s="2"/>
      <c r="SRB179" s="2"/>
      <c r="SRC179" s="2"/>
      <c r="SRD179" s="2"/>
      <c r="SRE179" s="2"/>
      <c r="SRF179" s="2"/>
      <c r="SRG179" s="2"/>
      <c r="SRH179" s="2"/>
      <c r="SRI179" s="2"/>
      <c r="SRJ179" s="2"/>
      <c r="SRK179" s="2"/>
      <c r="SRL179" s="2"/>
      <c r="SRM179" s="2"/>
      <c r="SRN179" s="2"/>
      <c r="SRO179" s="2"/>
      <c r="SRP179" s="2"/>
      <c r="SRQ179" s="2"/>
      <c r="SRR179" s="2"/>
      <c r="SRS179" s="2"/>
      <c r="SRT179" s="2"/>
      <c r="SRU179" s="2"/>
      <c r="SRV179" s="2"/>
      <c r="SRW179" s="2"/>
      <c r="SRX179" s="2"/>
      <c r="SRY179" s="2"/>
      <c r="SRZ179" s="2"/>
      <c r="SSA179" s="2"/>
      <c r="SSB179" s="2"/>
      <c r="SSC179" s="2"/>
      <c r="SSD179" s="2"/>
      <c r="SSE179" s="2"/>
      <c r="SSF179" s="2"/>
      <c r="SSG179" s="2"/>
      <c r="SSH179" s="2"/>
      <c r="SSI179" s="2"/>
      <c r="SSJ179" s="2"/>
      <c r="SSK179" s="2"/>
      <c r="SSL179" s="2"/>
      <c r="SSM179" s="2"/>
      <c r="SSN179" s="2"/>
      <c r="SSO179" s="2"/>
      <c r="SSP179" s="2"/>
      <c r="SSQ179" s="2"/>
      <c r="SSR179" s="2"/>
      <c r="SSS179" s="2"/>
      <c r="SST179" s="2"/>
      <c r="SSU179" s="2"/>
      <c r="SSV179" s="2"/>
      <c r="SSW179" s="2"/>
      <c r="SSX179" s="2"/>
      <c r="SSY179" s="2"/>
      <c r="SSZ179" s="2"/>
      <c r="STA179" s="2"/>
      <c r="STB179" s="2"/>
      <c r="STC179" s="2"/>
      <c r="STD179" s="2"/>
      <c r="STE179" s="2"/>
      <c r="STF179" s="2"/>
      <c r="STG179" s="2"/>
      <c r="STH179" s="2"/>
      <c r="STI179" s="2"/>
      <c r="STJ179" s="2"/>
      <c r="STK179" s="2"/>
      <c r="STL179" s="2"/>
      <c r="STM179" s="2"/>
      <c r="STN179" s="2"/>
      <c r="STO179" s="2"/>
      <c r="STP179" s="2"/>
      <c r="STQ179" s="2"/>
      <c r="STR179" s="2"/>
      <c r="STS179" s="2"/>
      <c r="STT179" s="2"/>
      <c r="STU179" s="2"/>
      <c r="STV179" s="2"/>
      <c r="STW179" s="2"/>
      <c r="STX179" s="2"/>
      <c r="STY179" s="2"/>
      <c r="STZ179" s="2"/>
      <c r="SUA179" s="2"/>
      <c r="SUB179" s="2"/>
      <c r="SUC179" s="2"/>
      <c r="SUD179" s="2"/>
      <c r="SUE179" s="2"/>
      <c r="SUF179" s="2"/>
      <c r="SUG179" s="2"/>
      <c r="SUH179" s="2"/>
      <c r="SUI179" s="2"/>
      <c r="SUJ179" s="2"/>
      <c r="SUK179" s="2"/>
      <c r="SUL179" s="2"/>
      <c r="SUM179" s="2"/>
      <c r="SUN179" s="2"/>
      <c r="SUO179" s="2"/>
      <c r="SUP179" s="2"/>
      <c r="SUQ179" s="2"/>
      <c r="SUR179" s="2"/>
      <c r="SUS179" s="2"/>
      <c r="SUT179" s="2"/>
      <c r="SUU179" s="2"/>
      <c r="SUV179" s="2"/>
      <c r="SUW179" s="2"/>
      <c r="SUX179" s="2"/>
      <c r="SUY179" s="2"/>
      <c r="SUZ179" s="2"/>
      <c r="SVA179" s="2"/>
      <c r="SVB179" s="2"/>
      <c r="SVC179" s="2"/>
      <c r="SVD179" s="2"/>
      <c r="SVE179" s="2"/>
      <c r="SVF179" s="2"/>
      <c r="SVG179" s="2"/>
      <c r="SVH179" s="2"/>
      <c r="SVI179" s="2"/>
      <c r="SVJ179" s="2"/>
      <c r="SVK179" s="2"/>
      <c r="SVL179" s="2"/>
      <c r="SVM179" s="2"/>
      <c r="SVN179" s="2"/>
      <c r="SVO179" s="2"/>
      <c r="SVP179" s="2"/>
      <c r="SVQ179" s="2"/>
      <c r="SVR179" s="2"/>
      <c r="SVS179" s="2"/>
      <c r="SVT179" s="2"/>
      <c r="SVU179" s="2"/>
      <c r="SVV179" s="2"/>
      <c r="SVW179" s="2"/>
      <c r="SVX179" s="2"/>
      <c r="SVY179" s="2"/>
      <c r="SVZ179" s="2"/>
      <c r="SWA179" s="2"/>
      <c r="SWB179" s="2"/>
      <c r="SWC179" s="2"/>
      <c r="SWD179" s="2"/>
      <c r="SWE179" s="2"/>
      <c r="SWF179" s="2"/>
      <c r="SWG179" s="2"/>
      <c r="SWH179" s="2"/>
      <c r="SWI179" s="2"/>
      <c r="SWJ179" s="2"/>
      <c r="SWK179" s="2"/>
      <c r="SWL179" s="2"/>
      <c r="SWM179" s="2"/>
      <c r="SWN179" s="2"/>
      <c r="SWO179" s="2"/>
      <c r="SWP179" s="2"/>
      <c r="SWQ179" s="2"/>
      <c r="SWR179" s="2"/>
      <c r="SWS179" s="2"/>
      <c r="SWT179" s="2"/>
      <c r="SWU179" s="2"/>
      <c r="SWV179" s="2"/>
      <c r="SWW179" s="2"/>
      <c r="SWX179" s="2"/>
      <c r="SWY179" s="2"/>
      <c r="SWZ179" s="2"/>
      <c r="SXA179" s="2"/>
      <c r="SXB179" s="2"/>
      <c r="SXC179" s="2"/>
      <c r="SXD179" s="2"/>
      <c r="SXE179" s="2"/>
      <c r="SXF179" s="2"/>
      <c r="SXG179" s="2"/>
      <c r="SXH179" s="2"/>
      <c r="SXI179" s="2"/>
      <c r="SXJ179" s="2"/>
      <c r="SXK179" s="2"/>
      <c r="SXL179" s="2"/>
      <c r="SXM179" s="2"/>
      <c r="SXN179" s="2"/>
      <c r="SXO179" s="2"/>
      <c r="SXP179" s="2"/>
      <c r="SXQ179" s="2"/>
      <c r="SXR179" s="2"/>
      <c r="SXS179" s="2"/>
      <c r="SXT179" s="2"/>
      <c r="SXU179" s="2"/>
      <c r="SXV179" s="2"/>
      <c r="SXW179" s="2"/>
      <c r="SXX179" s="2"/>
      <c r="SXY179" s="2"/>
      <c r="SXZ179" s="2"/>
      <c r="SYA179" s="2"/>
      <c r="SYB179" s="2"/>
      <c r="SYC179" s="2"/>
      <c r="SYD179" s="2"/>
      <c r="SYE179" s="2"/>
      <c r="SYF179" s="2"/>
      <c r="SYG179" s="2"/>
      <c r="SYH179" s="2"/>
      <c r="SYI179" s="2"/>
      <c r="SYJ179" s="2"/>
      <c r="SYK179" s="2"/>
      <c r="SYL179" s="2"/>
      <c r="SYM179" s="2"/>
      <c r="SYN179" s="2"/>
      <c r="SYO179" s="2"/>
      <c r="SYP179" s="2"/>
      <c r="SYQ179" s="2"/>
      <c r="SYR179" s="2"/>
      <c r="SYS179" s="2"/>
      <c r="SYT179" s="2"/>
      <c r="SYU179" s="2"/>
      <c r="SYV179" s="2"/>
      <c r="SYW179" s="2"/>
      <c r="SYX179" s="2"/>
      <c r="SYY179" s="2"/>
      <c r="SYZ179" s="2"/>
      <c r="SZA179" s="2"/>
      <c r="SZB179" s="2"/>
      <c r="SZC179" s="2"/>
      <c r="SZD179" s="2"/>
      <c r="SZE179" s="2"/>
      <c r="SZF179" s="2"/>
      <c r="SZG179" s="2"/>
      <c r="SZH179" s="2"/>
      <c r="SZI179" s="2"/>
      <c r="SZJ179" s="2"/>
      <c r="SZK179" s="2"/>
      <c r="SZL179" s="2"/>
      <c r="SZM179" s="2"/>
      <c r="SZN179" s="2"/>
      <c r="SZO179" s="2"/>
      <c r="SZP179" s="2"/>
      <c r="SZQ179" s="2"/>
      <c r="SZR179" s="2"/>
      <c r="SZS179" s="2"/>
      <c r="SZT179" s="2"/>
      <c r="SZU179" s="2"/>
      <c r="SZV179" s="2"/>
      <c r="SZW179" s="2"/>
      <c r="SZX179" s="2"/>
      <c r="SZY179" s="2"/>
      <c r="SZZ179" s="2"/>
      <c r="TAA179" s="2"/>
      <c r="TAB179" s="2"/>
      <c r="TAC179" s="2"/>
      <c r="TAD179" s="2"/>
      <c r="TAE179" s="2"/>
      <c r="TAF179" s="2"/>
      <c r="TAG179" s="2"/>
      <c r="TAH179" s="2"/>
      <c r="TAI179" s="2"/>
      <c r="TAJ179" s="2"/>
      <c r="TAK179" s="2"/>
      <c r="TAL179" s="2"/>
      <c r="TAM179" s="2"/>
      <c r="TAN179" s="2"/>
      <c r="TAO179" s="2"/>
      <c r="TAP179" s="2"/>
      <c r="TAQ179" s="2"/>
      <c r="TAR179" s="2"/>
      <c r="TAS179" s="2"/>
      <c r="TAT179" s="2"/>
      <c r="TAU179" s="2"/>
      <c r="TAV179" s="2"/>
      <c r="TAW179" s="2"/>
      <c r="TAX179" s="2"/>
      <c r="TAY179" s="2"/>
      <c r="TAZ179" s="2"/>
      <c r="TBA179" s="2"/>
      <c r="TBB179" s="2"/>
      <c r="TBC179" s="2"/>
      <c r="TBD179" s="2"/>
      <c r="TBE179" s="2"/>
      <c r="TBF179" s="2"/>
      <c r="TBG179" s="2"/>
      <c r="TBH179" s="2"/>
      <c r="TBI179" s="2"/>
      <c r="TBJ179" s="2"/>
      <c r="TBK179" s="2"/>
      <c r="TBL179" s="2"/>
      <c r="TBM179" s="2"/>
      <c r="TBN179" s="2"/>
      <c r="TBO179" s="2"/>
      <c r="TBP179" s="2"/>
      <c r="TBQ179" s="2"/>
      <c r="TBR179" s="2"/>
      <c r="TBS179" s="2"/>
      <c r="TBT179" s="2"/>
      <c r="TBU179" s="2"/>
      <c r="TBV179" s="2"/>
      <c r="TBW179" s="2"/>
      <c r="TBX179" s="2"/>
      <c r="TBY179" s="2"/>
      <c r="TBZ179" s="2"/>
      <c r="TCA179" s="2"/>
      <c r="TCB179" s="2"/>
      <c r="TCC179" s="2"/>
      <c r="TCD179" s="2"/>
      <c r="TCE179" s="2"/>
      <c r="TCF179" s="2"/>
      <c r="TCG179" s="2"/>
      <c r="TCH179" s="2"/>
      <c r="TCI179" s="2"/>
      <c r="TCJ179" s="2"/>
      <c r="TCK179" s="2"/>
      <c r="TCL179" s="2"/>
      <c r="TCM179" s="2"/>
      <c r="TCN179" s="2"/>
      <c r="TCO179" s="2"/>
      <c r="TCP179" s="2"/>
      <c r="TCQ179" s="2"/>
      <c r="TCR179" s="2"/>
      <c r="TCS179" s="2"/>
      <c r="TCT179" s="2"/>
      <c r="TCU179" s="2"/>
      <c r="TCV179" s="2"/>
      <c r="TCW179" s="2"/>
      <c r="TCX179" s="2"/>
      <c r="TCY179" s="2"/>
      <c r="TCZ179" s="2"/>
      <c r="TDA179" s="2"/>
      <c r="TDB179" s="2"/>
      <c r="TDC179" s="2"/>
      <c r="TDD179" s="2"/>
      <c r="TDE179" s="2"/>
      <c r="TDF179" s="2"/>
      <c r="TDG179" s="2"/>
      <c r="TDH179" s="2"/>
      <c r="TDI179" s="2"/>
      <c r="TDJ179" s="2"/>
      <c r="TDK179" s="2"/>
      <c r="TDL179" s="2"/>
      <c r="TDM179" s="2"/>
      <c r="TDN179" s="2"/>
      <c r="TDO179" s="2"/>
      <c r="TDP179" s="2"/>
      <c r="TDQ179" s="2"/>
      <c r="TDR179" s="2"/>
      <c r="TDS179" s="2"/>
      <c r="TDT179" s="2"/>
      <c r="TDU179" s="2"/>
      <c r="TDV179" s="2"/>
      <c r="TDW179" s="2"/>
      <c r="TDX179" s="2"/>
      <c r="TDY179" s="2"/>
      <c r="TDZ179" s="2"/>
      <c r="TEA179" s="2"/>
      <c r="TEB179" s="2"/>
      <c r="TEC179" s="2"/>
      <c r="TED179" s="2"/>
      <c r="TEE179" s="2"/>
      <c r="TEF179" s="2"/>
      <c r="TEG179" s="2"/>
      <c r="TEH179" s="2"/>
      <c r="TEI179" s="2"/>
      <c r="TEJ179" s="2"/>
      <c r="TEK179" s="2"/>
      <c r="TEL179" s="2"/>
      <c r="TEM179" s="2"/>
      <c r="TEN179" s="2"/>
      <c r="TEO179" s="2"/>
      <c r="TEP179" s="2"/>
      <c r="TEQ179" s="2"/>
      <c r="TER179" s="2"/>
      <c r="TES179" s="2"/>
      <c r="TET179" s="2"/>
      <c r="TEU179" s="2"/>
      <c r="TEV179" s="2"/>
      <c r="TEW179" s="2"/>
      <c r="TEX179" s="2"/>
      <c r="TEY179" s="2"/>
      <c r="TEZ179" s="2"/>
      <c r="TFA179" s="2"/>
      <c r="TFB179" s="2"/>
      <c r="TFC179" s="2"/>
      <c r="TFD179" s="2"/>
      <c r="TFE179" s="2"/>
      <c r="TFF179" s="2"/>
      <c r="TFG179" s="2"/>
      <c r="TFH179" s="2"/>
      <c r="TFI179" s="2"/>
      <c r="TFJ179" s="2"/>
      <c r="TFK179" s="2"/>
      <c r="TFL179" s="2"/>
      <c r="TFM179" s="2"/>
      <c r="TFN179" s="2"/>
      <c r="TFO179" s="2"/>
      <c r="TFP179" s="2"/>
      <c r="TFQ179" s="2"/>
      <c r="TFR179" s="2"/>
      <c r="TFS179" s="2"/>
      <c r="TFT179" s="2"/>
      <c r="TFU179" s="2"/>
      <c r="TFV179" s="2"/>
      <c r="TFW179" s="2"/>
      <c r="TFX179" s="2"/>
      <c r="TFY179" s="2"/>
      <c r="TFZ179" s="2"/>
      <c r="TGA179" s="2"/>
      <c r="TGB179" s="2"/>
      <c r="TGC179" s="2"/>
      <c r="TGD179" s="2"/>
      <c r="TGE179" s="2"/>
      <c r="TGF179" s="2"/>
      <c r="TGG179" s="2"/>
      <c r="TGH179" s="2"/>
      <c r="TGI179" s="2"/>
      <c r="TGJ179" s="2"/>
      <c r="TGK179" s="2"/>
      <c r="TGL179" s="2"/>
      <c r="TGM179" s="2"/>
      <c r="TGN179" s="2"/>
      <c r="TGO179" s="2"/>
      <c r="TGP179" s="2"/>
      <c r="TGQ179" s="2"/>
      <c r="TGR179" s="2"/>
      <c r="TGS179" s="2"/>
      <c r="TGT179" s="2"/>
      <c r="TGU179" s="2"/>
      <c r="TGV179" s="2"/>
      <c r="TGW179" s="2"/>
      <c r="TGX179" s="2"/>
      <c r="TGY179" s="2"/>
      <c r="TGZ179" s="2"/>
      <c r="THA179" s="2"/>
      <c r="THB179" s="2"/>
      <c r="THC179" s="2"/>
      <c r="THD179" s="2"/>
      <c r="THE179" s="2"/>
      <c r="THF179" s="2"/>
      <c r="THG179" s="2"/>
      <c r="THH179" s="2"/>
      <c r="THI179" s="2"/>
      <c r="THJ179" s="2"/>
      <c r="THK179" s="2"/>
      <c r="THL179" s="2"/>
      <c r="THM179" s="2"/>
      <c r="THN179" s="2"/>
      <c r="THO179" s="2"/>
      <c r="THP179" s="2"/>
      <c r="THQ179" s="2"/>
      <c r="THR179" s="2"/>
      <c r="THS179" s="2"/>
      <c r="THT179" s="2"/>
      <c r="THU179" s="2"/>
      <c r="THV179" s="2"/>
      <c r="THW179" s="2"/>
      <c r="THX179" s="2"/>
      <c r="THY179" s="2"/>
      <c r="THZ179" s="2"/>
      <c r="TIA179" s="2"/>
      <c r="TIB179" s="2"/>
      <c r="TIC179" s="2"/>
      <c r="TID179" s="2"/>
      <c r="TIE179" s="2"/>
      <c r="TIF179" s="2"/>
      <c r="TIG179" s="2"/>
      <c r="TIH179" s="2"/>
      <c r="TII179" s="2"/>
      <c r="TIJ179" s="2"/>
      <c r="TIK179" s="2"/>
      <c r="TIL179" s="2"/>
      <c r="TIM179" s="2"/>
      <c r="TIN179" s="2"/>
      <c r="TIO179" s="2"/>
      <c r="TIP179" s="2"/>
      <c r="TIQ179" s="2"/>
      <c r="TIR179" s="2"/>
      <c r="TIS179" s="2"/>
      <c r="TIT179" s="2"/>
      <c r="TIU179" s="2"/>
      <c r="TIV179" s="2"/>
      <c r="TIW179" s="2"/>
      <c r="TIX179" s="2"/>
      <c r="TIY179" s="2"/>
      <c r="TIZ179" s="2"/>
      <c r="TJA179" s="2"/>
      <c r="TJB179" s="2"/>
      <c r="TJC179" s="2"/>
      <c r="TJD179" s="2"/>
      <c r="TJE179" s="2"/>
      <c r="TJF179" s="2"/>
      <c r="TJG179" s="2"/>
      <c r="TJH179" s="2"/>
      <c r="TJI179" s="2"/>
      <c r="TJJ179" s="2"/>
      <c r="TJK179" s="2"/>
      <c r="TJL179" s="2"/>
      <c r="TJM179" s="2"/>
      <c r="TJN179" s="2"/>
      <c r="TJO179" s="2"/>
      <c r="TJP179" s="2"/>
      <c r="TJQ179" s="2"/>
      <c r="TJR179" s="2"/>
      <c r="TJS179" s="2"/>
      <c r="TJT179" s="2"/>
      <c r="TJU179" s="2"/>
      <c r="TJV179" s="2"/>
      <c r="TJW179" s="2"/>
      <c r="TJX179" s="2"/>
      <c r="TJY179" s="2"/>
      <c r="TJZ179" s="2"/>
      <c r="TKA179" s="2"/>
      <c r="TKB179" s="2"/>
      <c r="TKC179" s="2"/>
      <c r="TKD179" s="2"/>
      <c r="TKE179" s="2"/>
      <c r="TKF179" s="2"/>
      <c r="TKG179" s="2"/>
      <c r="TKH179" s="2"/>
      <c r="TKI179" s="2"/>
      <c r="TKJ179" s="2"/>
      <c r="TKK179" s="2"/>
      <c r="TKL179" s="2"/>
      <c r="TKM179" s="2"/>
      <c r="TKN179" s="2"/>
      <c r="TKO179" s="2"/>
      <c r="TKP179" s="2"/>
      <c r="TKQ179" s="2"/>
      <c r="TKR179" s="2"/>
      <c r="TKS179" s="2"/>
      <c r="TKT179" s="2"/>
      <c r="TKU179" s="2"/>
      <c r="TKV179" s="2"/>
      <c r="TKW179" s="2"/>
      <c r="TKX179" s="2"/>
      <c r="TKY179" s="2"/>
      <c r="TKZ179" s="2"/>
      <c r="TLA179" s="2"/>
      <c r="TLB179" s="2"/>
      <c r="TLC179" s="2"/>
      <c r="TLD179" s="2"/>
      <c r="TLE179" s="2"/>
      <c r="TLF179" s="2"/>
      <c r="TLG179" s="2"/>
      <c r="TLH179" s="2"/>
      <c r="TLI179" s="2"/>
      <c r="TLJ179" s="2"/>
      <c r="TLK179" s="2"/>
      <c r="TLL179" s="2"/>
      <c r="TLM179" s="2"/>
      <c r="TLN179" s="2"/>
      <c r="TLO179" s="2"/>
      <c r="TLP179" s="2"/>
      <c r="TLQ179" s="2"/>
      <c r="TLR179" s="2"/>
      <c r="TLS179" s="2"/>
      <c r="TLT179" s="2"/>
      <c r="TLU179" s="2"/>
      <c r="TLV179" s="2"/>
      <c r="TLW179" s="2"/>
      <c r="TLX179" s="2"/>
      <c r="TLY179" s="2"/>
      <c r="TLZ179" s="2"/>
      <c r="TMA179" s="2"/>
      <c r="TMB179" s="2"/>
      <c r="TMC179" s="2"/>
      <c r="TMD179" s="2"/>
      <c r="TME179" s="2"/>
      <c r="TMF179" s="2"/>
      <c r="TMG179" s="2"/>
      <c r="TMH179" s="2"/>
      <c r="TMI179" s="2"/>
      <c r="TMJ179" s="2"/>
      <c r="TMK179" s="2"/>
      <c r="TML179" s="2"/>
      <c r="TMM179" s="2"/>
      <c r="TMN179" s="2"/>
      <c r="TMO179" s="2"/>
      <c r="TMP179" s="2"/>
      <c r="TMQ179" s="2"/>
      <c r="TMR179" s="2"/>
      <c r="TMS179" s="2"/>
      <c r="TMT179" s="2"/>
      <c r="TMU179" s="2"/>
      <c r="TMV179" s="2"/>
      <c r="TMW179" s="2"/>
      <c r="TMX179" s="2"/>
      <c r="TMY179" s="2"/>
      <c r="TMZ179" s="2"/>
      <c r="TNA179" s="2"/>
      <c r="TNB179" s="2"/>
      <c r="TNC179" s="2"/>
      <c r="TND179" s="2"/>
      <c r="TNE179" s="2"/>
      <c r="TNF179" s="2"/>
      <c r="TNG179" s="2"/>
      <c r="TNH179" s="2"/>
      <c r="TNI179" s="2"/>
      <c r="TNJ179" s="2"/>
      <c r="TNK179" s="2"/>
      <c r="TNL179" s="2"/>
      <c r="TNM179" s="2"/>
      <c r="TNN179" s="2"/>
      <c r="TNO179" s="2"/>
      <c r="TNP179" s="2"/>
      <c r="TNQ179" s="2"/>
      <c r="TNR179" s="2"/>
      <c r="TNS179" s="2"/>
      <c r="TNT179" s="2"/>
      <c r="TNU179" s="2"/>
      <c r="TNV179" s="2"/>
      <c r="TNW179" s="2"/>
      <c r="TNX179" s="2"/>
      <c r="TNY179" s="2"/>
      <c r="TNZ179" s="2"/>
      <c r="TOA179" s="2"/>
      <c r="TOB179" s="2"/>
      <c r="TOC179" s="2"/>
      <c r="TOD179" s="2"/>
      <c r="TOE179" s="2"/>
      <c r="TOF179" s="2"/>
      <c r="TOG179" s="2"/>
      <c r="TOH179" s="2"/>
      <c r="TOI179" s="2"/>
      <c r="TOJ179" s="2"/>
      <c r="TOK179" s="2"/>
      <c r="TOL179" s="2"/>
      <c r="TOM179" s="2"/>
      <c r="TON179" s="2"/>
      <c r="TOO179" s="2"/>
      <c r="TOP179" s="2"/>
      <c r="TOQ179" s="2"/>
      <c r="TOR179" s="2"/>
      <c r="TOS179" s="2"/>
      <c r="TOT179" s="2"/>
      <c r="TOU179" s="2"/>
      <c r="TOV179" s="2"/>
      <c r="TOW179" s="2"/>
      <c r="TOX179" s="2"/>
      <c r="TOY179" s="2"/>
      <c r="TOZ179" s="2"/>
      <c r="TPA179" s="2"/>
      <c r="TPB179" s="2"/>
      <c r="TPC179" s="2"/>
      <c r="TPD179" s="2"/>
      <c r="TPE179" s="2"/>
      <c r="TPF179" s="2"/>
      <c r="TPG179" s="2"/>
      <c r="TPH179" s="2"/>
      <c r="TPI179" s="2"/>
      <c r="TPJ179" s="2"/>
      <c r="TPK179" s="2"/>
      <c r="TPL179" s="2"/>
      <c r="TPM179" s="2"/>
      <c r="TPN179" s="2"/>
      <c r="TPO179" s="2"/>
      <c r="TPP179" s="2"/>
      <c r="TPQ179" s="2"/>
      <c r="TPR179" s="2"/>
      <c r="TPS179" s="2"/>
      <c r="TPT179" s="2"/>
      <c r="TPU179" s="2"/>
      <c r="TPV179" s="2"/>
      <c r="TPW179" s="2"/>
      <c r="TPX179" s="2"/>
      <c r="TPY179" s="2"/>
      <c r="TPZ179" s="2"/>
      <c r="TQA179" s="2"/>
      <c r="TQB179" s="2"/>
      <c r="TQC179" s="2"/>
      <c r="TQD179" s="2"/>
      <c r="TQE179" s="2"/>
      <c r="TQF179" s="2"/>
      <c r="TQG179" s="2"/>
      <c r="TQH179" s="2"/>
      <c r="TQI179" s="2"/>
      <c r="TQJ179" s="2"/>
      <c r="TQK179" s="2"/>
      <c r="TQL179" s="2"/>
      <c r="TQM179" s="2"/>
      <c r="TQN179" s="2"/>
      <c r="TQO179" s="2"/>
      <c r="TQP179" s="2"/>
      <c r="TQQ179" s="2"/>
      <c r="TQR179" s="2"/>
      <c r="TQS179" s="2"/>
      <c r="TQT179" s="2"/>
      <c r="TQU179" s="2"/>
      <c r="TQV179" s="2"/>
      <c r="TQW179" s="2"/>
      <c r="TQX179" s="2"/>
      <c r="TQY179" s="2"/>
      <c r="TQZ179" s="2"/>
      <c r="TRA179" s="2"/>
      <c r="TRB179" s="2"/>
      <c r="TRC179" s="2"/>
      <c r="TRD179" s="2"/>
      <c r="TRE179" s="2"/>
      <c r="TRF179" s="2"/>
      <c r="TRG179" s="2"/>
      <c r="TRH179" s="2"/>
      <c r="TRI179" s="2"/>
      <c r="TRJ179" s="2"/>
      <c r="TRK179" s="2"/>
      <c r="TRL179" s="2"/>
      <c r="TRM179" s="2"/>
      <c r="TRN179" s="2"/>
      <c r="TRO179" s="2"/>
      <c r="TRP179" s="2"/>
      <c r="TRQ179" s="2"/>
      <c r="TRR179" s="2"/>
      <c r="TRS179" s="2"/>
      <c r="TRT179" s="2"/>
      <c r="TRU179" s="2"/>
      <c r="TRV179" s="2"/>
      <c r="TRW179" s="2"/>
      <c r="TRX179" s="2"/>
      <c r="TRY179" s="2"/>
      <c r="TRZ179" s="2"/>
      <c r="TSA179" s="2"/>
      <c r="TSB179" s="2"/>
      <c r="TSC179" s="2"/>
      <c r="TSD179" s="2"/>
      <c r="TSE179" s="2"/>
      <c r="TSF179" s="2"/>
      <c r="TSG179" s="2"/>
      <c r="TSH179" s="2"/>
      <c r="TSI179" s="2"/>
      <c r="TSJ179" s="2"/>
      <c r="TSK179" s="2"/>
      <c r="TSL179" s="2"/>
      <c r="TSM179" s="2"/>
      <c r="TSN179" s="2"/>
      <c r="TSO179" s="2"/>
      <c r="TSP179" s="2"/>
      <c r="TSQ179" s="2"/>
      <c r="TSR179" s="2"/>
      <c r="TSS179" s="2"/>
      <c r="TST179" s="2"/>
      <c r="TSU179" s="2"/>
      <c r="TSV179" s="2"/>
      <c r="TSW179" s="2"/>
      <c r="TSX179" s="2"/>
      <c r="TSY179" s="2"/>
      <c r="TSZ179" s="2"/>
      <c r="TTA179" s="2"/>
      <c r="TTB179" s="2"/>
      <c r="TTC179" s="2"/>
      <c r="TTD179" s="2"/>
      <c r="TTE179" s="2"/>
      <c r="TTF179" s="2"/>
      <c r="TTG179" s="2"/>
      <c r="TTH179" s="2"/>
      <c r="TTI179" s="2"/>
      <c r="TTJ179" s="2"/>
      <c r="TTK179" s="2"/>
      <c r="TTL179" s="2"/>
      <c r="TTM179" s="2"/>
      <c r="TTN179" s="2"/>
      <c r="TTO179" s="2"/>
      <c r="TTP179" s="2"/>
      <c r="TTQ179" s="2"/>
      <c r="TTR179" s="2"/>
      <c r="TTS179" s="2"/>
      <c r="TTT179" s="2"/>
      <c r="TTU179" s="2"/>
      <c r="TTV179" s="2"/>
      <c r="TTW179" s="2"/>
      <c r="TTX179" s="2"/>
      <c r="TTY179" s="2"/>
      <c r="TTZ179" s="2"/>
      <c r="TUA179" s="2"/>
      <c r="TUB179" s="2"/>
      <c r="TUC179" s="2"/>
      <c r="TUD179" s="2"/>
      <c r="TUE179" s="2"/>
      <c r="TUF179" s="2"/>
      <c r="TUG179" s="2"/>
      <c r="TUH179" s="2"/>
      <c r="TUI179" s="2"/>
      <c r="TUJ179" s="2"/>
      <c r="TUK179" s="2"/>
      <c r="TUL179" s="2"/>
      <c r="TUM179" s="2"/>
      <c r="TUN179" s="2"/>
      <c r="TUO179" s="2"/>
      <c r="TUP179" s="2"/>
      <c r="TUQ179" s="2"/>
      <c r="TUR179" s="2"/>
      <c r="TUS179" s="2"/>
      <c r="TUT179" s="2"/>
      <c r="TUU179" s="2"/>
      <c r="TUV179" s="2"/>
      <c r="TUW179" s="2"/>
      <c r="TUX179" s="2"/>
      <c r="TUY179" s="2"/>
      <c r="TUZ179" s="2"/>
      <c r="TVA179" s="2"/>
      <c r="TVB179" s="2"/>
      <c r="TVC179" s="2"/>
      <c r="TVD179" s="2"/>
      <c r="TVE179" s="2"/>
      <c r="TVF179" s="2"/>
      <c r="TVG179" s="2"/>
      <c r="TVH179" s="2"/>
      <c r="TVI179" s="2"/>
      <c r="TVJ179" s="2"/>
      <c r="TVK179" s="2"/>
      <c r="TVL179" s="2"/>
      <c r="TVM179" s="2"/>
      <c r="TVN179" s="2"/>
      <c r="TVO179" s="2"/>
      <c r="TVP179" s="2"/>
      <c r="TVQ179" s="2"/>
      <c r="TVR179" s="2"/>
      <c r="TVS179" s="2"/>
      <c r="TVT179" s="2"/>
      <c r="TVU179" s="2"/>
      <c r="TVV179" s="2"/>
      <c r="TVW179" s="2"/>
      <c r="TVX179" s="2"/>
      <c r="TVY179" s="2"/>
      <c r="TVZ179" s="2"/>
      <c r="TWA179" s="2"/>
      <c r="TWB179" s="2"/>
      <c r="TWC179" s="2"/>
      <c r="TWD179" s="2"/>
      <c r="TWE179" s="2"/>
      <c r="TWF179" s="2"/>
      <c r="TWG179" s="2"/>
      <c r="TWH179" s="2"/>
      <c r="TWI179" s="2"/>
      <c r="TWJ179" s="2"/>
      <c r="TWK179" s="2"/>
      <c r="TWL179" s="2"/>
      <c r="TWM179" s="2"/>
      <c r="TWN179" s="2"/>
      <c r="TWO179" s="2"/>
      <c r="TWP179" s="2"/>
      <c r="TWQ179" s="2"/>
      <c r="TWR179" s="2"/>
      <c r="TWS179" s="2"/>
      <c r="TWT179" s="2"/>
      <c r="TWU179" s="2"/>
      <c r="TWV179" s="2"/>
      <c r="TWW179" s="2"/>
      <c r="TWX179" s="2"/>
      <c r="TWY179" s="2"/>
      <c r="TWZ179" s="2"/>
      <c r="TXA179" s="2"/>
      <c r="TXB179" s="2"/>
      <c r="TXC179" s="2"/>
      <c r="TXD179" s="2"/>
      <c r="TXE179" s="2"/>
      <c r="TXF179" s="2"/>
      <c r="TXG179" s="2"/>
      <c r="TXH179" s="2"/>
      <c r="TXI179" s="2"/>
      <c r="TXJ179" s="2"/>
      <c r="TXK179" s="2"/>
      <c r="TXL179" s="2"/>
      <c r="TXM179" s="2"/>
      <c r="TXN179" s="2"/>
      <c r="TXO179" s="2"/>
      <c r="TXP179" s="2"/>
      <c r="TXQ179" s="2"/>
      <c r="TXR179" s="2"/>
      <c r="TXS179" s="2"/>
      <c r="TXT179" s="2"/>
      <c r="TXU179" s="2"/>
      <c r="TXV179" s="2"/>
      <c r="TXW179" s="2"/>
      <c r="TXX179" s="2"/>
      <c r="TXY179" s="2"/>
      <c r="TXZ179" s="2"/>
      <c r="TYA179" s="2"/>
      <c r="TYB179" s="2"/>
      <c r="TYC179" s="2"/>
      <c r="TYD179" s="2"/>
      <c r="TYE179" s="2"/>
      <c r="TYF179" s="2"/>
      <c r="TYG179" s="2"/>
      <c r="TYH179" s="2"/>
      <c r="TYI179" s="2"/>
      <c r="TYJ179" s="2"/>
      <c r="TYK179" s="2"/>
      <c r="TYL179" s="2"/>
      <c r="TYM179" s="2"/>
      <c r="TYN179" s="2"/>
      <c r="TYO179" s="2"/>
      <c r="TYP179" s="2"/>
      <c r="TYQ179" s="2"/>
      <c r="TYR179" s="2"/>
      <c r="TYS179" s="2"/>
      <c r="TYT179" s="2"/>
      <c r="TYU179" s="2"/>
      <c r="TYV179" s="2"/>
      <c r="TYW179" s="2"/>
      <c r="TYX179" s="2"/>
      <c r="TYY179" s="2"/>
      <c r="TYZ179" s="2"/>
      <c r="TZA179" s="2"/>
      <c r="TZB179" s="2"/>
      <c r="TZC179" s="2"/>
      <c r="TZD179" s="2"/>
      <c r="TZE179" s="2"/>
      <c r="TZF179" s="2"/>
      <c r="TZG179" s="2"/>
      <c r="TZH179" s="2"/>
      <c r="TZI179" s="2"/>
      <c r="TZJ179" s="2"/>
      <c r="TZK179" s="2"/>
      <c r="TZL179" s="2"/>
      <c r="TZM179" s="2"/>
      <c r="TZN179" s="2"/>
      <c r="TZO179" s="2"/>
      <c r="TZP179" s="2"/>
      <c r="TZQ179" s="2"/>
      <c r="TZR179" s="2"/>
      <c r="TZS179" s="2"/>
      <c r="TZT179" s="2"/>
      <c r="TZU179" s="2"/>
      <c r="TZV179" s="2"/>
      <c r="TZW179" s="2"/>
      <c r="TZX179" s="2"/>
      <c r="TZY179" s="2"/>
      <c r="TZZ179" s="2"/>
      <c r="UAA179" s="2"/>
      <c r="UAB179" s="2"/>
      <c r="UAC179" s="2"/>
      <c r="UAD179" s="2"/>
      <c r="UAE179" s="2"/>
      <c r="UAF179" s="2"/>
      <c r="UAG179" s="2"/>
      <c r="UAH179" s="2"/>
      <c r="UAI179" s="2"/>
      <c r="UAJ179" s="2"/>
      <c r="UAK179" s="2"/>
      <c r="UAL179" s="2"/>
      <c r="UAM179" s="2"/>
      <c r="UAN179" s="2"/>
      <c r="UAO179" s="2"/>
      <c r="UAP179" s="2"/>
      <c r="UAQ179" s="2"/>
      <c r="UAR179" s="2"/>
      <c r="UAS179" s="2"/>
      <c r="UAT179" s="2"/>
      <c r="UAU179" s="2"/>
      <c r="UAV179" s="2"/>
      <c r="UAW179" s="2"/>
      <c r="UAX179" s="2"/>
      <c r="UAY179" s="2"/>
      <c r="UAZ179" s="2"/>
      <c r="UBA179" s="2"/>
      <c r="UBB179" s="2"/>
      <c r="UBC179" s="2"/>
      <c r="UBD179" s="2"/>
      <c r="UBE179" s="2"/>
      <c r="UBF179" s="2"/>
      <c r="UBG179" s="2"/>
      <c r="UBH179" s="2"/>
      <c r="UBI179" s="2"/>
      <c r="UBJ179" s="2"/>
      <c r="UBK179" s="2"/>
      <c r="UBL179" s="2"/>
      <c r="UBM179" s="2"/>
      <c r="UBN179" s="2"/>
      <c r="UBO179" s="2"/>
      <c r="UBP179" s="2"/>
      <c r="UBQ179" s="2"/>
      <c r="UBR179" s="2"/>
      <c r="UBS179" s="2"/>
      <c r="UBT179" s="2"/>
      <c r="UBU179" s="2"/>
      <c r="UBV179" s="2"/>
      <c r="UBW179" s="2"/>
      <c r="UBX179" s="2"/>
      <c r="UBY179" s="2"/>
      <c r="UBZ179" s="2"/>
      <c r="UCA179" s="2"/>
      <c r="UCB179" s="2"/>
      <c r="UCC179" s="2"/>
      <c r="UCD179" s="2"/>
      <c r="UCE179" s="2"/>
      <c r="UCF179" s="2"/>
      <c r="UCG179" s="2"/>
      <c r="UCH179" s="2"/>
      <c r="UCI179" s="2"/>
      <c r="UCJ179" s="2"/>
      <c r="UCK179" s="2"/>
      <c r="UCL179" s="2"/>
      <c r="UCM179" s="2"/>
      <c r="UCN179" s="2"/>
      <c r="UCO179" s="2"/>
      <c r="UCP179" s="2"/>
      <c r="UCQ179" s="2"/>
      <c r="UCR179" s="2"/>
      <c r="UCS179" s="2"/>
      <c r="UCT179" s="2"/>
      <c r="UCU179" s="2"/>
      <c r="UCV179" s="2"/>
      <c r="UCW179" s="2"/>
      <c r="UCX179" s="2"/>
      <c r="UCY179" s="2"/>
      <c r="UCZ179" s="2"/>
      <c r="UDA179" s="2"/>
      <c r="UDB179" s="2"/>
      <c r="UDC179" s="2"/>
      <c r="UDD179" s="2"/>
      <c r="UDE179" s="2"/>
      <c r="UDF179" s="2"/>
      <c r="UDG179" s="2"/>
      <c r="UDH179" s="2"/>
      <c r="UDI179" s="2"/>
      <c r="UDJ179" s="2"/>
      <c r="UDK179" s="2"/>
      <c r="UDL179" s="2"/>
      <c r="UDM179" s="2"/>
      <c r="UDN179" s="2"/>
      <c r="UDO179" s="2"/>
      <c r="UDP179" s="2"/>
      <c r="UDQ179" s="2"/>
      <c r="UDR179" s="2"/>
      <c r="UDS179" s="2"/>
      <c r="UDT179" s="2"/>
      <c r="UDU179" s="2"/>
      <c r="UDV179" s="2"/>
      <c r="UDW179" s="2"/>
      <c r="UDX179" s="2"/>
      <c r="UDY179" s="2"/>
      <c r="UDZ179" s="2"/>
      <c r="UEA179" s="2"/>
      <c r="UEB179" s="2"/>
      <c r="UEC179" s="2"/>
      <c r="UED179" s="2"/>
      <c r="UEE179" s="2"/>
      <c r="UEF179" s="2"/>
      <c r="UEG179" s="2"/>
      <c r="UEH179" s="2"/>
      <c r="UEI179" s="2"/>
      <c r="UEJ179" s="2"/>
      <c r="UEK179" s="2"/>
      <c r="UEL179" s="2"/>
      <c r="UEM179" s="2"/>
      <c r="UEN179" s="2"/>
      <c r="UEO179" s="2"/>
      <c r="UEP179" s="2"/>
      <c r="UEQ179" s="2"/>
      <c r="UER179" s="2"/>
      <c r="UES179" s="2"/>
      <c r="UET179" s="2"/>
      <c r="UEU179" s="2"/>
      <c r="UEV179" s="2"/>
      <c r="UEW179" s="2"/>
      <c r="UEX179" s="2"/>
      <c r="UEY179" s="2"/>
      <c r="UEZ179" s="2"/>
      <c r="UFA179" s="2"/>
      <c r="UFB179" s="2"/>
      <c r="UFC179" s="2"/>
      <c r="UFD179" s="2"/>
      <c r="UFE179" s="2"/>
      <c r="UFF179" s="2"/>
      <c r="UFG179" s="2"/>
      <c r="UFH179" s="2"/>
      <c r="UFI179" s="2"/>
      <c r="UFJ179" s="2"/>
      <c r="UFK179" s="2"/>
      <c r="UFL179" s="2"/>
      <c r="UFM179" s="2"/>
      <c r="UFN179" s="2"/>
      <c r="UFO179" s="2"/>
      <c r="UFP179" s="2"/>
      <c r="UFQ179" s="2"/>
      <c r="UFR179" s="2"/>
      <c r="UFS179" s="2"/>
      <c r="UFT179" s="2"/>
      <c r="UFU179" s="2"/>
      <c r="UFV179" s="2"/>
      <c r="UFW179" s="2"/>
      <c r="UFX179" s="2"/>
      <c r="UFY179" s="2"/>
      <c r="UFZ179" s="2"/>
      <c r="UGA179" s="2"/>
      <c r="UGB179" s="2"/>
      <c r="UGC179" s="2"/>
      <c r="UGD179" s="2"/>
      <c r="UGE179" s="2"/>
      <c r="UGF179" s="2"/>
      <c r="UGG179" s="2"/>
      <c r="UGH179" s="2"/>
      <c r="UGI179" s="2"/>
      <c r="UGJ179" s="2"/>
      <c r="UGK179" s="2"/>
      <c r="UGL179" s="2"/>
      <c r="UGM179" s="2"/>
      <c r="UGN179" s="2"/>
      <c r="UGO179" s="2"/>
      <c r="UGP179" s="2"/>
      <c r="UGQ179" s="2"/>
      <c r="UGR179" s="2"/>
      <c r="UGS179" s="2"/>
      <c r="UGT179" s="2"/>
      <c r="UGU179" s="2"/>
      <c r="UGV179" s="2"/>
      <c r="UGW179" s="2"/>
      <c r="UGX179" s="2"/>
      <c r="UGY179" s="2"/>
      <c r="UGZ179" s="2"/>
      <c r="UHA179" s="2"/>
      <c r="UHB179" s="2"/>
      <c r="UHC179" s="2"/>
      <c r="UHD179" s="2"/>
      <c r="UHE179" s="2"/>
      <c r="UHF179" s="2"/>
      <c r="UHG179" s="2"/>
      <c r="UHH179" s="2"/>
      <c r="UHI179" s="2"/>
      <c r="UHJ179" s="2"/>
      <c r="UHK179" s="2"/>
      <c r="UHL179" s="2"/>
      <c r="UHM179" s="2"/>
      <c r="UHN179" s="2"/>
      <c r="UHO179" s="2"/>
      <c r="UHP179" s="2"/>
      <c r="UHQ179" s="2"/>
      <c r="UHR179" s="2"/>
      <c r="UHS179" s="2"/>
      <c r="UHT179" s="2"/>
      <c r="UHU179" s="2"/>
      <c r="UHV179" s="2"/>
      <c r="UHW179" s="2"/>
      <c r="UHX179" s="2"/>
      <c r="UHY179" s="2"/>
      <c r="UHZ179" s="2"/>
      <c r="UIA179" s="2"/>
      <c r="UIB179" s="2"/>
      <c r="UIC179" s="2"/>
      <c r="UID179" s="2"/>
      <c r="UIE179" s="2"/>
      <c r="UIF179" s="2"/>
      <c r="UIG179" s="2"/>
      <c r="UIH179" s="2"/>
      <c r="UII179" s="2"/>
      <c r="UIJ179" s="2"/>
      <c r="UIK179" s="2"/>
      <c r="UIL179" s="2"/>
      <c r="UIM179" s="2"/>
      <c r="UIN179" s="2"/>
      <c r="UIO179" s="2"/>
      <c r="UIP179" s="2"/>
      <c r="UIQ179" s="2"/>
      <c r="UIR179" s="2"/>
      <c r="UIS179" s="2"/>
      <c r="UIT179" s="2"/>
      <c r="UIU179" s="2"/>
      <c r="UIV179" s="2"/>
      <c r="UIW179" s="2"/>
      <c r="UIX179" s="2"/>
      <c r="UIY179" s="2"/>
      <c r="UIZ179" s="2"/>
      <c r="UJA179" s="2"/>
      <c r="UJB179" s="2"/>
      <c r="UJC179" s="2"/>
      <c r="UJD179" s="2"/>
      <c r="UJE179" s="2"/>
      <c r="UJF179" s="2"/>
      <c r="UJG179" s="2"/>
      <c r="UJH179" s="2"/>
      <c r="UJI179" s="2"/>
      <c r="UJJ179" s="2"/>
      <c r="UJK179" s="2"/>
      <c r="UJL179" s="2"/>
      <c r="UJM179" s="2"/>
      <c r="UJN179" s="2"/>
      <c r="UJO179" s="2"/>
      <c r="UJP179" s="2"/>
      <c r="UJQ179" s="2"/>
      <c r="UJR179" s="2"/>
      <c r="UJS179" s="2"/>
      <c r="UJT179" s="2"/>
      <c r="UJU179" s="2"/>
      <c r="UJV179" s="2"/>
      <c r="UJW179" s="2"/>
      <c r="UJX179" s="2"/>
      <c r="UJY179" s="2"/>
      <c r="UJZ179" s="2"/>
      <c r="UKA179" s="2"/>
      <c r="UKB179" s="2"/>
      <c r="UKC179" s="2"/>
      <c r="UKD179" s="2"/>
      <c r="UKE179" s="2"/>
      <c r="UKF179" s="2"/>
      <c r="UKG179" s="2"/>
      <c r="UKH179" s="2"/>
      <c r="UKI179" s="2"/>
      <c r="UKJ179" s="2"/>
      <c r="UKK179" s="2"/>
      <c r="UKL179" s="2"/>
      <c r="UKM179" s="2"/>
      <c r="UKN179" s="2"/>
      <c r="UKO179" s="2"/>
      <c r="UKP179" s="2"/>
      <c r="UKQ179" s="2"/>
      <c r="UKR179" s="2"/>
      <c r="UKS179" s="2"/>
      <c r="UKT179" s="2"/>
      <c r="UKU179" s="2"/>
      <c r="UKV179" s="2"/>
      <c r="UKW179" s="2"/>
      <c r="UKX179" s="2"/>
      <c r="UKY179" s="2"/>
      <c r="UKZ179" s="2"/>
      <c r="ULA179" s="2"/>
      <c r="ULB179" s="2"/>
      <c r="ULC179" s="2"/>
      <c r="ULD179" s="2"/>
      <c r="ULE179" s="2"/>
      <c r="ULF179" s="2"/>
      <c r="ULG179" s="2"/>
      <c r="ULH179" s="2"/>
      <c r="ULI179" s="2"/>
      <c r="ULJ179" s="2"/>
      <c r="ULK179" s="2"/>
      <c r="ULL179" s="2"/>
      <c r="ULM179" s="2"/>
      <c r="ULN179" s="2"/>
      <c r="ULO179" s="2"/>
      <c r="ULP179" s="2"/>
      <c r="ULQ179" s="2"/>
      <c r="ULR179" s="2"/>
      <c r="ULS179" s="2"/>
      <c r="ULT179" s="2"/>
      <c r="ULU179" s="2"/>
      <c r="ULV179" s="2"/>
      <c r="ULW179" s="2"/>
      <c r="ULX179" s="2"/>
      <c r="ULY179" s="2"/>
      <c r="ULZ179" s="2"/>
      <c r="UMA179" s="2"/>
      <c r="UMB179" s="2"/>
      <c r="UMC179" s="2"/>
      <c r="UMD179" s="2"/>
      <c r="UME179" s="2"/>
      <c r="UMF179" s="2"/>
      <c r="UMG179" s="2"/>
      <c r="UMH179" s="2"/>
      <c r="UMI179" s="2"/>
      <c r="UMJ179" s="2"/>
      <c r="UMK179" s="2"/>
      <c r="UML179" s="2"/>
      <c r="UMM179" s="2"/>
      <c r="UMN179" s="2"/>
      <c r="UMO179" s="2"/>
      <c r="UMP179" s="2"/>
      <c r="UMQ179" s="2"/>
      <c r="UMR179" s="2"/>
      <c r="UMS179" s="2"/>
      <c r="UMT179" s="2"/>
      <c r="UMU179" s="2"/>
      <c r="UMV179" s="2"/>
      <c r="UMW179" s="2"/>
      <c r="UMX179" s="2"/>
      <c r="UMY179" s="2"/>
      <c r="UMZ179" s="2"/>
      <c r="UNA179" s="2"/>
      <c r="UNB179" s="2"/>
      <c r="UNC179" s="2"/>
      <c r="UND179" s="2"/>
      <c r="UNE179" s="2"/>
      <c r="UNF179" s="2"/>
      <c r="UNG179" s="2"/>
      <c r="UNH179" s="2"/>
      <c r="UNI179" s="2"/>
      <c r="UNJ179" s="2"/>
      <c r="UNK179" s="2"/>
      <c r="UNL179" s="2"/>
      <c r="UNM179" s="2"/>
      <c r="UNN179" s="2"/>
      <c r="UNO179" s="2"/>
      <c r="UNP179" s="2"/>
      <c r="UNQ179" s="2"/>
      <c r="UNR179" s="2"/>
      <c r="UNS179" s="2"/>
      <c r="UNT179" s="2"/>
      <c r="UNU179" s="2"/>
      <c r="UNV179" s="2"/>
      <c r="UNW179" s="2"/>
      <c r="UNX179" s="2"/>
      <c r="UNY179" s="2"/>
      <c r="UNZ179" s="2"/>
      <c r="UOA179" s="2"/>
      <c r="UOB179" s="2"/>
      <c r="UOC179" s="2"/>
      <c r="UOD179" s="2"/>
      <c r="UOE179" s="2"/>
      <c r="UOF179" s="2"/>
      <c r="UOG179" s="2"/>
      <c r="UOH179" s="2"/>
      <c r="UOI179" s="2"/>
      <c r="UOJ179" s="2"/>
      <c r="UOK179" s="2"/>
      <c r="UOL179" s="2"/>
      <c r="UOM179" s="2"/>
      <c r="UON179" s="2"/>
      <c r="UOO179" s="2"/>
      <c r="UOP179" s="2"/>
      <c r="UOQ179" s="2"/>
      <c r="UOR179" s="2"/>
      <c r="UOS179" s="2"/>
      <c r="UOT179" s="2"/>
      <c r="UOU179" s="2"/>
      <c r="UOV179" s="2"/>
      <c r="UOW179" s="2"/>
      <c r="UOX179" s="2"/>
      <c r="UOY179" s="2"/>
      <c r="UOZ179" s="2"/>
      <c r="UPA179" s="2"/>
      <c r="UPB179" s="2"/>
      <c r="UPC179" s="2"/>
      <c r="UPD179" s="2"/>
      <c r="UPE179" s="2"/>
      <c r="UPF179" s="2"/>
      <c r="UPG179" s="2"/>
      <c r="UPH179" s="2"/>
      <c r="UPI179" s="2"/>
      <c r="UPJ179" s="2"/>
      <c r="UPK179" s="2"/>
      <c r="UPL179" s="2"/>
      <c r="UPM179" s="2"/>
      <c r="UPN179" s="2"/>
      <c r="UPO179" s="2"/>
      <c r="UPP179" s="2"/>
      <c r="UPQ179" s="2"/>
      <c r="UPR179" s="2"/>
      <c r="UPS179" s="2"/>
      <c r="UPT179" s="2"/>
      <c r="UPU179" s="2"/>
      <c r="UPV179" s="2"/>
      <c r="UPW179" s="2"/>
      <c r="UPX179" s="2"/>
      <c r="UPY179" s="2"/>
      <c r="UPZ179" s="2"/>
      <c r="UQA179" s="2"/>
      <c r="UQB179" s="2"/>
      <c r="UQC179" s="2"/>
      <c r="UQD179" s="2"/>
      <c r="UQE179" s="2"/>
      <c r="UQF179" s="2"/>
      <c r="UQG179" s="2"/>
      <c r="UQH179" s="2"/>
      <c r="UQI179" s="2"/>
      <c r="UQJ179" s="2"/>
      <c r="UQK179" s="2"/>
      <c r="UQL179" s="2"/>
      <c r="UQM179" s="2"/>
      <c r="UQN179" s="2"/>
      <c r="UQO179" s="2"/>
      <c r="UQP179" s="2"/>
      <c r="UQQ179" s="2"/>
      <c r="UQR179" s="2"/>
      <c r="UQS179" s="2"/>
      <c r="UQT179" s="2"/>
      <c r="UQU179" s="2"/>
      <c r="UQV179" s="2"/>
      <c r="UQW179" s="2"/>
      <c r="UQX179" s="2"/>
      <c r="UQY179" s="2"/>
      <c r="UQZ179" s="2"/>
      <c r="URA179" s="2"/>
      <c r="URB179" s="2"/>
      <c r="URC179" s="2"/>
      <c r="URD179" s="2"/>
      <c r="URE179" s="2"/>
      <c r="URF179" s="2"/>
      <c r="URG179" s="2"/>
      <c r="URH179" s="2"/>
      <c r="URI179" s="2"/>
      <c r="URJ179" s="2"/>
      <c r="URK179" s="2"/>
      <c r="URL179" s="2"/>
      <c r="URM179" s="2"/>
      <c r="URN179" s="2"/>
      <c r="URO179" s="2"/>
      <c r="URP179" s="2"/>
      <c r="URQ179" s="2"/>
      <c r="URR179" s="2"/>
      <c r="URS179" s="2"/>
      <c r="URT179" s="2"/>
      <c r="URU179" s="2"/>
      <c r="URV179" s="2"/>
      <c r="URW179" s="2"/>
      <c r="URX179" s="2"/>
      <c r="URY179" s="2"/>
      <c r="URZ179" s="2"/>
      <c r="USA179" s="2"/>
      <c r="USB179" s="2"/>
      <c r="USC179" s="2"/>
      <c r="USD179" s="2"/>
      <c r="USE179" s="2"/>
      <c r="USF179" s="2"/>
      <c r="USG179" s="2"/>
      <c r="USH179" s="2"/>
      <c r="USI179" s="2"/>
      <c r="USJ179" s="2"/>
      <c r="USK179" s="2"/>
      <c r="USL179" s="2"/>
      <c r="USM179" s="2"/>
      <c r="USN179" s="2"/>
      <c r="USO179" s="2"/>
      <c r="USP179" s="2"/>
      <c r="USQ179" s="2"/>
      <c r="USR179" s="2"/>
      <c r="USS179" s="2"/>
      <c r="UST179" s="2"/>
      <c r="USU179" s="2"/>
      <c r="USV179" s="2"/>
      <c r="USW179" s="2"/>
      <c r="USX179" s="2"/>
      <c r="USY179" s="2"/>
      <c r="USZ179" s="2"/>
      <c r="UTA179" s="2"/>
      <c r="UTB179" s="2"/>
      <c r="UTC179" s="2"/>
      <c r="UTD179" s="2"/>
      <c r="UTE179" s="2"/>
      <c r="UTF179" s="2"/>
      <c r="UTG179" s="2"/>
      <c r="UTH179" s="2"/>
      <c r="UTI179" s="2"/>
      <c r="UTJ179" s="2"/>
      <c r="UTK179" s="2"/>
      <c r="UTL179" s="2"/>
      <c r="UTM179" s="2"/>
      <c r="UTN179" s="2"/>
      <c r="UTO179" s="2"/>
      <c r="UTP179" s="2"/>
      <c r="UTQ179" s="2"/>
      <c r="UTR179" s="2"/>
      <c r="UTS179" s="2"/>
      <c r="UTT179" s="2"/>
      <c r="UTU179" s="2"/>
      <c r="UTV179" s="2"/>
      <c r="UTW179" s="2"/>
      <c r="UTX179" s="2"/>
      <c r="UTY179" s="2"/>
      <c r="UTZ179" s="2"/>
      <c r="UUA179" s="2"/>
      <c r="UUB179" s="2"/>
      <c r="UUC179" s="2"/>
      <c r="UUD179" s="2"/>
      <c r="UUE179" s="2"/>
      <c r="UUF179" s="2"/>
      <c r="UUG179" s="2"/>
      <c r="UUH179" s="2"/>
      <c r="UUI179" s="2"/>
      <c r="UUJ179" s="2"/>
      <c r="UUK179" s="2"/>
      <c r="UUL179" s="2"/>
      <c r="UUM179" s="2"/>
      <c r="UUN179" s="2"/>
      <c r="UUO179" s="2"/>
      <c r="UUP179" s="2"/>
      <c r="UUQ179" s="2"/>
      <c r="UUR179" s="2"/>
      <c r="UUS179" s="2"/>
      <c r="UUT179" s="2"/>
      <c r="UUU179" s="2"/>
      <c r="UUV179" s="2"/>
      <c r="UUW179" s="2"/>
      <c r="UUX179" s="2"/>
      <c r="UUY179" s="2"/>
      <c r="UUZ179" s="2"/>
      <c r="UVA179" s="2"/>
      <c r="UVB179" s="2"/>
      <c r="UVC179" s="2"/>
      <c r="UVD179" s="2"/>
      <c r="UVE179" s="2"/>
      <c r="UVF179" s="2"/>
      <c r="UVG179" s="2"/>
      <c r="UVH179" s="2"/>
      <c r="UVI179" s="2"/>
      <c r="UVJ179" s="2"/>
      <c r="UVK179" s="2"/>
      <c r="UVL179" s="2"/>
      <c r="UVM179" s="2"/>
      <c r="UVN179" s="2"/>
      <c r="UVO179" s="2"/>
      <c r="UVP179" s="2"/>
      <c r="UVQ179" s="2"/>
      <c r="UVR179" s="2"/>
      <c r="UVS179" s="2"/>
      <c r="UVT179" s="2"/>
      <c r="UVU179" s="2"/>
      <c r="UVV179" s="2"/>
      <c r="UVW179" s="2"/>
      <c r="UVX179" s="2"/>
      <c r="UVY179" s="2"/>
      <c r="UVZ179" s="2"/>
      <c r="UWA179" s="2"/>
      <c r="UWB179" s="2"/>
      <c r="UWC179" s="2"/>
      <c r="UWD179" s="2"/>
      <c r="UWE179" s="2"/>
      <c r="UWF179" s="2"/>
      <c r="UWG179" s="2"/>
      <c r="UWH179" s="2"/>
      <c r="UWI179" s="2"/>
      <c r="UWJ179" s="2"/>
      <c r="UWK179" s="2"/>
      <c r="UWL179" s="2"/>
      <c r="UWM179" s="2"/>
      <c r="UWN179" s="2"/>
      <c r="UWO179" s="2"/>
      <c r="UWP179" s="2"/>
      <c r="UWQ179" s="2"/>
      <c r="UWR179" s="2"/>
      <c r="UWS179" s="2"/>
      <c r="UWT179" s="2"/>
      <c r="UWU179" s="2"/>
      <c r="UWV179" s="2"/>
      <c r="UWW179" s="2"/>
      <c r="UWX179" s="2"/>
      <c r="UWY179" s="2"/>
      <c r="UWZ179" s="2"/>
      <c r="UXA179" s="2"/>
      <c r="UXB179" s="2"/>
      <c r="UXC179" s="2"/>
      <c r="UXD179" s="2"/>
      <c r="UXE179" s="2"/>
      <c r="UXF179" s="2"/>
      <c r="UXG179" s="2"/>
      <c r="UXH179" s="2"/>
      <c r="UXI179" s="2"/>
      <c r="UXJ179" s="2"/>
      <c r="UXK179" s="2"/>
      <c r="UXL179" s="2"/>
      <c r="UXM179" s="2"/>
      <c r="UXN179" s="2"/>
      <c r="UXO179" s="2"/>
      <c r="UXP179" s="2"/>
      <c r="UXQ179" s="2"/>
      <c r="UXR179" s="2"/>
      <c r="UXS179" s="2"/>
      <c r="UXT179" s="2"/>
      <c r="UXU179" s="2"/>
      <c r="UXV179" s="2"/>
      <c r="UXW179" s="2"/>
      <c r="UXX179" s="2"/>
      <c r="UXY179" s="2"/>
      <c r="UXZ179" s="2"/>
      <c r="UYA179" s="2"/>
      <c r="UYB179" s="2"/>
      <c r="UYC179" s="2"/>
      <c r="UYD179" s="2"/>
      <c r="UYE179" s="2"/>
      <c r="UYF179" s="2"/>
      <c r="UYG179" s="2"/>
      <c r="UYH179" s="2"/>
      <c r="UYI179" s="2"/>
      <c r="UYJ179" s="2"/>
      <c r="UYK179" s="2"/>
      <c r="UYL179" s="2"/>
      <c r="UYM179" s="2"/>
      <c r="UYN179" s="2"/>
      <c r="UYO179" s="2"/>
      <c r="UYP179" s="2"/>
      <c r="UYQ179" s="2"/>
      <c r="UYR179" s="2"/>
      <c r="UYS179" s="2"/>
      <c r="UYT179" s="2"/>
      <c r="UYU179" s="2"/>
      <c r="UYV179" s="2"/>
      <c r="UYW179" s="2"/>
      <c r="UYX179" s="2"/>
      <c r="UYY179" s="2"/>
      <c r="UYZ179" s="2"/>
      <c r="UZA179" s="2"/>
      <c r="UZB179" s="2"/>
      <c r="UZC179" s="2"/>
      <c r="UZD179" s="2"/>
      <c r="UZE179" s="2"/>
      <c r="UZF179" s="2"/>
      <c r="UZG179" s="2"/>
      <c r="UZH179" s="2"/>
      <c r="UZI179" s="2"/>
      <c r="UZJ179" s="2"/>
      <c r="UZK179" s="2"/>
      <c r="UZL179" s="2"/>
      <c r="UZM179" s="2"/>
      <c r="UZN179" s="2"/>
      <c r="UZO179" s="2"/>
      <c r="UZP179" s="2"/>
      <c r="UZQ179" s="2"/>
      <c r="UZR179" s="2"/>
      <c r="UZS179" s="2"/>
      <c r="UZT179" s="2"/>
      <c r="UZU179" s="2"/>
      <c r="UZV179" s="2"/>
      <c r="UZW179" s="2"/>
      <c r="UZX179" s="2"/>
      <c r="UZY179" s="2"/>
      <c r="UZZ179" s="2"/>
      <c r="VAA179" s="2"/>
      <c r="VAB179" s="2"/>
      <c r="VAC179" s="2"/>
      <c r="VAD179" s="2"/>
      <c r="VAE179" s="2"/>
      <c r="VAF179" s="2"/>
      <c r="VAG179" s="2"/>
      <c r="VAH179" s="2"/>
      <c r="VAI179" s="2"/>
      <c r="VAJ179" s="2"/>
      <c r="VAK179" s="2"/>
      <c r="VAL179" s="2"/>
      <c r="VAM179" s="2"/>
      <c r="VAN179" s="2"/>
      <c r="VAO179" s="2"/>
      <c r="VAP179" s="2"/>
      <c r="VAQ179" s="2"/>
      <c r="VAR179" s="2"/>
      <c r="VAS179" s="2"/>
      <c r="VAT179" s="2"/>
      <c r="VAU179" s="2"/>
      <c r="VAV179" s="2"/>
      <c r="VAW179" s="2"/>
      <c r="VAX179" s="2"/>
      <c r="VAY179" s="2"/>
      <c r="VAZ179" s="2"/>
      <c r="VBA179" s="2"/>
      <c r="VBB179" s="2"/>
      <c r="VBC179" s="2"/>
      <c r="VBD179" s="2"/>
      <c r="VBE179" s="2"/>
      <c r="VBF179" s="2"/>
      <c r="VBG179" s="2"/>
      <c r="VBH179" s="2"/>
      <c r="VBI179" s="2"/>
      <c r="VBJ179" s="2"/>
      <c r="VBK179" s="2"/>
      <c r="VBL179" s="2"/>
      <c r="VBM179" s="2"/>
      <c r="VBN179" s="2"/>
      <c r="VBO179" s="2"/>
      <c r="VBP179" s="2"/>
      <c r="VBQ179" s="2"/>
      <c r="VBR179" s="2"/>
      <c r="VBS179" s="2"/>
      <c r="VBT179" s="2"/>
      <c r="VBU179" s="2"/>
      <c r="VBV179" s="2"/>
      <c r="VBW179" s="2"/>
      <c r="VBX179" s="2"/>
      <c r="VBY179" s="2"/>
      <c r="VBZ179" s="2"/>
      <c r="VCA179" s="2"/>
      <c r="VCB179" s="2"/>
      <c r="VCC179" s="2"/>
      <c r="VCD179" s="2"/>
      <c r="VCE179" s="2"/>
      <c r="VCF179" s="2"/>
      <c r="VCG179" s="2"/>
      <c r="VCH179" s="2"/>
      <c r="VCI179" s="2"/>
      <c r="VCJ179" s="2"/>
      <c r="VCK179" s="2"/>
      <c r="VCL179" s="2"/>
      <c r="VCM179" s="2"/>
      <c r="VCN179" s="2"/>
      <c r="VCO179" s="2"/>
      <c r="VCP179" s="2"/>
      <c r="VCQ179" s="2"/>
      <c r="VCR179" s="2"/>
      <c r="VCS179" s="2"/>
      <c r="VCT179" s="2"/>
      <c r="VCU179" s="2"/>
      <c r="VCV179" s="2"/>
      <c r="VCW179" s="2"/>
      <c r="VCX179" s="2"/>
      <c r="VCY179" s="2"/>
      <c r="VCZ179" s="2"/>
      <c r="VDA179" s="2"/>
      <c r="VDB179" s="2"/>
      <c r="VDC179" s="2"/>
      <c r="VDD179" s="2"/>
      <c r="VDE179" s="2"/>
      <c r="VDF179" s="2"/>
      <c r="VDG179" s="2"/>
      <c r="VDH179" s="2"/>
      <c r="VDI179" s="2"/>
      <c r="VDJ179" s="2"/>
      <c r="VDK179" s="2"/>
      <c r="VDL179" s="2"/>
      <c r="VDM179" s="2"/>
      <c r="VDN179" s="2"/>
      <c r="VDO179" s="2"/>
      <c r="VDP179" s="2"/>
      <c r="VDQ179" s="2"/>
      <c r="VDR179" s="2"/>
      <c r="VDS179" s="2"/>
      <c r="VDT179" s="2"/>
      <c r="VDU179" s="2"/>
      <c r="VDV179" s="2"/>
      <c r="VDW179" s="2"/>
      <c r="VDX179" s="2"/>
      <c r="VDY179" s="2"/>
      <c r="VDZ179" s="2"/>
      <c r="VEA179" s="2"/>
      <c r="VEB179" s="2"/>
      <c r="VEC179" s="2"/>
      <c r="VED179" s="2"/>
      <c r="VEE179" s="2"/>
      <c r="VEF179" s="2"/>
      <c r="VEG179" s="2"/>
      <c r="VEH179" s="2"/>
      <c r="VEI179" s="2"/>
      <c r="VEJ179" s="2"/>
      <c r="VEK179" s="2"/>
      <c r="VEL179" s="2"/>
      <c r="VEM179" s="2"/>
      <c r="VEN179" s="2"/>
      <c r="VEO179" s="2"/>
      <c r="VEP179" s="2"/>
      <c r="VEQ179" s="2"/>
      <c r="VER179" s="2"/>
      <c r="VES179" s="2"/>
      <c r="VET179" s="2"/>
      <c r="VEU179" s="2"/>
      <c r="VEV179" s="2"/>
      <c r="VEW179" s="2"/>
      <c r="VEX179" s="2"/>
      <c r="VEY179" s="2"/>
      <c r="VEZ179" s="2"/>
      <c r="VFA179" s="2"/>
      <c r="VFB179" s="2"/>
      <c r="VFC179" s="2"/>
      <c r="VFD179" s="2"/>
      <c r="VFE179" s="2"/>
      <c r="VFF179" s="2"/>
      <c r="VFG179" s="2"/>
      <c r="VFH179" s="2"/>
      <c r="VFI179" s="2"/>
      <c r="VFJ179" s="2"/>
      <c r="VFK179" s="2"/>
      <c r="VFL179" s="2"/>
      <c r="VFM179" s="2"/>
      <c r="VFN179" s="2"/>
      <c r="VFO179" s="2"/>
      <c r="VFP179" s="2"/>
      <c r="VFQ179" s="2"/>
      <c r="VFR179" s="2"/>
      <c r="VFS179" s="2"/>
      <c r="VFT179" s="2"/>
      <c r="VFU179" s="2"/>
      <c r="VFV179" s="2"/>
      <c r="VFW179" s="2"/>
      <c r="VFX179" s="2"/>
      <c r="VFY179" s="2"/>
      <c r="VFZ179" s="2"/>
      <c r="VGA179" s="2"/>
      <c r="VGB179" s="2"/>
      <c r="VGC179" s="2"/>
      <c r="VGD179" s="2"/>
      <c r="VGE179" s="2"/>
      <c r="VGF179" s="2"/>
      <c r="VGG179" s="2"/>
      <c r="VGH179" s="2"/>
      <c r="VGI179" s="2"/>
      <c r="VGJ179" s="2"/>
      <c r="VGK179" s="2"/>
      <c r="VGL179" s="2"/>
      <c r="VGM179" s="2"/>
      <c r="VGN179" s="2"/>
      <c r="VGO179" s="2"/>
      <c r="VGP179" s="2"/>
      <c r="VGQ179" s="2"/>
      <c r="VGR179" s="2"/>
      <c r="VGS179" s="2"/>
      <c r="VGT179" s="2"/>
      <c r="VGU179" s="2"/>
      <c r="VGV179" s="2"/>
      <c r="VGW179" s="2"/>
      <c r="VGX179" s="2"/>
      <c r="VGY179" s="2"/>
      <c r="VGZ179" s="2"/>
      <c r="VHA179" s="2"/>
      <c r="VHB179" s="2"/>
      <c r="VHC179" s="2"/>
      <c r="VHD179" s="2"/>
      <c r="VHE179" s="2"/>
      <c r="VHF179" s="2"/>
      <c r="VHG179" s="2"/>
      <c r="VHH179" s="2"/>
      <c r="VHI179" s="2"/>
      <c r="VHJ179" s="2"/>
      <c r="VHK179" s="2"/>
      <c r="VHL179" s="2"/>
      <c r="VHM179" s="2"/>
      <c r="VHN179" s="2"/>
      <c r="VHO179" s="2"/>
      <c r="VHP179" s="2"/>
      <c r="VHQ179" s="2"/>
      <c r="VHR179" s="2"/>
      <c r="VHS179" s="2"/>
      <c r="VHT179" s="2"/>
      <c r="VHU179" s="2"/>
      <c r="VHV179" s="2"/>
      <c r="VHW179" s="2"/>
      <c r="VHX179" s="2"/>
      <c r="VHY179" s="2"/>
      <c r="VHZ179" s="2"/>
      <c r="VIA179" s="2"/>
      <c r="VIB179" s="2"/>
      <c r="VIC179" s="2"/>
      <c r="VID179" s="2"/>
      <c r="VIE179" s="2"/>
      <c r="VIF179" s="2"/>
      <c r="VIG179" s="2"/>
      <c r="VIH179" s="2"/>
      <c r="VII179" s="2"/>
      <c r="VIJ179" s="2"/>
      <c r="VIK179" s="2"/>
      <c r="VIL179" s="2"/>
      <c r="VIM179" s="2"/>
      <c r="VIN179" s="2"/>
      <c r="VIO179" s="2"/>
      <c r="VIP179" s="2"/>
      <c r="VIQ179" s="2"/>
      <c r="VIR179" s="2"/>
      <c r="VIS179" s="2"/>
      <c r="VIT179" s="2"/>
      <c r="VIU179" s="2"/>
      <c r="VIV179" s="2"/>
      <c r="VIW179" s="2"/>
      <c r="VIX179" s="2"/>
      <c r="VIY179" s="2"/>
      <c r="VIZ179" s="2"/>
      <c r="VJA179" s="2"/>
      <c r="VJB179" s="2"/>
      <c r="VJC179" s="2"/>
      <c r="VJD179" s="2"/>
      <c r="VJE179" s="2"/>
      <c r="VJF179" s="2"/>
      <c r="VJG179" s="2"/>
      <c r="VJH179" s="2"/>
      <c r="VJI179" s="2"/>
      <c r="VJJ179" s="2"/>
      <c r="VJK179" s="2"/>
      <c r="VJL179" s="2"/>
      <c r="VJM179" s="2"/>
      <c r="VJN179" s="2"/>
      <c r="VJO179" s="2"/>
      <c r="VJP179" s="2"/>
      <c r="VJQ179" s="2"/>
      <c r="VJR179" s="2"/>
      <c r="VJS179" s="2"/>
      <c r="VJT179" s="2"/>
      <c r="VJU179" s="2"/>
      <c r="VJV179" s="2"/>
      <c r="VJW179" s="2"/>
      <c r="VJX179" s="2"/>
      <c r="VJY179" s="2"/>
      <c r="VJZ179" s="2"/>
      <c r="VKA179" s="2"/>
      <c r="VKB179" s="2"/>
      <c r="VKC179" s="2"/>
      <c r="VKD179" s="2"/>
      <c r="VKE179" s="2"/>
      <c r="VKF179" s="2"/>
      <c r="VKG179" s="2"/>
      <c r="VKH179" s="2"/>
      <c r="VKI179" s="2"/>
      <c r="VKJ179" s="2"/>
      <c r="VKK179" s="2"/>
      <c r="VKL179" s="2"/>
      <c r="VKM179" s="2"/>
      <c r="VKN179" s="2"/>
      <c r="VKO179" s="2"/>
      <c r="VKP179" s="2"/>
      <c r="VKQ179" s="2"/>
      <c r="VKR179" s="2"/>
      <c r="VKS179" s="2"/>
      <c r="VKT179" s="2"/>
      <c r="VKU179" s="2"/>
      <c r="VKV179" s="2"/>
      <c r="VKW179" s="2"/>
      <c r="VKX179" s="2"/>
      <c r="VKY179" s="2"/>
      <c r="VKZ179" s="2"/>
      <c r="VLA179" s="2"/>
      <c r="VLB179" s="2"/>
      <c r="VLC179" s="2"/>
      <c r="VLD179" s="2"/>
      <c r="VLE179" s="2"/>
      <c r="VLF179" s="2"/>
      <c r="VLG179" s="2"/>
      <c r="VLH179" s="2"/>
      <c r="VLI179" s="2"/>
      <c r="VLJ179" s="2"/>
      <c r="VLK179" s="2"/>
      <c r="VLL179" s="2"/>
      <c r="VLM179" s="2"/>
      <c r="VLN179" s="2"/>
      <c r="VLO179" s="2"/>
      <c r="VLP179" s="2"/>
      <c r="VLQ179" s="2"/>
      <c r="VLR179" s="2"/>
      <c r="VLS179" s="2"/>
      <c r="VLT179" s="2"/>
      <c r="VLU179" s="2"/>
      <c r="VLV179" s="2"/>
      <c r="VLW179" s="2"/>
      <c r="VLX179" s="2"/>
      <c r="VLY179" s="2"/>
      <c r="VLZ179" s="2"/>
      <c r="VMA179" s="2"/>
      <c r="VMB179" s="2"/>
      <c r="VMC179" s="2"/>
      <c r="VMD179" s="2"/>
      <c r="VME179" s="2"/>
      <c r="VMF179" s="2"/>
      <c r="VMG179" s="2"/>
      <c r="VMH179" s="2"/>
      <c r="VMI179" s="2"/>
      <c r="VMJ179" s="2"/>
      <c r="VMK179" s="2"/>
      <c r="VML179" s="2"/>
      <c r="VMM179" s="2"/>
      <c r="VMN179" s="2"/>
      <c r="VMO179" s="2"/>
      <c r="VMP179" s="2"/>
      <c r="VMQ179" s="2"/>
      <c r="VMR179" s="2"/>
      <c r="VMS179" s="2"/>
      <c r="VMT179" s="2"/>
      <c r="VMU179" s="2"/>
      <c r="VMV179" s="2"/>
      <c r="VMW179" s="2"/>
      <c r="VMX179" s="2"/>
      <c r="VMY179" s="2"/>
      <c r="VMZ179" s="2"/>
      <c r="VNA179" s="2"/>
      <c r="VNB179" s="2"/>
      <c r="VNC179" s="2"/>
      <c r="VND179" s="2"/>
      <c r="VNE179" s="2"/>
      <c r="VNF179" s="2"/>
      <c r="VNG179" s="2"/>
      <c r="VNH179" s="2"/>
      <c r="VNI179" s="2"/>
      <c r="VNJ179" s="2"/>
      <c r="VNK179" s="2"/>
      <c r="VNL179" s="2"/>
      <c r="VNM179" s="2"/>
      <c r="VNN179" s="2"/>
      <c r="VNO179" s="2"/>
      <c r="VNP179" s="2"/>
      <c r="VNQ179" s="2"/>
      <c r="VNR179" s="2"/>
      <c r="VNS179" s="2"/>
      <c r="VNT179" s="2"/>
      <c r="VNU179" s="2"/>
      <c r="VNV179" s="2"/>
      <c r="VNW179" s="2"/>
      <c r="VNX179" s="2"/>
      <c r="VNY179" s="2"/>
      <c r="VNZ179" s="2"/>
      <c r="VOA179" s="2"/>
      <c r="VOB179" s="2"/>
      <c r="VOC179" s="2"/>
      <c r="VOD179" s="2"/>
      <c r="VOE179" s="2"/>
      <c r="VOF179" s="2"/>
      <c r="VOG179" s="2"/>
      <c r="VOH179" s="2"/>
      <c r="VOI179" s="2"/>
      <c r="VOJ179" s="2"/>
      <c r="VOK179" s="2"/>
      <c r="VOL179" s="2"/>
      <c r="VOM179" s="2"/>
      <c r="VON179" s="2"/>
      <c r="VOO179" s="2"/>
      <c r="VOP179" s="2"/>
      <c r="VOQ179" s="2"/>
      <c r="VOR179" s="2"/>
      <c r="VOS179" s="2"/>
      <c r="VOT179" s="2"/>
      <c r="VOU179" s="2"/>
      <c r="VOV179" s="2"/>
      <c r="VOW179" s="2"/>
      <c r="VOX179" s="2"/>
      <c r="VOY179" s="2"/>
      <c r="VOZ179" s="2"/>
      <c r="VPA179" s="2"/>
      <c r="VPB179" s="2"/>
      <c r="VPC179" s="2"/>
      <c r="VPD179" s="2"/>
      <c r="VPE179" s="2"/>
      <c r="VPF179" s="2"/>
      <c r="VPG179" s="2"/>
      <c r="VPH179" s="2"/>
      <c r="VPI179" s="2"/>
      <c r="VPJ179" s="2"/>
      <c r="VPK179" s="2"/>
      <c r="VPL179" s="2"/>
      <c r="VPM179" s="2"/>
      <c r="VPN179" s="2"/>
      <c r="VPO179" s="2"/>
      <c r="VPP179" s="2"/>
      <c r="VPQ179" s="2"/>
      <c r="VPR179" s="2"/>
      <c r="VPS179" s="2"/>
      <c r="VPT179" s="2"/>
      <c r="VPU179" s="2"/>
      <c r="VPV179" s="2"/>
      <c r="VPW179" s="2"/>
      <c r="VPX179" s="2"/>
      <c r="VPY179" s="2"/>
      <c r="VPZ179" s="2"/>
      <c r="VQA179" s="2"/>
      <c r="VQB179" s="2"/>
      <c r="VQC179" s="2"/>
      <c r="VQD179" s="2"/>
      <c r="VQE179" s="2"/>
      <c r="VQF179" s="2"/>
      <c r="VQG179" s="2"/>
      <c r="VQH179" s="2"/>
      <c r="VQI179" s="2"/>
      <c r="VQJ179" s="2"/>
      <c r="VQK179" s="2"/>
      <c r="VQL179" s="2"/>
      <c r="VQM179" s="2"/>
      <c r="VQN179" s="2"/>
      <c r="VQO179" s="2"/>
      <c r="VQP179" s="2"/>
      <c r="VQQ179" s="2"/>
      <c r="VQR179" s="2"/>
      <c r="VQS179" s="2"/>
      <c r="VQT179" s="2"/>
      <c r="VQU179" s="2"/>
      <c r="VQV179" s="2"/>
      <c r="VQW179" s="2"/>
      <c r="VQX179" s="2"/>
      <c r="VQY179" s="2"/>
      <c r="VQZ179" s="2"/>
      <c r="VRA179" s="2"/>
      <c r="VRB179" s="2"/>
      <c r="VRC179" s="2"/>
      <c r="VRD179" s="2"/>
      <c r="VRE179" s="2"/>
      <c r="VRF179" s="2"/>
      <c r="VRG179" s="2"/>
      <c r="VRH179" s="2"/>
      <c r="VRI179" s="2"/>
      <c r="VRJ179" s="2"/>
      <c r="VRK179" s="2"/>
      <c r="VRL179" s="2"/>
      <c r="VRM179" s="2"/>
      <c r="VRN179" s="2"/>
      <c r="VRO179" s="2"/>
      <c r="VRP179" s="2"/>
      <c r="VRQ179" s="2"/>
      <c r="VRR179" s="2"/>
      <c r="VRS179" s="2"/>
      <c r="VRT179" s="2"/>
      <c r="VRU179" s="2"/>
      <c r="VRV179" s="2"/>
      <c r="VRW179" s="2"/>
      <c r="VRX179" s="2"/>
      <c r="VRY179" s="2"/>
      <c r="VRZ179" s="2"/>
      <c r="VSA179" s="2"/>
      <c r="VSB179" s="2"/>
      <c r="VSC179" s="2"/>
      <c r="VSD179" s="2"/>
      <c r="VSE179" s="2"/>
      <c r="VSF179" s="2"/>
      <c r="VSG179" s="2"/>
      <c r="VSH179" s="2"/>
      <c r="VSI179" s="2"/>
      <c r="VSJ179" s="2"/>
      <c r="VSK179" s="2"/>
      <c r="VSL179" s="2"/>
      <c r="VSM179" s="2"/>
      <c r="VSN179" s="2"/>
      <c r="VSO179" s="2"/>
      <c r="VSP179" s="2"/>
      <c r="VSQ179" s="2"/>
      <c r="VSR179" s="2"/>
      <c r="VSS179" s="2"/>
      <c r="VST179" s="2"/>
      <c r="VSU179" s="2"/>
      <c r="VSV179" s="2"/>
      <c r="VSW179" s="2"/>
      <c r="VSX179" s="2"/>
      <c r="VSY179" s="2"/>
      <c r="VSZ179" s="2"/>
      <c r="VTA179" s="2"/>
      <c r="VTB179" s="2"/>
      <c r="VTC179" s="2"/>
      <c r="VTD179" s="2"/>
      <c r="VTE179" s="2"/>
      <c r="VTF179" s="2"/>
      <c r="VTG179" s="2"/>
      <c r="VTH179" s="2"/>
      <c r="VTI179" s="2"/>
      <c r="VTJ179" s="2"/>
      <c r="VTK179" s="2"/>
      <c r="VTL179" s="2"/>
      <c r="VTM179" s="2"/>
      <c r="VTN179" s="2"/>
      <c r="VTO179" s="2"/>
      <c r="VTP179" s="2"/>
      <c r="VTQ179" s="2"/>
      <c r="VTR179" s="2"/>
      <c r="VTS179" s="2"/>
      <c r="VTT179" s="2"/>
      <c r="VTU179" s="2"/>
      <c r="VTV179" s="2"/>
      <c r="VTW179" s="2"/>
      <c r="VTX179" s="2"/>
      <c r="VTY179" s="2"/>
      <c r="VTZ179" s="2"/>
      <c r="VUA179" s="2"/>
      <c r="VUB179" s="2"/>
      <c r="VUC179" s="2"/>
      <c r="VUD179" s="2"/>
      <c r="VUE179" s="2"/>
      <c r="VUF179" s="2"/>
      <c r="VUG179" s="2"/>
      <c r="VUH179" s="2"/>
      <c r="VUI179" s="2"/>
      <c r="VUJ179" s="2"/>
      <c r="VUK179" s="2"/>
      <c r="VUL179" s="2"/>
      <c r="VUM179" s="2"/>
      <c r="VUN179" s="2"/>
      <c r="VUO179" s="2"/>
      <c r="VUP179" s="2"/>
      <c r="VUQ179" s="2"/>
      <c r="VUR179" s="2"/>
      <c r="VUS179" s="2"/>
      <c r="VUT179" s="2"/>
      <c r="VUU179" s="2"/>
      <c r="VUV179" s="2"/>
      <c r="VUW179" s="2"/>
      <c r="VUX179" s="2"/>
      <c r="VUY179" s="2"/>
      <c r="VUZ179" s="2"/>
      <c r="VVA179" s="2"/>
      <c r="VVB179" s="2"/>
      <c r="VVC179" s="2"/>
      <c r="VVD179" s="2"/>
      <c r="VVE179" s="2"/>
      <c r="VVF179" s="2"/>
      <c r="VVG179" s="2"/>
      <c r="VVH179" s="2"/>
      <c r="VVI179" s="2"/>
      <c r="VVJ179" s="2"/>
      <c r="VVK179" s="2"/>
      <c r="VVL179" s="2"/>
      <c r="VVM179" s="2"/>
      <c r="VVN179" s="2"/>
      <c r="VVO179" s="2"/>
      <c r="VVP179" s="2"/>
      <c r="VVQ179" s="2"/>
      <c r="VVR179" s="2"/>
      <c r="VVS179" s="2"/>
      <c r="VVT179" s="2"/>
      <c r="VVU179" s="2"/>
      <c r="VVV179" s="2"/>
      <c r="VVW179" s="2"/>
      <c r="VVX179" s="2"/>
      <c r="VVY179" s="2"/>
      <c r="VVZ179" s="2"/>
      <c r="VWA179" s="2"/>
      <c r="VWB179" s="2"/>
      <c r="VWC179" s="2"/>
      <c r="VWD179" s="2"/>
      <c r="VWE179" s="2"/>
      <c r="VWF179" s="2"/>
      <c r="VWG179" s="2"/>
      <c r="VWH179" s="2"/>
      <c r="VWI179" s="2"/>
      <c r="VWJ179" s="2"/>
      <c r="VWK179" s="2"/>
      <c r="VWL179" s="2"/>
      <c r="VWM179" s="2"/>
      <c r="VWN179" s="2"/>
      <c r="VWO179" s="2"/>
      <c r="VWP179" s="2"/>
      <c r="VWQ179" s="2"/>
      <c r="VWR179" s="2"/>
      <c r="VWS179" s="2"/>
      <c r="VWT179" s="2"/>
      <c r="VWU179" s="2"/>
      <c r="VWV179" s="2"/>
      <c r="VWW179" s="2"/>
      <c r="VWX179" s="2"/>
      <c r="VWY179" s="2"/>
      <c r="VWZ179" s="2"/>
      <c r="VXA179" s="2"/>
      <c r="VXB179" s="2"/>
      <c r="VXC179" s="2"/>
      <c r="VXD179" s="2"/>
      <c r="VXE179" s="2"/>
      <c r="VXF179" s="2"/>
      <c r="VXG179" s="2"/>
      <c r="VXH179" s="2"/>
      <c r="VXI179" s="2"/>
      <c r="VXJ179" s="2"/>
      <c r="VXK179" s="2"/>
      <c r="VXL179" s="2"/>
      <c r="VXM179" s="2"/>
      <c r="VXN179" s="2"/>
      <c r="VXO179" s="2"/>
      <c r="VXP179" s="2"/>
      <c r="VXQ179" s="2"/>
      <c r="VXR179" s="2"/>
      <c r="VXS179" s="2"/>
      <c r="VXT179" s="2"/>
      <c r="VXU179" s="2"/>
      <c r="VXV179" s="2"/>
      <c r="VXW179" s="2"/>
      <c r="VXX179" s="2"/>
      <c r="VXY179" s="2"/>
      <c r="VXZ179" s="2"/>
      <c r="VYA179" s="2"/>
      <c r="VYB179" s="2"/>
      <c r="VYC179" s="2"/>
      <c r="VYD179" s="2"/>
      <c r="VYE179" s="2"/>
      <c r="VYF179" s="2"/>
      <c r="VYG179" s="2"/>
      <c r="VYH179" s="2"/>
      <c r="VYI179" s="2"/>
      <c r="VYJ179" s="2"/>
      <c r="VYK179" s="2"/>
      <c r="VYL179" s="2"/>
      <c r="VYM179" s="2"/>
      <c r="VYN179" s="2"/>
      <c r="VYO179" s="2"/>
      <c r="VYP179" s="2"/>
      <c r="VYQ179" s="2"/>
      <c r="VYR179" s="2"/>
      <c r="VYS179" s="2"/>
      <c r="VYT179" s="2"/>
      <c r="VYU179" s="2"/>
      <c r="VYV179" s="2"/>
      <c r="VYW179" s="2"/>
      <c r="VYX179" s="2"/>
      <c r="VYY179" s="2"/>
      <c r="VYZ179" s="2"/>
      <c r="VZA179" s="2"/>
      <c r="VZB179" s="2"/>
      <c r="VZC179" s="2"/>
      <c r="VZD179" s="2"/>
      <c r="VZE179" s="2"/>
      <c r="VZF179" s="2"/>
      <c r="VZG179" s="2"/>
      <c r="VZH179" s="2"/>
      <c r="VZI179" s="2"/>
      <c r="VZJ179" s="2"/>
      <c r="VZK179" s="2"/>
      <c r="VZL179" s="2"/>
      <c r="VZM179" s="2"/>
      <c r="VZN179" s="2"/>
      <c r="VZO179" s="2"/>
      <c r="VZP179" s="2"/>
      <c r="VZQ179" s="2"/>
      <c r="VZR179" s="2"/>
      <c r="VZS179" s="2"/>
      <c r="VZT179" s="2"/>
      <c r="VZU179" s="2"/>
      <c r="VZV179" s="2"/>
      <c r="VZW179" s="2"/>
      <c r="VZX179" s="2"/>
      <c r="VZY179" s="2"/>
      <c r="VZZ179" s="2"/>
      <c r="WAA179" s="2"/>
      <c r="WAB179" s="2"/>
      <c r="WAC179" s="2"/>
      <c r="WAD179" s="2"/>
      <c r="WAE179" s="2"/>
      <c r="WAF179" s="2"/>
      <c r="WAG179" s="2"/>
      <c r="WAH179" s="2"/>
      <c r="WAI179" s="2"/>
      <c r="WAJ179" s="2"/>
      <c r="WAK179" s="2"/>
      <c r="WAL179" s="2"/>
      <c r="WAM179" s="2"/>
      <c r="WAN179" s="2"/>
      <c r="WAO179" s="2"/>
      <c r="WAP179" s="2"/>
      <c r="WAQ179" s="2"/>
      <c r="WAR179" s="2"/>
      <c r="WAS179" s="2"/>
      <c r="WAT179" s="2"/>
      <c r="WAU179" s="2"/>
      <c r="WAV179" s="2"/>
      <c r="WAW179" s="2"/>
      <c r="WAX179" s="2"/>
      <c r="WAY179" s="2"/>
      <c r="WAZ179" s="2"/>
      <c r="WBA179" s="2"/>
      <c r="WBB179" s="2"/>
      <c r="WBC179" s="2"/>
      <c r="WBD179" s="2"/>
      <c r="WBE179" s="2"/>
      <c r="WBF179" s="2"/>
      <c r="WBG179" s="2"/>
      <c r="WBH179" s="2"/>
      <c r="WBI179" s="2"/>
      <c r="WBJ179" s="2"/>
      <c r="WBK179" s="2"/>
      <c r="WBL179" s="2"/>
      <c r="WBM179" s="2"/>
      <c r="WBN179" s="2"/>
      <c r="WBO179" s="2"/>
      <c r="WBP179" s="2"/>
      <c r="WBQ179" s="2"/>
      <c r="WBR179" s="2"/>
      <c r="WBS179" s="2"/>
      <c r="WBT179" s="2"/>
      <c r="WBU179" s="2"/>
      <c r="WBV179" s="2"/>
      <c r="WBW179" s="2"/>
      <c r="WBX179" s="2"/>
      <c r="WBY179" s="2"/>
      <c r="WBZ179" s="2"/>
      <c r="WCA179" s="2"/>
      <c r="WCB179" s="2"/>
      <c r="WCC179" s="2"/>
      <c r="WCD179" s="2"/>
      <c r="WCE179" s="2"/>
      <c r="WCF179" s="2"/>
      <c r="WCG179" s="2"/>
      <c r="WCH179" s="2"/>
      <c r="WCI179" s="2"/>
      <c r="WCJ179" s="2"/>
      <c r="WCK179" s="2"/>
      <c r="WCL179" s="2"/>
      <c r="WCM179" s="2"/>
      <c r="WCN179" s="2"/>
      <c r="WCO179" s="2"/>
      <c r="WCP179" s="2"/>
      <c r="WCQ179" s="2"/>
      <c r="WCR179" s="2"/>
      <c r="WCS179" s="2"/>
      <c r="WCT179" s="2"/>
      <c r="WCU179" s="2"/>
      <c r="WCV179" s="2"/>
      <c r="WCW179" s="2"/>
      <c r="WCX179" s="2"/>
      <c r="WCY179" s="2"/>
      <c r="WCZ179" s="2"/>
      <c r="WDA179" s="2"/>
      <c r="WDB179" s="2"/>
      <c r="WDC179" s="2"/>
      <c r="WDD179" s="2"/>
      <c r="WDE179" s="2"/>
      <c r="WDF179" s="2"/>
      <c r="WDG179" s="2"/>
      <c r="WDH179" s="2"/>
      <c r="WDI179" s="2"/>
      <c r="WDJ179" s="2"/>
      <c r="WDK179" s="2"/>
      <c r="WDL179" s="2"/>
      <c r="WDM179" s="2"/>
      <c r="WDN179" s="2"/>
      <c r="WDO179" s="2"/>
      <c r="WDP179" s="2"/>
      <c r="WDQ179" s="2"/>
      <c r="WDR179" s="2"/>
      <c r="WDS179" s="2"/>
      <c r="WDT179" s="2"/>
      <c r="WDU179" s="2"/>
      <c r="WDV179" s="2"/>
      <c r="WDW179" s="2"/>
      <c r="WDX179" s="2"/>
      <c r="WDY179" s="2"/>
      <c r="WDZ179" s="2"/>
      <c r="WEA179" s="2"/>
      <c r="WEB179" s="2"/>
      <c r="WEC179" s="2"/>
      <c r="WED179" s="2"/>
      <c r="WEE179" s="2"/>
      <c r="WEF179" s="2"/>
      <c r="WEG179" s="2"/>
      <c r="WEH179" s="2"/>
      <c r="WEI179" s="2"/>
      <c r="WEJ179" s="2"/>
      <c r="WEK179" s="2"/>
      <c r="WEL179" s="2"/>
      <c r="WEM179" s="2"/>
      <c r="WEN179" s="2"/>
      <c r="WEO179" s="2"/>
      <c r="WEP179" s="2"/>
      <c r="WEQ179" s="2"/>
      <c r="WER179" s="2"/>
      <c r="WES179" s="2"/>
      <c r="WET179" s="2"/>
      <c r="WEU179" s="2"/>
      <c r="WEV179" s="2"/>
      <c r="WEW179" s="2"/>
      <c r="WEX179" s="2"/>
      <c r="WEY179" s="2"/>
      <c r="WEZ179" s="2"/>
      <c r="WFA179" s="2"/>
      <c r="WFB179" s="2"/>
      <c r="WFC179" s="2"/>
      <c r="WFD179" s="2"/>
      <c r="WFE179" s="2"/>
      <c r="WFF179" s="2"/>
      <c r="WFG179" s="2"/>
      <c r="WFH179" s="2"/>
      <c r="WFI179" s="2"/>
      <c r="WFJ179" s="2"/>
      <c r="WFK179" s="2"/>
      <c r="WFL179" s="2"/>
      <c r="WFM179" s="2"/>
      <c r="WFN179" s="2"/>
      <c r="WFO179" s="2"/>
      <c r="WFP179" s="2"/>
      <c r="WFQ179" s="2"/>
      <c r="WFR179" s="2"/>
      <c r="WFS179" s="2"/>
      <c r="WFT179" s="2"/>
      <c r="WFU179" s="2"/>
      <c r="WFV179" s="2"/>
      <c r="WFW179" s="2"/>
      <c r="WFX179" s="2"/>
      <c r="WFY179" s="2"/>
      <c r="WFZ179" s="2"/>
      <c r="WGA179" s="2"/>
      <c r="WGB179" s="2"/>
      <c r="WGC179" s="2"/>
      <c r="WGD179" s="2"/>
      <c r="WGE179" s="2"/>
      <c r="WGF179" s="2"/>
      <c r="WGG179" s="2"/>
      <c r="WGH179" s="2"/>
      <c r="WGI179" s="2"/>
      <c r="WGJ179" s="2"/>
      <c r="WGK179" s="2"/>
      <c r="WGL179" s="2"/>
      <c r="WGM179" s="2"/>
      <c r="WGN179" s="2"/>
      <c r="WGO179" s="2"/>
      <c r="WGP179" s="2"/>
      <c r="WGQ179" s="2"/>
      <c r="WGR179" s="2"/>
      <c r="WGS179" s="2"/>
      <c r="WGT179" s="2"/>
      <c r="WGU179" s="2"/>
      <c r="WGV179" s="2"/>
      <c r="WGW179" s="2"/>
      <c r="WGX179" s="2"/>
      <c r="WGY179" s="2"/>
      <c r="WGZ179" s="2"/>
      <c r="WHA179" s="2"/>
      <c r="WHB179" s="2"/>
      <c r="WHC179" s="2"/>
      <c r="WHD179" s="2"/>
      <c r="WHE179" s="2"/>
      <c r="WHF179" s="2"/>
      <c r="WHG179" s="2"/>
      <c r="WHH179" s="2"/>
      <c r="WHI179" s="2"/>
      <c r="WHJ179" s="2"/>
      <c r="WHK179" s="2"/>
      <c r="WHL179" s="2"/>
      <c r="WHM179" s="2"/>
      <c r="WHN179" s="2"/>
      <c r="WHO179" s="2"/>
      <c r="WHP179" s="2"/>
      <c r="WHQ179" s="2"/>
      <c r="WHR179" s="2"/>
      <c r="WHS179" s="2"/>
      <c r="WHT179" s="2"/>
      <c r="WHU179" s="2"/>
      <c r="WHV179" s="2"/>
      <c r="WHW179" s="2"/>
      <c r="WHX179" s="2"/>
      <c r="WHY179" s="2"/>
      <c r="WHZ179" s="2"/>
      <c r="WIA179" s="2"/>
      <c r="WIB179" s="2"/>
      <c r="WIC179" s="2"/>
      <c r="WID179" s="2"/>
      <c r="WIE179" s="2"/>
      <c r="WIF179" s="2"/>
      <c r="WIG179" s="2"/>
      <c r="WIH179" s="2"/>
      <c r="WII179" s="2"/>
      <c r="WIJ179" s="2"/>
      <c r="WIK179" s="2"/>
      <c r="WIL179" s="2"/>
      <c r="WIM179" s="2"/>
      <c r="WIN179" s="2"/>
      <c r="WIO179" s="2"/>
      <c r="WIP179" s="2"/>
      <c r="WIQ179" s="2"/>
      <c r="WIR179" s="2"/>
      <c r="WIS179" s="2"/>
      <c r="WIT179" s="2"/>
      <c r="WIU179" s="2"/>
      <c r="WIV179" s="2"/>
      <c r="WIW179" s="2"/>
      <c r="WIX179" s="2"/>
      <c r="WIY179" s="2"/>
      <c r="WIZ179" s="2"/>
      <c r="WJA179" s="2"/>
      <c r="WJB179" s="2"/>
      <c r="WJC179" s="2"/>
      <c r="WJD179" s="2"/>
      <c r="WJE179" s="2"/>
      <c r="WJF179" s="2"/>
      <c r="WJG179" s="2"/>
      <c r="WJH179" s="2"/>
      <c r="WJI179" s="2"/>
      <c r="WJJ179" s="2"/>
      <c r="WJK179" s="2"/>
      <c r="WJL179" s="2"/>
      <c r="WJM179" s="2"/>
      <c r="WJN179" s="2"/>
      <c r="WJO179" s="2"/>
      <c r="WJP179" s="2"/>
      <c r="WJQ179" s="2"/>
      <c r="WJR179" s="2"/>
      <c r="WJS179" s="2"/>
      <c r="WJT179" s="2"/>
      <c r="WJU179" s="2"/>
      <c r="WJV179" s="2"/>
      <c r="WJW179" s="2"/>
      <c r="WJX179" s="2"/>
      <c r="WJY179" s="2"/>
      <c r="WJZ179" s="2"/>
      <c r="WKA179" s="2"/>
      <c r="WKB179" s="2"/>
      <c r="WKC179" s="2"/>
      <c r="WKD179" s="2"/>
      <c r="WKE179" s="2"/>
      <c r="WKF179" s="2"/>
      <c r="WKG179" s="2"/>
      <c r="WKH179" s="2"/>
      <c r="WKI179" s="2"/>
      <c r="WKJ179" s="2"/>
      <c r="WKK179" s="2"/>
      <c r="WKL179" s="2"/>
      <c r="WKM179" s="2"/>
      <c r="WKN179" s="2"/>
      <c r="WKO179" s="2"/>
      <c r="WKP179" s="2"/>
      <c r="WKQ179" s="2"/>
      <c r="WKR179" s="2"/>
      <c r="WKS179" s="2"/>
      <c r="WKT179" s="2"/>
      <c r="WKU179" s="2"/>
      <c r="WKV179" s="2"/>
      <c r="WKW179" s="2"/>
      <c r="WKX179" s="2"/>
      <c r="WKY179" s="2"/>
      <c r="WKZ179" s="2"/>
      <c r="WLA179" s="2"/>
      <c r="WLB179" s="2"/>
      <c r="WLC179" s="2"/>
      <c r="WLD179" s="2"/>
      <c r="WLE179" s="2"/>
      <c r="WLF179" s="2"/>
      <c r="WLG179" s="2"/>
      <c r="WLH179" s="2"/>
      <c r="WLI179" s="2"/>
      <c r="WLJ179" s="2"/>
      <c r="WLK179" s="2"/>
      <c r="WLL179" s="2"/>
      <c r="WLM179" s="2"/>
      <c r="WLN179" s="2"/>
      <c r="WLO179" s="2"/>
      <c r="WLP179" s="2"/>
      <c r="WLQ179" s="2"/>
      <c r="WLR179" s="2"/>
      <c r="WLS179" s="2"/>
      <c r="WLT179" s="2"/>
      <c r="WLU179" s="2"/>
      <c r="WLV179" s="2"/>
      <c r="WLW179" s="2"/>
      <c r="WLX179" s="2"/>
      <c r="WLY179" s="2"/>
      <c r="WLZ179" s="2"/>
      <c r="WMA179" s="2"/>
      <c r="WMB179" s="2"/>
      <c r="WMC179" s="2"/>
      <c r="WMD179" s="2"/>
      <c r="WME179" s="2"/>
      <c r="WMF179" s="2"/>
      <c r="WMG179" s="2"/>
      <c r="WMH179" s="2"/>
      <c r="WMI179" s="2"/>
      <c r="WMJ179" s="2"/>
      <c r="WMK179" s="2"/>
      <c r="WML179" s="2"/>
      <c r="WMM179" s="2"/>
      <c r="WMN179" s="2"/>
      <c r="WMO179" s="2"/>
      <c r="WMP179" s="2"/>
      <c r="WMQ179" s="2"/>
      <c r="WMR179" s="2"/>
      <c r="WMS179" s="2"/>
      <c r="WMT179" s="2"/>
      <c r="WMU179" s="2"/>
      <c r="WMV179" s="2"/>
      <c r="WMW179" s="2"/>
      <c r="WMX179" s="2"/>
      <c r="WMY179" s="2"/>
      <c r="WMZ179" s="2"/>
      <c r="WNA179" s="2"/>
      <c r="WNB179" s="2"/>
      <c r="WNC179" s="2"/>
      <c r="WND179" s="2"/>
      <c r="WNE179" s="2"/>
      <c r="WNF179" s="2"/>
      <c r="WNG179" s="2"/>
      <c r="WNH179" s="2"/>
      <c r="WNI179" s="2"/>
      <c r="WNJ179" s="2"/>
      <c r="WNK179" s="2"/>
      <c r="WNL179" s="2"/>
      <c r="WNM179" s="2"/>
      <c r="WNN179" s="2"/>
      <c r="WNO179" s="2"/>
      <c r="WNP179" s="2"/>
      <c r="WNQ179" s="2"/>
      <c r="WNR179" s="2"/>
      <c r="WNS179" s="2"/>
      <c r="WNT179" s="2"/>
      <c r="WNU179" s="2"/>
      <c r="WNV179" s="2"/>
      <c r="WNW179" s="2"/>
      <c r="WNX179" s="2"/>
      <c r="WNY179" s="2"/>
      <c r="WNZ179" s="2"/>
      <c r="WOA179" s="2"/>
      <c r="WOB179" s="2"/>
      <c r="WOC179" s="2"/>
      <c r="WOD179" s="2"/>
      <c r="WOE179" s="2"/>
      <c r="WOF179" s="2"/>
      <c r="WOG179" s="2"/>
      <c r="WOH179" s="2"/>
      <c r="WOI179" s="2"/>
      <c r="WOJ179" s="2"/>
      <c r="WOK179" s="2"/>
      <c r="WOL179" s="2"/>
      <c r="WOM179" s="2"/>
      <c r="WON179" s="2"/>
      <c r="WOO179" s="2"/>
      <c r="WOP179" s="2"/>
      <c r="WOQ179" s="2"/>
      <c r="WOR179" s="2"/>
      <c r="WOS179" s="2"/>
      <c r="WOT179" s="2"/>
      <c r="WOU179" s="2"/>
      <c r="WOV179" s="2"/>
      <c r="WOW179" s="2"/>
      <c r="WOX179" s="2"/>
      <c r="WOY179" s="2"/>
      <c r="WOZ179" s="2"/>
      <c r="WPA179" s="2"/>
      <c r="WPB179" s="2"/>
      <c r="WPC179" s="2"/>
      <c r="WPD179" s="2"/>
      <c r="WPE179" s="2"/>
      <c r="WPF179" s="2"/>
      <c r="WPG179" s="2"/>
      <c r="WPH179" s="2"/>
      <c r="WPI179" s="2"/>
      <c r="WPJ179" s="2"/>
      <c r="WPK179" s="2"/>
      <c r="WPL179" s="2"/>
      <c r="WPM179" s="2"/>
      <c r="WPN179" s="2"/>
      <c r="WPO179" s="2"/>
      <c r="WPP179" s="2"/>
      <c r="WPQ179" s="2"/>
      <c r="WPR179" s="2"/>
      <c r="WPS179" s="2"/>
      <c r="WPT179" s="2"/>
      <c r="WPU179" s="2"/>
      <c r="WPV179" s="2"/>
      <c r="WPW179" s="2"/>
      <c r="WPX179" s="2"/>
      <c r="WPY179" s="2"/>
      <c r="WPZ179" s="2"/>
      <c r="WQA179" s="2"/>
      <c r="WQB179" s="2"/>
      <c r="WQC179" s="2"/>
      <c r="WQD179" s="2"/>
      <c r="WQE179" s="2"/>
      <c r="WQF179" s="2"/>
      <c r="WQG179" s="2"/>
      <c r="WQH179" s="2"/>
      <c r="WQI179" s="2"/>
      <c r="WQJ179" s="2"/>
      <c r="WQK179" s="2"/>
      <c r="WQL179" s="2"/>
      <c r="WQM179" s="2"/>
      <c r="WQN179" s="2"/>
      <c r="WQO179" s="2"/>
      <c r="WQP179" s="2"/>
      <c r="WQQ179" s="2"/>
      <c r="WQR179" s="2"/>
      <c r="WQS179" s="2"/>
      <c r="WQT179" s="2"/>
      <c r="WQU179" s="2"/>
      <c r="WQV179" s="2"/>
      <c r="WQW179" s="2"/>
      <c r="WQX179" s="2"/>
      <c r="WQY179" s="2"/>
      <c r="WQZ179" s="2"/>
      <c r="WRA179" s="2"/>
      <c r="WRB179" s="2"/>
      <c r="WRC179" s="2"/>
      <c r="WRD179" s="2"/>
      <c r="WRE179" s="2"/>
      <c r="WRF179" s="2"/>
      <c r="WRG179" s="2"/>
      <c r="WRH179" s="2"/>
      <c r="WRI179" s="2"/>
      <c r="WRJ179" s="2"/>
      <c r="WRK179" s="2"/>
      <c r="WRL179" s="2"/>
      <c r="WRM179" s="2"/>
      <c r="WRN179" s="2"/>
      <c r="WRO179" s="2"/>
      <c r="WRP179" s="2"/>
      <c r="WRQ179" s="2"/>
      <c r="WRR179" s="2"/>
      <c r="WRS179" s="2"/>
      <c r="WRT179" s="2"/>
      <c r="WRU179" s="2"/>
      <c r="WRV179" s="2"/>
      <c r="WRW179" s="2"/>
      <c r="WRX179" s="2"/>
      <c r="WRY179" s="2"/>
      <c r="WRZ179" s="2"/>
      <c r="WSA179" s="2"/>
      <c r="WSB179" s="2"/>
      <c r="WSC179" s="2"/>
      <c r="WSD179" s="2"/>
      <c r="WSE179" s="2"/>
      <c r="WSF179" s="2"/>
      <c r="WSG179" s="2"/>
      <c r="WSH179" s="2"/>
      <c r="WSI179" s="2"/>
      <c r="WSJ179" s="2"/>
      <c r="WSK179" s="2"/>
      <c r="WSL179" s="2"/>
      <c r="WSM179" s="2"/>
      <c r="WSN179" s="2"/>
      <c r="WSO179" s="2"/>
      <c r="WSP179" s="2"/>
      <c r="WSQ179" s="2"/>
      <c r="WSR179" s="2"/>
      <c r="WSS179" s="2"/>
      <c r="WST179" s="2"/>
      <c r="WSU179" s="2"/>
      <c r="WSV179" s="2"/>
      <c r="WSW179" s="2"/>
      <c r="WSX179" s="2"/>
      <c r="WSY179" s="2"/>
      <c r="WSZ179" s="2"/>
      <c r="WTA179" s="2"/>
      <c r="WTB179" s="2"/>
      <c r="WTC179" s="2"/>
      <c r="WTD179" s="2"/>
      <c r="WTE179" s="2"/>
      <c r="WTF179" s="2"/>
      <c r="WTG179" s="2"/>
      <c r="WTH179" s="2"/>
      <c r="WTI179" s="2"/>
      <c r="WTJ179" s="2"/>
      <c r="WTK179" s="2"/>
      <c r="WTL179" s="2"/>
      <c r="WTM179" s="2"/>
      <c r="WTN179" s="2"/>
      <c r="WTO179" s="2"/>
      <c r="WTP179" s="2"/>
      <c r="WTQ179" s="2"/>
      <c r="WTR179" s="2"/>
      <c r="WTS179" s="2"/>
      <c r="WTT179" s="2"/>
      <c r="WTU179" s="2"/>
      <c r="WTV179" s="2"/>
      <c r="WTW179" s="2"/>
      <c r="WTX179" s="2"/>
      <c r="WTY179" s="2"/>
      <c r="WTZ179" s="2"/>
      <c r="WUA179" s="2"/>
      <c r="WUB179" s="2"/>
      <c r="WUC179" s="2"/>
      <c r="WUD179" s="2"/>
      <c r="WUE179" s="2"/>
      <c r="WUF179" s="2"/>
      <c r="WUG179" s="2"/>
      <c r="WUH179" s="2"/>
      <c r="WUI179" s="2"/>
      <c r="WUJ179" s="2"/>
      <c r="WUK179" s="2"/>
      <c r="WUL179" s="2"/>
      <c r="WUM179" s="2"/>
      <c r="WUN179" s="2"/>
      <c r="WUO179" s="2"/>
      <c r="WUP179" s="2"/>
      <c r="WUQ179" s="2"/>
      <c r="WUR179" s="2"/>
      <c r="WUS179" s="2"/>
      <c r="WUT179" s="2"/>
      <c r="WUU179" s="2"/>
      <c r="WUV179" s="2"/>
      <c r="WUW179" s="2"/>
      <c r="WUX179" s="2"/>
      <c r="WUY179" s="2"/>
      <c r="WUZ179" s="2"/>
      <c r="WVA179" s="2"/>
      <c r="WVB179" s="2"/>
      <c r="WVC179" s="2"/>
      <c r="WVD179" s="2"/>
      <c r="WVE179" s="2"/>
      <c r="WVF179" s="2"/>
      <c r="WVG179" s="2"/>
      <c r="WVH179" s="2"/>
      <c r="WVI179" s="2"/>
      <c r="WVJ179" s="2"/>
      <c r="WVK179" s="2"/>
      <c r="WVL179" s="2"/>
      <c r="WVM179" s="2"/>
      <c r="WVN179" s="2"/>
      <c r="WVO179" s="2"/>
      <c r="WVP179" s="2"/>
      <c r="WVQ179" s="2"/>
      <c r="WVR179" s="2"/>
      <c r="WVS179" s="2"/>
      <c r="WVT179" s="2"/>
      <c r="WVU179" s="2"/>
      <c r="WVV179" s="2"/>
      <c r="WVW179" s="2"/>
      <c r="WVX179" s="2"/>
      <c r="WVY179" s="2"/>
      <c r="WVZ179" s="2"/>
      <c r="WWA179" s="2"/>
      <c r="WWB179" s="2"/>
      <c r="WWC179" s="2"/>
      <c r="WWD179" s="2"/>
      <c r="WWE179" s="2"/>
      <c r="WWF179" s="2"/>
      <c r="WWG179" s="2"/>
      <c r="WWH179" s="2"/>
      <c r="WWI179" s="2"/>
      <c r="WWJ179" s="2"/>
      <c r="WWK179" s="2"/>
      <c r="WWL179" s="2"/>
      <c r="WWM179" s="2"/>
      <c r="WWN179" s="2"/>
      <c r="WWO179" s="2"/>
      <c r="WWP179" s="2"/>
      <c r="WWQ179" s="2"/>
      <c r="WWR179" s="2"/>
      <c r="WWS179" s="2"/>
      <c r="WWT179" s="2"/>
      <c r="WWU179" s="2"/>
      <c r="WWV179" s="2"/>
      <c r="WWW179" s="2"/>
      <c r="WWX179" s="2"/>
      <c r="WWY179" s="2"/>
      <c r="WWZ179" s="2"/>
      <c r="WXA179" s="2"/>
      <c r="WXB179" s="2"/>
      <c r="WXC179" s="2"/>
      <c r="WXD179" s="2"/>
      <c r="WXE179" s="2"/>
      <c r="WXF179" s="2"/>
      <c r="WXG179" s="2"/>
      <c r="WXH179" s="2"/>
      <c r="WXI179" s="2"/>
      <c r="WXJ179" s="2"/>
      <c r="WXK179" s="2"/>
      <c r="WXL179" s="2"/>
      <c r="WXM179" s="2"/>
      <c r="WXN179" s="2"/>
      <c r="WXO179" s="2"/>
      <c r="WXP179" s="2"/>
      <c r="WXQ179" s="2"/>
      <c r="WXR179" s="2"/>
      <c r="WXS179" s="2"/>
      <c r="WXT179" s="2"/>
      <c r="WXU179" s="2"/>
      <c r="WXV179" s="2"/>
      <c r="WXW179" s="2"/>
      <c r="WXX179" s="2"/>
      <c r="WXY179" s="2"/>
      <c r="WXZ179" s="2"/>
      <c r="WYA179" s="2"/>
      <c r="WYB179" s="2"/>
      <c r="WYC179" s="2"/>
      <c r="WYD179" s="2"/>
      <c r="WYE179" s="2"/>
      <c r="WYF179" s="2"/>
      <c r="WYG179" s="2"/>
      <c r="WYH179" s="2"/>
      <c r="WYI179" s="2"/>
      <c r="WYJ179" s="2"/>
      <c r="WYK179" s="2"/>
      <c r="WYL179" s="2"/>
      <c r="WYM179" s="2"/>
      <c r="WYN179" s="2"/>
      <c r="WYO179" s="2"/>
      <c r="WYP179" s="2"/>
      <c r="WYQ179" s="2"/>
      <c r="WYR179" s="2"/>
      <c r="WYS179" s="2"/>
      <c r="WYT179" s="2"/>
      <c r="WYU179" s="2"/>
      <c r="WYV179" s="2"/>
      <c r="WYW179" s="2"/>
      <c r="WYX179" s="2"/>
      <c r="WYY179" s="2"/>
      <c r="WYZ179" s="2"/>
      <c r="WZA179" s="2"/>
      <c r="WZB179" s="2"/>
      <c r="WZC179" s="2"/>
      <c r="WZD179" s="2"/>
      <c r="WZE179" s="2"/>
      <c r="WZF179" s="2"/>
      <c r="WZG179" s="2"/>
      <c r="WZH179" s="2"/>
      <c r="WZI179" s="2"/>
      <c r="WZJ179" s="2"/>
      <c r="WZK179" s="2"/>
      <c r="WZL179" s="2"/>
      <c r="WZM179" s="2"/>
      <c r="WZN179" s="2"/>
      <c r="WZO179" s="2"/>
      <c r="WZP179" s="2"/>
      <c r="WZQ179" s="2"/>
      <c r="WZR179" s="2"/>
      <c r="WZS179" s="2"/>
      <c r="WZT179" s="2"/>
      <c r="WZU179" s="2"/>
      <c r="WZV179" s="2"/>
      <c r="WZW179" s="2"/>
      <c r="WZX179" s="2"/>
      <c r="WZY179" s="2"/>
      <c r="WZZ179" s="2"/>
      <c r="XAA179" s="2"/>
      <c r="XAB179" s="2"/>
      <c r="XAC179" s="2"/>
      <c r="XAD179" s="2"/>
      <c r="XAE179" s="2"/>
      <c r="XAF179" s="2"/>
      <c r="XAG179" s="2"/>
      <c r="XAH179" s="2"/>
      <c r="XAI179" s="2"/>
      <c r="XAJ179" s="2"/>
      <c r="XAK179" s="2"/>
      <c r="XAL179" s="2"/>
      <c r="XAM179" s="2"/>
      <c r="XAN179" s="2"/>
      <c r="XAO179" s="2"/>
      <c r="XAP179" s="2"/>
      <c r="XAQ179" s="2"/>
      <c r="XAR179" s="2"/>
      <c r="XAS179" s="2"/>
      <c r="XAT179" s="2"/>
      <c r="XAU179" s="2"/>
      <c r="XAV179" s="2"/>
      <c r="XAW179" s="2"/>
      <c r="XAX179" s="2"/>
      <c r="XAY179" s="2"/>
      <c r="XAZ179" s="2"/>
      <c r="XBA179" s="2"/>
      <c r="XBB179" s="2"/>
      <c r="XBC179" s="2"/>
      <c r="XBD179" s="2"/>
      <c r="XBE179" s="2"/>
      <c r="XBF179" s="2"/>
      <c r="XBG179" s="2"/>
      <c r="XBH179" s="2"/>
      <c r="XBI179" s="2"/>
      <c r="XBJ179" s="2"/>
      <c r="XBK179" s="2"/>
      <c r="XBL179" s="2"/>
      <c r="XBM179" s="2"/>
      <c r="XBN179" s="2"/>
      <c r="XBO179" s="2"/>
      <c r="XBP179" s="2"/>
      <c r="XBQ179" s="2"/>
      <c r="XBR179" s="2"/>
      <c r="XBS179" s="2"/>
      <c r="XBT179" s="2"/>
    </row>
    <row r="180" customHeight="1" spans="1:1024 1025:16296">
      <c r="B180" s="26"/>
      <c r="C180" s="117" t="s">
        <v>199</v>
      </c>
      <c r="D180" s="118" t="s">
        <v>200</v>
      </c>
      <c r="E180" s="29"/>
      <c r="F180" s="93"/>
      <c r="G180" s="68">
        <v>0</v>
      </c>
      <c r="H180" s="25">
        <f t="shared" si="5"/>
        <v>0</v>
      </c>
    </row>
    <row r="181" customHeight="1" spans="1:1024 1025:16296">
      <c r="B181" s="26"/>
      <c r="C181" s="117" t="s">
        <v>201</v>
      </c>
      <c r="D181" s="118" t="s">
        <v>202</v>
      </c>
      <c r="E181" s="82" t="s">
        <v>203</v>
      </c>
      <c r="F181" s="101"/>
      <c r="G181" s="68">
        <v>0</v>
      </c>
      <c r="H181" s="25">
        <f t="shared" si="5"/>
        <v>0</v>
      </c>
    </row>
    <row r="182" customHeight="1" spans="1:1024 1025:16296">
      <c r="B182" s="26"/>
      <c r="C182" s="119"/>
      <c r="D182" s="119"/>
      <c r="E182" s="29"/>
      <c r="F182" s="93"/>
      <c r="G182" s="68">
        <v>0</v>
      </c>
      <c r="H182" s="25">
        <f t="shared" si="5"/>
        <v>0</v>
      </c>
    </row>
    <row r="183" customHeight="1" spans="1:1024 1025:16296">
      <c r="B183" s="26" t="s">
        <v>424</v>
      </c>
      <c r="C183" s="120" t="s">
        <v>425</v>
      </c>
      <c r="D183" s="121" t="s">
        <v>426</v>
      </c>
      <c r="E183" s="29"/>
      <c r="F183" s="93"/>
      <c r="G183" s="68">
        <v>0</v>
      </c>
      <c r="H183" s="25">
        <f t="shared" si="5"/>
        <v>0</v>
      </c>
    </row>
    <row r="184" customHeight="1" spans="1:1024 1025:16296">
      <c r="A184" s="8">
        <f ca="1" t="shared" ref="A184:A189" si="9">COUNTA(OFFSET(A$1,0,0,ROW()-1,1))+1</f>
        <v>41</v>
      </c>
      <c r="B184" s="26" t="s">
        <v>427</v>
      </c>
      <c r="C184" s="122" t="s">
        <v>428</v>
      </c>
      <c r="D184" s="123" t="s">
        <v>429</v>
      </c>
      <c r="E184" s="29" t="s">
        <v>238</v>
      </c>
      <c r="F184" s="67">
        <v>1024</v>
      </c>
      <c r="G184" s="68">
        <v>18209.6051113618</v>
      </c>
      <c r="H184" s="25">
        <f t="shared" si="5"/>
        <v>18646636</v>
      </c>
    </row>
    <row r="185" customHeight="1" spans="1:1024 1025:16296">
      <c r="B185" s="26" t="s">
        <v>430</v>
      </c>
      <c r="C185" s="122" t="s">
        <v>431</v>
      </c>
      <c r="D185" s="123" t="s">
        <v>432</v>
      </c>
      <c r="E185" s="29"/>
      <c r="F185" s="67"/>
      <c r="G185" s="68">
        <v>0</v>
      </c>
      <c r="H185" s="25">
        <f t="shared" si="5"/>
        <v>0</v>
      </c>
    </row>
    <row r="186" customHeight="1" spans="1:1024 1025:16296">
      <c r="A186" s="8">
        <f ca="1" t="shared" si="9"/>
        <v>42</v>
      </c>
      <c r="B186" s="26" t="s">
        <v>433</v>
      </c>
      <c r="C186" s="122" t="s">
        <v>434</v>
      </c>
      <c r="D186" s="123" t="s">
        <v>435</v>
      </c>
      <c r="E186" s="29" t="s">
        <v>238</v>
      </c>
      <c r="F186" s="67">
        <v>4</v>
      </c>
      <c r="G186" s="68">
        <v>114595.900791302</v>
      </c>
      <c r="H186" s="25">
        <f t="shared" si="5"/>
        <v>458384</v>
      </c>
    </row>
    <row r="187" customHeight="1" spans="1:1024 1025:16296">
      <c r="A187" s="8">
        <f ca="1" t="shared" si="9"/>
        <v>43</v>
      </c>
      <c r="B187" s="26" t="s">
        <v>436</v>
      </c>
      <c r="C187" s="122" t="s">
        <v>437</v>
      </c>
      <c r="D187" s="123" t="s">
        <v>438</v>
      </c>
      <c r="E187" s="29" t="s">
        <v>238</v>
      </c>
      <c r="F187" s="67">
        <v>21</v>
      </c>
      <c r="G187" s="68">
        <v>435.805515239478</v>
      </c>
      <c r="H187" s="25">
        <f t="shared" si="5"/>
        <v>9152</v>
      </c>
    </row>
    <row r="188" customHeight="1" spans="1:1024 1025:16296">
      <c r="A188" s="8">
        <f ca="1" t="shared" si="9"/>
        <v>44</v>
      </c>
      <c r="B188" s="26" t="s">
        <v>439</v>
      </c>
      <c r="C188" s="122" t="s">
        <v>440</v>
      </c>
      <c r="D188" s="123" t="s">
        <v>441</v>
      </c>
      <c r="E188" s="29" t="s">
        <v>238</v>
      </c>
      <c r="F188" s="67">
        <v>103</v>
      </c>
      <c r="G188" s="68">
        <v>34.8644412191582</v>
      </c>
      <c r="H188" s="25">
        <f t="shared" si="5"/>
        <v>3591</v>
      </c>
    </row>
    <row r="189" customHeight="1" spans="1:1024 1025:16296">
      <c r="A189" s="8">
        <f ca="1" t="shared" si="9"/>
        <v>45</v>
      </c>
      <c r="B189" s="26" t="s">
        <v>442</v>
      </c>
      <c r="C189" s="122" t="s">
        <v>443</v>
      </c>
      <c r="D189" s="123" t="s">
        <v>444</v>
      </c>
      <c r="E189" s="29" t="s">
        <v>445</v>
      </c>
      <c r="F189" s="67">
        <v>3687</v>
      </c>
      <c r="G189" s="68">
        <v>1868.5246720608</v>
      </c>
      <c r="H189" s="25">
        <f t="shared" si="5"/>
        <v>6889250</v>
      </c>
    </row>
    <row r="190" customHeight="1" spans="1:1024 1025:16296">
      <c r="B190" s="26" t="s">
        <v>446</v>
      </c>
      <c r="C190" s="122" t="s">
        <v>447</v>
      </c>
      <c r="D190" s="123" t="s">
        <v>448</v>
      </c>
      <c r="E190" s="29"/>
      <c r="F190" s="67"/>
      <c r="G190" s="68">
        <v>0</v>
      </c>
      <c r="H190" s="25">
        <f t="shared" si="5"/>
        <v>0</v>
      </c>
    </row>
    <row r="191" customHeight="1" spans="1:1024 1025:16296">
      <c r="A191" s="8">
        <f ca="1" t="shared" ref="A191:A197" si="10">COUNTA(OFFSET(A$1,0,0,ROW()-1,1))+1</f>
        <v>46</v>
      </c>
      <c r="B191" s="26" t="s">
        <v>449</v>
      </c>
      <c r="C191" s="122" t="s">
        <v>450</v>
      </c>
      <c r="D191" s="122" t="s">
        <v>451</v>
      </c>
      <c r="E191" s="29" t="s">
        <v>452</v>
      </c>
      <c r="F191" s="67">
        <v>1629</v>
      </c>
      <c r="G191" s="68">
        <v>249.749657852939</v>
      </c>
      <c r="H191" s="25">
        <f t="shared" si="5"/>
        <v>406842</v>
      </c>
    </row>
    <row r="192" customHeight="1" spans="1:1024 1025:16296">
      <c r="A192" s="8">
        <f ca="1" t="shared" si="10"/>
        <v>47</v>
      </c>
      <c r="B192" s="26" t="s">
        <v>453</v>
      </c>
      <c r="C192" s="122" t="s">
        <v>454</v>
      </c>
      <c r="D192" s="122" t="s">
        <v>455</v>
      </c>
      <c r="E192" s="29" t="s">
        <v>445</v>
      </c>
      <c r="F192" s="67">
        <v>326</v>
      </c>
      <c r="G192" s="68">
        <v>1198.02552476035</v>
      </c>
      <c r="H192" s="25">
        <f t="shared" si="5"/>
        <v>390556</v>
      </c>
    </row>
    <row r="193" customHeight="1" spans="1:8">
      <c r="B193" s="26" t="s">
        <v>430</v>
      </c>
      <c r="C193" s="38" t="s">
        <v>456</v>
      </c>
      <c r="D193" s="39" t="s">
        <v>457</v>
      </c>
      <c r="E193" s="29"/>
      <c r="F193" s="67"/>
      <c r="G193" s="68">
        <v>0</v>
      </c>
      <c r="H193" s="25">
        <f t="shared" si="5"/>
        <v>0</v>
      </c>
    </row>
    <row r="194" customHeight="1" spans="1:8">
      <c r="A194" s="8">
        <f ca="1" t="shared" si="10"/>
        <v>48</v>
      </c>
      <c r="B194" s="124"/>
      <c r="C194" s="125" t="s">
        <v>458</v>
      </c>
      <c r="D194" s="125" t="s">
        <v>459</v>
      </c>
      <c r="E194" s="126" t="s">
        <v>336</v>
      </c>
      <c r="F194" s="127">
        <f>1102/2</f>
        <v>551</v>
      </c>
      <c r="G194" s="68">
        <v>361.084692603299</v>
      </c>
      <c r="H194" s="25">
        <f t="shared" si="5"/>
        <v>198958</v>
      </c>
    </row>
    <row r="195" customHeight="1" spans="1:8">
      <c r="A195" s="8">
        <f ca="1" t="shared" si="10"/>
        <v>49</v>
      </c>
      <c r="B195" s="124"/>
      <c r="C195" s="125" t="s">
        <v>460</v>
      </c>
      <c r="D195" s="125" t="s">
        <v>461</v>
      </c>
      <c r="E195" s="126" t="s">
        <v>329</v>
      </c>
      <c r="F195" s="128" t="s">
        <v>462</v>
      </c>
      <c r="G195" s="68">
        <v>0</v>
      </c>
      <c r="H195" s="25">
        <f t="shared" si="5"/>
        <v>0</v>
      </c>
    </row>
    <row r="196" customHeight="1" spans="1:8">
      <c r="A196" s="8">
        <f ca="1" t="shared" si="10"/>
        <v>50</v>
      </c>
      <c r="B196" s="124"/>
      <c r="C196" s="125" t="s">
        <v>454</v>
      </c>
      <c r="D196" s="125" t="s">
        <v>463</v>
      </c>
      <c r="E196" s="126" t="s">
        <v>464</v>
      </c>
      <c r="F196" s="127">
        <v>99000</v>
      </c>
      <c r="G196" s="68">
        <v>1.22667614089656</v>
      </c>
      <c r="H196" s="25">
        <f t="shared" si="5"/>
        <v>121441</v>
      </c>
    </row>
    <row r="197" customHeight="1" spans="1:8">
      <c r="A197" s="8">
        <f ca="1" t="shared" si="10"/>
        <v>51</v>
      </c>
      <c r="B197" s="124"/>
      <c r="C197" s="125" t="s">
        <v>465</v>
      </c>
      <c r="D197" s="125" t="s">
        <v>466</v>
      </c>
      <c r="E197" s="126" t="s">
        <v>329</v>
      </c>
      <c r="F197" s="128" t="s">
        <v>462</v>
      </c>
      <c r="G197" s="68">
        <v>0</v>
      </c>
      <c r="H197" s="25">
        <f t="shared" si="5"/>
        <v>0</v>
      </c>
    </row>
    <row r="198" customHeight="1" spans="1:8">
      <c r="B198" s="26" t="s">
        <v>467</v>
      </c>
      <c r="C198" s="38" t="s">
        <v>468</v>
      </c>
      <c r="D198" s="39" t="s">
        <v>469</v>
      </c>
      <c r="E198" s="29"/>
      <c r="F198" s="67"/>
      <c r="G198" s="68">
        <v>0</v>
      </c>
      <c r="H198" s="25">
        <f t="shared" si="5"/>
        <v>0</v>
      </c>
    </row>
    <row r="199" customHeight="1" spans="1:8">
      <c r="A199" s="8">
        <f ca="1" t="shared" ref="A199:A202" si="11">COUNTA(OFFSET(A$1,0,0,ROW()-1,1))+1</f>
        <v>52</v>
      </c>
      <c r="B199" s="124"/>
      <c r="C199" s="125" t="s">
        <v>458</v>
      </c>
      <c r="D199" s="125" t="s">
        <v>459</v>
      </c>
      <c r="E199" s="126" t="s">
        <v>336</v>
      </c>
      <c r="F199" s="127">
        <f>1102/2</f>
        <v>551</v>
      </c>
      <c r="G199" s="68">
        <v>361.084692603299</v>
      </c>
      <c r="H199" s="25">
        <f t="shared" si="5"/>
        <v>198958</v>
      </c>
    </row>
    <row r="200" customHeight="1" spans="1:8">
      <c r="A200" s="8">
        <f ca="1" t="shared" si="11"/>
        <v>53</v>
      </c>
      <c r="B200" s="124"/>
      <c r="C200" s="125" t="s">
        <v>460</v>
      </c>
      <c r="D200" s="125" t="s">
        <v>461</v>
      </c>
      <c r="E200" s="126" t="s">
        <v>329</v>
      </c>
      <c r="F200" s="128" t="s">
        <v>462</v>
      </c>
      <c r="G200" s="68">
        <v>0</v>
      </c>
      <c r="H200" s="25">
        <f t="shared" ref="H200:H263" si="12">IFERROR(ROUND(G200*F200,0),0)</f>
        <v>0</v>
      </c>
    </row>
    <row r="201" customHeight="1" spans="1:8">
      <c r="A201" s="8">
        <f ca="1" t="shared" si="11"/>
        <v>54</v>
      </c>
      <c r="B201" s="124"/>
      <c r="C201" s="125" t="s">
        <v>454</v>
      </c>
      <c r="D201" s="125" t="s">
        <v>463</v>
      </c>
      <c r="E201" s="126" t="s">
        <v>464</v>
      </c>
      <c r="F201" s="128">
        <v>99000</v>
      </c>
      <c r="G201" s="68">
        <v>1.23406320027515</v>
      </c>
      <c r="H201" s="25">
        <f t="shared" si="12"/>
        <v>122172</v>
      </c>
    </row>
    <row r="202" customHeight="1" spans="1:8">
      <c r="A202" s="8">
        <f ca="1" t="shared" si="11"/>
        <v>55</v>
      </c>
      <c r="B202" s="124"/>
      <c r="C202" s="125" t="s">
        <v>465</v>
      </c>
      <c r="D202" s="125" t="s">
        <v>466</v>
      </c>
      <c r="E202" s="126" t="s">
        <v>329</v>
      </c>
      <c r="F202" s="128" t="s">
        <v>462</v>
      </c>
      <c r="G202" s="68">
        <v>0</v>
      </c>
      <c r="H202" s="25">
        <f t="shared" si="12"/>
        <v>0</v>
      </c>
    </row>
    <row r="203" customHeight="1" spans="1:8">
      <c r="B203" s="26" t="s">
        <v>470</v>
      </c>
      <c r="C203" s="38" t="s">
        <v>471</v>
      </c>
      <c r="D203" s="39" t="s">
        <v>472</v>
      </c>
      <c r="E203" s="29"/>
      <c r="F203" s="67"/>
      <c r="G203" s="68">
        <v>0</v>
      </c>
      <c r="H203" s="25">
        <f t="shared" si="12"/>
        <v>0</v>
      </c>
    </row>
    <row r="204" customHeight="1" spans="1:8">
      <c r="A204" s="8">
        <f ca="1" t="shared" ref="A204:A207" si="13">COUNTA(OFFSET(A$1,0,0,ROW()-1,1))+1</f>
        <v>56</v>
      </c>
      <c r="B204" s="124"/>
      <c r="C204" s="125" t="s">
        <v>458</v>
      </c>
      <c r="D204" s="125" t="s">
        <v>459</v>
      </c>
      <c r="E204" s="126" t="s">
        <v>336</v>
      </c>
      <c r="F204" s="127">
        <f>618+2994+331</f>
        <v>3943</v>
      </c>
      <c r="G204" s="68">
        <v>361.084692603299</v>
      </c>
      <c r="H204" s="25">
        <f t="shared" si="12"/>
        <v>1423757</v>
      </c>
    </row>
    <row r="205" customHeight="1" spans="1:8">
      <c r="A205" s="8">
        <f ca="1" t="shared" si="13"/>
        <v>57</v>
      </c>
      <c r="B205" s="124"/>
      <c r="C205" s="125" t="s">
        <v>460</v>
      </c>
      <c r="D205" s="125" t="s">
        <v>461</v>
      </c>
      <c r="E205" s="126" t="s">
        <v>329</v>
      </c>
      <c r="F205" s="128" t="s">
        <v>462</v>
      </c>
      <c r="G205" s="68">
        <v>0</v>
      </c>
      <c r="H205" s="25">
        <f t="shared" si="12"/>
        <v>0</v>
      </c>
    </row>
    <row r="206" customHeight="1" spans="1:8">
      <c r="A206" s="8">
        <f ca="1" t="shared" si="13"/>
        <v>58</v>
      </c>
      <c r="B206" s="124"/>
      <c r="C206" s="125" t="s">
        <v>454</v>
      </c>
      <c r="D206" s="125" t="s">
        <v>463</v>
      </c>
      <c r="E206" s="126" t="s">
        <v>464</v>
      </c>
      <c r="F206" s="128">
        <v>579000</v>
      </c>
      <c r="G206" s="68">
        <v>1.23406320027515</v>
      </c>
      <c r="H206" s="25">
        <f t="shared" si="12"/>
        <v>714523</v>
      </c>
    </row>
    <row r="207" customHeight="1" spans="1:8">
      <c r="A207" s="8">
        <f ca="1" t="shared" si="13"/>
        <v>59</v>
      </c>
      <c r="B207" s="124"/>
      <c r="C207" s="125" t="s">
        <v>465</v>
      </c>
      <c r="D207" s="125" t="s">
        <v>466</v>
      </c>
      <c r="E207" s="126" t="s">
        <v>329</v>
      </c>
      <c r="F207" s="128" t="s">
        <v>462</v>
      </c>
      <c r="G207" s="68">
        <v>0</v>
      </c>
      <c r="H207" s="25">
        <f t="shared" si="12"/>
        <v>0</v>
      </c>
    </row>
    <row r="208" customHeight="1" spans="1:8">
      <c r="B208" s="26" t="s">
        <v>473</v>
      </c>
      <c r="C208" s="38" t="s">
        <v>474</v>
      </c>
      <c r="D208" s="39" t="s">
        <v>475</v>
      </c>
      <c r="E208" s="29"/>
      <c r="F208" s="67"/>
      <c r="G208" s="68">
        <v>0</v>
      </c>
      <c r="H208" s="25">
        <f t="shared" si="12"/>
        <v>0</v>
      </c>
    </row>
    <row r="209" customHeight="1" spans="1:8">
      <c r="B209" s="129" t="s">
        <v>476</v>
      </c>
      <c r="C209" s="130" t="s">
        <v>477</v>
      </c>
      <c r="D209" s="131" t="s">
        <v>478</v>
      </c>
      <c r="E209" s="126"/>
      <c r="F209" s="127"/>
      <c r="G209" s="68">
        <v>0</v>
      </c>
      <c r="H209" s="25">
        <f t="shared" si="12"/>
        <v>0</v>
      </c>
    </row>
    <row r="210" customHeight="1" spans="1:8">
      <c r="A210" s="8">
        <f ca="1" t="shared" ref="A210:A213" si="14">COUNTA(OFFSET(A$1,0,0,ROW()-1,1))+1</f>
        <v>60</v>
      </c>
      <c r="B210" s="124"/>
      <c r="C210" s="125" t="s">
        <v>458</v>
      </c>
      <c r="D210" s="125" t="s">
        <v>459</v>
      </c>
      <c r="E210" s="126" t="s">
        <v>336</v>
      </c>
      <c r="F210" s="127">
        <v>5520</v>
      </c>
      <c r="G210" s="68">
        <v>361.084692603299</v>
      </c>
      <c r="H210" s="25">
        <f t="shared" si="12"/>
        <v>1993188</v>
      </c>
    </row>
    <row r="211" customHeight="1" spans="1:8">
      <c r="A211" s="8">
        <f ca="1" t="shared" si="14"/>
        <v>61</v>
      </c>
      <c r="B211" s="124"/>
      <c r="C211" s="125" t="s">
        <v>460</v>
      </c>
      <c r="D211" s="125" t="s">
        <v>461</v>
      </c>
      <c r="E211" s="126" t="s">
        <v>329</v>
      </c>
      <c r="F211" s="128" t="s">
        <v>462</v>
      </c>
      <c r="G211" s="68">
        <v>0</v>
      </c>
      <c r="H211" s="25">
        <f t="shared" si="12"/>
        <v>0</v>
      </c>
    </row>
    <row r="212" customHeight="1" spans="1:8">
      <c r="A212" s="8">
        <f ca="1" t="shared" si="14"/>
        <v>62</v>
      </c>
      <c r="B212" s="124"/>
      <c r="C212" s="125" t="s">
        <v>454</v>
      </c>
      <c r="D212" s="125" t="s">
        <v>463</v>
      </c>
      <c r="E212" s="126" t="s">
        <v>464</v>
      </c>
      <c r="F212" s="128">
        <v>564000</v>
      </c>
      <c r="G212" s="68">
        <v>1.23406320027515</v>
      </c>
      <c r="H212" s="25">
        <f t="shared" si="12"/>
        <v>696012</v>
      </c>
    </row>
    <row r="213" customHeight="1" spans="1:8">
      <c r="A213" s="8">
        <f ca="1" t="shared" si="14"/>
        <v>63</v>
      </c>
      <c r="B213" s="124"/>
      <c r="C213" s="125" t="s">
        <v>465</v>
      </c>
      <c r="D213" s="125" t="s">
        <v>466</v>
      </c>
      <c r="E213" s="126" t="s">
        <v>329</v>
      </c>
      <c r="F213" s="128" t="s">
        <v>462</v>
      </c>
      <c r="G213" s="68">
        <v>0</v>
      </c>
      <c r="H213" s="25">
        <f t="shared" si="12"/>
        <v>0</v>
      </c>
    </row>
    <row r="214" customHeight="1" spans="1:8">
      <c r="B214" s="129" t="s">
        <v>479</v>
      </c>
      <c r="C214" s="130" t="s">
        <v>480</v>
      </c>
      <c r="D214" s="131" t="s">
        <v>481</v>
      </c>
      <c r="E214" s="126"/>
      <c r="F214" s="127"/>
      <c r="G214" s="68">
        <v>0</v>
      </c>
      <c r="H214" s="25">
        <f t="shared" si="12"/>
        <v>0</v>
      </c>
    </row>
    <row r="215" customHeight="1" spans="1:8">
      <c r="A215" s="8">
        <f ca="1" t="shared" ref="A215:A218" si="15">COUNTA(OFFSET(A$1,0,0,ROW()-1,1))+1</f>
        <v>64</v>
      </c>
      <c r="B215" s="124"/>
      <c r="C215" s="125" t="s">
        <v>458</v>
      </c>
      <c r="D215" s="125" t="s">
        <v>459</v>
      </c>
      <c r="E215" s="126" t="s">
        <v>336</v>
      </c>
      <c r="F215" s="128">
        <v>5040</v>
      </c>
      <c r="G215" s="68">
        <v>361.084692603299</v>
      </c>
      <c r="H215" s="25">
        <f t="shared" si="12"/>
        <v>1819867</v>
      </c>
    </row>
    <row r="216" customHeight="1" spans="1:8">
      <c r="A216" s="8">
        <f ca="1" t="shared" si="15"/>
        <v>65</v>
      </c>
      <c r="B216" s="124"/>
      <c r="C216" s="125" t="s">
        <v>460</v>
      </c>
      <c r="D216" s="125" t="s">
        <v>461</v>
      </c>
      <c r="E216" s="126" t="s">
        <v>329</v>
      </c>
      <c r="F216" s="128" t="s">
        <v>462</v>
      </c>
      <c r="G216" s="68">
        <v>0</v>
      </c>
      <c r="H216" s="25">
        <f t="shared" si="12"/>
        <v>0</v>
      </c>
    </row>
    <row r="217" customHeight="1" spans="1:8">
      <c r="A217" s="8">
        <f ca="1" t="shared" si="15"/>
        <v>66</v>
      </c>
      <c r="B217" s="124"/>
      <c r="C217" s="125" t="s">
        <v>454</v>
      </c>
      <c r="D217" s="125" t="s">
        <v>463</v>
      </c>
      <c r="E217" s="126" t="s">
        <v>464</v>
      </c>
      <c r="F217" s="128">
        <v>806000</v>
      </c>
      <c r="G217" s="68">
        <v>1.23406320027515</v>
      </c>
      <c r="H217" s="25">
        <f t="shared" si="12"/>
        <v>994655</v>
      </c>
    </row>
    <row r="218" customHeight="1" spans="1:8">
      <c r="A218" s="8">
        <f ca="1" t="shared" si="15"/>
        <v>67</v>
      </c>
      <c r="B218" s="124"/>
      <c r="C218" s="125" t="s">
        <v>465</v>
      </c>
      <c r="D218" s="125" t="s">
        <v>466</v>
      </c>
      <c r="E218" s="126" t="s">
        <v>329</v>
      </c>
      <c r="F218" s="128" t="s">
        <v>462</v>
      </c>
      <c r="G218" s="68">
        <v>0</v>
      </c>
      <c r="H218" s="25">
        <f t="shared" si="12"/>
        <v>0</v>
      </c>
    </row>
    <row r="219" customHeight="1" spans="1:8">
      <c r="B219" s="26" t="s">
        <v>482</v>
      </c>
      <c r="C219" s="38" t="s">
        <v>483</v>
      </c>
      <c r="D219" s="39" t="s">
        <v>484</v>
      </c>
      <c r="E219" s="66"/>
      <c r="F219" s="67"/>
      <c r="G219" s="68">
        <v>0</v>
      </c>
      <c r="H219" s="25">
        <f t="shared" si="12"/>
        <v>0</v>
      </c>
    </row>
    <row r="220" customHeight="1" spans="1:8">
      <c r="A220" s="8">
        <f ca="1" t="shared" ref="A220:A223" si="16">COUNTA(OFFSET(A$1,0,0,ROW()-1,1))+1</f>
        <v>68</v>
      </c>
      <c r="B220" s="124"/>
      <c r="C220" s="125" t="s">
        <v>458</v>
      </c>
      <c r="D220" s="125" t="s">
        <v>459</v>
      </c>
      <c r="E220" s="126" t="s">
        <v>336</v>
      </c>
      <c r="F220" s="128">
        <v>5580</v>
      </c>
      <c r="G220" s="68">
        <v>361.084692603299</v>
      </c>
      <c r="H220" s="25">
        <f t="shared" si="12"/>
        <v>2014853</v>
      </c>
    </row>
    <row r="221" customHeight="1" spans="1:8">
      <c r="A221" s="8">
        <f ca="1" t="shared" si="16"/>
        <v>69</v>
      </c>
      <c r="B221" s="124"/>
      <c r="C221" s="125" t="s">
        <v>460</v>
      </c>
      <c r="D221" s="125" t="s">
        <v>461</v>
      </c>
      <c r="E221" s="126" t="s">
        <v>329</v>
      </c>
      <c r="F221" s="128" t="s">
        <v>462</v>
      </c>
      <c r="G221" s="68">
        <v>0</v>
      </c>
      <c r="H221" s="25">
        <f t="shared" si="12"/>
        <v>0</v>
      </c>
    </row>
    <row r="222" customHeight="1" spans="1:8">
      <c r="A222" s="8">
        <f ca="1" t="shared" si="16"/>
        <v>70</v>
      </c>
      <c r="B222" s="124"/>
      <c r="C222" s="125" t="s">
        <v>454</v>
      </c>
      <c r="D222" s="125" t="s">
        <v>463</v>
      </c>
      <c r="E222" s="126" t="s">
        <v>464</v>
      </c>
      <c r="F222" s="128">
        <v>987000</v>
      </c>
      <c r="G222" s="68">
        <v>1.23406320027515</v>
      </c>
      <c r="H222" s="25">
        <f t="shared" si="12"/>
        <v>1218020</v>
      </c>
    </row>
    <row r="223" customHeight="1" spans="1:8">
      <c r="A223" s="8">
        <f ca="1" t="shared" si="16"/>
        <v>71</v>
      </c>
      <c r="B223" s="124"/>
      <c r="C223" s="125" t="s">
        <v>465</v>
      </c>
      <c r="D223" s="125" t="s">
        <v>466</v>
      </c>
      <c r="E223" s="126" t="s">
        <v>329</v>
      </c>
      <c r="F223" s="128" t="s">
        <v>462</v>
      </c>
      <c r="G223" s="68">
        <v>0</v>
      </c>
      <c r="H223" s="25">
        <f t="shared" si="12"/>
        <v>0</v>
      </c>
    </row>
    <row r="224" customHeight="1" spans="1:8">
      <c r="B224" s="26" t="s">
        <v>485</v>
      </c>
      <c r="C224" s="38" t="s">
        <v>486</v>
      </c>
      <c r="D224" s="39" t="s">
        <v>487</v>
      </c>
      <c r="E224" s="29"/>
      <c r="F224" s="67"/>
      <c r="G224" s="68">
        <v>0</v>
      </c>
      <c r="H224" s="25">
        <f t="shared" si="12"/>
        <v>0</v>
      </c>
    </row>
    <row r="225" customHeight="1" spans="1:8">
      <c r="A225" s="8">
        <f ca="1" t="shared" ref="A225:A228" si="17">COUNTA(OFFSET(A$1,0,0,ROW()-1,1))+1</f>
        <v>72</v>
      </c>
      <c r="B225" s="124"/>
      <c r="C225" s="125" t="s">
        <v>458</v>
      </c>
      <c r="D225" s="125" t="s">
        <v>459</v>
      </c>
      <c r="E225" s="126" t="s">
        <v>336</v>
      </c>
      <c r="F225" s="127">
        <v>2084</v>
      </c>
      <c r="G225" s="68">
        <v>361.084692603299</v>
      </c>
      <c r="H225" s="25">
        <f t="shared" si="12"/>
        <v>752500</v>
      </c>
    </row>
    <row r="226" customHeight="1" spans="1:8">
      <c r="A226" s="8">
        <f ca="1" t="shared" si="17"/>
        <v>73</v>
      </c>
      <c r="B226" s="124"/>
      <c r="C226" s="125" t="s">
        <v>460</v>
      </c>
      <c r="D226" s="125" t="s">
        <v>461</v>
      </c>
      <c r="E226" s="126" t="s">
        <v>329</v>
      </c>
      <c r="F226" s="128" t="s">
        <v>462</v>
      </c>
      <c r="G226" s="68">
        <v>0</v>
      </c>
      <c r="H226" s="25">
        <f t="shared" si="12"/>
        <v>0</v>
      </c>
    </row>
    <row r="227" customHeight="1" spans="1:8">
      <c r="A227" s="8">
        <f ca="1" t="shared" si="17"/>
        <v>74</v>
      </c>
      <c r="B227" s="124"/>
      <c r="C227" s="125" t="s">
        <v>454</v>
      </c>
      <c r="D227" s="125" t="s">
        <v>463</v>
      </c>
      <c r="E227" s="126" t="s">
        <v>464</v>
      </c>
      <c r="F227" s="127">
        <v>250000</v>
      </c>
      <c r="G227" s="68">
        <v>1.23406320027515</v>
      </c>
      <c r="H227" s="25">
        <f t="shared" si="12"/>
        <v>308516</v>
      </c>
    </row>
    <row r="228" customHeight="1" spans="1:8">
      <c r="A228" s="8">
        <f ca="1" t="shared" si="17"/>
        <v>75</v>
      </c>
      <c r="B228" s="124"/>
      <c r="C228" s="125" t="s">
        <v>465</v>
      </c>
      <c r="D228" s="125" t="s">
        <v>466</v>
      </c>
      <c r="E228" s="126" t="s">
        <v>329</v>
      </c>
      <c r="F228" s="128" t="s">
        <v>462</v>
      </c>
      <c r="G228" s="68">
        <v>0</v>
      </c>
      <c r="H228" s="25">
        <f t="shared" si="12"/>
        <v>0</v>
      </c>
    </row>
    <row r="229" customHeight="1" spans="1:8">
      <c r="B229" s="26" t="s">
        <v>488</v>
      </c>
      <c r="C229" s="38" t="s">
        <v>489</v>
      </c>
      <c r="D229" s="39" t="s">
        <v>490</v>
      </c>
      <c r="E229" s="66"/>
      <c r="F229" s="67"/>
      <c r="G229" s="68">
        <v>0</v>
      </c>
      <c r="H229" s="25">
        <f t="shared" si="12"/>
        <v>0</v>
      </c>
    </row>
    <row r="230" customHeight="1" spans="1:8">
      <c r="A230" s="8">
        <f ca="1" t="shared" ref="A230:A233" si="18">COUNTA(OFFSET(A$1,0,0,ROW()-1,1))+1</f>
        <v>76</v>
      </c>
      <c r="B230" s="124"/>
      <c r="C230" s="125" t="s">
        <v>458</v>
      </c>
      <c r="D230" s="125" t="s">
        <v>459</v>
      </c>
      <c r="E230" s="126" t="s">
        <v>336</v>
      </c>
      <c r="F230" s="127">
        <v>10118</v>
      </c>
      <c r="G230" s="68">
        <v>361.084692603299</v>
      </c>
      <c r="H230" s="25">
        <f t="shared" si="12"/>
        <v>3653455</v>
      </c>
    </row>
    <row r="231" customHeight="1" spans="1:8">
      <c r="A231" s="8">
        <f ca="1" t="shared" si="18"/>
        <v>77</v>
      </c>
      <c r="B231" s="124"/>
      <c r="C231" s="125" t="s">
        <v>460</v>
      </c>
      <c r="D231" s="125" t="s">
        <v>461</v>
      </c>
      <c r="E231" s="126" t="s">
        <v>329</v>
      </c>
      <c r="F231" s="128" t="s">
        <v>462</v>
      </c>
      <c r="G231" s="68">
        <v>0</v>
      </c>
      <c r="H231" s="25">
        <f t="shared" si="12"/>
        <v>0</v>
      </c>
    </row>
    <row r="232" customHeight="1" spans="1:8">
      <c r="A232" s="8">
        <f ca="1" t="shared" si="18"/>
        <v>78</v>
      </c>
      <c r="B232" s="124"/>
      <c r="C232" s="125" t="s">
        <v>454</v>
      </c>
      <c r="D232" s="125" t="s">
        <v>463</v>
      </c>
      <c r="E232" s="126" t="s">
        <v>464</v>
      </c>
      <c r="F232" s="127">
        <v>1518</v>
      </c>
      <c r="G232" s="68">
        <v>1.23406320027515</v>
      </c>
      <c r="H232" s="25">
        <f t="shared" si="12"/>
        <v>1873</v>
      </c>
    </row>
    <row r="233" customHeight="1" spans="1:8">
      <c r="A233" s="8">
        <f ca="1" t="shared" si="18"/>
        <v>79</v>
      </c>
      <c r="B233" s="124"/>
      <c r="C233" s="125" t="s">
        <v>465</v>
      </c>
      <c r="D233" s="125" t="s">
        <v>466</v>
      </c>
      <c r="E233" s="126" t="s">
        <v>329</v>
      </c>
      <c r="F233" s="128" t="s">
        <v>462</v>
      </c>
      <c r="G233" s="68">
        <v>0</v>
      </c>
      <c r="H233" s="25">
        <f t="shared" si="12"/>
        <v>0</v>
      </c>
    </row>
    <row r="234" customHeight="1" spans="1:8">
      <c r="B234" s="129" t="s">
        <v>491</v>
      </c>
      <c r="C234" s="130" t="s">
        <v>492</v>
      </c>
      <c r="D234" s="131" t="s">
        <v>493</v>
      </c>
      <c r="E234" s="48"/>
      <c r="F234" s="128"/>
      <c r="G234" s="68">
        <v>0</v>
      </c>
      <c r="H234" s="25">
        <f t="shared" si="12"/>
        <v>0</v>
      </c>
    </row>
    <row r="235" customHeight="1" spans="1:8">
      <c r="A235" s="8">
        <f ca="1" t="shared" ref="A235:A239" si="19">COUNTA(OFFSET(A$1,0,0,ROW()-1,1))+1</f>
        <v>80</v>
      </c>
      <c r="B235" s="45"/>
      <c r="C235" s="125" t="s">
        <v>458</v>
      </c>
      <c r="D235" s="125" t="s">
        <v>459</v>
      </c>
      <c r="E235" s="126" t="s">
        <v>336</v>
      </c>
      <c r="F235" s="128">
        <v>584</v>
      </c>
      <c r="G235" s="68">
        <v>361.084692603299</v>
      </c>
      <c r="H235" s="25">
        <f t="shared" si="12"/>
        <v>210873</v>
      </c>
    </row>
    <row r="236" customHeight="1" spans="1:8">
      <c r="A236" s="8">
        <f ca="1" t="shared" si="19"/>
        <v>81</v>
      </c>
      <c r="B236" s="45"/>
      <c r="C236" s="125" t="s">
        <v>460</v>
      </c>
      <c r="D236" s="125" t="s">
        <v>461</v>
      </c>
      <c r="E236" s="126" t="s">
        <v>329</v>
      </c>
      <c r="F236" s="128" t="s">
        <v>462</v>
      </c>
      <c r="G236" s="68">
        <v>0</v>
      </c>
      <c r="H236" s="25">
        <f t="shared" si="12"/>
        <v>0</v>
      </c>
    </row>
    <row r="237" customHeight="1" spans="1:8">
      <c r="A237" s="8">
        <f ca="1" t="shared" si="19"/>
        <v>82</v>
      </c>
      <c r="B237" s="45"/>
      <c r="C237" s="125" t="s">
        <v>454</v>
      </c>
      <c r="D237" s="125" t="s">
        <v>463</v>
      </c>
      <c r="E237" s="126" t="s">
        <v>464</v>
      </c>
      <c r="F237" s="128">
        <v>115000</v>
      </c>
      <c r="G237" s="68">
        <v>1.23406320027515</v>
      </c>
      <c r="H237" s="25">
        <f t="shared" si="12"/>
        <v>141917</v>
      </c>
    </row>
    <row r="238" customHeight="1" spans="1:8">
      <c r="A238" s="8">
        <f ca="1" t="shared" si="19"/>
        <v>83</v>
      </c>
      <c r="B238" s="45"/>
      <c r="C238" s="125" t="s">
        <v>465</v>
      </c>
      <c r="D238" s="125" t="s">
        <v>466</v>
      </c>
      <c r="E238" s="126" t="s">
        <v>329</v>
      </c>
      <c r="F238" s="128" t="s">
        <v>462</v>
      </c>
      <c r="G238" s="68">
        <v>0</v>
      </c>
      <c r="H238" s="25">
        <f t="shared" si="12"/>
        <v>0</v>
      </c>
    </row>
    <row r="239" customHeight="1" spans="1:8">
      <c r="A239" s="8">
        <f ca="1" t="shared" si="19"/>
        <v>84</v>
      </c>
      <c r="B239" s="129" t="s">
        <v>494</v>
      </c>
      <c r="C239" s="130" t="s">
        <v>495</v>
      </c>
      <c r="D239" s="131" t="s">
        <v>496</v>
      </c>
      <c r="E239" s="126" t="s">
        <v>329</v>
      </c>
      <c r="F239" s="128">
        <v>69855</v>
      </c>
      <c r="G239" s="68">
        <v>13.379370606</v>
      </c>
      <c r="H239" s="25">
        <f t="shared" si="12"/>
        <v>934616</v>
      </c>
    </row>
    <row r="240" customHeight="1" spans="1:8">
      <c r="B240" s="45"/>
      <c r="C240" s="46" t="s">
        <v>497</v>
      </c>
      <c r="D240" s="47" t="s">
        <v>498</v>
      </c>
      <c r="E240" s="48"/>
      <c r="F240" s="69"/>
      <c r="G240" s="68">
        <v>0</v>
      </c>
      <c r="H240" s="25">
        <f t="shared" si="12"/>
        <v>0</v>
      </c>
    </row>
    <row r="241" customHeight="1" spans="1:8">
      <c r="B241" s="26"/>
      <c r="C241" s="114"/>
      <c r="D241" s="114"/>
      <c r="E241" s="29"/>
      <c r="F241" s="93"/>
      <c r="G241" s="68">
        <v>0</v>
      </c>
      <c r="H241" s="25">
        <f t="shared" si="12"/>
        <v>0</v>
      </c>
    </row>
    <row r="242" customHeight="1" spans="1:8">
      <c r="B242" s="26" t="s">
        <v>499</v>
      </c>
      <c r="C242" s="132" t="s">
        <v>500</v>
      </c>
      <c r="D242" s="133" t="s">
        <v>501</v>
      </c>
      <c r="E242" s="29"/>
      <c r="F242" s="93"/>
      <c r="G242" s="68">
        <v>0</v>
      </c>
      <c r="H242" s="25">
        <f t="shared" si="12"/>
        <v>0</v>
      </c>
    </row>
    <row r="243" customHeight="1" spans="1:8">
      <c r="B243" s="26" t="s">
        <v>502</v>
      </c>
      <c r="C243" s="38" t="s">
        <v>503</v>
      </c>
      <c r="D243" s="39" t="s">
        <v>504</v>
      </c>
      <c r="E243" s="29"/>
      <c r="F243" s="67"/>
      <c r="G243" s="68">
        <v>0</v>
      </c>
      <c r="H243" s="25">
        <f t="shared" si="12"/>
        <v>0</v>
      </c>
    </row>
    <row r="244" customHeight="1" spans="1:8">
      <c r="B244" s="26" t="s">
        <v>505</v>
      </c>
      <c r="C244" s="43" t="s">
        <v>506</v>
      </c>
      <c r="D244" s="44" t="s">
        <v>507</v>
      </c>
      <c r="E244" s="29"/>
      <c r="F244" s="67"/>
      <c r="G244" s="68">
        <v>0</v>
      </c>
      <c r="H244" s="25">
        <f t="shared" si="12"/>
        <v>0</v>
      </c>
    </row>
    <row r="245" customHeight="1" spans="1:8">
      <c r="A245" s="8">
        <f ca="1" t="shared" ref="A245:A258" si="20">COUNTA(OFFSET(A$1,0,0,ROW()-1,1))+1</f>
        <v>85</v>
      </c>
      <c r="B245" s="124"/>
      <c r="C245" s="125" t="s">
        <v>508</v>
      </c>
      <c r="D245" s="125" t="s">
        <v>509</v>
      </c>
      <c r="E245" s="126" t="s">
        <v>510</v>
      </c>
      <c r="F245" s="128" t="s">
        <v>462</v>
      </c>
      <c r="G245" s="68">
        <v>0</v>
      </c>
      <c r="H245" s="25">
        <f t="shared" si="12"/>
        <v>0</v>
      </c>
    </row>
    <row r="246" customHeight="1" spans="1:8">
      <c r="A246" s="8">
        <f ca="1" t="shared" si="20"/>
        <v>86</v>
      </c>
      <c r="B246" s="124"/>
      <c r="C246" s="125" t="s">
        <v>511</v>
      </c>
      <c r="D246" s="125" t="s">
        <v>512</v>
      </c>
      <c r="E246" s="126" t="s">
        <v>464</v>
      </c>
      <c r="F246" s="128" t="s">
        <v>462</v>
      </c>
      <c r="G246" s="68">
        <v>0</v>
      </c>
      <c r="H246" s="25">
        <f t="shared" si="12"/>
        <v>0</v>
      </c>
    </row>
    <row r="247" customHeight="1" spans="1:8">
      <c r="A247" s="8">
        <f ca="1" t="shared" si="20"/>
        <v>87</v>
      </c>
      <c r="B247" s="124"/>
      <c r="C247" s="125" t="s">
        <v>513</v>
      </c>
      <c r="D247" s="125" t="s">
        <v>514</v>
      </c>
      <c r="E247" s="126" t="s">
        <v>515</v>
      </c>
      <c r="F247" s="67">
        <v>1206</v>
      </c>
      <c r="G247" s="68">
        <v>397.676995479655</v>
      </c>
      <c r="H247" s="25">
        <f t="shared" si="12"/>
        <v>479598</v>
      </c>
    </row>
    <row r="248" customHeight="1" spans="1:8">
      <c r="A248" s="8">
        <f ca="1" t="shared" si="20"/>
        <v>88</v>
      </c>
      <c r="B248" s="124"/>
      <c r="C248" s="125" t="s">
        <v>516</v>
      </c>
      <c r="D248" s="125" t="s">
        <v>517</v>
      </c>
      <c r="E248" s="126" t="s">
        <v>336</v>
      </c>
      <c r="F248" s="128" t="s">
        <v>462</v>
      </c>
      <c r="G248" s="68">
        <v>0</v>
      </c>
      <c r="H248" s="25">
        <f t="shared" si="12"/>
        <v>0</v>
      </c>
    </row>
    <row r="249" customHeight="1" spans="1:8">
      <c r="A249" s="8">
        <f ca="1" t="shared" si="20"/>
        <v>89</v>
      </c>
      <c r="B249" s="124"/>
      <c r="C249" s="125" t="s">
        <v>518</v>
      </c>
      <c r="D249" s="125" t="s">
        <v>519</v>
      </c>
      <c r="E249" s="126" t="s">
        <v>510</v>
      </c>
      <c r="F249" s="128" t="s">
        <v>462</v>
      </c>
      <c r="G249" s="68">
        <v>0</v>
      </c>
      <c r="H249" s="25">
        <f t="shared" si="12"/>
        <v>0</v>
      </c>
    </row>
    <row r="250" customHeight="1" spans="1:8">
      <c r="A250" s="8">
        <f ca="1" t="shared" si="20"/>
        <v>90</v>
      </c>
      <c r="B250" s="124"/>
      <c r="C250" s="125" t="s">
        <v>520</v>
      </c>
      <c r="D250" s="125" t="s">
        <v>521</v>
      </c>
      <c r="E250" s="126" t="s">
        <v>510</v>
      </c>
      <c r="F250" s="128" t="s">
        <v>462</v>
      </c>
      <c r="G250" s="68">
        <v>0</v>
      </c>
      <c r="H250" s="25">
        <f t="shared" si="12"/>
        <v>0</v>
      </c>
    </row>
    <row r="251" customHeight="1" spans="1:8">
      <c r="A251" s="8">
        <f ca="1" t="shared" si="20"/>
        <v>91</v>
      </c>
      <c r="B251" s="124"/>
      <c r="C251" s="125" t="s">
        <v>522</v>
      </c>
      <c r="D251" s="125" t="s">
        <v>523</v>
      </c>
      <c r="E251" s="126" t="s">
        <v>515</v>
      </c>
      <c r="F251" s="128" t="s">
        <v>462</v>
      </c>
      <c r="G251" s="68">
        <v>0</v>
      </c>
      <c r="H251" s="25">
        <f t="shared" si="12"/>
        <v>0</v>
      </c>
    </row>
    <row r="252" customHeight="1" spans="1:8">
      <c r="A252" s="8">
        <f ca="1" t="shared" si="20"/>
        <v>92</v>
      </c>
      <c r="B252" s="124"/>
      <c r="C252" s="125" t="s">
        <v>524</v>
      </c>
      <c r="D252" s="125" t="s">
        <v>525</v>
      </c>
      <c r="E252" s="126" t="s">
        <v>510</v>
      </c>
      <c r="F252" s="128" t="s">
        <v>462</v>
      </c>
      <c r="G252" s="68">
        <v>0</v>
      </c>
      <c r="H252" s="25">
        <f t="shared" si="12"/>
        <v>0</v>
      </c>
    </row>
    <row r="253" customHeight="1" spans="1:8">
      <c r="A253" s="8">
        <f ca="1" t="shared" si="20"/>
        <v>93</v>
      </c>
      <c r="B253" s="124"/>
      <c r="C253" s="125" t="s">
        <v>526</v>
      </c>
      <c r="D253" s="125" t="s">
        <v>527</v>
      </c>
      <c r="E253" s="126" t="s">
        <v>510</v>
      </c>
      <c r="F253" s="128" t="s">
        <v>462</v>
      </c>
      <c r="G253" s="68">
        <v>0</v>
      </c>
      <c r="H253" s="25">
        <f t="shared" si="12"/>
        <v>0</v>
      </c>
    </row>
    <row r="254" customHeight="1" spans="1:8">
      <c r="A254" s="8">
        <f ca="1" t="shared" si="20"/>
        <v>94</v>
      </c>
      <c r="B254" s="124"/>
      <c r="C254" s="125" t="s">
        <v>528</v>
      </c>
      <c r="D254" s="125" t="s">
        <v>529</v>
      </c>
      <c r="E254" s="126" t="s">
        <v>336</v>
      </c>
      <c r="F254" s="128" t="s">
        <v>462</v>
      </c>
      <c r="G254" s="68">
        <v>0</v>
      </c>
      <c r="H254" s="25">
        <f t="shared" si="12"/>
        <v>0</v>
      </c>
    </row>
    <row r="255" customHeight="1" spans="1:8">
      <c r="A255" s="8">
        <f ca="1" t="shared" si="20"/>
        <v>95</v>
      </c>
      <c r="B255" s="124"/>
      <c r="C255" s="125" t="s">
        <v>530</v>
      </c>
      <c r="D255" s="125" t="s">
        <v>531</v>
      </c>
      <c r="E255" s="126" t="s">
        <v>510</v>
      </c>
      <c r="F255" s="128" t="s">
        <v>462</v>
      </c>
      <c r="G255" s="68">
        <v>0</v>
      </c>
      <c r="H255" s="25">
        <f t="shared" si="12"/>
        <v>0</v>
      </c>
    </row>
    <row r="256" customHeight="1" spans="1:8">
      <c r="A256" s="8">
        <f ca="1" t="shared" si="20"/>
        <v>96</v>
      </c>
      <c r="B256" s="124"/>
      <c r="C256" s="125" t="s">
        <v>532</v>
      </c>
      <c r="D256" s="125" t="s">
        <v>533</v>
      </c>
      <c r="E256" s="126" t="s">
        <v>329</v>
      </c>
      <c r="F256" s="128" t="s">
        <v>462</v>
      </c>
      <c r="G256" s="68">
        <v>0</v>
      </c>
      <c r="H256" s="25">
        <f t="shared" si="12"/>
        <v>0</v>
      </c>
    </row>
    <row r="257" customHeight="1" spans="1:8">
      <c r="A257" s="8">
        <f ca="1" t="shared" si="20"/>
        <v>97</v>
      </c>
      <c r="B257" s="124"/>
      <c r="C257" s="125" t="s">
        <v>534</v>
      </c>
      <c r="D257" s="125" t="s">
        <v>535</v>
      </c>
      <c r="E257" s="126" t="s">
        <v>515</v>
      </c>
      <c r="F257" s="128" t="s">
        <v>462</v>
      </c>
      <c r="G257" s="68">
        <v>0</v>
      </c>
      <c r="H257" s="25">
        <f t="shared" si="12"/>
        <v>0</v>
      </c>
    </row>
    <row r="258" customHeight="1" spans="1:8">
      <c r="A258" s="8">
        <f ca="1" t="shared" si="20"/>
        <v>98</v>
      </c>
      <c r="B258" s="26" t="s">
        <v>536</v>
      </c>
      <c r="C258" s="43" t="s">
        <v>537</v>
      </c>
      <c r="D258" s="44" t="s">
        <v>538</v>
      </c>
      <c r="E258" s="29" t="s">
        <v>225</v>
      </c>
      <c r="F258" s="67">
        <v>12</v>
      </c>
      <c r="G258" s="68">
        <v>364.555776321454</v>
      </c>
      <c r="H258" s="25">
        <f t="shared" si="12"/>
        <v>4375</v>
      </c>
    </row>
    <row r="259" customHeight="1" spans="1:8">
      <c r="B259" s="45"/>
      <c r="C259" s="46" t="s">
        <v>539</v>
      </c>
      <c r="D259" s="47" t="s">
        <v>540</v>
      </c>
      <c r="E259" s="48"/>
      <c r="F259" s="69"/>
      <c r="G259" s="68">
        <v>0</v>
      </c>
      <c r="H259" s="25">
        <f t="shared" si="12"/>
        <v>0</v>
      </c>
    </row>
    <row r="260" customHeight="1" spans="1:8">
      <c r="B260" s="26"/>
      <c r="C260" s="122"/>
      <c r="D260" s="122"/>
      <c r="E260" s="29"/>
      <c r="F260" s="67"/>
      <c r="G260" s="68">
        <v>0</v>
      </c>
      <c r="H260" s="25">
        <f t="shared" si="12"/>
        <v>0</v>
      </c>
    </row>
    <row r="261" customHeight="1" spans="1:8">
      <c r="B261" s="26" t="s">
        <v>541</v>
      </c>
      <c r="C261" s="120" t="s">
        <v>542</v>
      </c>
      <c r="D261" s="120" t="s">
        <v>543</v>
      </c>
      <c r="E261" s="29"/>
      <c r="F261" s="67"/>
      <c r="G261" s="68">
        <v>0</v>
      </c>
      <c r="H261" s="25">
        <f t="shared" si="12"/>
        <v>0</v>
      </c>
    </row>
    <row r="262" customHeight="1" spans="1:8">
      <c r="A262" s="8">
        <f ca="1" t="shared" ref="A262:A264" si="21">COUNTA(OFFSET(A$1,0,0,ROW()-1,1))+1</f>
        <v>99</v>
      </c>
      <c r="B262" s="26" t="s">
        <v>544</v>
      </c>
      <c r="C262" s="134" t="s">
        <v>545</v>
      </c>
      <c r="D262" s="135" t="s">
        <v>546</v>
      </c>
      <c r="E262" s="86" t="s">
        <v>225</v>
      </c>
      <c r="F262" s="136">
        <v>610</v>
      </c>
      <c r="G262" s="68">
        <v>1170.9689244</v>
      </c>
      <c r="H262" s="25">
        <f t="shared" si="12"/>
        <v>714291</v>
      </c>
    </row>
    <row r="263" customHeight="1" spans="1:8">
      <c r="A263" s="8">
        <f ca="1" t="shared" si="21"/>
        <v>100</v>
      </c>
      <c r="B263" s="26" t="s">
        <v>547</v>
      </c>
      <c r="C263" s="134" t="s">
        <v>548</v>
      </c>
      <c r="D263" s="135" t="s">
        <v>549</v>
      </c>
      <c r="E263" s="86" t="s">
        <v>238</v>
      </c>
      <c r="F263" s="136">
        <v>11</v>
      </c>
      <c r="G263" s="68">
        <v>554.339434696034</v>
      </c>
      <c r="H263" s="25">
        <f t="shared" si="12"/>
        <v>6098</v>
      </c>
    </row>
    <row r="264" customHeight="1" spans="1:8">
      <c r="A264" s="8">
        <f ca="1" t="shared" si="21"/>
        <v>101</v>
      </c>
      <c r="B264" s="84" t="s">
        <v>550</v>
      </c>
      <c r="C264" s="134" t="s">
        <v>551</v>
      </c>
      <c r="D264" s="134" t="s">
        <v>552</v>
      </c>
      <c r="E264" s="86" t="s">
        <v>238</v>
      </c>
      <c r="F264" s="136">
        <v>4</v>
      </c>
      <c r="G264" s="68">
        <v>554.339434696034</v>
      </c>
      <c r="H264" s="25">
        <f t="shared" ref="H264:H327" si="22">IFERROR(ROUND(G264*F264,0),0)</f>
        <v>2217</v>
      </c>
    </row>
    <row r="265" customHeight="1" spans="1:8">
      <c r="B265" s="84"/>
      <c r="C265" s="134" t="s">
        <v>553</v>
      </c>
      <c r="D265" s="134" t="s">
        <v>554</v>
      </c>
      <c r="E265" s="86" t="s">
        <v>510</v>
      </c>
      <c r="F265" s="136"/>
      <c r="G265" s="68">
        <v>0</v>
      </c>
      <c r="H265" s="25">
        <f t="shared" si="22"/>
        <v>0</v>
      </c>
    </row>
    <row r="266" customHeight="1" spans="1:8">
      <c r="B266" s="129"/>
      <c r="C266" s="137" t="s">
        <v>555</v>
      </c>
      <c r="D266" s="137" t="s">
        <v>556</v>
      </c>
      <c r="E266" s="138" t="s">
        <v>510</v>
      </c>
      <c r="F266" s="139"/>
      <c r="G266" s="68">
        <v>0</v>
      </c>
      <c r="H266" s="25">
        <f t="shared" si="22"/>
        <v>0</v>
      </c>
    </row>
    <row r="267" customHeight="1" spans="1:8">
      <c r="B267" s="129"/>
      <c r="C267" s="137" t="s">
        <v>557</v>
      </c>
      <c r="D267" s="137" t="s">
        <v>558</v>
      </c>
      <c r="E267" s="138" t="s">
        <v>510</v>
      </c>
      <c r="F267" s="139"/>
      <c r="G267" s="68">
        <v>0</v>
      </c>
      <c r="H267" s="25">
        <f t="shared" si="22"/>
        <v>0</v>
      </c>
    </row>
    <row r="268" customHeight="1" spans="1:8">
      <c r="B268" s="84"/>
      <c r="C268" s="134" t="s">
        <v>559</v>
      </c>
      <c r="D268" s="134" t="s">
        <v>560</v>
      </c>
      <c r="E268" s="86" t="s">
        <v>510</v>
      </c>
      <c r="F268" s="136"/>
      <c r="G268" s="68">
        <v>0</v>
      </c>
      <c r="H268" s="25">
        <f t="shared" si="22"/>
        <v>0</v>
      </c>
    </row>
    <row r="269" customHeight="1" spans="1:8">
      <c r="B269" s="84"/>
      <c r="C269" s="134" t="s">
        <v>561</v>
      </c>
      <c r="D269" s="134" t="s">
        <v>562</v>
      </c>
      <c r="E269" s="86" t="s">
        <v>510</v>
      </c>
      <c r="F269" s="136"/>
      <c r="G269" s="68">
        <v>0</v>
      </c>
      <c r="H269" s="25">
        <f t="shared" si="22"/>
        <v>0</v>
      </c>
    </row>
    <row r="270" customHeight="1" spans="1:8">
      <c r="B270" s="84"/>
      <c r="C270" s="134" t="s">
        <v>563</v>
      </c>
      <c r="D270" s="134" t="s">
        <v>564</v>
      </c>
      <c r="E270" s="86" t="s">
        <v>510</v>
      </c>
      <c r="F270" s="136"/>
      <c r="G270" s="68">
        <v>0</v>
      </c>
      <c r="H270" s="25">
        <f t="shared" si="22"/>
        <v>0</v>
      </c>
    </row>
    <row r="271" customHeight="1" spans="1:8">
      <c r="B271" s="84"/>
      <c r="C271" s="134" t="s">
        <v>565</v>
      </c>
      <c r="D271" s="134" t="s">
        <v>566</v>
      </c>
      <c r="E271" s="86" t="s">
        <v>510</v>
      </c>
      <c r="F271" s="136"/>
      <c r="G271" s="68">
        <v>0</v>
      </c>
      <c r="H271" s="25">
        <f t="shared" si="22"/>
        <v>0</v>
      </c>
    </row>
    <row r="272" customHeight="1" spans="1:8">
      <c r="B272" s="84"/>
      <c r="C272" s="134" t="s">
        <v>567</v>
      </c>
      <c r="D272" s="134" t="s">
        <v>568</v>
      </c>
      <c r="E272" s="86" t="s">
        <v>569</v>
      </c>
      <c r="F272" s="136"/>
      <c r="G272" s="68">
        <v>0</v>
      </c>
      <c r="H272" s="25">
        <f t="shared" si="22"/>
        <v>0</v>
      </c>
    </row>
    <row r="273" customHeight="1" spans="1:8">
      <c r="B273" s="84"/>
      <c r="C273" s="292" t="s">
        <v>570</v>
      </c>
      <c r="D273" s="292" t="s">
        <v>571</v>
      </c>
      <c r="E273" s="86" t="s">
        <v>452</v>
      </c>
      <c r="F273" s="136"/>
      <c r="G273" s="68">
        <v>0</v>
      </c>
      <c r="H273" s="25">
        <f t="shared" si="22"/>
        <v>0</v>
      </c>
    </row>
    <row r="274" customHeight="1" spans="1:8">
      <c r="B274" s="84"/>
      <c r="C274" s="292" t="s">
        <v>460</v>
      </c>
      <c r="D274" s="292" t="s">
        <v>572</v>
      </c>
      <c r="E274" s="102" t="s">
        <v>573</v>
      </c>
      <c r="F274" s="136"/>
      <c r="G274" s="68">
        <v>0</v>
      </c>
      <c r="H274" s="25">
        <f t="shared" si="22"/>
        <v>0</v>
      </c>
    </row>
    <row r="275" customHeight="1" spans="1:8">
      <c r="B275" s="84"/>
      <c r="C275" s="134" t="s">
        <v>574</v>
      </c>
      <c r="D275" s="134" t="s">
        <v>575</v>
      </c>
      <c r="E275" s="86" t="s">
        <v>464</v>
      </c>
      <c r="F275" s="136"/>
      <c r="G275" s="68">
        <v>0</v>
      </c>
      <c r="H275" s="25">
        <f t="shared" si="22"/>
        <v>0</v>
      </c>
    </row>
    <row r="276" customHeight="1" spans="1:8">
      <c r="B276" s="84" t="s">
        <v>576</v>
      </c>
      <c r="C276" s="134" t="s">
        <v>577</v>
      </c>
      <c r="D276" s="135" t="s">
        <v>578</v>
      </c>
      <c r="E276" s="86" t="s">
        <v>238</v>
      </c>
      <c r="F276" s="136">
        <v>0</v>
      </c>
      <c r="G276" s="68">
        <v>0</v>
      </c>
      <c r="H276" s="25">
        <f t="shared" si="22"/>
        <v>0</v>
      </c>
    </row>
    <row r="277" customHeight="1" spans="1:8">
      <c r="A277" s="8">
        <f ca="1">COUNTA(OFFSET(A$1,0,0,ROW()-1,1))+1</f>
        <v>102</v>
      </c>
      <c r="B277" s="84" t="s">
        <v>579</v>
      </c>
      <c r="C277" s="134" t="s">
        <v>580</v>
      </c>
      <c r="D277" s="135" t="s">
        <v>581</v>
      </c>
      <c r="E277" s="86" t="s">
        <v>238</v>
      </c>
      <c r="F277" s="136">
        <v>4</v>
      </c>
      <c r="G277" s="68">
        <v>0</v>
      </c>
      <c r="H277" s="25">
        <f t="shared" si="22"/>
        <v>0</v>
      </c>
    </row>
    <row r="278" customHeight="1" spans="1:8">
      <c r="B278" s="129"/>
      <c r="C278" s="130" t="s">
        <v>582</v>
      </c>
      <c r="D278" s="130" t="s">
        <v>583</v>
      </c>
      <c r="E278" s="138" t="s">
        <v>464</v>
      </c>
      <c r="F278" s="139"/>
      <c r="G278" s="68">
        <v>0</v>
      </c>
      <c r="H278" s="25">
        <f t="shared" si="22"/>
        <v>0</v>
      </c>
    </row>
    <row r="279" customHeight="1" spans="1:8">
      <c r="B279" s="129"/>
      <c r="C279" s="130" t="s">
        <v>584</v>
      </c>
      <c r="D279" s="130" t="s">
        <v>585</v>
      </c>
      <c r="E279" s="138" t="s">
        <v>464</v>
      </c>
      <c r="F279" s="139"/>
      <c r="G279" s="68">
        <v>0</v>
      </c>
      <c r="H279" s="25">
        <f t="shared" si="22"/>
        <v>0</v>
      </c>
    </row>
    <row r="280" customHeight="1" spans="1:8">
      <c r="B280" s="129"/>
      <c r="C280" s="130" t="s">
        <v>559</v>
      </c>
      <c r="D280" s="130" t="s">
        <v>586</v>
      </c>
      <c r="E280" s="138" t="s">
        <v>510</v>
      </c>
      <c r="F280" s="139"/>
      <c r="G280" s="68">
        <v>0</v>
      </c>
      <c r="H280" s="25">
        <f t="shared" si="22"/>
        <v>0</v>
      </c>
    </row>
    <row r="281" customHeight="1" spans="1:8">
      <c r="B281" s="129"/>
      <c r="C281" s="130" t="s">
        <v>587</v>
      </c>
      <c r="D281" s="130" t="s">
        <v>519</v>
      </c>
      <c r="E281" s="138" t="s">
        <v>510</v>
      </c>
      <c r="F281" s="139"/>
      <c r="G281" s="68">
        <v>0</v>
      </c>
      <c r="H281" s="25">
        <f t="shared" si="22"/>
        <v>0</v>
      </c>
    </row>
    <row r="282" customHeight="1" spans="1:8">
      <c r="B282" s="129"/>
      <c r="C282" s="130" t="s">
        <v>588</v>
      </c>
      <c r="D282" s="130" t="s">
        <v>589</v>
      </c>
      <c r="E282" s="138" t="s">
        <v>336</v>
      </c>
      <c r="F282" s="139"/>
      <c r="G282" s="68">
        <v>0</v>
      </c>
      <c r="H282" s="25">
        <f t="shared" si="22"/>
        <v>0</v>
      </c>
    </row>
    <row r="283" customHeight="1" spans="1:8">
      <c r="A283" s="8">
        <f ca="1">COUNTA(OFFSET(A$1,0,0,ROW()-1,1))+1</f>
        <v>103</v>
      </c>
      <c r="B283" s="84" t="s">
        <v>590</v>
      </c>
      <c r="C283" s="134" t="s">
        <v>591</v>
      </c>
      <c r="D283" s="135" t="s">
        <v>592</v>
      </c>
      <c r="E283" s="86" t="s">
        <v>238</v>
      </c>
      <c r="F283" s="136">
        <v>28</v>
      </c>
      <c r="G283" s="68">
        <v>25484.51544</v>
      </c>
      <c r="H283" s="25">
        <f t="shared" si="22"/>
        <v>713566</v>
      </c>
    </row>
    <row r="284" customHeight="1" spans="1:8">
      <c r="B284" s="129"/>
      <c r="C284" s="130" t="s">
        <v>593</v>
      </c>
      <c r="D284" s="130" t="s">
        <v>594</v>
      </c>
      <c r="E284" s="138" t="s">
        <v>510</v>
      </c>
      <c r="F284" s="139"/>
      <c r="G284" s="68">
        <v>0</v>
      </c>
      <c r="H284" s="25">
        <f t="shared" si="22"/>
        <v>0</v>
      </c>
    </row>
    <row r="285" customHeight="1" spans="1:8">
      <c r="B285" s="129"/>
      <c r="C285" s="130" t="s">
        <v>595</v>
      </c>
      <c r="D285" s="130" t="s">
        <v>596</v>
      </c>
      <c r="E285" s="138" t="s">
        <v>515</v>
      </c>
      <c r="F285" s="139"/>
      <c r="G285" s="68">
        <v>0</v>
      </c>
      <c r="H285" s="25">
        <f t="shared" si="22"/>
        <v>0</v>
      </c>
    </row>
    <row r="286" customHeight="1" spans="1:8">
      <c r="B286" s="129"/>
      <c r="C286" s="130" t="s">
        <v>587</v>
      </c>
      <c r="D286" s="130" t="s">
        <v>519</v>
      </c>
      <c r="E286" s="138" t="s">
        <v>510</v>
      </c>
      <c r="F286" s="139"/>
      <c r="G286" s="68">
        <v>0</v>
      </c>
      <c r="H286" s="25">
        <f t="shared" si="22"/>
        <v>0</v>
      </c>
    </row>
    <row r="287" customHeight="1" spans="1:8">
      <c r="B287" s="129"/>
      <c r="C287" s="130" t="s">
        <v>597</v>
      </c>
      <c r="D287" s="130" t="s">
        <v>598</v>
      </c>
      <c r="E287" s="138" t="s">
        <v>510</v>
      </c>
      <c r="F287" s="139"/>
      <c r="G287" s="68">
        <v>0</v>
      </c>
      <c r="H287" s="25">
        <f t="shared" si="22"/>
        <v>0</v>
      </c>
    </row>
    <row r="288" customHeight="1" spans="1:8">
      <c r="B288" s="129"/>
      <c r="C288" s="130" t="s">
        <v>599</v>
      </c>
      <c r="D288" s="130" t="s">
        <v>600</v>
      </c>
      <c r="E288" s="138" t="s">
        <v>510</v>
      </c>
      <c r="F288" s="139"/>
      <c r="G288" s="68">
        <v>0</v>
      </c>
      <c r="H288" s="25">
        <f t="shared" si="22"/>
        <v>0</v>
      </c>
    </row>
    <row r="289" customHeight="1" spans="1:8">
      <c r="B289" s="129"/>
      <c r="C289" s="130" t="s">
        <v>601</v>
      </c>
      <c r="D289" s="130" t="s">
        <v>602</v>
      </c>
      <c r="E289" s="138" t="s">
        <v>510</v>
      </c>
      <c r="F289" s="139"/>
      <c r="G289" s="68">
        <v>0</v>
      </c>
      <c r="H289" s="25">
        <f t="shared" si="22"/>
        <v>0</v>
      </c>
    </row>
    <row r="290" customHeight="1" spans="1:8">
      <c r="A290" s="8">
        <f ca="1">COUNTA(OFFSET(A$1,0,0,ROW()-1,1))+1</f>
        <v>104</v>
      </c>
      <c r="B290" s="84" t="s">
        <v>603</v>
      </c>
      <c r="C290" s="134" t="s">
        <v>604</v>
      </c>
      <c r="D290" s="135" t="s">
        <v>605</v>
      </c>
      <c r="E290" s="86" t="s">
        <v>238</v>
      </c>
      <c r="F290" s="136">
        <v>14</v>
      </c>
      <c r="G290" s="68">
        <v>6371.12886</v>
      </c>
      <c r="H290" s="25">
        <f t="shared" si="22"/>
        <v>89196</v>
      </c>
    </row>
    <row r="291" customHeight="1" spans="1:8">
      <c r="B291" s="129"/>
      <c r="C291" s="130" t="s">
        <v>595</v>
      </c>
      <c r="D291" s="130" t="s">
        <v>596</v>
      </c>
      <c r="E291" s="138" t="s">
        <v>515</v>
      </c>
      <c r="F291" s="139"/>
      <c r="G291" s="68">
        <v>0</v>
      </c>
      <c r="H291" s="25">
        <f t="shared" si="22"/>
        <v>0</v>
      </c>
    </row>
    <row r="292" customHeight="1" spans="1:8">
      <c r="B292" s="129"/>
      <c r="C292" s="130" t="s">
        <v>606</v>
      </c>
      <c r="D292" s="130" t="s">
        <v>607</v>
      </c>
      <c r="E292" s="138" t="s">
        <v>510</v>
      </c>
      <c r="F292" s="139"/>
      <c r="G292" s="68">
        <v>0</v>
      </c>
      <c r="H292" s="25">
        <f t="shared" si="22"/>
        <v>0</v>
      </c>
    </row>
    <row r="293" customHeight="1" spans="1:8">
      <c r="B293" s="45"/>
      <c r="C293" s="140" t="s">
        <v>608</v>
      </c>
      <c r="D293" s="141" t="s">
        <v>609</v>
      </c>
      <c r="E293" s="48"/>
      <c r="F293" s="69"/>
      <c r="G293" s="68">
        <v>0</v>
      </c>
      <c r="H293" s="25">
        <f t="shared" si="22"/>
        <v>0</v>
      </c>
    </row>
    <row r="294" customHeight="1" spans="1:8">
      <c r="B294" s="26"/>
      <c r="C294" s="122"/>
      <c r="D294" s="122"/>
      <c r="E294" s="29"/>
      <c r="F294" s="67"/>
      <c r="G294" s="68">
        <v>0</v>
      </c>
      <c r="H294" s="25">
        <f t="shared" si="22"/>
        <v>0</v>
      </c>
    </row>
    <row r="295" customHeight="1" spans="1:8">
      <c r="B295" s="26" t="s">
        <v>610</v>
      </c>
      <c r="C295" s="120" t="s">
        <v>611</v>
      </c>
      <c r="D295" s="142" t="s">
        <v>612</v>
      </c>
      <c r="E295" s="29"/>
      <c r="F295" s="67"/>
      <c r="G295" s="68">
        <v>0</v>
      </c>
      <c r="H295" s="25">
        <f t="shared" si="22"/>
        <v>0</v>
      </c>
    </row>
    <row r="296" customHeight="1" spans="1:8">
      <c r="A296" s="8">
        <f ca="1" t="shared" ref="A296:A305" si="23">COUNTA(OFFSET(A$1,0,0,ROW()-1,1))+1</f>
        <v>105</v>
      </c>
      <c r="B296" s="26" t="s">
        <v>613</v>
      </c>
      <c r="C296" s="122" t="s">
        <v>614</v>
      </c>
      <c r="D296" s="123" t="s">
        <v>615</v>
      </c>
      <c r="E296" s="29" t="s">
        <v>238</v>
      </c>
      <c r="F296" s="67">
        <v>80</v>
      </c>
      <c r="G296" s="68">
        <v>43512.8809676578</v>
      </c>
      <c r="H296" s="25">
        <f t="shared" si="22"/>
        <v>3481030</v>
      </c>
    </row>
    <row r="297" customHeight="1" spans="1:8">
      <c r="A297" s="8">
        <f ca="1" t="shared" si="23"/>
        <v>106</v>
      </c>
      <c r="B297" s="124"/>
      <c r="C297" s="125" t="s">
        <v>616</v>
      </c>
      <c r="D297" s="125" t="s">
        <v>617</v>
      </c>
      <c r="E297" s="126" t="s">
        <v>510</v>
      </c>
      <c r="F297" s="128" t="s">
        <v>462</v>
      </c>
      <c r="G297" s="68">
        <v>0</v>
      </c>
      <c r="H297" s="25">
        <f t="shared" si="22"/>
        <v>0</v>
      </c>
    </row>
    <row r="298" customHeight="1" spans="1:8">
      <c r="A298" s="8">
        <f ca="1" t="shared" si="23"/>
        <v>107</v>
      </c>
      <c r="B298" s="124"/>
      <c r="C298" s="125" t="s">
        <v>618</v>
      </c>
      <c r="D298" s="125" t="s">
        <v>619</v>
      </c>
      <c r="E298" s="126" t="s">
        <v>510</v>
      </c>
      <c r="F298" s="128" t="s">
        <v>462</v>
      </c>
      <c r="G298" s="68">
        <v>0</v>
      </c>
      <c r="H298" s="25">
        <f t="shared" si="22"/>
        <v>0</v>
      </c>
    </row>
    <row r="299" customHeight="1" spans="1:8">
      <c r="A299" s="8">
        <f ca="1" t="shared" si="23"/>
        <v>108</v>
      </c>
      <c r="B299" s="124"/>
      <c r="C299" s="125" t="s">
        <v>620</v>
      </c>
      <c r="D299" s="125" t="s">
        <v>621</v>
      </c>
      <c r="E299" s="126" t="s">
        <v>510</v>
      </c>
      <c r="F299" s="128" t="s">
        <v>462</v>
      </c>
      <c r="G299" s="68">
        <v>0</v>
      </c>
      <c r="H299" s="25">
        <f t="shared" si="22"/>
        <v>0</v>
      </c>
    </row>
    <row r="300" customHeight="1" spans="1:8">
      <c r="A300" s="8">
        <f ca="1" t="shared" si="23"/>
        <v>109</v>
      </c>
      <c r="B300" s="124"/>
      <c r="C300" s="125" t="s">
        <v>622</v>
      </c>
      <c r="D300" s="125" t="s">
        <v>623</v>
      </c>
      <c r="E300" s="126"/>
      <c r="F300" s="128">
        <v>80</v>
      </c>
      <c r="G300" s="68">
        <v>0</v>
      </c>
      <c r="H300" s="25">
        <f t="shared" si="22"/>
        <v>0</v>
      </c>
    </row>
    <row r="301" customHeight="1" spans="1:8">
      <c r="A301" s="8">
        <f ca="1" t="shared" si="23"/>
        <v>110</v>
      </c>
      <c r="B301" s="124"/>
      <c r="C301" s="125" t="s">
        <v>624</v>
      </c>
      <c r="D301" s="125" t="s">
        <v>625</v>
      </c>
      <c r="E301" s="126"/>
      <c r="F301" s="128" t="s">
        <v>462</v>
      </c>
      <c r="G301" s="68">
        <v>0</v>
      </c>
      <c r="H301" s="25">
        <f t="shared" si="22"/>
        <v>0</v>
      </c>
    </row>
    <row r="302" customHeight="1" spans="1:8">
      <c r="A302" s="8">
        <f ca="1" t="shared" si="23"/>
        <v>111</v>
      </c>
      <c r="B302" s="124"/>
      <c r="C302" s="125" t="s">
        <v>626</v>
      </c>
      <c r="D302" s="125" t="s">
        <v>627</v>
      </c>
      <c r="E302" s="126"/>
      <c r="F302" s="128" t="s">
        <v>462</v>
      </c>
      <c r="G302" s="68">
        <v>0</v>
      </c>
      <c r="H302" s="25">
        <f t="shared" si="22"/>
        <v>0</v>
      </c>
    </row>
    <row r="303" customHeight="1" spans="1:8">
      <c r="A303" s="8">
        <f ca="1" t="shared" si="23"/>
        <v>112</v>
      </c>
      <c r="B303" s="124"/>
      <c r="C303" s="125" t="s">
        <v>628</v>
      </c>
      <c r="D303" s="125" t="s">
        <v>629</v>
      </c>
      <c r="E303" s="126"/>
      <c r="F303" s="128" t="s">
        <v>462</v>
      </c>
      <c r="G303" s="68">
        <v>0</v>
      </c>
      <c r="H303" s="25">
        <f t="shared" si="22"/>
        <v>0</v>
      </c>
    </row>
    <row r="304" customHeight="1" spans="1:8">
      <c r="A304" s="8">
        <f ca="1" t="shared" si="23"/>
        <v>113</v>
      </c>
      <c r="B304" s="124"/>
      <c r="C304" s="125" t="s">
        <v>630</v>
      </c>
      <c r="D304" s="125" t="s">
        <v>631</v>
      </c>
      <c r="E304" s="126"/>
      <c r="F304" s="128" t="s">
        <v>462</v>
      </c>
      <c r="G304" s="68">
        <v>0</v>
      </c>
      <c r="H304" s="25">
        <f t="shared" si="22"/>
        <v>0</v>
      </c>
    </row>
    <row r="305" customHeight="1" spans="1:8">
      <c r="A305" s="8">
        <f ca="1" t="shared" si="23"/>
        <v>114</v>
      </c>
      <c r="B305" s="26" t="s">
        <v>632</v>
      </c>
      <c r="C305" s="122" t="s">
        <v>537</v>
      </c>
      <c r="D305" s="123" t="s">
        <v>538</v>
      </c>
      <c r="E305" s="29" t="s">
        <v>238</v>
      </c>
      <c r="F305" s="67">
        <v>2</v>
      </c>
      <c r="G305" s="68">
        <v>41867.4371749979</v>
      </c>
      <c r="H305" s="25">
        <f t="shared" si="22"/>
        <v>83735</v>
      </c>
    </row>
    <row r="306" customHeight="1" spans="1:8">
      <c r="B306" s="45"/>
      <c r="C306" s="140" t="s">
        <v>633</v>
      </c>
      <c r="D306" s="141" t="s">
        <v>634</v>
      </c>
      <c r="E306" s="48"/>
      <c r="F306" s="69"/>
      <c r="G306" s="68">
        <v>0</v>
      </c>
      <c r="H306" s="25">
        <f t="shared" si="22"/>
        <v>0</v>
      </c>
    </row>
    <row r="307" customHeight="1" spans="1:8">
      <c r="B307" s="26"/>
      <c r="C307" s="122"/>
      <c r="D307" s="122"/>
      <c r="E307" s="29"/>
      <c r="F307" s="67"/>
      <c r="G307" s="68">
        <v>0</v>
      </c>
      <c r="H307" s="25">
        <f t="shared" si="22"/>
        <v>0</v>
      </c>
    </row>
    <row r="308" customHeight="1" spans="1:8">
      <c r="B308" s="84" t="s">
        <v>635</v>
      </c>
      <c r="C308" s="143" t="s">
        <v>636</v>
      </c>
      <c r="D308" s="144" t="s">
        <v>637</v>
      </c>
      <c r="E308" s="86"/>
      <c r="F308" s="136"/>
      <c r="G308" s="68">
        <v>0</v>
      </c>
      <c r="H308" s="25">
        <f t="shared" si="22"/>
        <v>0</v>
      </c>
    </row>
    <row r="309" customHeight="1" spans="1:8">
      <c r="A309" s="8">
        <f ca="1">COUNTA(OFFSET(A$1,0,0,ROW()-1,1))+1</f>
        <v>115</v>
      </c>
      <c r="B309" s="26" t="s">
        <v>638</v>
      </c>
      <c r="C309" s="38" t="s">
        <v>639</v>
      </c>
      <c r="D309" s="39" t="s">
        <v>640</v>
      </c>
      <c r="E309" s="29" t="s">
        <v>238</v>
      </c>
      <c r="F309" s="67">
        <v>41</v>
      </c>
      <c r="G309" s="68">
        <v>2352.355452324</v>
      </c>
      <c r="H309" s="25">
        <f t="shared" si="22"/>
        <v>96447</v>
      </c>
    </row>
    <row r="310" customHeight="1" spans="1:8">
      <c r="B310" s="94"/>
      <c r="C310" s="95" t="s">
        <v>641</v>
      </c>
      <c r="D310" s="95" t="s">
        <v>642</v>
      </c>
      <c r="E310" s="94" t="s">
        <v>336</v>
      </c>
      <c r="F310" s="145"/>
      <c r="G310" s="68">
        <v>0</v>
      </c>
      <c r="H310" s="25">
        <f t="shared" si="22"/>
        <v>0</v>
      </c>
    </row>
    <row r="311" customHeight="1" spans="1:8">
      <c r="B311" s="94"/>
      <c r="C311" s="95" t="s">
        <v>643</v>
      </c>
      <c r="D311" s="95" t="s">
        <v>644</v>
      </c>
      <c r="E311" s="94" t="s">
        <v>336</v>
      </c>
      <c r="F311" s="145"/>
      <c r="G311" s="68">
        <v>0</v>
      </c>
      <c r="H311" s="25">
        <f t="shared" si="22"/>
        <v>0</v>
      </c>
    </row>
    <row r="312" customHeight="1" spans="1:8">
      <c r="B312" s="94"/>
      <c r="C312" s="95" t="s">
        <v>645</v>
      </c>
      <c r="D312" s="95" t="s">
        <v>646</v>
      </c>
      <c r="E312" s="94" t="s">
        <v>336</v>
      </c>
      <c r="F312" s="145"/>
      <c r="G312" s="68">
        <v>0</v>
      </c>
      <c r="H312" s="25">
        <f t="shared" si="22"/>
        <v>0</v>
      </c>
    </row>
    <row r="313" customHeight="1" spans="1:8">
      <c r="B313" s="94"/>
      <c r="C313" s="95" t="s">
        <v>647</v>
      </c>
      <c r="D313" s="95" t="s">
        <v>648</v>
      </c>
      <c r="E313" s="94" t="s">
        <v>336</v>
      </c>
      <c r="F313" s="145"/>
      <c r="G313" s="68">
        <v>0</v>
      </c>
      <c r="H313" s="25">
        <f t="shared" si="22"/>
        <v>0</v>
      </c>
    </row>
    <row r="314" customHeight="1" spans="1:8">
      <c r="B314" s="94"/>
      <c r="C314" s="95" t="s">
        <v>649</v>
      </c>
      <c r="D314" s="95" t="s">
        <v>650</v>
      </c>
      <c r="E314" s="94" t="s">
        <v>336</v>
      </c>
      <c r="F314" s="145"/>
      <c r="G314" s="68">
        <v>0</v>
      </c>
      <c r="H314" s="25">
        <f t="shared" si="22"/>
        <v>0</v>
      </c>
    </row>
    <row r="315" customHeight="1" spans="1:8">
      <c r="B315" s="94"/>
      <c r="C315" s="95" t="s">
        <v>651</v>
      </c>
      <c r="D315" s="95" t="s">
        <v>652</v>
      </c>
      <c r="E315" s="94" t="s">
        <v>336</v>
      </c>
      <c r="F315" s="145"/>
      <c r="G315" s="68">
        <v>0</v>
      </c>
      <c r="H315" s="25">
        <f t="shared" si="22"/>
        <v>0</v>
      </c>
    </row>
    <row r="316" customHeight="1" spans="1:8">
      <c r="B316" s="94"/>
      <c r="C316" s="95" t="s">
        <v>653</v>
      </c>
      <c r="D316" s="95" t="s">
        <v>461</v>
      </c>
      <c r="E316" s="94" t="s">
        <v>573</v>
      </c>
      <c r="F316" s="145"/>
      <c r="G316" s="68">
        <v>0</v>
      </c>
      <c r="H316" s="25">
        <f t="shared" si="22"/>
        <v>0</v>
      </c>
    </row>
    <row r="317" customHeight="1" spans="1:8">
      <c r="B317" s="94"/>
      <c r="C317" s="95" t="s">
        <v>574</v>
      </c>
      <c r="D317" s="95" t="s">
        <v>463</v>
      </c>
      <c r="E317" s="94" t="s">
        <v>569</v>
      </c>
      <c r="F317" s="145"/>
      <c r="G317" s="68">
        <v>0</v>
      </c>
      <c r="H317" s="25">
        <f t="shared" si="22"/>
        <v>0</v>
      </c>
    </row>
    <row r="318" customHeight="1" spans="1:8">
      <c r="B318" s="94"/>
      <c r="C318" s="95" t="s">
        <v>654</v>
      </c>
      <c r="D318" s="95" t="s">
        <v>655</v>
      </c>
      <c r="E318" s="94" t="s">
        <v>238</v>
      </c>
      <c r="F318" s="145"/>
      <c r="G318" s="68">
        <v>0</v>
      </c>
      <c r="H318" s="25">
        <f t="shared" si="22"/>
        <v>0</v>
      </c>
    </row>
    <row r="319" customHeight="1" spans="1:8">
      <c r="B319" s="94"/>
      <c r="C319" s="95" t="s">
        <v>656</v>
      </c>
      <c r="D319" s="95" t="s">
        <v>657</v>
      </c>
      <c r="E319" s="94" t="s">
        <v>225</v>
      </c>
      <c r="F319" s="145"/>
      <c r="G319" s="68">
        <v>0</v>
      </c>
      <c r="H319" s="25">
        <f t="shared" si="22"/>
        <v>0</v>
      </c>
    </row>
    <row r="320" customHeight="1" spans="1:8">
      <c r="B320" s="94"/>
      <c r="C320" s="95" t="s">
        <v>658</v>
      </c>
      <c r="D320" s="95" t="s">
        <v>659</v>
      </c>
      <c r="E320" s="94" t="s">
        <v>238</v>
      </c>
      <c r="F320" s="145"/>
      <c r="G320" s="68">
        <v>0</v>
      </c>
      <c r="H320" s="25">
        <f t="shared" si="22"/>
        <v>0</v>
      </c>
    </row>
    <row r="321" customHeight="1" spans="2:8">
      <c r="B321" s="94"/>
      <c r="C321" s="95" t="s">
        <v>660</v>
      </c>
      <c r="D321" s="95" t="s">
        <v>661</v>
      </c>
      <c r="E321" s="94" t="s">
        <v>225</v>
      </c>
      <c r="F321" s="145"/>
      <c r="G321" s="68">
        <v>0</v>
      </c>
      <c r="H321" s="25">
        <f t="shared" si="22"/>
        <v>0</v>
      </c>
    </row>
    <row r="322" customHeight="1" spans="2:8">
      <c r="B322" s="94"/>
      <c r="C322" s="95" t="s">
        <v>662</v>
      </c>
      <c r="D322" s="95" t="s">
        <v>663</v>
      </c>
      <c r="E322" s="94" t="s">
        <v>573</v>
      </c>
      <c r="F322" s="145"/>
      <c r="G322" s="68">
        <v>0</v>
      </c>
      <c r="H322" s="25">
        <f t="shared" si="22"/>
        <v>0</v>
      </c>
    </row>
    <row r="323" customHeight="1" spans="2:8">
      <c r="B323" s="94"/>
      <c r="C323" s="95" t="s">
        <v>664</v>
      </c>
      <c r="D323" s="95" t="s">
        <v>665</v>
      </c>
      <c r="E323" s="94" t="s">
        <v>238</v>
      </c>
      <c r="F323" s="145"/>
      <c r="G323" s="68">
        <v>0</v>
      </c>
      <c r="H323" s="25">
        <f t="shared" si="22"/>
        <v>0</v>
      </c>
    </row>
    <row r="324" customHeight="1" spans="2:8">
      <c r="B324" s="94"/>
      <c r="C324" s="95" t="s">
        <v>666</v>
      </c>
      <c r="D324" s="95" t="s">
        <v>667</v>
      </c>
      <c r="E324" s="94" t="s">
        <v>238</v>
      </c>
      <c r="F324" s="145"/>
      <c r="G324" s="68">
        <v>0</v>
      </c>
      <c r="H324" s="25">
        <f t="shared" si="22"/>
        <v>0</v>
      </c>
    </row>
    <row r="325" customHeight="1" spans="2:8">
      <c r="B325" s="94"/>
      <c r="C325" s="95" t="s">
        <v>668</v>
      </c>
      <c r="D325" s="95" t="s">
        <v>669</v>
      </c>
      <c r="E325" s="94" t="s">
        <v>238</v>
      </c>
      <c r="F325" s="145"/>
      <c r="G325" s="68">
        <v>0</v>
      </c>
      <c r="H325" s="25">
        <f t="shared" si="22"/>
        <v>0</v>
      </c>
    </row>
    <row r="326" customHeight="1" spans="2:8">
      <c r="B326" s="94"/>
      <c r="C326" s="95" t="s">
        <v>670</v>
      </c>
      <c r="D326" s="95" t="s">
        <v>671</v>
      </c>
      <c r="E326" s="94" t="s">
        <v>238</v>
      </c>
      <c r="F326" s="145"/>
      <c r="G326" s="68">
        <v>0</v>
      </c>
      <c r="H326" s="25">
        <f t="shared" si="22"/>
        <v>0</v>
      </c>
    </row>
    <row r="327" customHeight="1" spans="2:8">
      <c r="B327" s="94"/>
      <c r="C327" s="95" t="s">
        <v>672</v>
      </c>
      <c r="D327" s="95" t="s">
        <v>673</v>
      </c>
      <c r="E327" s="94" t="s">
        <v>225</v>
      </c>
      <c r="F327" s="145"/>
      <c r="G327" s="68">
        <v>0</v>
      </c>
      <c r="H327" s="25">
        <f t="shared" si="22"/>
        <v>0</v>
      </c>
    </row>
    <row r="328" customHeight="1" spans="2:8">
      <c r="B328" s="94"/>
      <c r="C328" s="95" t="s">
        <v>674</v>
      </c>
      <c r="D328" s="95" t="s">
        <v>675</v>
      </c>
      <c r="E328" s="94" t="s">
        <v>225</v>
      </c>
      <c r="F328" s="145"/>
      <c r="G328" s="68">
        <v>0</v>
      </c>
      <c r="H328" s="25">
        <f t="shared" ref="H328:H391" si="24">IFERROR(ROUND(G328*F328,0),0)</f>
        <v>0</v>
      </c>
    </row>
    <row r="329" customHeight="1" spans="2:8">
      <c r="B329" s="94"/>
      <c r="C329" s="95" t="s">
        <v>676</v>
      </c>
      <c r="D329" s="95" t="s">
        <v>677</v>
      </c>
      <c r="E329" s="94" t="s">
        <v>573</v>
      </c>
      <c r="F329" s="145"/>
      <c r="G329" s="68">
        <v>0</v>
      </c>
      <c r="H329" s="25">
        <f t="shared" si="24"/>
        <v>0</v>
      </c>
    </row>
    <row r="330" customHeight="1" spans="2:8">
      <c r="B330" s="94"/>
      <c r="C330" s="95" t="s">
        <v>641</v>
      </c>
      <c r="D330" s="95" t="s">
        <v>642</v>
      </c>
      <c r="E330" s="94" t="s">
        <v>336</v>
      </c>
      <c r="F330" s="145"/>
      <c r="G330" s="68">
        <v>0</v>
      </c>
      <c r="H330" s="25">
        <f t="shared" si="24"/>
        <v>0</v>
      </c>
    </row>
    <row r="331" customHeight="1" spans="2:8">
      <c r="B331" s="94"/>
      <c r="C331" s="95" t="s">
        <v>643</v>
      </c>
      <c r="D331" s="95" t="s">
        <v>644</v>
      </c>
      <c r="E331" s="94" t="s">
        <v>336</v>
      </c>
      <c r="F331" s="145"/>
      <c r="G331" s="68">
        <v>0</v>
      </c>
      <c r="H331" s="25">
        <f t="shared" si="24"/>
        <v>0</v>
      </c>
    </row>
    <row r="332" customHeight="1" spans="2:8">
      <c r="B332" s="94"/>
      <c r="C332" s="95" t="s">
        <v>645</v>
      </c>
      <c r="D332" s="95" t="s">
        <v>646</v>
      </c>
      <c r="E332" s="94" t="s">
        <v>336</v>
      </c>
      <c r="F332" s="145"/>
      <c r="G332" s="68">
        <v>0</v>
      </c>
      <c r="H332" s="25">
        <f t="shared" si="24"/>
        <v>0</v>
      </c>
    </row>
    <row r="333" customHeight="1" spans="2:8">
      <c r="B333" s="94"/>
      <c r="C333" s="95" t="s">
        <v>647</v>
      </c>
      <c r="D333" s="95" t="s">
        <v>648</v>
      </c>
      <c r="E333" s="94" t="s">
        <v>336</v>
      </c>
      <c r="F333" s="145"/>
      <c r="G333" s="68">
        <v>0</v>
      </c>
      <c r="H333" s="25">
        <f t="shared" si="24"/>
        <v>0</v>
      </c>
    </row>
    <row r="334" customHeight="1" spans="2:8">
      <c r="B334" s="94"/>
      <c r="C334" s="95" t="s">
        <v>649</v>
      </c>
      <c r="D334" s="95" t="s">
        <v>650</v>
      </c>
      <c r="E334" s="94" t="s">
        <v>336</v>
      </c>
      <c r="F334" s="145"/>
      <c r="G334" s="68">
        <v>0</v>
      </c>
      <c r="H334" s="25">
        <f t="shared" si="24"/>
        <v>0</v>
      </c>
    </row>
    <row r="335" customHeight="1" spans="2:8">
      <c r="B335" s="94"/>
      <c r="C335" s="95" t="s">
        <v>651</v>
      </c>
      <c r="D335" s="95" t="s">
        <v>652</v>
      </c>
      <c r="E335" s="94" t="s">
        <v>336</v>
      </c>
      <c r="F335" s="145"/>
      <c r="G335" s="68">
        <v>0</v>
      </c>
      <c r="H335" s="25">
        <f t="shared" si="24"/>
        <v>0</v>
      </c>
    </row>
    <row r="336" customHeight="1" spans="2:8">
      <c r="B336" s="94"/>
      <c r="C336" s="95" t="s">
        <v>653</v>
      </c>
      <c r="D336" s="95" t="s">
        <v>461</v>
      </c>
      <c r="E336" s="94" t="s">
        <v>573</v>
      </c>
      <c r="F336" s="145"/>
      <c r="G336" s="68">
        <v>0</v>
      </c>
      <c r="H336" s="25">
        <f t="shared" si="24"/>
        <v>0</v>
      </c>
    </row>
    <row r="337" customHeight="1" spans="2:8">
      <c r="B337" s="94"/>
      <c r="C337" s="95" t="s">
        <v>574</v>
      </c>
      <c r="D337" s="95" t="s">
        <v>463</v>
      </c>
      <c r="E337" s="94" t="s">
        <v>569</v>
      </c>
      <c r="F337" s="145"/>
      <c r="G337" s="68">
        <v>0</v>
      </c>
      <c r="H337" s="25">
        <f t="shared" si="24"/>
        <v>0</v>
      </c>
    </row>
    <row r="338" customHeight="1" spans="2:8">
      <c r="B338" s="94"/>
      <c r="C338" s="95" t="s">
        <v>654</v>
      </c>
      <c r="D338" s="95" t="s">
        <v>655</v>
      </c>
      <c r="E338" s="94" t="s">
        <v>238</v>
      </c>
      <c r="F338" s="145"/>
      <c r="G338" s="68">
        <v>0</v>
      </c>
      <c r="H338" s="25">
        <f t="shared" si="24"/>
        <v>0</v>
      </c>
    </row>
    <row r="339" customHeight="1" spans="2:8">
      <c r="B339" s="94"/>
      <c r="C339" s="95" t="s">
        <v>656</v>
      </c>
      <c r="D339" s="95" t="s">
        <v>657</v>
      </c>
      <c r="E339" s="94" t="s">
        <v>225</v>
      </c>
      <c r="F339" s="145"/>
      <c r="G339" s="68">
        <v>0</v>
      </c>
      <c r="H339" s="25">
        <f t="shared" si="24"/>
        <v>0</v>
      </c>
    </row>
    <row r="340" customHeight="1" spans="2:8">
      <c r="B340" s="94"/>
      <c r="C340" s="95" t="s">
        <v>658</v>
      </c>
      <c r="D340" s="95" t="s">
        <v>659</v>
      </c>
      <c r="E340" s="94" t="s">
        <v>238</v>
      </c>
      <c r="F340" s="145"/>
      <c r="G340" s="68">
        <v>0</v>
      </c>
      <c r="H340" s="25">
        <f t="shared" si="24"/>
        <v>0</v>
      </c>
    </row>
    <row r="341" customHeight="1" spans="2:8">
      <c r="B341" s="94"/>
      <c r="C341" s="95" t="s">
        <v>660</v>
      </c>
      <c r="D341" s="95" t="s">
        <v>661</v>
      </c>
      <c r="E341" s="94" t="s">
        <v>225</v>
      </c>
      <c r="F341" s="145"/>
      <c r="G341" s="68">
        <v>0</v>
      </c>
      <c r="H341" s="25">
        <f t="shared" si="24"/>
        <v>0</v>
      </c>
    </row>
    <row r="342" customHeight="1" spans="2:8">
      <c r="B342" s="94"/>
      <c r="C342" s="95" t="s">
        <v>662</v>
      </c>
      <c r="D342" s="95" t="s">
        <v>663</v>
      </c>
      <c r="E342" s="94" t="s">
        <v>573</v>
      </c>
      <c r="F342" s="145"/>
      <c r="G342" s="68">
        <v>0</v>
      </c>
      <c r="H342" s="25">
        <f t="shared" si="24"/>
        <v>0</v>
      </c>
    </row>
    <row r="343" customHeight="1" spans="2:8">
      <c r="B343" s="94"/>
      <c r="C343" s="95" t="s">
        <v>664</v>
      </c>
      <c r="D343" s="95" t="s">
        <v>665</v>
      </c>
      <c r="E343" s="94" t="s">
        <v>238</v>
      </c>
      <c r="F343" s="145"/>
      <c r="G343" s="68">
        <v>0</v>
      </c>
      <c r="H343" s="25">
        <f t="shared" si="24"/>
        <v>0</v>
      </c>
    </row>
    <row r="344" customHeight="1" spans="2:8">
      <c r="B344" s="94"/>
      <c r="C344" s="95" t="s">
        <v>666</v>
      </c>
      <c r="D344" s="95" t="s">
        <v>667</v>
      </c>
      <c r="E344" s="94" t="s">
        <v>238</v>
      </c>
      <c r="F344" s="145"/>
      <c r="G344" s="68">
        <v>0</v>
      </c>
      <c r="H344" s="25">
        <f t="shared" si="24"/>
        <v>0</v>
      </c>
    </row>
    <row r="345" customHeight="1" spans="2:8">
      <c r="B345" s="94"/>
      <c r="C345" s="95" t="s">
        <v>668</v>
      </c>
      <c r="D345" s="95" t="s">
        <v>669</v>
      </c>
      <c r="E345" s="94" t="s">
        <v>238</v>
      </c>
      <c r="F345" s="145"/>
      <c r="G345" s="68">
        <v>0</v>
      </c>
      <c r="H345" s="25">
        <f t="shared" si="24"/>
        <v>0</v>
      </c>
    </row>
    <row r="346" customHeight="1" spans="2:8">
      <c r="B346" s="94"/>
      <c r="C346" s="95" t="s">
        <v>670</v>
      </c>
      <c r="D346" s="95" t="s">
        <v>671</v>
      </c>
      <c r="E346" s="94" t="s">
        <v>238</v>
      </c>
      <c r="F346" s="145"/>
      <c r="G346" s="68">
        <v>0</v>
      </c>
      <c r="H346" s="25">
        <f t="shared" si="24"/>
        <v>0</v>
      </c>
    </row>
    <row r="347" customHeight="1" spans="2:8">
      <c r="B347" s="94"/>
      <c r="C347" s="95" t="s">
        <v>672</v>
      </c>
      <c r="D347" s="95" t="s">
        <v>673</v>
      </c>
      <c r="E347" s="94" t="s">
        <v>225</v>
      </c>
      <c r="F347" s="145"/>
      <c r="G347" s="68">
        <v>0</v>
      </c>
      <c r="H347" s="25">
        <f t="shared" si="24"/>
        <v>0</v>
      </c>
    </row>
    <row r="348" customHeight="1" spans="2:8">
      <c r="B348" s="94"/>
      <c r="C348" s="95" t="s">
        <v>674</v>
      </c>
      <c r="D348" s="95" t="s">
        <v>675</v>
      </c>
      <c r="E348" s="94" t="s">
        <v>225</v>
      </c>
      <c r="F348" s="145"/>
      <c r="G348" s="68">
        <v>0</v>
      </c>
      <c r="H348" s="25">
        <f t="shared" si="24"/>
        <v>0</v>
      </c>
    </row>
    <row r="349" customHeight="1" spans="2:8">
      <c r="B349" s="94"/>
      <c r="C349" s="95" t="s">
        <v>676</v>
      </c>
      <c r="D349" s="95" t="s">
        <v>677</v>
      </c>
      <c r="E349" s="94" t="s">
        <v>573</v>
      </c>
      <c r="F349" s="145"/>
      <c r="G349" s="68">
        <v>0</v>
      </c>
      <c r="H349" s="25">
        <f t="shared" si="24"/>
        <v>0</v>
      </c>
    </row>
    <row r="350" customHeight="1" spans="2:8">
      <c r="B350" s="45"/>
      <c r="C350" s="140" t="s">
        <v>678</v>
      </c>
      <c r="D350" s="141" t="s">
        <v>679</v>
      </c>
      <c r="E350" s="29"/>
      <c r="F350" s="69"/>
      <c r="G350" s="68">
        <v>0</v>
      </c>
      <c r="H350" s="25">
        <f t="shared" si="24"/>
        <v>0</v>
      </c>
    </row>
    <row r="351" customHeight="1" spans="2:8">
      <c r="B351" s="45"/>
      <c r="C351" s="140"/>
      <c r="D351" s="140"/>
      <c r="E351" s="29"/>
      <c r="F351" s="69"/>
      <c r="G351" s="68">
        <v>0</v>
      </c>
      <c r="H351" s="25">
        <f t="shared" si="24"/>
        <v>0</v>
      </c>
    </row>
    <row r="352" customHeight="1" spans="2:8">
      <c r="B352" s="26" t="s">
        <v>680</v>
      </c>
      <c r="C352" s="120" t="s">
        <v>681</v>
      </c>
      <c r="D352" s="142" t="s">
        <v>682</v>
      </c>
      <c r="E352" s="29"/>
      <c r="F352" s="93"/>
      <c r="G352" s="68">
        <v>0</v>
      </c>
      <c r="H352" s="25">
        <f t="shared" si="24"/>
        <v>0</v>
      </c>
    </row>
    <row r="353" customHeight="1" spans="1:8">
      <c r="B353" s="26" t="s">
        <v>683</v>
      </c>
      <c r="C353" s="122" t="s">
        <v>684</v>
      </c>
      <c r="D353" s="123" t="s">
        <v>685</v>
      </c>
      <c r="E353" s="146" t="s">
        <v>317</v>
      </c>
      <c r="F353" s="67"/>
      <c r="G353" s="68">
        <v>0</v>
      </c>
      <c r="H353" s="25">
        <f t="shared" si="24"/>
        <v>0</v>
      </c>
    </row>
    <row r="354" customHeight="1" spans="1:8">
      <c r="A354" s="8">
        <f ca="1" t="shared" ref="A354:A363" si="25">COUNTA(OFFSET(A$1,0,0,ROW()-1,1))+1</f>
        <v>116</v>
      </c>
      <c r="B354" s="84" t="s">
        <v>686</v>
      </c>
      <c r="C354" s="134" t="s">
        <v>687</v>
      </c>
      <c r="D354" s="135" t="s">
        <v>688</v>
      </c>
      <c r="E354" s="102" t="s">
        <v>452</v>
      </c>
      <c r="F354" s="136">
        <v>507620.4</v>
      </c>
      <c r="G354" s="68">
        <v>22.0688277266614</v>
      </c>
      <c r="H354" s="25">
        <f t="shared" si="24"/>
        <v>11202587</v>
      </c>
    </row>
    <row r="355" customHeight="1" spans="1:8">
      <c r="A355" s="8">
        <f ca="1" t="shared" si="25"/>
        <v>117</v>
      </c>
      <c r="B355" s="84" t="s">
        <v>689</v>
      </c>
      <c r="C355" s="134" t="s">
        <v>690</v>
      </c>
      <c r="D355" s="135" t="s">
        <v>691</v>
      </c>
      <c r="E355" s="102" t="s">
        <v>573</v>
      </c>
      <c r="F355" s="136">
        <v>43510.32</v>
      </c>
      <c r="G355" s="68">
        <v>2.84507014172227</v>
      </c>
      <c r="H355" s="25">
        <f t="shared" si="24"/>
        <v>123790</v>
      </c>
    </row>
    <row r="356" customHeight="1" spans="1:8">
      <c r="A356" s="8">
        <f ca="1" t="shared" si="25"/>
        <v>118</v>
      </c>
      <c r="B356" s="84" t="s">
        <v>692</v>
      </c>
      <c r="C356" s="134" t="s">
        <v>693</v>
      </c>
      <c r="D356" s="135" t="s">
        <v>694</v>
      </c>
      <c r="E356" s="102" t="s">
        <v>452</v>
      </c>
      <c r="F356" s="136">
        <v>21184.8</v>
      </c>
      <c r="G356" s="68">
        <v>61.9156699692416</v>
      </c>
      <c r="H356" s="25">
        <f t="shared" si="24"/>
        <v>1311671</v>
      </c>
    </row>
    <row r="357" customHeight="1" spans="1:8">
      <c r="A357" s="8">
        <f ca="1" t="shared" si="25"/>
        <v>119</v>
      </c>
      <c r="B357" s="84" t="s">
        <v>695</v>
      </c>
      <c r="C357" s="134" t="s">
        <v>696</v>
      </c>
      <c r="D357" s="135" t="s">
        <v>697</v>
      </c>
      <c r="E357" s="102" t="s">
        <v>452</v>
      </c>
      <c r="F357" s="136">
        <v>325.92</v>
      </c>
      <c r="G357" s="68">
        <v>120.979750811445</v>
      </c>
      <c r="H357" s="25">
        <f t="shared" si="24"/>
        <v>39430</v>
      </c>
    </row>
    <row r="358" customHeight="1" spans="1:8">
      <c r="A358" s="8">
        <f ca="1" t="shared" si="25"/>
        <v>120</v>
      </c>
      <c r="B358" s="84" t="s">
        <v>698</v>
      </c>
      <c r="C358" s="134" t="s">
        <v>699</v>
      </c>
      <c r="D358" s="135" t="s">
        <v>700</v>
      </c>
      <c r="E358" s="102" t="s">
        <v>452</v>
      </c>
      <c r="F358" s="136">
        <v>1466.64</v>
      </c>
      <c r="G358" s="68">
        <v>120.979750811445</v>
      </c>
      <c r="H358" s="25">
        <f t="shared" si="24"/>
        <v>177434</v>
      </c>
    </row>
    <row r="359" customHeight="1" spans="1:8">
      <c r="A359" s="8">
        <f ca="1" t="shared" si="25"/>
        <v>121</v>
      </c>
      <c r="B359" s="84" t="s">
        <v>701</v>
      </c>
      <c r="C359" s="134" t="s">
        <v>702</v>
      </c>
      <c r="D359" s="135" t="s">
        <v>703</v>
      </c>
      <c r="E359" s="102" t="s">
        <v>452</v>
      </c>
      <c r="F359" s="136">
        <v>5899.152</v>
      </c>
      <c r="G359" s="68">
        <v>126.037409930094</v>
      </c>
      <c r="H359" s="25">
        <f t="shared" si="24"/>
        <v>743514</v>
      </c>
    </row>
    <row r="360" customHeight="1" spans="1:8">
      <c r="A360" s="8">
        <f ca="1" t="shared" si="25"/>
        <v>122</v>
      </c>
      <c r="B360" s="84" t="s">
        <v>704</v>
      </c>
      <c r="C360" s="134" t="s">
        <v>705</v>
      </c>
      <c r="D360" s="135" t="s">
        <v>706</v>
      </c>
      <c r="E360" s="102" t="s">
        <v>452</v>
      </c>
      <c r="F360" s="136">
        <v>70072.8</v>
      </c>
      <c r="G360" s="68">
        <v>126.037409930094</v>
      </c>
      <c r="H360" s="25">
        <f t="shared" si="24"/>
        <v>8831794</v>
      </c>
    </row>
    <row r="361" customHeight="1" spans="1:8">
      <c r="A361" s="8">
        <f ca="1" t="shared" si="25"/>
        <v>123</v>
      </c>
      <c r="B361" s="84" t="s">
        <v>707</v>
      </c>
      <c r="C361" s="134" t="s">
        <v>708</v>
      </c>
      <c r="D361" s="135" t="s">
        <v>709</v>
      </c>
      <c r="E361" s="102" t="s">
        <v>452</v>
      </c>
      <c r="F361" s="136">
        <v>1303.68</v>
      </c>
      <c r="G361" s="68">
        <v>126.037409930094</v>
      </c>
      <c r="H361" s="25">
        <f t="shared" si="24"/>
        <v>164312</v>
      </c>
    </row>
    <row r="362" customHeight="1" spans="1:8">
      <c r="A362" s="8">
        <f ca="1" t="shared" si="25"/>
        <v>124</v>
      </c>
      <c r="B362" s="84" t="s">
        <v>710</v>
      </c>
      <c r="C362" s="134" t="s">
        <v>711</v>
      </c>
      <c r="D362" s="135" t="s">
        <v>712</v>
      </c>
      <c r="E362" s="102" t="s">
        <v>452</v>
      </c>
      <c r="F362" s="136">
        <v>2199.96</v>
      </c>
      <c r="G362" s="68">
        <v>305.584324660102</v>
      </c>
      <c r="H362" s="25">
        <f t="shared" si="24"/>
        <v>672273</v>
      </c>
    </row>
    <row r="363" customHeight="1" spans="1:8">
      <c r="A363" s="8">
        <f ca="1" t="shared" si="25"/>
        <v>125</v>
      </c>
      <c r="B363" s="84" t="s">
        <v>713</v>
      </c>
      <c r="C363" s="134" t="s">
        <v>714</v>
      </c>
      <c r="D363" s="135" t="s">
        <v>715</v>
      </c>
      <c r="E363" s="102" t="s">
        <v>573</v>
      </c>
      <c r="F363" s="136">
        <v>62739.6</v>
      </c>
      <c r="G363" s="68">
        <v>3.95413361388591</v>
      </c>
      <c r="H363" s="25">
        <f t="shared" si="24"/>
        <v>248081</v>
      </c>
    </row>
    <row r="364" customHeight="1" spans="1:8">
      <c r="B364" s="45"/>
      <c r="C364" s="140" t="s">
        <v>716</v>
      </c>
      <c r="D364" s="141" t="s">
        <v>717</v>
      </c>
      <c r="E364" s="29"/>
      <c r="F364" s="69"/>
      <c r="G364" s="68">
        <v>0</v>
      </c>
      <c r="H364" s="25">
        <f t="shared" si="24"/>
        <v>0</v>
      </c>
    </row>
    <row r="365" customHeight="1" spans="1:8">
      <c r="B365" s="26"/>
      <c r="C365" s="147"/>
      <c r="D365" s="147"/>
      <c r="E365" s="29"/>
      <c r="F365" s="93"/>
      <c r="G365" s="68">
        <v>0</v>
      </c>
      <c r="H365" s="25">
        <f t="shared" si="24"/>
        <v>0</v>
      </c>
    </row>
    <row r="366" customHeight="1" spans="1:8">
      <c r="B366" s="84" t="s">
        <v>718</v>
      </c>
      <c r="C366" s="148" t="s">
        <v>719</v>
      </c>
      <c r="D366" s="149" t="s">
        <v>720</v>
      </c>
      <c r="E366" s="86"/>
      <c r="F366" s="107"/>
      <c r="G366" s="68">
        <v>0</v>
      </c>
      <c r="H366" s="25">
        <f t="shared" si="24"/>
        <v>0</v>
      </c>
    </row>
    <row r="367" customHeight="1" spans="1:8">
      <c r="A367" s="8">
        <f ca="1" t="shared" ref="A367:A372" si="26">COUNTA(OFFSET(A$1,0,0,ROW()-1,1))+1</f>
        <v>126</v>
      </c>
      <c r="B367" s="84" t="s">
        <v>721</v>
      </c>
      <c r="C367" s="134" t="s">
        <v>722</v>
      </c>
      <c r="D367" s="135" t="s">
        <v>723</v>
      </c>
      <c r="E367" s="86" t="s">
        <v>225</v>
      </c>
      <c r="F367" s="107">
        <v>600</v>
      </c>
      <c r="G367" s="68">
        <v>2.161944</v>
      </c>
      <c r="H367" s="25">
        <f t="shared" si="24"/>
        <v>1297</v>
      </c>
    </row>
    <row r="368" customHeight="1" spans="1:8">
      <c r="A368" s="8">
        <f ca="1" t="shared" si="26"/>
        <v>127</v>
      </c>
      <c r="B368" s="84" t="s">
        <v>724</v>
      </c>
      <c r="C368" s="134" t="s">
        <v>725</v>
      </c>
      <c r="D368" s="135" t="s">
        <v>726</v>
      </c>
      <c r="E368" s="92" t="s">
        <v>329</v>
      </c>
      <c r="F368" s="107">
        <v>8275.5</v>
      </c>
      <c r="G368" s="68">
        <v>4.20378</v>
      </c>
      <c r="H368" s="25">
        <f t="shared" si="24"/>
        <v>34788</v>
      </c>
    </row>
    <row r="369" customHeight="1" spans="1:8">
      <c r="A369" s="8">
        <f ca="1" t="shared" si="26"/>
        <v>128</v>
      </c>
      <c r="B369" s="84" t="s">
        <v>727</v>
      </c>
      <c r="C369" s="134" t="s">
        <v>728</v>
      </c>
      <c r="D369" s="135" t="s">
        <v>729</v>
      </c>
      <c r="E369" s="86" t="s">
        <v>238</v>
      </c>
      <c r="F369" s="107">
        <v>78</v>
      </c>
      <c r="G369" s="68">
        <v>12.0108</v>
      </c>
      <c r="H369" s="25">
        <f t="shared" si="24"/>
        <v>937</v>
      </c>
    </row>
    <row r="370" customHeight="1" spans="1:8">
      <c r="A370" s="8">
        <f ca="1" t="shared" si="26"/>
        <v>129</v>
      </c>
      <c r="B370" s="84" t="s">
        <v>730</v>
      </c>
      <c r="C370" s="134" t="s">
        <v>731</v>
      </c>
      <c r="D370" s="135" t="s">
        <v>732</v>
      </c>
      <c r="E370" s="86" t="s">
        <v>238</v>
      </c>
      <c r="F370" s="107">
        <v>60</v>
      </c>
      <c r="G370" s="68">
        <v>4.20378</v>
      </c>
      <c r="H370" s="25">
        <f t="shared" si="24"/>
        <v>252</v>
      </c>
    </row>
    <row r="371" customHeight="1" spans="1:8">
      <c r="A371" s="8">
        <f ca="1" t="shared" si="26"/>
        <v>130</v>
      </c>
      <c r="B371" s="84" t="s">
        <v>733</v>
      </c>
      <c r="C371" s="134" t="s">
        <v>734</v>
      </c>
      <c r="D371" s="135" t="s">
        <v>735</v>
      </c>
      <c r="E371" s="86" t="s">
        <v>238</v>
      </c>
      <c r="F371" s="107">
        <v>41</v>
      </c>
      <c r="G371" s="68">
        <v>4.20378</v>
      </c>
      <c r="H371" s="25">
        <f t="shared" si="24"/>
        <v>172</v>
      </c>
    </row>
    <row r="372" customHeight="1" spans="1:8">
      <c r="A372" s="8">
        <f ca="1" t="shared" si="26"/>
        <v>131</v>
      </c>
      <c r="B372" s="84" t="s">
        <v>736</v>
      </c>
      <c r="C372" s="134" t="s">
        <v>737</v>
      </c>
      <c r="D372" s="135" t="s">
        <v>738</v>
      </c>
      <c r="E372" s="86" t="s">
        <v>238</v>
      </c>
      <c r="F372" s="107">
        <v>31</v>
      </c>
      <c r="G372" s="68">
        <v>4.20378</v>
      </c>
      <c r="H372" s="25">
        <f t="shared" si="24"/>
        <v>130</v>
      </c>
    </row>
    <row r="373" customHeight="1" spans="1:8">
      <c r="B373" s="84" t="s">
        <v>739</v>
      </c>
      <c r="C373" s="134" t="s">
        <v>740</v>
      </c>
      <c r="D373" s="135" t="s">
        <v>741</v>
      </c>
      <c r="E373" s="86" t="s">
        <v>238</v>
      </c>
      <c r="F373" s="107" t="s">
        <v>742</v>
      </c>
      <c r="G373" s="68">
        <v>4.20378</v>
      </c>
      <c r="H373" s="25">
        <f t="shared" si="24"/>
        <v>0</v>
      </c>
    </row>
    <row r="374" customHeight="1" spans="1:8">
      <c r="A374" s="8">
        <f ca="1" t="shared" ref="A374:A379" si="27">COUNTA(OFFSET(A$1,0,0,ROW()-1,1))+1</f>
        <v>132</v>
      </c>
      <c r="B374" s="84" t="s">
        <v>743</v>
      </c>
      <c r="C374" s="134" t="s">
        <v>744</v>
      </c>
      <c r="D374" s="135" t="s">
        <v>745</v>
      </c>
      <c r="E374" s="86" t="s">
        <v>238</v>
      </c>
      <c r="F374" s="107">
        <v>61</v>
      </c>
      <c r="G374" s="68">
        <v>4.20378</v>
      </c>
      <c r="H374" s="25">
        <f t="shared" si="24"/>
        <v>256</v>
      </c>
    </row>
    <row r="375" customHeight="1" spans="1:8">
      <c r="A375" s="8">
        <f ca="1" t="shared" si="27"/>
        <v>133</v>
      </c>
      <c r="B375" s="84" t="s">
        <v>746</v>
      </c>
      <c r="C375" s="134" t="s">
        <v>747</v>
      </c>
      <c r="D375" s="135" t="s">
        <v>748</v>
      </c>
      <c r="E375" s="86" t="s">
        <v>238</v>
      </c>
      <c r="F375" s="107">
        <v>20</v>
      </c>
      <c r="G375" s="68">
        <v>4.20378</v>
      </c>
      <c r="H375" s="25">
        <f t="shared" si="24"/>
        <v>84</v>
      </c>
    </row>
    <row r="376" customHeight="1" spans="1:8">
      <c r="A376" s="8">
        <f ca="1" t="shared" si="27"/>
        <v>134</v>
      </c>
      <c r="B376" s="84" t="s">
        <v>749</v>
      </c>
      <c r="C376" s="134" t="s">
        <v>750</v>
      </c>
      <c r="D376" s="135" t="s">
        <v>751</v>
      </c>
      <c r="E376" s="86" t="s">
        <v>238</v>
      </c>
      <c r="F376" s="107">
        <v>72</v>
      </c>
      <c r="G376" s="68">
        <v>4.20378</v>
      </c>
      <c r="H376" s="25">
        <f t="shared" si="24"/>
        <v>303</v>
      </c>
    </row>
    <row r="377" customHeight="1" spans="1:8">
      <c r="A377" s="8">
        <f ca="1" t="shared" si="27"/>
        <v>135</v>
      </c>
      <c r="B377" s="84" t="s">
        <v>752</v>
      </c>
      <c r="C377" s="134" t="s">
        <v>753</v>
      </c>
      <c r="D377" s="135" t="s">
        <v>754</v>
      </c>
      <c r="E377" s="86" t="s">
        <v>238</v>
      </c>
      <c r="F377" s="107">
        <v>12</v>
      </c>
      <c r="G377" s="68">
        <v>4.20378</v>
      </c>
      <c r="H377" s="25">
        <f t="shared" si="24"/>
        <v>50</v>
      </c>
    </row>
    <row r="378" customHeight="1" spans="1:8">
      <c r="A378" s="8">
        <f ca="1" t="shared" si="27"/>
        <v>136</v>
      </c>
      <c r="B378" s="84" t="s">
        <v>755</v>
      </c>
      <c r="C378" s="134" t="s">
        <v>756</v>
      </c>
      <c r="D378" s="135" t="s">
        <v>757</v>
      </c>
      <c r="E378" s="86" t="s">
        <v>238</v>
      </c>
      <c r="F378" s="107">
        <v>12</v>
      </c>
      <c r="G378" s="68">
        <v>4.20378</v>
      </c>
      <c r="H378" s="25">
        <f t="shared" si="24"/>
        <v>50</v>
      </c>
    </row>
    <row r="379" customHeight="1" spans="1:8">
      <c r="A379" s="8">
        <f ca="1" t="shared" si="27"/>
        <v>137</v>
      </c>
      <c r="B379" s="84" t="s">
        <v>758</v>
      </c>
      <c r="C379" s="150" t="s">
        <v>759</v>
      </c>
      <c r="D379" s="151" t="s">
        <v>760</v>
      </c>
      <c r="E379" s="86" t="s">
        <v>238</v>
      </c>
      <c r="F379" s="107">
        <v>12</v>
      </c>
      <c r="G379" s="68">
        <v>0</v>
      </c>
      <c r="H379" s="25">
        <f t="shared" si="24"/>
        <v>0</v>
      </c>
    </row>
    <row r="380" customHeight="1" spans="1:8">
      <c r="B380" s="45"/>
      <c r="C380" s="140" t="s">
        <v>761</v>
      </c>
      <c r="D380" s="141" t="s">
        <v>762</v>
      </c>
      <c r="E380" s="48"/>
      <c r="F380" s="69"/>
      <c r="G380" s="68">
        <v>0</v>
      </c>
      <c r="H380" s="25">
        <f t="shared" si="24"/>
        <v>0</v>
      </c>
    </row>
    <row r="381" customHeight="1" spans="1:8">
      <c r="B381" s="26"/>
      <c r="C381" s="122"/>
      <c r="D381" s="122"/>
      <c r="E381" s="29"/>
      <c r="F381" s="107"/>
      <c r="G381" s="68">
        <v>0</v>
      </c>
      <c r="H381" s="25">
        <f t="shared" si="24"/>
        <v>0</v>
      </c>
    </row>
    <row r="382" customHeight="1" spans="1:8">
      <c r="B382" s="71"/>
      <c r="C382" s="114"/>
      <c r="D382" s="114"/>
      <c r="E382" s="29"/>
      <c r="F382" s="93"/>
      <c r="G382" s="68">
        <v>0</v>
      </c>
      <c r="H382" s="25">
        <f t="shared" si="24"/>
        <v>0</v>
      </c>
    </row>
    <row r="383" customHeight="1" spans="1:8">
      <c r="B383" s="71"/>
      <c r="C383" s="117" t="s">
        <v>263</v>
      </c>
      <c r="D383" s="118" t="s">
        <v>264</v>
      </c>
      <c r="E383" s="29"/>
      <c r="F383" s="93"/>
      <c r="G383" s="68">
        <v>0</v>
      </c>
      <c r="H383" s="25">
        <f t="shared" si="24"/>
        <v>0</v>
      </c>
    </row>
    <row r="384" customHeight="1" spans="1:8">
      <c r="A384" s="8">
        <f ca="1" t="shared" ref="A384:A394" si="28">COUNTA(OFFSET(A$1,0,0,ROW()-1,1))+1</f>
        <v>138</v>
      </c>
      <c r="B384" s="94" t="s">
        <v>290</v>
      </c>
      <c r="C384" s="95" t="s">
        <v>763</v>
      </c>
      <c r="D384" s="96" t="s">
        <v>764</v>
      </c>
      <c r="E384" s="94" t="s">
        <v>515</v>
      </c>
      <c r="F384" s="145">
        <v>315</v>
      </c>
      <c r="G384" s="68">
        <v>0</v>
      </c>
      <c r="H384" s="25">
        <f t="shared" si="24"/>
        <v>0</v>
      </c>
    </row>
    <row r="385" customHeight="1" spans="1:8">
      <c r="A385" s="8">
        <f ca="1" t="shared" si="28"/>
        <v>139</v>
      </c>
      <c r="B385" s="94" t="s">
        <v>290</v>
      </c>
      <c r="C385" s="95" t="s">
        <v>765</v>
      </c>
      <c r="D385" s="96" t="s">
        <v>766</v>
      </c>
      <c r="E385" s="94" t="s">
        <v>515</v>
      </c>
      <c r="F385" s="145">
        <v>704</v>
      </c>
      <c r="G385" s="68">
        <v>0</v>
      </c>
      <c r="H385" s="25">
        <f t="shared" si="24"/>
        <v>0</v>
      </c>
    </row>
    <row r="386" customHeight="1" spans="1:8">
      <c r="A386" s="8">
        <f ca="1" t="shared" si="28"/>
        <v>140</v>
      </c>
      <c r="B386" s="94" t="s">
        <v>290</v>
      </c>
      <c r="C386" s="95" t="s">
        <v>767</v>
      </c>
      <c r="D386" s="96" t="s">
        <v>768</v>
      </c>
      <c r="E386" s="94" t="s">
        <v>515</v>
      </c>
      <c r="F386" s="145">
        <v>704</v>
      </c>
      <c r="G386" s="68">
        <v>0</v>
      </c>
      <c r="H386" s="25">
        <f t="shared" si="24"/>
        <v>0</v>
      </c>
    </row>
    <row r="387" customHeight="1" spans="1:8">
      <c r="A387" s="8">
        <f ca="1" t="shared" si="28"/>
        <v>141</v>
      </c>
      <c r="B387" s="94" t="s">
        <v>290</v>
      </c>
      <c r="C387" s="95" t="s">
        <v>769</v>
      </c>
      <c r="D387" s="96" t="s">
        <v>770</v>
      </c>
      <c r="E387" s="94" t="s">
        <v>41</v>
      </c>
      <c r="F387" s="145">
        <v>1</v>
      </c>
      <c r="G387" s="68">
        <v>0</v>
      </c>
      <c r="H387" s="25">
        <f t="shared" si="24"/>
        <v>0</v>
      </c>
    </row>
    <row r="388" customHeight="1" spans="1:8">
      <c r="A388" s="8">
        <f ca="1" t="shared" si="28"/>
        <v>142</v>
      </c>
      <c r="B388" s="94" t="s">
        <v>290</v>
      </c>
      <c r="C388" s="95" t="s">
        <v>771</v>
      </c>
      <c r="D388" s="96" t="s">
        <v>772</v>
      </c>
      <c r="E388" s="94" t="s">
        <v>515</v>
      </c>
      <c r="F388" s="145">
        <v>610</v>
      </c>
      <c r="G388" s="68">
        <v>0</v>
      </c>
      <c r="H388" s="25">
        <f t="shared" si="24"/>
        <v>0</v>
      </c>
    </row>
    <row r="389" customHeight="1" spans="1:8">
      <c r="A389" s="8">
        <f ca="1" t="shared" si="28"/>
        <v>143</v>
      </c>
      <c r="B389" s="94" t="s">
        <v>290</v>
      </c>
      <c r="C389" s="95" t="s">
        <v>773</v>
      </c>
      <c r="D389" s="96" t="s">
        <v>774</v>
      </c>
      <c r="E389" s="94" t="s">
        <v>238</v>
      </c>
      <c r="F389" s="145">
        <v>4</v>
      </c>
      <c r="G389" s="68">
        <v>0</v>
      </c>
      <c r="H389" s="25">
        <f t="shared" si="24"/>
        <v>0</v>
      </c>
    </row>
    <row r="390" customHeight="1" spans="1:8">
      <c r="A390" s="8">
        <f ca="1" t="shared" si="28"/>
        <v>144</v>
      </c>
      <c r="B390" s="94" t="s">
        <v>290</v>
      </c>
      <c r="C390" s="95" t="s">
        <v>775</v>
      </c>
      <c r="D390" s="96" t="s">
        <v>776</v>
      </c>
      <c r="E390" s="94" t="s">
        <v>238</v>
      </c>
      <c r="F390" s="145">
        <v>8</v>
      </c>
      <c r="G390" s="68">
        <v>0</v>
      </c>
      <c r="H390" s="25">
        <f t="shared" si="24"/>
        <v>0</v>
      </c>
    </row>
    <row r="391" customHeight="1" spans="1:8">
      <c r="A391" s="8">
        <f ca="1" t="shared" si="28"/>
        <v>145</v>
      </c>
      <c r="B391" s="94" t="s">
        <v>290</v>
      </c>
      <c r="C391" s="95" t="s">
        <v>777</v>
      </c>
      <c r="D391" s="96" t="s">
        <v>778</v>
      </c>
      <c r="E391" s="94" t="s">
        <v>41</v>
      </c>
      <c r="F391" s="145">
        <v>1</v>
      </c>
      <c r="G391" s="68">
        <v>0</v>
      </c>
      <c r="H391" s="25">
        <f t="shared" si="24"/>
        <v>0</v>
      </c>
    </row>
    <row r="392" customHeight="1" spans="1:8">
      <c r="A392" s="8">
        <f ca="1" t="shared" si="28"/>
        <v>146</v>
      </c>
      <c r="B392" s="94" t="s">
        <v>290</v>
      </c>
      <c r="C392" s="95" t="s">
        <v>779</v>
      </c>
      <c r="D392" s="96" t="s">
        <v>780</v>
      </c>
      <c r="E392" s="94" t="s">
        <v>238</v>
      </c>
      <c r="F392" s="145">
        <v>11</v>
      </c>
      <c r="G392" s="68">
        <v>0</v>
      </c>
      <c r="H392" s="25">
        <f t="shared" ref="H392:H455" si="29">IFERROR(ROUND(G392*F392,0),0)</f>
        <v>0</v>
      </c>
    </row>
    <row r="393" customHeight="1" spans="1:8">
      <c r="A393" s="8">
        <f ca="1" t="shared" si="28"/>
        <v>147</v>
      </c>
      <c r="B393" s="94" t="s">
        <v>290</v>
      </c>
      <c r="C393" s="95" t="s">
        <v>781</v>
      </c>
      <c r="D393" s="96" t="s">
        <v>782</v>
      </c>
      <c r="E393" s="152" t="s">
        <v>329</v>
      </c>
      <c r="F393" s="145">
        <v>120</v>
      </c>
      <c r="G393" s="68">
        <v>0</v>
      </c>
      <c r="H393" s="25">
        <f t="shared" si="29"/>
        <v>0</v>
      </c>
    </row>
    <row r="394" customHeight="1" spans="1:8">
      <c r="A394" s="8">
        <f ca="1" t="shared" si="28"/>
        <v>148</v>
      </c>
      <c r="B394" s="94" t="s">
        <v>290</v>
      </c>
      <c r="C394" s="95" t="s">
        <v>783</v>
      </c>
      <c r="D394" s="96" t="s">
        <v>784</v>
      </c>
      <c r="E394" s="94" t="s">
        <v>515</v>
      </c>
      <c r="F394" s="145">
        <v>3065</v>
      </c>
      <c r="G394" s="68">
        <v>0</v>
      </c>
      <c r="H394" s="25">
        <f t="shared" si="29"/>
        <v>0</v>
      </c>
    </row>
    <row r="395" customHeight="1" spans="1:8">
      <c r="B395" s="94" t="s">
        <v>290</v>
      </c>
      <c r="C395" s="95" t="s">
        <v>785</v>
      </c>
      <c r="D395" s="96" t="s">
        <v>786</v>
      </c>
      <c r="E395" s="152" t="s">
        <v>329</v>
      </c>
      <c r="F395" s="145" t="s">
        <v>742</v>
      </c>
      <c r="G395" s="68">
        <v>0</v>
      </c>
      <c r="H395" s="25">
        <f t="shared" si="29"/>
        <v>0</v>
      </c>
    </row>
    <row r="396" customHeight="1" spans="1:8">
      <c r="B396" s="94" t="s">
        <v>290</v>
      </c>
      <c r="C396" s="95" t="s">
        <v>787</v>
      </c>
      <c r="D396" s="96" t="s">
        <v>788</v>
      </c>
      <c r="E396" s="152" t="s">
        <v>329</v>
      </c>
      <c r="F396" s="145" t="s">
        <v>742</v>
      </c>
      <c r="G396" s="68">
        <v>0</v>
      </c>
      <c r="H396" s="25">
        <f t="shared" si="29"/>
        <v>0</v>
      </c>
    </row>
    <row r="397" customHeight="1" spans="1:8">
      <c r="B397" s="94" t="s">
        <v>290</v>
      </c>
      <c r="C397" s="95" t="s">
        <v>789</v>
      </c>
      <c r="D397" s="96" t="s">
        <v>790</v>
      </c>
      <c r="E397" s="94" t="s">
        <v>238</v>
      </c>
      <c r="F397" s="145" t="s">
        <v>742</v>
      </c>
      <c r="G397" s="68">
        <v>0</v>
      </c>
      <c r="H397" s="25">
        <f t="shared" si="29"/>
        <v>0</v>
      </c>
    </row>
    <row r="398" customHeight="1" spans="1:8">
      <c r="A398" s="8">
        <f ca="1">COUNTA(OFFSET(A$1,0,0,ROW()-1,1))+1</f>
        <v>149</v>
      </c>
      <c r="B398" s="94" t="s">
        <v>290</v>
      </c>
      <c r="C398" s="95" t="s">
        <v>791</v>
      </c>
      <c r="D398" s="96" t="s">
        <v>792</v>
      </c>
      <c r="E398" s="94" t="s">
        <v>238</v>
      </c>
      <c r="F398" s="145">
        <v>3</v>
      </c>
      <c r="G398" s="68">
        <v>0</v>
      </c>
      <c r="H398" s="25">
        <f t="shared" si="29"/>
        <v>0</v>
      </c>
    </row>
    <row r="399" customHeight="1" spans="1:8">
      <c r="B399" s="94" t="s">
        <v>290</v>
      </c>
      <c r="C399" s="95" t="s">
        <v>793</v>
      </c>
      <c r="D399" s="96" t="s">
        <v>794</v>
      </c>
      <c r="E399" s="94" t="s">
        <v>238</v>
      </c>
      <c r="F399" s="145" t="s">
        <v>742</v>
      </c>
      <c r="G399" s="68">
        <v>0</v>
      </c>
      <c r="H399" s="25">
        <f t="shared" si="29"/>
        <v>0</v>
      </c>
    </row>
    <row r="400" customHeight="1" spans="1:8">
      <c r="B400" s="94" t="s">
        <v>290</v>
      </c>
      <c r="C400" s="95" t="s">
        <v>795</v>
      </c>
      <c r="D400" s="96" t="s">
        <v>796</v>
      </c>
      <c r="E400" s="94" t="s">
        <v>238</v>
      </c>
      <c r="F400" s="145"/>
      <c r="G400" s="68">
        <v>0</v>
      </c>
      <c r="H400" s="25">
        <f t="shared" si="29"/>
        <v>0</v>
      </c>
    </row>
    <row r="401" customHeight="1" spans="1:1024 1025:16349">
      <c r="B401" s="94" t="s">
        <v>290</v>
      </c>
      <c r="C401" s="95" t="s">
        <v>797</v>
      </c>
      <c r="D401" s="96" t="s">
        <v>798</v>
      </c>
      <c r="E401" s="94" t="s">
        <v>238</v>
      </c>
      <c r="F401" s="145"/>
      <c r="G401" s="68">
        <v>0</v>
      </c>
      <c r="H401" s="25">
        <f t="shared" si="29"/>
        <v>0</v>
      </c>
    </row>
    <row r="402" customHeight="1" spans="1:1024 1025:16349">
      <c r="B402" s="94" t="s">
        <v>290</v>
      </c>
      <c r="C402" s="95" t="s">
        <v>799</v>
      </c>
      <c r="D402" s="96" t="s">
        <v>800</v>
      </c>
      <c r="E402" s="94" t="s">
        <v>238</v>
      </c>
      <c r="F402" s="145"/>
      <c r="G402" s="68">
        <v>0</v>
      </c>
      <c r="H402" s="25">
        <f t="shared" si="29"/>
        <v>0</v>
      </c>
    </row>
    <row r="403" customHeight="1" spans="1:1024 1025:16349">
      <c r="B403" s="94" t="s">
        <v>290</v>
      </c>
      <c r="C403" s="95" t="s">
        <v>801</v>
      </c>
      <c r="D403" s="96" t="s">
        <v>802</v>
      </c>
      <c r="E403" s="94" t="s">
        <v>238</v>
      </c>
      <c r="F403" s="145"/>
      <c r="G403" s="68">
        <v>0</v>
      </c>
      <c r="H403" s="25">
        <f t="shared" si="29"/>
        <v>0</v>
      </c>
    </row>
    <row r="404" customHeight="1" spans="1:1024 1025:16349">
      <c r="B404" s="94" t="s">
        <v>290</v>
      </c>
      <c r="C404" s="95" t="s">
        <v>803</v>
      </c>
      <c r="D404" s="96" t="s">
        <v>804</v>
      </c>
      <c r="E404" s="94" t="s">
        <v>238</v>
      </c>
      <c r="F404" s="145"/>
      <c r="G404" s="68">
        <v>0</v>
      </c>
      <c r="H404" s="25">
        <f t="shared" si="29"/>
        <v>0</v>
      </c>
    </row>
    <row r="405" customHeight="1" spans="1:1024 1025:16349">
      <c r="B405" s="94" t="s">
        <v>290</v>
      </c>
      <c r="C405" s="95" t="s">
        <v>805</v>
      </c>
      <c r="D405" s="96" t="s">
        <v>806</v>
      </c>
      <c r="E405" s="152" t="s">
        <v>807</v>
      </c>
      <c r="F405" s="145"/>
      <c r="G405" s="68">
        <v>0</v>
      </c>
      <c r="H405" s="25">
        <f t="shared" si="29"/>
        <v>0</v>
      </c>
    </row>
    <row r="406" customHeight="1" spans="1:1024 1025:16349">
      <c r="B406" s="94" t="s">
        <v>290</v>
      </c>
      <c r="C406" s="95" t="s">
        <v>808</v>
      </c>
      <c r="D406" s="96" t="s">
        <v>809</v>
      </c>
      <c r="E406" s="94" t="s">
        <v>238</v>
      </c>
      <c r="F406" s="145"/>
      <c r="G406" s="68">
        <v>0</v>
      </c>
      <c r="H406" s="25">
        <f t="shared" si="29"/>
        <v>0</v>
      </c>
    </row>
    <row r="407" customHeight="1" spans="1:1024 1025:16349">
      <c r="B407" s="94" t="s">
        <v>290</v>
      </c>
      <c r="C407" s="95" t="s">
        <v>810</v>
      </c>
      <c r="D407" s="96" t="s">
        <v>811</v>
      </c>
      <c r="E407" s="94" t="s">
        <v>238</v>
      </c>
      <c r="F407" s="145"/>
      <c r="G407" s="68">
        <v>0</v>
      </c>
      <c r="H407" s="25">
        <f t="shared" si="29"/>
        <v>0</v>
      </c>
    </row>
    <row r="408" customHeight="1" spans="1:1024 1025:16349">
      <c r="B408" s="94" t="s">
        <v>290</v>
      </c>
      <c r="C408" s="95" t="s">
        <v>812</v>
      </c>
      <c r="D408" s="95" t="s">
        <v>813</v>
      </c>
      <c r="E408" s="94"/>
      <c r="F408" s="145"/>
      <c r="G408" s="68">
        <v>0</v>
      </c>
      <c r="H408" s="25">
        <f t="shared" si="29"/>
        <v>0</v>
      </c>
    </row>
    <row r="409" customHeight="1" spans="1:1024 1025:16349">
      <c r="B409" s="94"/>
      <c r="C409" s="95" t="s">
        <v>814</v>
      </c>
      <c r="D409" s="95" t="s">
        <v>815</v>
      </c>
      <c r="E409" s="94" t="s">
        <v>515</v>
      </c>
      <c r="F409" s="145"/>
      <c r="G409" s="68">
        <v>0</v>
      </c>
      <c r="H409" s="25">
        <f t="shared" si="29"/>
        <v>0</v>
      </c>
    </row>
    <row r="410" customHeight="1" spans="1:1024 1025:16349">
      <c r="B410" s="94"/>
      <c r="C410" s="95" t="s">
        <v>816</v>
      </c>
      <c r="D410" s="95" t="s">
        <v>817</v>
      </c>
      <c r="E410" s="94" t="s">
        <v>510</v>
      </c>
      <c r="F410" s="145"/>
      <c r="G410" s="68">
        <v>0</v>
      </c>
      <c r="H410" s="25">
        <f t="shared" si="29"/>
        <v>0</v>
      </c>
    </row>
    <row r="411" customHeight="1" spans="1:1024 1025:16349">
      <c r="B411" s="94"/>
      <c r="C411" s="125" t="s">
        <v>595</v>
      </c>
      <c r="D411" s="125" t="s">
        <v>818</v>
      </c>
      <c r="E411" s="126" t="s">
        <v>515</v>
      </c>
      <c r="F411" s="145"/>
      <c r="G411" s="68">
        <v>0</v>
      </c>
      <c r="H411" s="25">
        <f t="shared" si="29"/>
        <v>0</v>
      </c>
    </row>
    <row r="412" customHeight="1" spans="1:1024 1025:16349">
      <c r="B412" s="94"/>
      <c r="C412" s="95" t="s">
        <v>819</v>
      </c>
      <c r="D412" s="95" t="s">
        <v>820</v>
      </c>
      <c r="E412" s="94" t="s">
        <v>510</v>
      </c>
      <c r="F412" s="145"/>
      <c r="G412" s="68">
        <v>0</v>
      </c>
      <c r="H412" s="25">
        <f t="shared" si="29"/>
        <v>0</v>
      </c>
    </row>
    <row r="413" customHeight="1" spans="1:1024 1025:16349">
      <c r="B413" s="94"/>
      <c r="C413" s="95" t="s">
        <v>821</v>
      </c>
      <c r="D413" s="95" t="s">
        <v>822</v>
      </c>
      <c r="E413" s="94" t="s">
        <v>510</v>
      </c>
      <c r="F413" s="145"/>
      <c r="G413" s="68">
        <v>0</v>
      </c>
      <c r="H413" s="25">
        <f t="shared" si="29"/>
        <v>0</v>
      </c>
    </row>
    <row r="414" customHeight="1" spans="1:1024 1025:16349">
      <c r="B414" s="26"/>
      <c r="C414" s="114"/>
      <c r="D414" s="114"/>
      <c r="E414" s="29"/>
      <c r="F414" s="93"/>
      <c r="G414" s="68">
        <v>0</v>
      </c>
      <c r="H414" s="25">
        <f t="shared" si="29"/>
        <v>0</v>
      </c>
    </row>
    <row r="415" customHeight="1" spans="1:1024 1025:16349">
      <c r="B415" s="54"/>
      <c r="C415" s="114"/>
      <c r="D415" s="114"/>
      <c r="E415" s="29"/>
      <c r="F415" s="67"/>
      <c r="G415" s="68">
        <v>0</v>
      </c>
      <c r="H415" s="25">
        <f t="shared" si="29"/>
        <v>0</v>
      </c>
    </row>
    <row r="416" s="6" customFormat="1" customHeight="1" spans="1:1024 1025:16349">
      <c r="A416" s="153"/>
      <c r="B416" s="74"/>
      <c r="C416" s="154" t="s">
        <v>194</v>
      </c>
      <c r="D416" s="155" t="s">
        <v>195</v>
      </c>
      <c r="E416" s="77"/>
      <c r="F416" s="113"/>
      <c r="G416" s="78">
        <v>0</v>
      </c>
      <c r="H416" s="79">
        <f>SUM(H180:H415)</f>
        <v>73548323</v>
      </c>
      <c r="I416" s="80"/>
      <c r="J416" s="80"/>
      <c r="K416" s="80"/>
      <c r="L416" s="80"/>
      <c r="M416" s="80"/>
      <c r="N416" s="80"/>
      <c r="O416" s="80"/>
      <c r="P416" s="80"/>
      <c r="Q416" s="80"/>
      <c r="R416" s="80"/>
      <c r="S416" s="80"/>
      <c r="T416" s="80"/>
      <c r="U416" s="80"/>
      <c r="V416" s="80"/>
      <c r="W416" s="80"/>
      <c r="X416" s="80"/>
      <c r="Y416" s="80"/>
      <c r="Z416" s="80"/>
      <c r="AA416" s="80"/>
      <c r="AB416" s="80"/>
      <c r="AC416" s="80"/>
      <c r="AD416" s="80"/>
      <c r="AE416" s="80"/>
      <c r="AF416" s="80"/>
      <c r="AG416" s="80"/>
      <c r="AH416" s="80"/>
      <c r="AI416" s="80"/>
      <c r="AJ416" s="80"/>
      <c r="AK416" s="80"/>
      <c r="AL416" s="80"/>
      <c r="AM416" s="80"/>
      <c r="AN416" s="80"/>
      <c r="AO416" s="80"/>
      <c r="AP416" s="80"/>
      <c r="AQ416" s="80"/>
      <c r="AR416" s="80"/>
      <c r="AS416" s="80"/>
      <c r="AT416" s="80"/>
      <c r="AU416" s="80"/>
      <c r="AV416" s="80"/>
      <c r="AW416" s="80"/>
      <c r="AX416" s="80"/>
      <c r="AY416" s="80"/>
      <c r="AZ416" s="80"/>
      <c r="BA416" s="80"/>
      <c r="BB416" s="80"/>
      <c r="BC416" s="80"/>
      <c r="BD416" s="80"/>
      <c r="BE416" s="80"/>
      <c r="BF416" s="80"/>
      <c r="BG416" s="80"/>
      <c r="BH416" s="80"/>
      <c r="BI416" s="80"/>
      <c r="BJ416" s="80"/>
      <c r="BK416" s="80"/>
      <c r="BL416" s="80"/>
      <c r="BM416" s="80"/>
      <c r="BN416" s="80"/>
      <c r="BO416" s="80"/>
      <c r="BP416" s="80"/>
      <c r="BQ416" s="80"/>
      <c r="BR416" s="80"/>
      <c r="BS416" s="80"/>
      <c r="BT416" s="80"/>
      <c r="BU416" s="80"/>
      <c r="BV416" s="80"/>
      <c r="BW416" s="80"/>
      <c r="BX416" s="80"/>
      <c r="BY416" s="80"/>
      <c r="BZ416" s="80"/>
      <c r="CA416" s="80"/>
      <c r="CB416" s="80"/>
      <c r="CC416" s="80"/>
      <c r="CD416" s="80"/>
      <c r="CE416" s="80"/>
      <c r="CF416" s="80"/>
      <c r="CG416" s="80"/>
      <c r="CH416" s="80"/>
      <c r="CI416" s="80"/>
      <c r="CJ416" s="80"/>
      <c r="CK416" s="80"/>
      <c r="CL416" s="80"/>
      <c r="CM416" s="80"/>
      <c r="CN416" s="80"/>
      <c r="CO416" s="80"/>
      <c r="CP416" s="80"/>
      <c r="CQ416" s="80"/>
      <c r="CR416" s="80"/>
      <c r="CS416" s="80"/>
      <c r="CT416" s="80"/>
      <c r="CU416" s="80"/>
      <c r="CV416" s="80"/>
      <c r="CW416" s="80"/>
      <c r="CX416" s="80"/>
      <c r="CY416" s="80"/>
      <c r="CZ416" s="80"/>
      <c r="DA416" s="80"/>
      <c r="DB416" s="80"/>
      <c r="DC416" s="80"/>
      <c r="DD416" s="80"/>
      <c r="DE416" s="80"/>
      <c r="DF416" s="80"/>
      <c r="DG416" s="80"/>
      <c r="DH416" s="80"/>
      <c r="DI416" s="80"/>
      <c r="DJ416" s="80"/>
      <c r="DK416" s="80"/>
      <c r="DL416" s="80"/>
      <c r="DM416" s="80"/>
      <c r="DN416" s="80"/>
      <c r="DO416" s="80"/>
      <c r="DP416" s="80"/>
      <c r="DQ416" s="80"/>
      <c r="DR416" s="80"/>
      <c r="DS416" s="80"/>
      <c r="DT416" s="80"/>
      <c r="DU416" s="80"/>
      <c r="DV416" s="80"/>
      <c r="DW416" s="80"/>
      <c r="DX416" s="80"/>
      <c r="DY416" s="80"/>
      <c r="DZ416" s="80"/>
      <c r="EA416" s="80"/>
      <c r="EB416" s="80"/>
      <c r="EC416" s="80"/>
      <c r="ED416" s="80"/>
      <c r="EE416" s="80"/>
      <c r="EF416" s="80"/>
      <c r="EG416" s="80"/>
      <c r="EH416" s="80"/>
      <c r="EI416" s="80"/>
      <c r="EJ416" s="80"/>
      <c r="EK416" s="80"/>
      <c r="EL416" s="80"/>
      <c r="EM416" s="80"/>
      <c r="EN416" s="80"/>
      <c r="EO416" s="80"/>
      <c r="EP416" s="80"/>
      <c r="EQ416" s="80"/>
      <c r="ER416" s="80"/>
      <c r="ES416" s="80"/>
      <c r="ET416" s="80"/>
      <c r="EU416" s="80"/>
      <c r="EV416" s="80"/>
      <c r="EW416" s="80"/>
      <c r="EX416" s="80"/>
      <c r="EY416" s="80"/>
      <c r="EZ416" s="80"/>
      <c r="FA416" s="80"/>
      <c r="FB416" s="80"/>
      <c r="FC416" s="80"/>
      <c r="FD416" s="80"/>
      <c r="FE416" s="80"/>
      <c r="FF416" s="80"/>
      <c r="FG416" s="80"/>
      <c r="FH416" s="80"/>
      <c r="FI416" s="80"/>
      <c r="FJ416" s="80"/>
      <c r="FK416" s="80"/>
      <c r="FL416" s="80"/>
      <c r="FM416" s="80"/>
      <c r="FN416" s="80"/>
      <c r="FO416" s="80"/>
      <c r="FP416" s="80"/>
      <c r="FQ416" s="80"/>
      <c r="FR416" s="80"/>
      <c r="FS416" s="80"/>
      <c r="FT416" s="80"/>
      <c r="FU416" s="80"/>
      <c r="FV416" s="80"/>
      <c r="FW416" s="80"/>
      <c r="FX416" s="80"/>
      <c r="FY416" s="80"/>
      <c r="FZ416" s="80"/>
      <c r="GA416" s="80"/>
      <c r="GB416" s="80"/>
      <c r="GC416" s="80"/>
      <c r="GD416" s="80"/>
      <c r="GE416" s="80"/>
      <c r="GF416" s="80"/>
      <c r="GG416" s="80"/>
      <c r="GH416" s="80"/>
      <c r="GI416" s="80"/>
      <c r="GJ416" s="80"/>
      <c r="GK416" s="80"/>
      <c r="GL416" s="80"/>
      <c r="GM416" s="80"/>
      <c r="GN416" s="80"/>
      <c r="GO416" s="80"/>
      <c r="GP416" s="80"/>
      <c r="GQ416" s="80"/>
      <c r="GR416" s="80"/>
      <c r="GS416" s="80"/>
      <c r="GT416" s="80"/>
      <c r="GU416" s="80"/>
      <c r="GV416" s="80"/>
      <c r="GW416" s="80"/>
      <c r="GX416" s="80"/>
      <c r="GY416" s="80"/>
      <c r="GZ416" s="80"/>
      <c r="HA416" s="80"/>
      <c r="HB416" s="80"/>
      <c r="HC416" s="80"/>
      <c r="HD416" s="80"/>
      <c r="HE416" s="80"/>
      <c r="HF416" s="80"/>
      <c r="HG416" s="80"/>
      <c r="HH416" s="80"/>
      <c r="HI416" s="80"/>
      <c r="HJ416" s="80"/>
      <c r="HK416" s="80"/>
      <c r="HL416" s="80"/>
      <c r="HM416" s="80"/>
      <c r="HN416" s="80"/>
      <c r="HO416" s="80"/>
      <c r="HP416" s="80"/>
      <c r="HQ416" s="80"/>
      <c r="HR416" s="80"/>
      <c r="HS416" s="80"/>
      <c r="HT416" s="80"/>
      <c r="HU416" s="80"/>
      <c r="HV416" s="80"/>
      <c r="HW416" s="80"/>
      <c r="HX416" s="80"/>
      <c r="HY416" s="80"/>
      <c r="HZ416" s="80"/>
      <c r="IA416" s="80"/>
      <c r="IB416" s="80"/>
      <c r="IC416" s="80"/>
      <c r="ID416" s="80"/>
      <c r="IE416" s="80"/>
      <c r="IF416" s="80"/>
      <c r="IG416" s="80"/>
      <c r="IH416" s="80"/>
      <c r="II416" s="80"/>
      <c r="IJ416" s="80"/>
      <c r="IK416" s="80"/>
      <c r="IL416" s="80"/>
      <c r="IM416" s="80"/>
      <c r="IN416" s="80"/>
      <c r="IO416" s="80"/>
      <c r="IP416" s="80"/>
      <c r="IQ416" s="80"/>
      <c r="IR416" s="80"/>
      <c r="IS416" s="80"/>
      <c r="IT416" s="80"/>
      <c r="IU416" s="80"/>
      <c r="IV416" s="80"/>
      <c r="IW416" s="80"/>
      <c r="IX416" s="80"/>
      <c r="IY416" s="80"/>
      <c r="IZ416" s="80"/>
      <c r="JA416" s="80"/>
      <c r="JB416" s="80"/>
      <c r="JC416" s="80"/>
      <c r="JD416" s="80"/>
      <c r="JE416" s="80"/>
      <c r="JF416" s="80"/>
      <c r="JG416" s="80"/>
      <c r="JH416" s="80"/>
      <c r="JI416" s="80"/>
      <c r="JJ416" s="80"/>
      <c r="JK416" s="80"/>
      <c r="JL416" s="80"/>
      <c r="JM416" s="80"/>
      <c r="JN416" s="80"/>
      <c r="JO416" s="80"/>
      <c r="JP416" s="80"/>
      <c r="JQ416" s="80"/>
      <c r="JR416" s="80"/>
      <c r="JS416" s="80"/>
      <c r="JT416" s="80"/>
      <c r="JU416" s="80"/>
      <c r="JV416" s="80"/>
      <c r="JW416" s="80"/>
      <c r="JX416" s="80"/>
      <c r="JY416" s="80"/>
      <c r="JZ416" s="80"/>
      <c r="KA416" s="80"/>
      <c r="KB416" s="80"/>
      <c r="KC416" s="80"/>
      <c r="KD416" s="80"/>
      <c r="KE416" s="80"/>
      <c r="KF416" s="80"/>
      <c r="KG416" s="80"/>
      <c r="KH416" s="80"/>
      <c r="KI416" s="80"/>
      <c r="KJ416" s="80"/>
      <c r="KK416" s="80"/>
      <c r="KL416" s="80"/>
      <c r="KM416" s="80"/>
      <c r="KN416" s="80"/>
      <c r="KO416" s="80"/>
      <c r="KP416" s="80"/>
      <c r="KQ416" s="80"/>
      <c r="KR416" s="80"/>
      <c r="KS416" s="80"/>
      <c r="KT416" s="80"/>
      <c r="KU416" s="80"/>
      <c r="KV416" s="80"/>
      <c r="KW416" s="80"/>
      <c r="KX416" s="80"/>
      <c r="KY416" s="80"/>
      <c r="KZ416" s="80"/>
      <c r="LA416" s="80"/>
      <c r="LB416" s="80"/>
      <c r="LC416" s="80"/>
      <c r="LD416" s="80"/>
      <c r="LE416" s="80"/>
      <c r="LF416" s="80"/>
      <c r="LG416" s="80"/>
      <c r="LH416" s="80"/>
      <c r="LI416" s="80"/>
      <c r="LJ416" s="80"/>
      <c r="LK416" s="80"/>
      <c r="LL416" s="80"/>
      <c r="LM416" s="80"/>
      <c r="LN416" s="80"/>
      <c r="LO416" s="80"/>
      <c r="LP416" s="80"/>
      <c r="LQ416" s="80"/>
      <c r="LR416" s="80"/>
      <c r="LS416" s="80"/>
      <c r="LT416" s="80"/>
      <c r="LU416" s="80"/>
      <c r="LV416" s="80"/>
      <c r="LW416" s="80"/>
      <c r="LX416" s="80"/>
      <c r="LY416" s="80"/>
      <c r="LZ416" s="80"/>
      <c r="MA416" s="80"/>
      <c r="MB416" s="80"/>
      <c r="MC416" s="80"/>
      <c r="MD416" s="80"/>
      <c r="ME416" s="80"/>
      <c r="MF416" s="80"/>
      <c r="MG416" s="80"/>
      <c r="MH416" s="80"/>
      <c r="MI416" s="80"/>
      <c r="MJ416" s="80"/>
      <c r="MK416" s="80"/>
      <c r="ML416" s="80"/>
      <c r="MM416" s="80"/>
      <c r="MN416" s="80"/>
      <c r="MO416" s="80"/>
      <c r="MP416" s="80"/>
      <c r="MQ416" s="80"/>
      <c r="MR416" s="80"/>
      <c r="MS416" s="80"/>
      <c r="MT416" s="80"/>
      <c r="MU416" s="80"/>
      <c r="MV416" s="80"/>
      <c r="MW416" s="80"/>
      <c r="MX416" s="80"/>
      <c r="MY416" s="80"/>
      <c r="MZ416" s="80"/>
      <c r="NA416" s="80"/>
      <c r="NB416" s="80"/>
      <c r="NC416" s="80"/>
      <c r="ND416" s="80"/>
      <c r="NE416" s="80"/>
      <c r="NF416" s="80"/>
      <c r="NG416" s="80"/>
      <c r="NH416" s="80"/>
      <c r="NI416" s="80"/>
      <c r="NJ416" s="80"/>
      <c r="NK416" s="80"/>
      <c r="NL416" s="80"/>
      <c r="NM416" s="80"/>
      <c r="NN416" s="80"/>
      <c r="NO416" s="80"/>
      <c r="NP416" s="80"/>
      <c r="NQ416" s="80"/>
      <c r="NR416" s="80"/>
      <c r="NS416" s="80"/>
      <c r="NT416" s="80"/>
      <c r="NU416" s="80"/>
      <c r="NV416" s="80"/>
      <c r="NW416" s="80"/>
      <c r="NX416" s="80"/>
      <c r="NY416" s="80"/>
      <c r="NZ416" s="80"/>
      <c r="OA416" s="80"/>
      <c r="OB416" s="80"/>
      <c r="OC416" s="80"/>
      <c r="OD416" s="80"/>
      <c r="OE416" s="80"/>
      <c r="OF416" s="80"/>
      <c r="OG416" s="80"/>
      <c r="OH416" s="80"/>
      <c r="OI416" s="80"/>
      <c r="OJ416" s="80"/>
      <c r="OK416" s="80"/>
      <c r="OL416" s="80"/>
      <c r="OM416" s="80"/>
      <c r="ON416" s="80"/>
      <c r="OO416" s="80"/>
      <c r="OP416" s="80"/>
      <c r="OQ416" s="80"/>
      <c r="OR416" s="80"/>
      <c r="OS416" s="80"/>
      <c r="OT416" s="80"/>
      <c r="OU416" s="80"/>
      <c r="OV416" s="80"/>
      <c r="OW416" s="80"/>
      <c r="OX416" s="80"/>
      <c r="OY416" s="80"/>
      <c r="OZ416" s="80"/>
      <c r="PA416" s="80"/>
      <c r="PB416" s="80"/>
      <c r="PC416" s="80"/>
      <c r="PD416" s="80"/>
      <c r="PE416" s="80"/>
      <c r="PF416" s="80"/>
      <c r="PG416" s="80"/>
      <c r="PH416" s="80"/>
      <c r="PI416" s="80"/>
      <c r="PJ416" s="80"/>
      <c r="PK416" s="80"/>
      <c r="PL416" s="80"/>
      <c r="PM416" s="80"/>
      <c r="PN416" s="80"/>
      <c r="PO416" s="80"/>
      <c r="PP416" s="80"/>
      <c r="PQ416" s="80"/>
      <c r="PR416" s="80"/>
      <c r="PS416" s="80"/>
      <c r="PT416" s="80"/>
      <c r="PU416" s="80"/>
      <c r="PV416" s="80"/>
      <c r="PW416" s="80"/>
      <c r="PX416" s="80"/>
      <c r="PY416" s="80"/>
      <c r="PZ416" s="80"/>
      <c r="QA416" s="80"/>
      <c r="QB416" s="80"/>
      <c r="QC416" s="80"/>
      <c r="QD416" s="80"/>
      <c r="QE416" s="80"/>
      <c r="QF416" s="80"/>
      <c r="QG416" s="80"/>
      <c r="QH416" s="80"/>
      <c r="QI416" s="80"/>
      <c r="QJ416" s="80"/>
      <c r="QK416" s="80"/>
      <c r="QL416" s="80"/>
      <c r="QM416" s="80"/>
      <c r="QN416" s="80"/>
      <c r="QO416" s="80"/>
      <c r="QP416" s="80"/>
      <c r="QQ416" s="80"/>
      <c r="QR416" s="80"/>
      <c r="QS416" s="80"/>
      <c r="QT416" s="80"/>
      <c r="QU416" s="80"/>
      <c r="QV416" s="80"/>
      <c r="QW416" s="80"/>
      <c r="QX416" s="80"/>
      <c r="QY416" s="80"/>
      <c r="QZ416" s="80"/>
      <c r="RA416" s="80"/>
      <c r="RB416" s="80"/>
      <c r="RC416" s="80"/>
      <c r="RD416" s="80"/>
      <c r="RE416" s="80"/>
      <c r="RF416" s="80"/>
      <c r="RG416" s="80"/>
      <c r="RH416" s="80"/>
      <c r="RI416" s="80"/>
      <c r="RJ416" s="80"/>
      <c r="RK416" s="80"/>
      <c r="RL416" s="80"/>
      <c r="RM416" s="80"/>
      <c r="RN416" s="80"/>
      <c r="RO416" s="80"/>
      <c r="RP416" s="80"/>
      <c r="RQ416" s="80"/>
      <c r="RR416" s="80"/>
      <c r="RS416" s="80"/>
      <c r="RT416" s="80"/>
      <c r="RU416" s="80"/>
      <c r="RV416" s="80"/>
      <c r="RW416" s="80"/>
      <c r="RX416" s="80"/>
      <c r="RY416" s="80"/>
      <c r="RZ416" s="80"/>
      <c r="SA416" s="80"/>
      <c r="SB416" s="80"/>
      <c r="SC416" s="80"/>
      <c r="SD416" s="80"/>
      <c r="SE416" s="80"/>
      <c r="SF416" s="80"/>
      <c r="SG416" s="80"/>
      <c r="SH416" s="80"/>
      <c r="SI416" s="80"/>
      <c r="SJ416" s="80"/>
      <c r="SK416" s="80"/>
      <c r="SL416" s="80"/>
      <c r="SM416" s="80"/>
      <c r="SN416" s="80"/>
      <c r="SO416" s="80"/>
      <c r="SP416" s="80"/>
      <c r="SQ416" s="80"/>
      <c r="SR416" s="80"/>
      <c r="SS416" s="80"/>
      <c r="ST416" s="80"/>
      <c r="SU416" s="80"/>
      <c r="SV416" s="80"/>
      <c r="SW416" s="80"/>
      <c r="SX416" s="80"/>
      <c r="SY416" s="80"/>
      <c r="SZ416" s="80"/>
      <c r="TA416" s="80"/>
      <c r="TB416" s="80"/>
      <c r="TC416" s="80"/>
      <c r="TD416" s="80"/>
      <c r="TE416" s="80"/>
      <c r="TF416" s="80"/>
      <c r="TG416" s="80"/>
      <c r="TH416" s="80"/>
      <c r="TI416" s="80"/>
      <c r="TJ416" s="80"/>
      <c r="TK416" s="80"/>
      <c r="TL416" s="80"/>
      <c r="TM416" s="80"/>
      <c r="TN416" s="80"/>
      <c r="TO416" s="80"/>
      <c r="TP416" s="80"/>
      <c r="TQ416" s="80"/>
      <c r="TR416" s="80"/>
      <c r="TS416" s="80"/>
      <c r="TT416" s="80"/>
      <c r="TU416" s="80"/>
      <c r="TV416" s="80"/>
      <c r="TW416" s="80"/>
      <c r="TX416" s="80"/>
      <c r="TY416" s="80"/>
      <c r="TZ416" s="80"/>
      <c r="UA416" s="80"/>
      <c r="UB416" s="80"/>
      <c r="UC416" s="80"/>
      <c r="UD416" s="80"/>
      <c r="UE416" s="80"/>
      <c r="UF416" s="80"/>
      <c r="UG416" s="80"/>
      <c r="UH416" s="80"/>
      <c r="UI416" s="80"/>
      <c r="UJ416" s="80"/>
      <c r="UK416" s="80"/>
      <c r="UL416" s="80"/>
      <c r="UM416" s="80"/>
      <c r="UN416" s="80"/>
      <c r="UO416" s="80"/>
      <c r="UP416" s="80"/>
      <c r="UQ416" s="80"/>
      <c r="UR416" s="80"/>
      <c r="US416" s="80"/>
      <c r="UT416" s="80"/>
      <c r="UU416" s="80"/>
      <c r="UV416" s="80"/>
      <c r="UW416" s="80"/>
      <c r="UX416" s="80"/>
      <c r="UY416" s="80"/>
      <c r="UZ416" s="80"/>
      <c r="VA416" s="80"/>
      <c r="VB416" s="80"/>
      <c r="VC416" s="80"/>
      <c r="VD416" s="80"/>
      <c r="VE416" s="80"/>
      <c r="VF416" s="80"/>
      <c r="VG416" s="80"/>
      <c r="VH416" s="80"/>
      <c r="VI416" s="80"/>
      <c r="VJ416" s="80"/>
      <c r="VK416" s="80"/>
      <c r="VL416" s="80"/>
      <c r="VM416" s="80"/>
      <c r="VN416" s="80"/>
      <c r="VO416" s="80"/>
      <c r="VP416" s="80"/>
      <c r="VQ416" s="80"/>
      <c r="VR416" s="80"/>
      <c r="VS416" s="80"/>
      <c r="VT416" s="80"/>
      <c r="VU416" s="80"/>
      <c r="VV416" s="80"/>
      <c r="VW416" s="80"/>
      <c r="VX416" s="80"/>
      <c r="VY416" s="80"/>
      <c r="VZ416" s="80"/>
      <c r="WA416" s="80"/>
      <c r="WB416" s="80"/>
      <c r="WC416" s="80"/>
      <c r="WD416" s="80"/>
      <c r="WE416" s="80"/>
      <c r="WF416" s="80"/>
      <c r="WG416" s="80"/>
      <c r="WH416" s="80"/>
      <c r="WI416" s="80"/>
      <c r="WJ416" s="80"/>
      <c r="WK416" s="80"/>
      <c r="WL416" s="80"/>
      <c r="WM416" s="80"/>
      <c r="WN416" s="80"/>
      <c r="WO416" s="80"/>
      <c r="WP416" s="80"/>
      <c r="WQ416" s="80"/>
      <c r="WR416" s="80"/>
      <c r="WS416" s="80"/>
      <c r="WT416" s="80"/>
      <c r="WU416" s="80"/>
      <c r="WV416" s="80"/>
      <c r="WW416" s="80"/>
      <c r="WX416" s="80"/>
      <c r="WY416" s="80"/>
      <c r="WZ416" s="80"/>
      <c r="XA416" s="80"/>
      <c r="XB416" s="80"/>
      <c r="XC416" s="80"/>
      <c r="XD416" s="80"/>
      <c r="XE416" s="80"/>
      <c r="XF416" s="80"/>
      <c r="XG416" s="80"/>
      <c r="XH416" s="80"/>
      <c r="XI416" s="80"/>
      <c r="XJ416" s="80"/>
      <c r="XK416" s="80"/>
      <c r="XL416" s="80"/>
      <c r="XM416" s="80"/>
      <c r="XN416" s="80"/>
      <c r="XO416" s="80"/>
      <c r="XP416" s="80"/>
      <c r="XQ416" s="80"/>
      <c r="XR416" s="80"/>
      <c r="XS416" s="80"/>
      <c r="XT416" s="80"/>
      <c r="XU416" s="80"/>
      <c r="XV416" s="80"/>
      <c r="XW416" s="80"/>
      <c r="XX416" s="80"/>
      <c r="XY416" s="80"/>
      <c r="XZ416" s="80"/>
      <c r="YA416" s="80"/>
      <c r="YB416" s="80"/>
      <c r="YC416" s="80"/>
      <c r="YD416" s="80"/>
      <c r="YE416" s="80"/>
      <c r="YF416" s="80"/>
      <c r="YG416" s="80"/>
      <c r="YH416" s="80"/>
      <c r="YI416" s="80"/>
      <c r="YJ416" s="80"/>
      <c r="YK416" s="80"/>
      <c r="YL416" s="80"/>
      <c r="YM416" s="80"/>
      <c r="YN416" s="80"/>
      <c r="YO416" s="80"/>
      <c r="YP416" s="80"/>
      <c r="YQ416" s="80"/>
      <c r="YR416" s="80"/>
      <c r="YS416" s="80"/>
      <c r="YT416" s="80"/>
      <c r="YU416" s="80"/>
      <c r="YV416" s="80"/>
      <c r="YW416" s="80"/>
      <c r="YX416" s="80"/>
      <c r="YY416" s="80"/>
      <c r="YZ416" s="80"/>
      <c r="ZA416" s="80"/>
      <c r="ZB416" s="80"/>
      <c r="ZC416" s="80"/>
      <c r="ZD416" s="80"/>
      <c r="ZE416" s="80"/>
      <c r="ZF416" s="80"/>
      <c r="ZG416" s="80"/>
      <c r="ZH416" s="80"/>
      <c r="ZI416" s="80"/>
      <c r="ZJ416" s="80"/>
      <c r="ZK416" s="80"/>
      <c r="ZL416" s="80"/>
      <c r="ZM416" s="80"/>
      <c r="ZN416" s="80"/>
      <c r="ZO416" s="80"/>
      <c r="ZP416" s="80"/>
      <c r="ZQ416" s="80"/>
      <c r="ZR416" s="80"/>
      <c r="ZS416" s="80"/>
      <c r="ZT416" s="80"/>
      <c r="ZU416" s="80"/>
      <c r="ZV416" s="80"/>
      <c r="ZW416" s="80"/>
      <c r="ZX416" s="80"/>
      <c r="ZY416" s="80"/>
      <c r="ZZ416" s="80"/>
      <c r="AAA416" s="80"/>
      <c r="AAB416" s="80"/>
      <c r="AAC416" s="80"/>
      <c r="AAD416" s="80"/>
      <c r="AAE416" s="80"/>
      <c r="AAF416" s="80"/>
      <c r="AAG416" s="80"/>
      <c r="AAH416" s="80"/>
      <c r="AAI416" s="80"/>
      <c r="AAJ416" s="80"/>
      <c r="AAK416" s="80"/>
      <c r="AAL416" s="80"/>
      <c r="AAM416" s="80"/>
      <c r="AAN416" s="80"/>
      <c r="AAO416" s="80"/>
      <c r="AAP416" s="80"/>
      <c r="AAQ416" s="80"/>
      <c r="AAR416" s="80"/>
      <c r="AAS416" s="80"/>
      <c r="AAT416" s="80"/>
      <c r="AAU416" s="80"/>
      <c r="AAV416" s="80"/>
      <c r="AAW416" s="80"/>
      <c r="AAX416" s="80"/>
      <c r="AAY416" s="80"/>
      <c r="AAZ416" s="80"/>
      <c r="ABA416" s="80"/>
      <c r="ABB416" s="80"/>
      <c r="ABC416" s="80"/>
      <c r="ABD416" s="80"/>
      <c r="ABE416" s="80"/>
      <c r="ABF416" s="80"/>
      <c r="ABG416" s="80"/>
      <c r="ABH416" s="80"/>
      <c r="ABI416" s="80"/>
      <c r="ABJ416" s="80"/>
      <c r="ABK416" s="80"/>
      <c r="ABL416" s="80"/>
      <c r="ABM416" s="80"/>
      <c r="ABN416" s="80"/>
      <c r="ABO416" s="80"/>
      <c r="ABP416" s="80"/>
      <c r="ABQ416" s="80"/>
      <c r="ABR416" s="80"/>
      <c r="ABS416" s="80"/>
      <c r="ABT416" s="80"/>
      <c r="ABU416" s="80"/>
      <c r="ABV416" s="80"/>
      <c r="ABW416" s="80"/>
      <c r="ABX416" s="80"/>
      <c r="ABY416" s="80"/>
      <c r="ABZ416" s="80"/>
      <c r="ACA416" s="80"/>
      <c r="ACB416" s="80"/>
      <c r="ACC416" s="80"/>
      <c r="ACD416" s="80"/>
      <c r="ACE416" s="80"/>
      <c r="ACF416" s="80"/>
      <c r="ACG416" s="80"/>
      <c r="ACH416" s="80"/>
      <c r="ACI416" s="80"/>
      <c r="ACJ416" s="80"/>
      <c r="ACK416" s="80"/>
      <c r="ACL416" s="80"/>
      <c r="ACM416" s="80"/>
      <c r="ACN416" s="80"/>
      <c r="ACO416" s="80"/>
      <c r="ACP416" s="80"/>
      <c r="ACQ416" s="80"/>
      <c r="ACR416" s="80"/>
      <c r="ACS416" s="80"/>
      <c r="ACT416" s="80"/>
      <c r="ACU416" s="80"/>
      <c r="ACV416" s="80"/>
      <c r="ACW416" s="80"/>
      <c r="ACX416" s="80"/>
      <c r="ACY416" s="80"/>
      <c r="ACZ416" s="80"/>
      <c r="ADA416" s="80"/>
      <c r="ADB416" s="80"/>
      <c r="ADC416" s="80"/>
      <c r="ADD416" s="80"/>
      <c r="ADE416" s="80"/>
      <c r="ADF416" s="80"/>
      <c r="ADG416" s="80"/>
      <c r="ADH416" s="80"/>
      <c r="ADI416" s="80"/>
      <c r="ADJ416" s="80"/>
      <c r="ADK416" s="80"/>
      <c r="ADL416" s="80"/>
      <c r="ADM416" s="80"/>
      <c r="ADN416" s="80"/>
      <c r="ADO416" s="80"/>
      <c r="ADP416" s="80"/>
      <c r="ADQ416" s="80"/>
      <c r="ADR416" s="80"/>
      <c r="ADS416" s="80"/>
      <c r="ADT416" s="80"/>
      <c r="ADU416" s="80"/>
      <c r="ADV416" s="80"/>
      <c r="ADW416" s="80"/>
      <c r="ADX416" s="80"/>
      <c r="ADY416" s="80"/>
      <c r="ADZ416" s="80"/>
      <c r="AEA416" s="80"/>
      <c r="AEB416" s="80"/>
      <c r="AEC416" s="80"/>
      <c r="AED416" s="80"/>
      <c r="AEE416" s="80"/>
      <c r="AEF416" s="80"/>
      <c r="AEG416" s="80"/>
      <c r="AEH416" s="80"/>
      <c r="AEI416" s="80"/>
      <c r="AEJ416" s="80"/>
      <c r="AEK416" s="80"/>
      <c r="AEL416" s="80"/>
      <c r="AEM416" s="80"/>
      <c r="AEN416" s="80"/>
      <c r="AEO416" s="80"/>
      <c r="AEP416" s="80"/>
      <c r="AEQ416" s="80"/>
      <c r="AER416" s="80"/>
      <c r="AES416" s="80"/>
      <c r="AET416" s="80"/>
      <c r="AEU416" s="80"/>
      <c r="AEV416" s="80"/>
      <c r="AEW416" s="80"/>
      <c r="AEX416" s="80"/>
      <c r="AEY416" s="80"/>
      <c r="AEZ416" s="80"/>
      <c r="AFA416" s="80"/>
      <c r="AFB416" s="80"/>
      <c r="AFC416" s="80"/>
      <c r="AFD416" s="80"/>
      <c r="AFE416" s="80"/>
      <c r="AFF416" s="80"/>
      <c r="AFG416" s="80"/>
      <c r="AFH416" s="80"/>
      <c r="AFI416" s="80"/>
      <c r="AFJ416" s="80"/>
      <c r="AFK416" s="80"/>
      <c r="AFL416" s="80"/>
      <c r="AFM416" s="80"/>
      <c r="AFN416" s="80"/>
      <c r="AFO416" s="80"/>
      <c r="AFP416" s="80"/>
      <c r="AFQ416" s="80"/>
      <c r="AFR416" s="80"/>
      <c r="AFS416" s="80"/>
      <c r="AFT416" s="80"/>
      <c r="AFU416" s="80"/>
      <c r="AFV416" s="80"/>
      <c r="AFW416" s="80"/>
      <c r="AFX416" s="80"/>
      <c r="AFY416" s="80"/>
      <c r="AFZ416" s="80"/>
      <c r="AGA416" s="80"/>
      <c r="AGB416" s="80"/>
      <c r="AGC416" s="80"/>
      <c r="AGD416" s="80"/>
      <c r="AGE416" s="80"/>
      <c r="AGF416" s="80"/>
      <c r="AGG416" s="80"/>
      <c r="AGH416" s="80"/>
      <c r="AGI416" s="80"/>
      <c r="AGJ416" s="80"/>
      <c r="AGK416" s="80"/>
      <c r="AGL416" s="80"/>
      <c r="AGM416" s="80"/>
      <c r="AGN416" s="80"/>
      <c r="AGO416" s="80"/>
      <c r="AGP416" s="80"/>
      <c r="AGQ416" s="80"/>
      <c r="AGR416" s="80"/>
      <c r="AGS416" s="80"/>
      <c r="AGT416" s="80"/>
      <c r="AGU416" s="80"/>
      <c r="AGV416" s="80"/>
      <c r="AGW416" s="80"/>
      <c r="AGX416" s="80"/>
      <c r="AGY416" s="80"/>
      <c r="AGZ416" s="80"/>
      <c r="AHA416" s="80"/>
      <c r="AHB416" s="80"/>
      <c r="AHC416" s="80"/>
      <c r="AHD416" s="80"/>
      <c r="AHE416" s="80"/>
      <c r="AHF416" s="80"/>
      <c r="AHG416" s="80"/>
      <c r="AHH416" s="80"/>
      <c r="AHI416" s="80"/>
      <c r="AHJ416" s="80"/>
      <c r="AHK416" s="80"/>
      <c r="AHL416" s="80"/>
      <c r="AHM416" s="80"/>
      <c r="AHN416" s="80"/>
      <c r="AHO416" s="80"/>
      <c r="AHP416" s="80"/>
      <c r="AHQ416" s="80"/>
      <c r="AHR416" s="80"/>
      <c r="AHS416" s="80"/>
      <c r="AHT416" s="80"/>
      <c r="AHU416" s="80"/>
      <c r="AHV416" s="80"/>
      <c r="AHW416" s="80"/>
      <c r="AHX416" s="80"/>
      <c r="AHY416" s="80"/>
      <c r="AHZ416" s="80"/>
      <c r="AIA416" s="80"/>
      <c r="AIB416" s="80"/>
      <c r="AIC416" s="80"/>
      <c r="AID416" s="80"/>
      <c r="AIE416" s="80"/>
      <c r="AIF416" s="80"/>
      <c r="AIG416" s="80"/>
      <c r="AIH416" s="80"/>
      <c r="AII416" s="80"/>
      <c r="AIJ416" s="80"/>
      <c r="AIK416" s="80"/>
      <c r="AIL416" s="80"/>
      <c r="AIM416" s="80"/>
      <c r="AIN416" s="80"/>
      <c r="AIO416" s="80"/>
      <c r="AIP416" s="80"/>
      <c r="AIQ416" s="80"/>
      <c r="AIR416" s="80"/>
      <c r="AIS416" s="80"/>
      <c r="AIT416" s="80"/>
      <c r="AIU416" s="80"/>
      <c r="AIV416" s="80"/>
      <c r="AIW416" s="80"/>
      <c r="AIX416" s="80"/>
      <c r="AIY416" s="80"/>
      <c r="AIZ416" s="80"/>
      <c r="AJA416" s="80"/>
      <c r="AJB416" s="80"/>
      <c r="AJC416" s="80"/>
      <c r="AJD416" s="80"/>
      <c r="AJE416" s="80"/>
      <c r="AJF416" s="80"/>
      <c r="AJG416" s="80"/>
      <c r="AJH416" s="80"/>
      <c r="AJI416" s="80"/>
      <c r="AJJ416" s="80"/>
      <c r="AJK416" s="80"/>
      <c r="AJL416" s="80"/>
      <c r="AJM416" s="80"/>
      <c r="AJN416" s="80"/>
      <c r="AJO416" s="80"/>
      <c r="AJP416" s="80"/>
      <c r="AJQ416" s="80"/>
      <c r="AJR416" s="80"/>
      <c r="AJS416" s="80"/>
      <c r="AJT416" s="80"/>
      <c r="AJU416" s="80"/>
      <c r="AJV416" s="80"/>
      <c r="AJW416" s="80"/>
      <c r="AJX416" s="80"/>
      <c r="AJY416" s="80"/>
      <c r="AJZ416" s="80"/>
      <c r="AKA416" s="80"/>
      <c r="AKB416" s="80"/>
      <c r="AKC416" s="80"/>
      <c r="AKD416" s="80"/>
      <c r="AKE416" s="80"/>
      <c r="AKF416" s="80"/>
      <c r="AKG416" s="80"/>
      <c r="AKH416" s="80"/>
      <c r="AKI416" s="80"/>
      <c r="AKJ416" s="80"/>
      <c r="AKK416" s="80"/>
      <c r="AKL416" s="80"/>
      <c r="AKM416" s="80"/>
      <c r="AKN416" s="80"/>
      <c r="AKO416" s="80"/>
      <c r="AKP416" s="80"/>
      <c r="AKQ416" s="80"/>
      <c r="AKR416" s="80"/>
      <c r="AKS416" s="80"/>
      <c r="AKT416" s="80"/>
      <c r="AKU416" s="80"/>
      <c r="AKV416" s="80"/>
      <c r="AKW416" s="80"/>
      <c r="AKX416" s="80"/>
      <c r="AKY416" s="80"/>
      <c r="AKZ416" s="80"/>
      <c r="ALA416" s="80"/>
      <c r="ALB416" s="80"/>
      <c r="ALC416" s="80"/>
      <c r="ALD416" s="80"/>
      <c r="ALE416" s="80"/>
      <c r="ALF416" s="80"/>
      <c r="ALG416" s="80"/>
      <c r="ALH416" s="80"/>
      <c r="ALI416" s="80"/>
      <c r="ALJ416" s="80"/>
      <c r="ALK416" s="80"/>
      <c r="ALL416" s="80"/>
      <c r="ALM416" s="80"/>
      <c r="ALN416" s="80"/>
      <c r="ALO416" s="80"/>
      <c r="ALP416" s="80"/>
      <c r="ALQ416" s="80"/>
      <c r="ALR416" s="80"/>
      <c r="ALS416" s="80"/>
      <c r="ALT416" s="80"/>
      <c r="ALU416" s="80"/>
      <c r="ALV416" s="80"/>
      <c r="ALW416" s="80"/>
      <c r="ALX416" s="80"/>
      <c r="ALY416" s="80"/>
      <c r="ALZ416" s="80"/>
      <c r="AMA416" s="80"/>
      <c r="AMB416" s="80"/>
      <c r="AMC416" s="80"/>
      <c r="AMD416" s="80"/>
      <c r="AME416" s="80"/>
      <c r="AMF416" s="80"/>
      <c r="AMG416" s="80"/>
      <c r="AMH416" s="80"/>
      <c r="AMI416" s="80"/>
      <c r="AMJ416" s="80"/>
      <c r="AMK416" s="80"/>
      <c r="AML416" s="80"/>
      <c r="AMM416" s="80"/>
      <c r="AMN416" s="80"/>
      <c r="AMO416" s="80"/>
      <c r="AMP416" s="80"/>
      <c r="AMQ416" s="80"/>
      <c r="AMR416" s="80"/>
      <c r="AMS416" s="80"/>
      <c r="AMT416" s="80"/>
      <c r="AMU416" s="80"/>
      <c r="AMV416" s="80"/>
      <c r="AMW416" s="80"/>
      <c r="AMX416" s="80"/>
      <c r="AMY416" s="80"/>
      <c r="AMZ416" s="80"/>
      <c r="ANA416" s="80"/>
      <c r="ANB416" s="80"/>
      <c r="ANC416" s="80"/>
      <c r="AND416" s="80"/>
      <c r="ANE416" s="80"/>
      <c r="ANF416" s="80"/>
      <c r="ANG416" s="80"/>
      <c r="ANH416" s="80"/>
      <c r="ANI416" s="80"/>
      <c r="ANJ416" s="80"/>
      <c r="ANK416" s="80"/>
      <c r="ANL416" s="80"/>
      <c r="ANM416" s="80"/>
      <c r="ANN416" s="80"/>
      <c r="ANO416" s="80"/>
      <c r="ANP416" s="80"/>
      <c r="ANQ416" s="80"/>
      <c r="ANR416" s="80"/>
      <c r="ANS416" s="80"/>
      <c r="ANT416" s="80"/>
      <c r="ANU416" s="80"/>
      <c r="ANV416" s="80"/>
      <c r="ANW416" s="80"/>
      <c r="ANX416" s="80"/>
      <c r="ANY416" s="80"/>
      <c r="ANZ416" s="80"/>
      <c r="AOA416" s="80"/>
      <c r="AOB416" s="80"/>
      <c r="AOC416" s="80"/>
      <c r="AOD416" s="80"/>
      <c r="AOE416" s="80"/>
      <c r="AOF416" s="80"/>
      <c r="AOG416" s="80"/>
      <c r="AOH416" s="80"/>
      <c r="AOI416" s="80"/>
      <c r="AOJ416" s="80"/>
      <c r="AOK416" s="80"/>
      <c r="AOL416" s="80"/>
      <c r="AOM416" s="80"/>
      <c r="AON416" s="80"/>
      <c r="AOO416" s="80"/>
      <c r="AOP416" s="80"/>
      <c r="AOQ416" s="80"/>
      <c r="AOR416" s="80"/>
      <c r="AOS416" s="80"/>
      <c r="AOT416" s="80"/>
      <c r="AOU416" s="80"/>
      <c r="AOV416" s="80"/>
      <c r="AOW416" s="80"/>
      <c r="AOX416" s="80"/>
      <c r="AOY416" s="80"/>
      <c r="AOZ416" s="80"/>
      <c r="APA416" s="80"/>
      <c r="APB416" s="80"/>
      <c r="APC416" s="80"/>
      <c r="APD416" s="80"/>
      <c r="APE416" s="80"/>
      <c r="APF416" s="80"/>
      <c r="APG416" s="80"/>
      <c r="APH416" s="80"/>
      <c r="API416" s="80"/>
      <c r="APJ416" s="80"/>
      <c r="APK416" s="80"/>
      <c r="APL416" s="80"/>
      <c r="APM416" s="80"/>
      <c r="APN416" s="80"/>
      <c r="APO416" s="80"/>
      <c r="APP416" s="80"/>
      <c r="APQ416" s="80"/>
      <c r="APR416" s="80"/>
      <c r="APS416" s="80"/>
      <c r="APT416" s="80"/>
      <c r="APU416" s="80"/>
      <c r="APV416" s="80"/>
      <c r="APW416" s="80"/>
      <c r="APX416" s="80"/>
      <c r="APY416" s="80"/>
      <c r="APZ416" s="80"/>
      <c r="AQA416" s="80"/>
      <c r="AQB416" s="80"/>
      <c r="AQC416" s="80"/>
      <c r="AQD416" s="80"/>
      <c r="AQE416" s="80"/>
      <c r="AQF416" s="80"/>
      <c r="AQG416" s="80"/>
      <c r="AQH416" s="80"/>
      <c r="AQI416" s="80"/>
      <c r="AQJ416" s="80"/>
      <c r="AQK416" s="80"/>
      <c r="AQL416" s="80"/>
      <c r="AQM416" s="80"/>
      <c r="AQN416" s="80"/>
      <c r="AQO416" s="80"/>
      <c r="AQP416" s="80"/>
      <c r="AQQ416" s="80"/>
      <c r="AQR416" s="80"/>
      <c r="AQS416" s="80"/>
      <c r="AQT416" s="80"/>
      <c r="AQU416" s="80"/>
      <c r="AQV416" s="80"/>
      <c r="AQW416" s="80"/>
      <c r="AQX416" s="80"/>
      <c r="AQY416" s="80"/>
      <c r="AQZ416" s="80"/>
      <c r="ARA416" s="80"/>
      <c r="ARB416" s="80"/>
      <c r="ARC416" s="80"/>
      <c r="ARD416" s="80"/>
      <c r="ARE416" s="80"/>
      <c r="ARF416" s="80"/>
      <c r="ARG416" s="80"/>
      <c r="ARH416" s="80"/>
      <c r="ARI416" s="80"/>
      <c r="ARJ416" s="80"/>
      <c r="ARK416" s="80"/>
      <c r="ARL416" s="80"/>
      <c r="ARM416" s="80"/>
      <c r="ARN416" s="80"/>
      <c r="ARO416" s="80"/>
      <c r="ARP416" s="80"/>
      <c r="ARQ416" s="80"/>
      <c r="ARR416" s="80"/>
      <c r="ARS416" s="80"/>
      <c r="ART416" s="80"/>
      <c r="ARU416" s="80"/>
      <c r="ARV416" s="80"/>
      <c r="ARW416" s="80"/>
      <c r="ARX416" s="80"/>
      <c r="ARY416" s="80"/>
      <c r="ARZ416" s="80"/>
      <c r="ASA416" s="80"/>
      <c r="ASB416" s="80"/>
      <c r="ASC416" s="80"/>
      <c r="ASD416" s="80"/>
      <c r="ASE416" s="80"/>
      <c r="ASF416" s="80"/>
      <c r="ASG416" s="80"/>
      <c r="ASH416" s="80"/>
      <c r="ASI416" s="80"/>
      <c r="ASJ416" s="80"/>
      <c r="ASK416" s="80"/>
      <c r="ASL416" s="80"/>
      <c r="ASM416" s="80"/>
      <c r="ASN416" s="80"/>
      <c r="ASO416" s="80"/>
      <c r="ASP416" s="80"/>
      <c r="ASQ416" s="80"/>
      <c r="ASR416" s="80"/>
      <c r="ASS416" s="80"/>
      <c r="AST416" s="80"/>
      <c r="ASU416" s="80"/>
      <c r="ASV416" s="80"/>
      <c r="ASW416" s="80"/>
      <c r="ASX416" s="80"/>
      <c r="ASY416" s="80"/>
      <c r="ASZ416" s="80"/>
      <c r="ATA416" s="80"/>
      <c r="ATB416" s="80"/>
      <c r="ATC416" s="80"/>
      <c r="ATD416" s="80"/>
      <c r="ATE416" s="80"/>
      <c r="ATF416" s="80"/>
      <c r="ATG416" s="80"/>
      <c r="ATH416" s="80"/>
      <c r="ATI416" s="80"/>
      <c r="ATJ416" s="80"/>
      <c r="ATK416" s="80"/>
      <c r="ATL416" s="80"/>
      <c r="ATM416" s="80"/>
      <c r="ATN416" s="80"/>
      <c r="ATO416" s="80"/>
      <c r="ATP416" s="80"/>
      <c r="ATQ416" s="80"/>
      <c r="ATR416" s="80"/>
      <c r="ATS416" s="80"/>
      <c r="ATT416" s="80"/>
      <c r="ATU416" s="80"/>
      <c r="ATV416" s="80"/>
      <c r="ATW416" s="80"/>
      <c r="ATX416" s="80"/>
      <c r="ATY416" s="80"/>
      <c r="ATZ416" s="80"/>
      <c r="AUA416" s="80"/>
      <c r="AUB416" s="80"/>
      <c r="AUC416" s="80"/>
      <c r="AUD416" s="80"/>
      <c r="AUE416" s="80"/>
      <c r="AUF416" s="80"/>
      <c r="AUG416" s="80"/>
      <c r="AUH416" s="80"/>
      <c r="AUI416" s="80"/>
      <c r="AUJ416" s="80"/>
      <c r="AUK416" s="80"/>
      <c r="AUL416" s="80"/>
      <c r="AUM416" s="80"/>
      <c r="AUN416" s="80"/>
      <c r="AUO416" s="80"/>
      <c r="AUP416" s="80"/>
      <c r="AUQ416" s="80"/>
      <c r="AUR416" s="80"/>
      <c r="AUS416" s="80"/>
      <c r="AUT416" s="80"/>
      <c r="AUU416" s="80"/>
      <c r="AUV416" s="80"/>
      <c r="AUW416" s="80"/>
      <c r="AUX416" s="80"/>
      <c r="AUY416" s="80"/>
      <c r="AUZ416" s="80"/>
      <c r="AVA416" s="80"/>
      <c r="AVB416" s="80"/>
      <c r="AVC416" s="80"/>
      <c r="AVD416" s="80"/>
      <c r="AVE416" s="80"/>
      <c r="AVF416" s="80"/>
      <c r="AVG416" s="80"/>
      <c r="AVH416" s="80"/>
      <c r="AVI416" s="80"/>
      <c r="AVJ416" s="80"/>
      <c r="AVK416" s="80"/>
      <c r="AVL416" s="80"/>
      <c r="AVM416" s="80"/>
      <c r="AVN416" s="80"/>
      <c r="AVO416" s="80"/>
      <c r="AVP416" s="80"/>
      <c r="AVQ416" s="80"/>
      <c r="AVR416" s="80"/>
      <c r="AVS416" s="80"/>
      <c r="AVT416" s="80"/>
      <c r="AVU416" s="80"/>
      <c r="AVV416" s="80"/>
      <c r="AVW416" s="80"/>
      <c r="AVX416" s="80"/>
      <c r="AVY416" s="80"/>
      <c r="AVZ416" s="80"/>
      <c r="AWA416" s="80"/>
      <c r="AWB416" s="80"/>
      <c r="AWC416" s="80"/>
      <c r="AWD416" s="80"/>
      <c r="AWE416" s="80"/>
      <c r="AWF416" s="80"/>
      <c r="AWG416" s="80"/>
      <c r="AWH416" s="80"/>
      <c r="AWI416" s="80"/>
      <c r="AWJ416" s="80"/>
      <c r="AWK416" s="80"/>
      <c r="AWL416" s="80"/>
      <c r="AWM416" s="80"/>
      <c r="AWN416" s="80"/>
      <c r="AWO416" s="80"/>
      <c r="AWP416" s="80"/>
      <c r="AWQ416" s="80"/>
      <c r="AWR416" s="80"/>
      <c r="AWS416" s="80"/>
      <c r="AWT416" s="80"/>
      <c r="AWU416" s="80"/>
      <c r="AWV416" s="80"/>
      <c r="AWW416" s="80"/>
      <c r="AWX416" s="80"/>
      <c r="AWY416" s="80"/>
      <c r="AWZ416" s="80"/>
      <c r="AXA416" s="80"/>
      <c r="AXB416" s="80"/>
      <c r="AXC416" s="80"/>
      <c r="AXD416" s="80"/>
      <c r="AXE416" s="80"/>
      <c r="AXF416" s="80"/>
      <c r="AXG416" s="80"/>
      <c r="AXH416" s="80"/>
      <c r="AXI416" s="80"/>
      <c r="AXJ416" s="80"/>
      <c r="AXK416" s="80"/>
      <c r="AXL416" s="80"/>
      <c r="AXM416" s="80"/>
      <c r="AXN416" s="80"/>
      <c r="AXO416" s="80"/>
      <c r="AXP416" s="80"/>
      <c r="AXQ416" s="80"/>
      <c r="AXR416" s="80"/>
      <c r="AXS416" s="80"/>
      <c r="AXT416" s="80"/>
      <c r="AXU416" s="80"/>
      <c r="AXV416" s="80"/>
      <c r="AXW416" s="80"/>
      <c r="AXX416" s="80"/>
      <c r="AXY416" s="80"/>
      <c r="AXZ416" s="80"/>
      <c r="AYA416" s="80"/>
      <c r="AYB416" s="80"/>
      <c r="AYC416" s="80"/>
      <c r="AYD416" s="80"/>
      <c r="AYE416" s="80"/>
      <c r="AYF416" s="80"/>
      <c r="AYG416" s="80"/>
      <c r="AYH416" s="80"/>
      <c r="AYI416" s="80"/>
      <c r="AYJ416" s="80"/>
      <c r="AYK416" s="80"/>
      <c r="AYL416" s="80"/>
      <c r="AYM416" s="80"/>
      <c r="AYN416" s="80"/>
      <c r="AYO416" s="80"/>
      <c r="AYP416" s="80"/>
      <c r="AYQ416" s="80"/>
      <c r="AYR416" s="80"/>
      <c r="AYS416" s="80"/>
      <c r="AYT416" s="80"/>
      <c r="AYU416" s="80"/>
      <c r="AYV416" s="80"/>
      <c r="AYW416" s="80"/>
      <c r="AYX416" s="80"/>
      <c r="AYY416" s="80"/>
      <c r="AYZ416" s="80"/>
      <c r="AZA416" s="80"/>
      <c r="AZB416" s="80"/>
      <c r="AZC416" s="80"/>
      <c r="AZD416" s="80"/>
      <c r="AZE416" s="80"/>
      <c r="AZF416" s="80"/>
      <c r="AZG416" s="80"/>
      <c r="AZH416" s="80"/>
      <c r="AZI416" s="80"/>
      <c r="AZJ416" s="80"/>
      <c r="AZK416" s="80"/>
      <c r="AZL416" s="80"/>
      <c r="AZM416" s="80"/>
      <c r="AZN416" s="80"/>
      <c r="AZO416" s="80"/>
      <c r="AZP416" s="80"/>
      <c r="AZQ416" s="80"/>
      <c r="AZR416" s="80"/>
      <c r="AZS416" s="80"/>
      <c r="AZT416" s="80"/>
      <c r="AZU416" s="80"/>
      <c r="AZV416" s="80"/>
      <c r="AZW416" s="80"/>
      <c r="AZX416" s="80"/>
      <c r="AZY416" s="80"/>
      <c r="AZZ416" s="80"/>
      <c r="BAA416" s="80"/>
      <c r="BAB416" s="80"/>
      <c r="BAC416" s="80"/>
      <c r="BAD416" s="80"/>
      <c r="BAE416" s="80"/>
      <c r="BAF416" s="80"/>
      <c r="BAG416" s="80"/>
      <c r="BAH416" s="80"/>
      <c r="BAI416" s="80"/>
      <c r="BAJ416" s="80"/>
      <c r="BAK416" s="80"/>
      <c r="BAL416" s="80"/>
      <c r="BAM416" s="80"/>
      <c r="BAN416" s="80"/>
      <c r="BAO416" s="80"/>
      <c r="BAP416" s="80"/>
      <c r="BAQ416" s="80"/>
      <c r="BAR416" s="80"/>
      <c r="BAS416" s="80"/>
      <c r="BAT416" s="80"/>
      <c r="BAU416" s="80"/>
      <c r="BAV416" s="80"/>
      <c r="BAW416" s="80"/>
      <c r="BAX416" s="80"/>
      <c r="BAY416" s="80"/>
      <c r="BAZ416" s="80"/>
      <c r="BBA416" s="80"/>
      <c r="BBB416" s="80"/>
      <c r="BBC416" s="80"/>
      <c r="BBD416" s="80"/>
      <c r="BBE416" s="80"/>
      <c r="BBF416" s="80"/>
      <c r="BBG416" s="80"/>
      <c r="BBH416" s="80"/>
      <c r="BBI416" s="80"/>
      <c r="BBJ416" s="80"/>
      <c r="BBK416" s="80"/>
      <c r="BBL416" s="80"/>
      <c r="BBM416" s="80"/>
      <c r="BBN416" s="80"/>
      <c r="BBO416" s="80"/>
      <c r="BBP416" s="80"/>
      <c r="BBQ416" s="80"/>
      <c r="BBR416" s="80"/>
      <c r="BBS416" s="80"/>
      <c r="BBT416" s="80"/>
      <c r="BBU416" s="80"/>
      <c r="BBV416" s="80"/>
      <c r="BBW416" s="80"/>
      <c r="BBX416" s="80"/>
      <c r="BBY416" s="80"/>
      <c r="BBZ416" s="80"/>
      <c r="BCA416" s="80"/>
      <c r="BCB416" s="80"/>
      <c r="BCC416" s="80"/>
      <c r="BCD416" s="80"/>
      <c r="BCE416" s="80"/>
      <c r="BCF416" s="80"/>
      <c r="BCG416" s="80"/>
      <c r="BCH416" s="80"/>
      <c r="BCI416" s="80"/>
      <c r="BCJ416" s="80"/>
      <c r="BCK416" s="80"/>
      <c r="BCL416" s="80"/>
      <c r="BCM416" s="80"/>
      <c r="BCN416" s="80"/>
      <c r="BCO416" s="80"/>
      <c r="BCP416" s="80"/>
      <c r="BCQ416" s="80"/>
      <c r="BCR416" s="80"/>
      <c r="BCS416" s="80"/>
      <c r="BCT416" s="80"/>
      <c r="BCU416" s="80"/>
      <c r="BCV416" s="80"/>
      <c r="BCW416" s="80"/>
      <c r="BCX416" s="80"/>
      <c r="BCY416" s="80"/>
      <c r="BCZ416" s="80"/>
      <c r="BDA416" s="80"/>
      <c r="BDB416" s="80"/>
      <c r="BDC416" s="80"/>
      <c r="BDD416" s="80"/>
      <c r="BDE416" s="80"/>
      <c r="BDF416" s="80"/>
      <c r="BDG416" s="80"/>
      <c r="BDH416" s="80"/>
      <c r="BDI416" s="80"/>
      <c r="BDJ416" s="80"/>
      <c r="BDK416" s="80"/>
      <c r="BDL416" s="80"/>
      <c r="BDM416" s="80"/>
      <c r="BDN416" s="80"/>
      <c r="BDO416" s="80"/>
      <c r="BDP416" s="80"/>
      <c r="BDQ416" s="80"/>
      <c r="BDR416" s="80"/>
      <c r="BDS416" s="80"/>
      <c r="BDT416" s="80"/>
      <c r="BDU416" s="80"/>
      <c r="BDV416" s="80"/>
      <c r="BDW416" s="80"/>
      <c r="BDX416" s="80"/>
      <c r="BDY416" s="80"/>
      <c r="BDZ416" s="80"/>
      <c r="BEA416" s="80"/>
      <c r="BEB416" s="80"/>
      <c r="BEC416" s="80"/>
      <c r="BED416" s="80"/>
      <c r="BEE416" s="80"/>
      <c r="BEF416" s="80"/>
      <c r="BEG416" s="80"/>
      <c r="BEH416" s="80"/>
      <c r="BEI416" s="80"/>
      <c r="BEJ416" s="80"/>
      <c r="BEK416" s="80"/>
      <c r="BEL416" s="80"/>
      <c r="BEM416" s="80"/>
      <c r="BEN416" s="80"/>
      <c r="BEO416" s="80"/>
      <c r="BEP416" s="80"/>
      <c r="BEQ416" s="80"/>
      <c r="BER416" s="80"/>
      <c r="BES416" s="80"/>
      <c r="BET416" s="80"/>
      <c r="BEU416" s="80"/>
      <c r="BEV416" s="80"/>
      <c r="BEW416" s="80"/>
      <c r="BEX416" s="80"/>
      <c r="BEY416" s="80"/>
      <c r="BEZ416" s="80"/>
      <c r="BFA416" s="80"/>
      <c r="BFB416" s="80"/>
      <c r="BFC416" s="80"/>
      <c r="BFD416" s="80"/>
      <c r="BFE416" s="80"/>
      <c r="BFF416" s="80"/>
      <c r="BFG416" s="80"/>
      <c r="BFH416" s="80"/>
      <c r="BFI416" s="80"/>
      <c r="BFJ416" s="80"/>
      <c r="BFK416" s="80"/>
      <c r="BFL416" s="80"/>
      <c r="BFM416" s="80"/>
      <c r="BFN416" s="80"/>
      <c r="BFO416" s="80"/>
      <c r="BFP416" s="80"/>
      <c r="BFQ416" s="80"/>
      <c r="BFR416" s="80"/>
      <c r="BFS416" s="80"/>
      <c r="BFT416" s="80"/>
      <c r="BFU416" s="80"/>
      <c r="BFV416" s="80"/>
      <c r="BFW416" s="80"/>
      <c r="BFX416" s="80"/>
      <c r="BFY416" s="80"/>
      <c r="BFZ416" s="80"/>
      <c r="BGA416" s="80"/>
      <c r="BGB416" s="80"/>
      <c r="BGC416" s="80"/>
      <c r="BGD416" s="80"/>
      <c r="BGE416" s="80"/>
      <c r="BGF416" s="80"/>
      <c r="BGG416" s="80"/>
      <c r="BGH416" s="80"/>
      <c r="BGI416" s="80"/>
      <c r="BGJ416" s="80"/>
      <c r="BGK416" s="80"/>
      <c r="BGL416" s="80"/>
      <c r="BGM416" s="80"/>
      <c r="BGN416" s="80"/>
      <c r="BGO416" s="80"/>
      <c r="BGP416" s="80"/>
      <c r="BGQ416" s="80"/>
      <c r="BGR416" s="80"/>
      <c r="BGS416" s="80"/>
      <c r="BGT416" s="80"/>
      <c r="BGU416" s="80"/>
      <c r="BGV416" s="80"/>
      <c r="BGW416" s="80"/>
      <c r="BGX416" s="80"/>
      <c r="BGY416" s="80"/>
      <c r="BGZ416" s="80"/>
      <c r="BHA416" s="80"/>
      <c r="BHB416" s="80"/>
      <c r="BHC416" s="80"/>
      <c r="BHD416" s="80"/>
      <c r="BHE416" s="80"/>
      <c r="BHF416" s="80"/>
      <c r="BHG416" s="80"/>
      <c r="BHH416" s="80"/>
      <c r="BHI416" s="80"/>
      <c r="BHJ416" s="80"/>
      <c r="BHK416" s="80"/>
      <c r="BHL416" s="80"/>
      <c r="BHM416" s="80"/>
      <c r="BHN416" s="80"/>
      <c r="BHO416" s="80"/>
      <c r="BHP416" s="80"/>
      <c r="BHQ416" s="80"/>
      <c r="BHR416" s="80"/>
      <c r="BHS416" s="80"/>
      <c r="BHT416" s="80"/>
      <c r="BHU416" s="80"/>
      <c r="BHV416" s="80"/>
      <c r="BHW416" s="80"/>
      <c r="BHX416" s="80"/>
      <c r="BHY416" s="80"/>
      <c r="BHZ416" s="80"/>
      <c r="BIA416" s="80"/>
      <c r="BIB416" s="80"/>
      <c r="BIC416" s="80"/>
      <c r="BID416" s="80"/>
      <c r="BIE416" s="80"/>
      <c r="BIF416" s="80"/>
      <c r="BIG416" s="80"/>
      <c r="BIH416" s="80"/>
      <c r="BII416" s="80"/>
      <c r="BIJ416" s="80"/>
      <c r="BIK416" s="80"/>
      <c r="BIL416" s="80"/>
      <c r="BIM416" s="80"/>
      <c r="BIN416" s="80"/>
      <c r="BIO416" s="80"/>
      <c r="BIP416" s="80"/>
      <c r="BIQ416" s="80"/>
      <c r="BIR416" s="80"/>
      <c r="BIS416" s="80"/>
      <c r="BIT416" s="80"/>
      <c r="BIU416" s="80"/>
      <c r="BIV416" s="80"/>
      <c r="BIW416" s="80"/>
      <c r="BIX416" s="80"/>
      <c r="BIY416" s="80"/>
      <c r="BIZ416" s="80"/>
      <c r="BJA416" s="80"/>
      <c r="BJB416" s="80"/>
      <c r="BJC416" s="80"/>
      <c r="BJD416" s="80"/>
      <c r="BJE416" s="80"/>
      <c r="BJF416" s="80"/>
      <c r="BJG416" s="80"/>
      <c r="BJH416" s="80"/>
      <c r="BJI416" s="80"/>
      <c r="BJJ416" s="80"/>
      <c r="BJK416" s="80"/>
      <c r="BJL416" s="80"/>
      <c r="BJM416" s="80"/>
      <c r="BJN416" s="80"/>
      <c r="BJO416" s="80"/>
      <c r="BJP416" s="80"/>
      <c r="BJQ416" s="80"/>
      <c r="BJR416" s="80"/>
      <c r="BJS416" s="80"/>
      <c r="BJT416" s="80"/>
      <c r="BJU416" s="80"/>
      <c r="BJV416" s="80"/>
      <c r="BJW416" s="80"/>
      <c r="BJX416" s="80"/>
      <c r="BJY416" s="80"/>
      <c r="BJZ416" s="80"/>
      <c r="BKA416" s="80"/>
      <c r="BKB416" s="80"/>
      <c r="BKC416" s="80"/>
      <c r="BKD416" s="80"/>
      <c r="BKE416" s="80"/>
      <c r="BKF416" s="80"/>
      <c r="BKG416" s="80"/>
      <c r="BKH416" s="80"/>
      <c r="BKI416" s="80"/>
      <c r="BKJ416" s="80"/>
      <c r="BKK416" s="80"/>
      <c r="BKL416" s="80"/>
      <c r="BKM416" s="80"/>
      <c r="BKN416" s="80"/>
      <c r="BKO416" s="80"/>
      <c r="BKP416" s="80"/>
      <c r="BKQ416" s="80"/>
      <c r="BKR416" s="80"/>
      <c r="BKS416" s="80"/>
      <c r="BKT416" s="80"/>
      <c r="BKU416" s="80"/>
      <c r="BKV416" s="80"/>
      <c r="BKW416" s="80"/>
      <c r="BKX416" s="80"/>
      <c r="BKY416" s="80"/>
      <c r="BKZ416" s="80"/>
      <c r="BLA416" s="80"/>
      <c r="BLB416" s="80"/>
      <c r="BLC416" s="80"/>
      <c r="BLD416" s="80"/>
      <c r="BLE416" s="80"/>
      <c r="BLF416" s="80"/>
      <c r="BLG416" s="80"/>
      <c r="BLH416" s="80"/>
      <c r="BLI416" s="80"/>
      <c r="BLJ416" s="80"/>
      <c r="BLK416" s="80"/>
      <c r="BLL416" s="80"/>
      <c r="BLM416" s="80"/>
      <c r="BLN416" s="80"/>
      <c r="BLO416" s="80"/>
      <c r="BLP416" s="80"/>
      <c r="BLQ416" s="80"/>
      <c r="BLR416" s="80"/>
      <c r="BLS416" s="80"/>
      <c r="BLT416" s="80"/>
      <c r="BLU416" s="80"/>
      <c r="BLV416" s="80"/>
      <c r="BLW416" s="80"/>
      <c r="BLX416" s="80"/>
      <c r="BLY416" s="80"/>
      <c r="BLZ416" s="80"/>
      <c r="BMA416" s="80"/>
      <c r="BMB416" s="80"/>
      <c r="BMC416" s="80"/>
      <c r="BMD416" s="80"/>
      <c r="BME416" s="80"/>
      <c r="BMF416" s="80"/>
      <c r="BMG416" s="80"/>
      <c r="BMH416" s="80"/>
      <c r="BMI416" s="80"/>
      <c r="BMJ416" s="80"/>
      <c r="BMK416" s="80"/>
      <c r="BML416" s="80"/>
      <c r="BMM416" s="80"/>
      <c r="BMN416" s="80"/>
      <c r="BMO416" s="80"/>
      <c r="BMP416" s="80"/>
      <c r="BMQ416" s="80"/>
      <c r="BMR416" s="80"/>
      <c r="BMS416" s="80"/>
      <c r="BMT416" s="80"/>
      <c r="BMU416" s="80"/>
      <c r="BMV416" s="80"/>
      <c r="BMW416" s="80"/>
      <c r="BMX416" s="80"/>
      <c r="BMY416" s="80"/>
      <c r="BMZ416" s="80"/>
      <c r="BNA416" s="80"/>
      <c r="BNB416" s="80"/>
      <c r="BNC416" s="80"/>
      <c r="BND416" s="80"/>
      <c r="BNE416" s="80"/>
      <c r="BNF416" s="80"/>
      <c r="BNG416" s="80"/>
      <c r="BNH416" s="80"/>
      <c r="BNI416" s="80"/>
      <c r="BNJ416" s="80"/>
      <c r="BNK416" s="80"/>
      <c r="BNL416" s="80"/>
      <c r="BNM416" s="80"/>
      <c r="BNN416" s="80"/>
      <c r="BNO416" s="80"/>
      <c r="BNP416" s="80"/>
      <c r="BNQ416" s="80"/>
      <c r="BNR416" s="80"/>
      <c r="BNS416" s="80"/>
      <c r="BNT416" s="80"/>
      <c r="BNU416" s="80"/>
      <c r="BNV416" s="80"/>
      <c r="BNW416" s="80"/>
      <c r="BNX416" s="80"/>
      <c r="BNY416" s="80"/>
      <c r="BNZ416" s="80"/>
      <c r="BOA416" s="80"/>
      <c r="BOB416" s="80"/>
      <c r="BOC416" s="80"/>
      <c r="BOD416" s="80"/>
      <c r="BOE416" s="80"/>
      <c r="BOF416" s="80"/>
      <c r="BOG416" s="80"/>
      <c r="BOH416" s="80"/>
      <c r="BOI416" s="80"/>
      <c r="BOJ416" s="80"/>
      <c r="BOK416" s="80"/>
      <c r="BOL416" s="80"/>
      <c r="BOM416" s="80"/>
      <c r="BON416" s="80"/>
      <c r="BOO416" s="80"/>
      <c r="BOP416" s="80"/>
      <c r="BOQ416" s="80"/>
      <c r="BOR416" s="80"/>
      <c r="BOS416" s="80"/>
      <c r="BOT416" s="80"/>
      <c r="BOU416" s="80"/>
      <c r="BOV416" s="80"/>
      <c r="BOW416" s="80"/>
      <c r="BOX416" s="80"/>
      <c r="BOY416" s="80"/>
      <c r="BOZ416" s="80"/>
      <c r="BPA416" s="80"/>
      <c r="BPB416" s="80"/>
      <c r="BPC416" s="80"/>
      <c r="BPD416" s="80"/>
      <c r="BPE416" s="80"/>
      <c r="BPF416" s="80"/>
      <c r="BPG416" s="80"/>
      <c r="BPH416" s="80"/>
      <c r="BPI416" s="80"/>
      <c r="BPJ416" s="80"/>
      <c r="BPK416" s="80"/>
      <c r="BPL416" s="80"/>
      <c r="BPM416" s="80"/>
      <c r="BPN416" s="80"/>
      <c r="BPO416" s="80"/>
      <c r="BPP416" s="80"/>
      <c r="BPQ416" s="80"/>
      <c r="BPR416" s="80"/>
      <c r="BPS416" s="80"/>
      <c r="BPT416" s="80"/>
      <c r="BPU416" s="80"/>
      <c r="BPV416" s="80"/>
      <c r="BPW416" s="80"/>
      <c r="BPX416" s="80"/>
      <c r="BPY416" s="80"/>
      <c r="BPZ416" s="80"/>
      <c r="BQA416" s="80"/>
      <c r="BQB416" s="80"/>
      <c r="BQC416" s="80"/>
      <c r="BQD416" s="80"/>
      <c r="BQE416" s="80"/>
      <c r="BQF416" s="80"/>
      <c r="BQG416" s="80"/>
      <c r="BQH416" s="80"/>
      <c r="BQI416" s="80"/>
      <c r="BQJ416" s="80"/>
      <c r="BQK416" s="80"/>
      <c r="BQL416" s="80"/>
      <c r="BQM416" s="80"/>
      <c r="BQN416" s="80"/>
      <c r="BQO416" s="80"/>
      <c r="BQP416" s="80"/>
      <c r="BQQ416" s="80"/>
      <c r="BQR416" s="80"/>
      <c r="BQS416" s="80"/>
      <c r="BQT416" s="80"/>
      <c r="BQU416" s="80"/>
      <c r="BQV416" s="80"/>
      <c r="BQW416" s="80"/>
      <c r="BQX416" s="80"/>
      <c r="BQY416" s="80"/>
      <c r="BQZ416" s="80"/>
      <c r="BRA416" s="80"/>
      <c r="BRB416" s="80"/>
      <c r="BRC416" s="80"/>
      <c r="BRD416" s="80"/>
      <c r="BRE416" s="80"/>
      <c r="BRF416" s="80"/>
      <c r="BRG416" s="80"/>
      <c r="BRH416" s="80"/>
      <c r="BRI416" s="80"/>
      <c r="BRJ416" s="80"/>
      <c r="BRK416" s="80"/>
      <c r="BRL416" s="80"/>
      <c r="BRM416" s="80"/>
      <c r="BRN416" s="80"/>
      <c r="BRO416" s="80"/>
      <c r="BRP416" s="80"/>
      <c r="BRQ416" s="80"/>
      <c r="BRR416" s="80"/>
      <c r="BRS416" s="80"/>
      <c r="BRT416" s="80"/>
      <c r="BRU416" s="80"/>
      <c r="BRV416" s="80"/>
      <c r="BRW416" s="80"/>
      <c r="BRX416" s="80"/>
      <c r="BRY416" s="80"/>
      <c r="BRZ416" s="80"/>
      <c r="BSA416" s="80"/>
      <c r="BSB416" s="80"/>
      <c r="BSC416" s="80"/>
      <c r="BSD416" s="80"/>
      <c r="BSE416" s="80"/>
      <c r="BSF416" s="80"/>
      <c r="BSG416" s="80"/>
      <c r="BSH416" s="80"/>
      <c r="BSI416" s="80"/>
      <c r="BSJ416" s="80"/>
      <c r="BSK416" s="80"/>
      <c r="BSL416" s="80"/>
      <c r="BSM416" s="80"/>
      <c r="BSN416" s="80"/>
      <c r="BSO416" s="80"/>
      <c r="BSP416" s="80"/>
      <c r="BSQ416" s="80"/>
      <c r="BSR416" s="80"/>
      <c r="BSS416" s="80"/>
      <c r="BST416" s="80"/>
      <c r="BSU416" s="80"/>
      <c r="BSV416" s="80"/>
      <c r="BSW416" s="80"/>
      <c r="BSX416" s="80"/>
      <c r="BSY416" s="80"/>
      <c r="BSZ416" s="80"/>
      <c r="BTA416" s="80"/>
      <c r="BTB416" s="80"/>
      <c r="BTC416" s="80"/>
      <c r="BTD416" s="80"/>
      <c r="BTE416" s="80"/>
      <c r="BTF416" s="80"/>
      <c r="BTG416" s="80"/>
      <c r="BTH416" s="80"/>
      <c r="BTI416" s="80"/>
      <c r="BTJ416" s="80"/>
      <c r="BTK416" s="80"/>
      <c r="BTL416" s="80"/>
      <c r="BTM416" s="80"/>
      <c r="BTN416" s="80"/>
      <c r="BTO416" s="80"/>
      <c r="BTP416" s="80"/>
      <c r="BTQ416" s="80"/>
      <c r="BTR416" s="80"/>
      <c r="BTS416" s="80"/>
      <c r="BTT416" s="80"/>
      <c r="BTU416" s="80"/>
      <c r="BTV416" s="80"/>
      <c r="BTW416" s="80"/>
      <c r="BTX416" s="80"/>
      <c r="BTY416" s="80"/>
      <c r="BTZ416" s="80"/>
      <c r="BUA416" s="80"/>
      <c r="BUB416" s="80"/>
      <c r="BUC416" s="80"/>
      <c r="BUD416" s="80"/>
      <c r="BUE416" s="80"/>
      <c r="BUF416" s="80"/>
      <c r="BUG416" s="80"/>
      <c r="BUH416" s="80"/>
      <c r="BUI416" s="80"/>
      <c r="BUJ416" s="80"/>
      <c r="BUK416" s="80"/>
      <c r="BUL416" s="80"/>
      <c r="BUM416" s="80"/>
      <c r="BUN416" s="80"/>
      <c r="BUO416" s="80"/>
      <c r="BUP416" s="80"/>
      <c r="BUQ416" s="80"/>
      <c r="BUR416" s="80"/>
      <c r="BUS416" s="80"/>
      <c r="BUT416" s="80"/>
      <c r="BUU416" s="80"/>
      <c r="BUV416" s="80"/>
      <c r="BUW416" s="80"/>
      <c r="BUX416" s="80"/>
      <c r="BUY416" s="80"/>
      <c r="BUZ416" s="80"/>
      <c r="BVA416" s="80"/>
      <c r="BVB416" s="80"/>
      <c r="BVC416" s="80"/>
      <c r="BVD416" s="80"/>
      <c r="BVE416" s="80"/>
      <c r="BVF416" s="80"/>
      <c r="BVG416" s="80"/>
      <c r="BVH416" s="80"/>
      <c r="BVI416" s="80"/>
      <c r="BVJ416" s="80"/>
      <c r="BVK416" s="80"/>
      <c r="BVL416" s="80"/>
      <c r="BVM416" s="80"/>
      <c r="BVN416" s="80"/>
      <c r="BVO416" s="80"/>
      <c r="BVP416" s="80"/>
      <c r="BVQ416" s="80"/>
      <c r="BVR416" s="80"/>
      <c r="BVS416" s="80"/>
      <c r="BVT416" s="80"/>
      <c r="BVU416" s="80"/>
      <c r="BVV416" s="80"/>
      <c r="BVW416" s="80"/>
      <c r="BVX416" s="80"/>
      <c r="BVY416" s="80"/>
      <c r="BVZ416" s="80"/>
      <c r="BWA416" s="80"/>
      <c r="BWB416" s="80"/>
      <c r="BWC416" s="80"/>
      <c r="BWD416" s="80"/>
      <c r="BWE416" s="80"/>
      <c r="BWF416" s="80"/>
      <c r="BWG416" s="80"/>
      <c r="BWH416" s="80"/>
      <c r="BWI416" s="80"/>
      <c r="BWJ416" s="80"/>
      <c r="BWK416" s="80"/>
      <c r="BWL416" s="80"/>
      <c r="BWM416" s="80"/>
      <c r="BWN416" s="80"/>
      <c r="BWO416" s="80"/>
      <c r="BWP416" s="80"/>
      <c r="BWQ416" s="80"/>
      <c r="BWR416" s="80"/>
      <c r="BWS416" s="80"/>
      <c r="BWT416" s="80"/>
      <c r="BWU416" s="80"/>
      <c r="BWV416" s="80"/>
      <c r="BWW416" s="80"/>
      <c r="BWX416" s="80"/>
      <c r="BWY416" s="80"/>
      <c r="BWZ416" s="80"/>
      <c r="BXA416" s="80"/>
      <c r="BXB416" s="80"/>
      <c r="BXC416" s="80"/>
      <c r="BXD416" s="80"/>
      <c r="BXE416" s="80"/>
      <c r="BXF416" s="80"/>
      <c r="BXG416" s="80"/>
      <c r="BXH416" s="80"/>
      <c r="BXI416" s="80"/>
      <c r="BXJ416" s="80"/>
      <c r="BXK416" s="80"/>
      <c r="BXL416" s="80"/>
      <c r="BXM416" s="80"/>
      <c r="BXN416" s="80"/>
      <c r="BXO416" s="80"/>
      <c r="BXP416" s="80"/>
      <c r="BXQ416" s="80"/>
      <c r="BXR416" s="80"/>
      <c r="BXS416" s="80"/>
      <c r="BXT416" s="80"/>
      <c r="BXU416" s="80"/>
      <c r="BXV416" s="80"/>
      <c r="BXW416" s="80"/>
      <c r="BXX416" s="80"/>
      <c r="BXY416" s="80"/>
      <c r="BXZ416" s="80"/>
      <c r="BYA416" s="80"/>
      <c r="BYB416" s="80"/>
      <c r="BYC416" s="80"/>
      <c r="BYD416" s="80"/>
      <c r="BYE416" s="80"/>
      <c r="BYF416" s="80"/>
      <c r="BYG416" s="80"/>
      <c r="BYH416" s="80"/>
      <c r="BYI416" s="80"/>
      <c r="BYJ416" s="80"/>
      <c r="BYK416" s="80"/>
      <c r="BYL416" s="80"/>
      <c r="BYM416" s="80"/>
      <c r="BYN416" s="80"/>
      <c r="BYO416" s="80"/>
      <c r="BYP416" s="80"/>
      <c r="BYQ416" s="80"/>
      <c r="BYR416" s="80"/>
      <c r="BYS416" s="80"/>
      <c r="BYT416" s="80"/>
      <c r="BYU416" s="80"/>
      <c r="BYV416" s="80"/>
      <c r="BYW416" s="80"/>
      <c r="BYX416" s="80"/>
      <c r="BYY416" s="80"/>
      <c r="BYZ416" s="80"/>
      <c r="BZA416" s="80"/>
      <c r="BZB416" s="80"/>
      <c r="BZC416" s="80"/>
      <c r="BZD416" s="80"/>
      <c r="BZE416" s="80"/>
      <c r="BZF416" s="80"/>
      <c r="BZG416" s="80"/>
      <c r="BZH416" s="80"/>
      <c r="BZI416" s="80"/>
      <c r="BZJ416" s="80"/>
      <c r="BZK416" s="80"/>
      <c r="BZL416" s="80"/>
      <c r="BZM416" s="80"/>
      <c r="BZN416" s="80"/>
      <c r="BZO416" s="80"/>
      <c r="BZP416" s="80"/>
      <c r="BZQ416" s="80"/>
      <c r="BZR416" s="80"/>
      <c r="BZS416" s="80"/>
      <c r="BZT416" s="80"/>
      <c r="BZU416" s="80"/>
      <c r="BZV416" s="80"/>
      <c r="BZW416" s="80"/>
      <c r="BZX416" s="80"/>
      <c r="BZY416" s="80"/>
      <c r="BZZ416" s="80"/>
      <c r="CAA416" s="80"/>
      <c r="CAB416" s="80"/>
      <c r="CAC416" s="80"/>
      <c r="CAD416" s="80"/>
      <c r="CAE416" s="80"/>
      <c r="CAF416" s="80"/>
      <c r="CAG416" s="80"/>
      <c r="CAH416" s="80"/>
      <c r="CAI416" s="80"/>
      <c r="CAJ416" s="80"/>
      <c r="CAK416" s="80"/>
      <c r="CAL416" s="80"/>
      <c r="CAM416" s="80"/>
      <c r="CAN416" s="80"/>
      <c r="CAO416" s="80"/>
      <c r="CAP416" s="80"/>
      <c r="CAQ416" s="80"/>
      <c r="CAR416" s="80"/>
      <c r="CAS416" s="80"/>
      <c r="CAT416" s="80"/>
      <c r="CAU416" s="80"/>
      <c r="CAV416" s="80"/>
      <c r="CAW416" s="80"/>
      <c r="CAX416" s="80"/>
      <c r="CAY416" s="80"/>
      <c r="CAZ416" s="80"/>
      <c r="CBA416" s="80"/>
      <c r="CBB416" s="80"/>
      <c r="CBC416" s="80"/>
      <c r="CBD416" s="80"/>
      <c r="CBE416" s="80"/>
      <c r="CBF416" s="80"/>
      <c r="CBG416" s="80"/>
      <c r="CBH416" s="80"/>
      <c r="CBI416" s="80"/>
      <c r="CBJ416" s="80"/>
      <c r="CBK416" s="80"/>
      <c r="CBL416" s="80"/>
      <c r="CBM416" s="80"/>
      <c r="CBN416" s="80"/>
      <c r="CBO416" s="80"/>
      <c r="CBP416" s="80"/>
      <c r="CBQ416" s="80"/>
      <c r="CBR416" s="80"/>
      <c r="CBS416" s="80"/>
      <c r="CBT416" s="80"/>
      <c r="CBU416" s="80"/>
      <c r="CBV416" s="80"/>
      <c r="CBW416" s="80"/>
      <c r="CBX416" s="80"/>
      <c r="CBY416" s="80"/>
      <c r="CBZ416" s="80"/>
      <c r="CCA416" s="80"/>
      <c r="CCB416" s="80"/>
      <c r="CCC416" s="80"/>
      <c r="CCD416" s="80"/>
      <c r="CCE416" s="80"/>
      <c r="CCF416" s="80"/>
      <c r="CCG416" s="80"/>
      <c r="CCH416" s="80"/>
      <c r="CCI416" s="80"/>
      <c r="CCJ416" s="80"/>
      <c r="CCK416" s="80"/>
      <c r="CCL416" s="80"/>
      <c r="CCM416" s="80"/>
      <c r="CCN416" s="80"/>
      <c r="CCO416" s="80"/>
      <c r="CCP416" s="80"/>
      <c r="CCQ416" s="80"/>
      <c r="CCR416" s="80"/>
      <c r="CCS416" s="80"/>
      <c r="CCT416" s="80"/>
      <c r="CCU416" s="80"/>
      <c r="CCV416" s="80"/>
      <c r="CCW416" s="80"/>
      <c r="CCX416" s="80"/>
      <c r="CCY416" s="80"/>
      <c r="CCZ416" s="80"/>
      <c r="CDA416" s="80"/>
      <c r="CDB416" s="80"/>
      <c r="CDC416" s="80"/>
      <c r="CDD416" s="80"/>
      <c r="CDE416" s="80"/>
      <c r="CDF416" s="80"/>
      <c r="CDG416" s="80"/>
      <c r="CDH416" s="80"/>
      <c r="CDI416" s="80"/>
      <c r="CDJ416" s="80"/>
      <c r="CDK416" s="80"/>
      <c r="CDL416" s="80"/>
      <c r="CDM416" s="80"/>
      <c r="CDN416" s="80"/>
      <c r="CDO416" s="80"/>
      <c r="CDP416" s="80"/>
      <c r="CDQ416" s="80"/>
      <c r="CDR416" s="80"/>
      <c r="CDS416" s="80"/>
      <c r="CDT416" s="80"/>
      <c r="CDU416" s="80"/>
      <c r="CDV416" s="80"/>
      <c r="CDW416" s="80"/>
      <c r="CDX416" s="80"/>
      <c r="CDY416" s="80"/>
      <c r="CDZ416" s="80"/>
      <c r="CEA416" s="80"/>
      <c r="CEB416" s="80"/>
      <c r="CEC416" s="80"/>
      <c r="CED416" s="80"/>
      <c r="CEE416" s="80"/>
      <c r="CEF416" s="80"/>
      <c r="CEG416" s="80"/>
      <c r="CEH416" s="80"/>
      <c r="CEI416" s="80"/>
      <c r="CEJ416" s="80"/>
      <c r="CEK416" s="80"/>
      <c r="CEL416" s="80"/>
      <c r="CEM416" s="80"/>
      <c r="CEN416" s="80"/>
      <c r="CEO416" s="80"/>
      <c r="CEP416" s="80"/>
      <c r="CEQ416" s="80"/>
      <c r="CER416" s="80"/>
      <c r="CES416" s="80"/>
      <c r="CET416" s="80"/>
      <c r="CEU416" s="80"/>
      <c r="CEV416" s="80"/>
      <c r="CEW416" s="80"/>
      <c r="CEX416" s="80"/>
      <c r="CEY416" s="80"/>
      <c r="CEZ416" s="80"/>
      <c r="CFA416" s="80"/>
      <c r="CFB416" s="80"/>
      <c r="CFC416" s="80"/>
      <c r="CFD416" s="80"/>
      <c r="CFE416" s="80"/>
      <c r="CFF416" s="80"/>
      <c r="CFG416" s="80"/>
      <c r="CFH416" s="80"/>
      <c r="CFI416" s="80"/>
      <c r="CFJ416" s="80"/>
      <c r="CFK416" s="80"/>
      <c r="CFL416" s="80"/>
      <c r="CFM416" s="80"/>
      <c r="CFN416" s="80"/>
      <c r="CFO416" s="80"/>
      <c r="CFP416" s="80"/>
      <c r="CFQ416" s="80"/>
      <c r="CFR416" s="80"/>
      <c r="CFS416" s="80"/>
      <c r="CFT416" s="80"/>
      <c r="CFU416" s="80"/>
      <c r="CFV416" s="80"/>
      <c r="CFW416" s="80"/>
      <c r="CFX416" s="80"/>
      <c r="CFY416" s="80"/>
      <c r="CFZ416" s="80"/>
      <c r="CGA416" s="80"/>
      <c r="CGB416" s="80"/>
      <c r="CGC416" s="80"/>
      <c r="CGD416" s="80"/>
      <c r="CGE416" s="80"/>
      <c r="CGF416" s="80"/>
      <c r="CGG416" s="80"/>
      <c r="CGH416" s="80"/>
      <c r="CGI416" s="80"/>
      <c r="CGJ416" s="80"/>
      <c r="CGK416" s="80"/>
      <c r="CGL416" s="80"/>
      <c r="CGM416" s="80"/>
      <c r="CGN416" s="80"/>
      <c r="CGO416" s="80"/>
      <c r="CGP416" s="80"/>
      <c r="CGQ416" s="80"/>
      <c r="CGR416" s="80"/>
      <c r="CGS416" s="80"/>
      <c r="CGT416" s="80"/>
      <c r="CGU416" s="80"/>
      <c r="CGV416" s="80"/>
      <c r="CGW416" s="80"/>
      <c r="CGX416" s="80"/>
      <c r="CGY416" s="80"/>
      <c r="CGZ416" s="80"/>
      <c r="CHA416" s="80"/>
      <c r="CHB416" s="80"/>
      <c r="CHC416" s="80"/>
      <c r="CHD416" s="80"/>
      <c r="CHE416" s="80"/>
      <c r="CHF416" s="80"/>
      <c r="CHG416" s="80"/>
      <c r="CHH416" s="80"/>
      <c r="CHI416" s="80"/>
      <c r="CHJ416" s="80"/>
      <c r="CHK416" s="80"/>
      <c r="CHL416" s="80"/>
      <c r="CHM416" s="80"/>
      <c r="CHN416" s="80"/>
      <c r="CHO416" s="80"/>
      <c r="CHP416" s="80"/>
      <c r="CHQ416" s="80"/>
      <c r="CHR416" s="80"/>
      <c r="CHS416" s="80"/>
      <c r="CHT416" s="80"/>
      <c r="CHU416" s="80"/>
      <c r="CHV416" s="80"/>
      <c r="CHW416" s="80"/>
      <c r="CHX416" s="80"/>
      <c r="CHY416" s="80"/>
      <c r="CHZ416" s="80"/>
      <c r="CIA416" s="80"/>
      <c r="CIB416" s="80"/>
      <c r="CIC416" s="80"/>
      <c r="CID416" s="80"/>
      <c r="CIE416" s="80"/>
      <c r="CIF416" s="80"/>
      <c r="CIG416" s="80"/>
      <c r="CIH416" s="80"/>
      <c r="CII416" s="80"/>
      <c r="CIJ416" s="80"/>
      <c r="CIK416" s="80"/>
      <c r="CIL416" s="80"/>
      <c r="CIM416" s="80"/>
      <c r="CIN416" s="80"/>
      <c r="CIO416" s="80"/>
      <c r="CIP416" s="80"/>
      <c r="CIQ416" s="80"/>
      <c r="CIR416" s="80"/>
      <c r="CIS416" s="80"/>
      <c r="CIT416" s="80"/>
      <c r="CIU416" s="80"/>
      <c r="CIV416" s="80"/>
      <c r="CIW416" s="80"/>
      <c r="CIX416" s="80"/>
      <c r="CIY416" s="80"/>
      <c r="CIZ416" s="80"/>
      <c r="CJA416" s="80"/>
      <c r="CJB416" s="80"/>
      <c r="CJC416" s="80"/>
      <c r="CJD416" s="80"/>
      <c r="CJE416" s="80"/>
      <c r="CJF416" s="80"/>
      <c r="CJG416" s="80"/>
      <c r="CJH416" s="80"/>
      <c r="CJI416" s="80"/>
      <c r="CJJ416" s="80"/>
      <c r="CJK416" s="80"/>
      <c r="CJL416" s="80"/>
      <c r="CJM416" s="80"/>
      <c r="CJN416" s="80"/>
      <c r="CJO416" s="80"/>
      <c r="CJP416" s="80"/>
      <c r="CJQ416" s="80"/>
      <c r="CJR416" s="80"/>
      <c r="CJS416" s="80"/>
      <c r="CJT416" s="80"/>
      <c r="CJU416" s="80"/>
      <c r="CJV416" s="80"/>
      <c r="CJW416" s="80"/>
      <c r="CJX416" s="80"/>
      <c r="CJY416" s="80"/>
      <c r="CJZ416" s="80"/>
      <c r="CKA416" s="80"/>
      <c r="CKB416" s="80"/>
      <c r="CKC416" s="80"/>
      <c r="CKD416" s="80"/>
      <c r="CKE416" s="80"/>
      <c r="CKF416" s="80"/>
      <c r="CKG416" s="80"/>
      <c r="CKH416" s="80"/>
      <c r="CKI416" s="80"/>
      <c r="CKJ416" s="80"/>
      <c r="CKK416" s="80"/>
      <c r="CKL416" s="80"/>
      <c r="CKM416" s="80"/>
      <c r="CKN416" s="80"/>
      <c r="CKO416" s="80"/>
      <c r="CKP416" s="80"/>
      <c r="CKQ416" s="80"/>
      <c r="CKR416" s="80"/>
      <c r="CKS416" s="80"/>
      <c r="CKT416" s="80"/>
      <c r="CKU416" s="80"/>
      <c r="CKV416" s="80"/>
      <c r="CKW416" s="80"/>
      <c r="CKX416" s="80"/>
      <c r="CKY416" s="80"/>
      <c r="CKZ416" s="80"/>
      <c r="CLA416" s="80"/>
      <c r="CLB416" s="80"/>
      <c r="CLC416" s="80"/>
      <c r="CLD416" s="80"/>
      <c r="CLE416" s="80"/>
      <c r="CLF416" s="80"/>
      <c r="CLG416" s="80"/>
      <c r="CLH416" s="80"/>
      <c r="CLI416" s="80"/>
      <c r="CLJ416" s="80"/>
      <c r="CLK416" s="80"/>
      <c r="CLL416" s="80"/>
      <c r="CLM416" s="80"/>
      <c r="CLN416" s="80"/>
      <c r="CLO416" s="80"/>
      <c r="CLP416" s="80"/>
      <c r="CLQ416" s="80"/>
      <c r="CLR416" s="80"/>
      <c r="CLS416" s="80"/>
      <c r="CLT416" s="80"/>
      <c r="CLU416" s="80"/>
      <c r="CLV416" s="80"/>
      <c r="CLW416" s="80"/>
      <c r="CLX416" s="80"/>
      <c r="CLY416" s="80"/>
      <c r="CLZ416" s="80"/>
      <c r="CMA416" s="80"/>
      <c r="CMB416" s="80"/>
      <c r="CMC416" s="80"/>
      <c r="CMD416" s="80"/>
      <c r="CME416" s="80"/>
      <c r="CMF416" s="80"/>
      <c r="CMG416" s="80"/>
      <c r="CMH416" s="80"/>
      <c r="CMI416" s="80"/>
      <c r="CMJ416" s="80"/>
      <c r="CMK416" s="80"/>
      <c r="CML416" s="80"/>
      <c r="CMM416" s="80"/>
      <c r="CMN416" s="80"/>
      <c r="CMO416" s="80"/>
      <c r="CMP416" s="80"/>
      <c r="CMQ416" s="80"/>
      <c r="CMR416" s="80"/>
      <c r="CMS416" s="80"/>
      <c r="CMT416" s="80"/>
      <c r="CMU416" s="80"/>
      <c r="CMV416" s="80"/>
      <c r="CMW416" s="80"/>
      <c r="CMX416" s="80"/>
      <c r="CMY416" s="80"/>
      <c r="CMZ416" s="80"/>
      <c r="CNA416" s="80"/>
      <c r="CNB416" s="80"/>
      <c r="CNC416" s="80"/>
      <c r="CND416" s="80"/>
      <c r="CNE416" s="80"/>
      <c r="CNF416" s="80"/>
      <c r="CNG416" s="80"/>
      <c r="CNH416" s="80"/>
      <c r="CNI416" s="80"/>
      <c r="CNJ416" s="80"/>
      <c r="CNK416" s="80"/>
      <c r="CNL416" s="80"/>
      <c r="CNM416" s="80"/>
      <c r="CNN416" s="80"/>
      <c r="CNO416" s="80"/>
      <c r="CNP416" s="80"/>
      <c r="CNQ416" s="80"/>
      <c r="CNR416" s="80"/>
      <c r="CNS416" s="80"/>
      <c r="CNT416" s="80"/>
      <c r="CNU416" s="80"/>
      <c r="CNV416" s="80"/>
      <c r="CNW416" s="80"/>
      <c r="CNX416" s="80"/>
      <c r="CNY416" s="80"/>
      <c r="CNZ416" s="80"/>
      <c r="COA416" s="80"/>
      <c r="COB416" s="80"/>
      <c r="COC416" s="80"/>
      <c r="COD416" s="80"/>
      <c r="COE416" s="80"/>
      <c r="COF416" s="80"/>
      <c r="COG416" s="80"/>
      <c r="COH416" s="80"/>
      <c r="COI416" s="80"/>
      <c r="COJ416" s="80"/>
      <c r="COK416" s="80"/>
      <c r="COL416" s="80"/>
      <c r="COM416" s="80"/>
      <c r="CON416" s="80"/>
      <c r="COO416" s="80"/>
      <c r="COP416" s="80"/>
      <c r="COQ416" s="80"/>
      <c r="COR416" s="80"/>
      <c r="COS416" s="80"/>
      <c r="COT416" s="80"/>
      <c r="COU416" s="80"/>
      <c r="COV416" s="80"/>
      <c r="COW416" s="80"/>
      <c r="COX416" s="80"/>
      <c r="COY416" s="80"/>
      <c r="COZ416" s="80"/>
      <c r="CPA416" s="80"/>
      <c r="CPB416" s="80"/>
      <c r="CPC416" s="80"/>
      <c r="CPD416" s="80"/>
      <c r="CPE416" s="80"/>
      <c r="CPF416" s="80"/>
      <c r="CPG416" s="80"/>
      <c r="CPH416" s="80"/>
      <c r="CPI416" s="80"/>
      <c r="CPJ416" s="80"/>
      <c r="CPK416" s="80"/>
      <c r="CPL416" s="80"/>
      <c r="CPM416" s="80"/>
      <c r="CPN416" s="80"/>
      <c r="CPO416" s="80"/>
      <c r="CPP416" s="80"/>
      <c r="CPQ416" s="80"/>
      <c r="CPR416" s="80"/>
      <c r="CPS416" s="80"/>
      <c r="CPT416" s="80"/>
      <c r="CPU416" s="80"/>
      <c r="CPV416" s="80"/>
      <c r="CPW416" s="80"/>
      <c r="CPX416" s="80"/>
      <c r="CPY416" s="80"/>
      <c r="CPZ416" s="80"/>
      <c r="CQA416" s="80"/>
      <c r="CQB416" s="80"/>
      <c r="CQC416" s="80"/>
      <c r="CQD416" s="80"/>
      <c r="CQE416" s="80"/>
      <c r="CQF416" s="80"/>
      <c r="CQG416" s="80"/>
      <c r="CQH416" s="80"/>
      <c r="CQI416" s="80"/>
      <c r="CQJ416" s="80"/>
      <c r="CQK416" s="80"/>
      <c r="CQL416" s="80"/>
      <c r="CQM416" s="80"/>
      <c r="CQN416" s="80"/>
      <c r="CQO416" s="80"/>
      <c r="CQP416" s="80"/>
      <c r="CQQ416" s="80"/>
      <c r="CQR416" s="80"/>
      <c r="CQS416" s="80"/>
      <c r="CQT416" s="80"/>
      <c r="CQU416" s="80"/>
      <c r="CQV416" s="80"/>
      <c r="CQW416" s="80"/>
      <c r="CQX416" s="80"/>
      <c r="CQY416" s="80"/>
      <c r="CQZ416" s="80"/>
      <c r="CRA416" s="80"/>
      <c r="CRB416" s="80"/>
      <c r="CRC416" s="80"/>
      <c r="CRD416" s="80"/>
      <c r="CRE416" s="80"/>
      <c r="CRF416" s="80"/>
      <c r="CRG416" s="80"/>
      <c r="CRH416" s="80"/>
      <c r="CRI416" s="80"/>
      <c r="CRJ416" s="80"/>
      <c r="CRK416" s="80"/>
      <c r="CRL416" s="80"/>
      <c r="CRM416" s="80"/>
      <c r="CRN416" s="80"/>
      <c r="CRO416" s="80"/>
      <c r="CRP416" s="80"/>
      <c r="CRQ416" s="80"/>
      <c r="CRR416" s="80"/>
      <c r="CRS416" s="80"/>
      <c r="CRT416" s="80"/>
      <c r="CRU416" s="80"/>
      <c r="CRV416" s="80"/>
      <c r="CRW416" s="80"/>
      <c r="CRX416" s="80"/>
      <c r="CRY416" s="80"/>
      <c r="CRZ416" s="80"/>
      <c r="CSA416" s="80"/>
      <c r="CSB416" s="80"/>
      <c r="CSC416" s="80"/>
      <c r="CSD416" s="80"/>
      <c r="CSE416" s="80"/>
      <c r="CSF416" s="80"/>
      <c r="CSG416" s="80"/>
      <c r="CSH416" s="80"/>
      <c r="CSI416" s="80"/>
      <c r="CSJ416" s="80"/>
      <c r="CSK416" s="80"/>
      <c r="CSL416" s="80"/>
      <c r="CSM416" s="80"/>
      <c r="CSN416" s="80"/>
      <c r="CSO416" s="80"/>
      <c r="CSP416" s="80"/>
      <c r="CSQ416" s="80"/>
      <c r="CSR416" s="80"/>
      <c r="CSS416" s="80"/>
      <c r="CST416" s="80"/>
      <c r="CSU416" s="80"/>
      <c r="CSV416" s="80"/>
      <c r="CSW416" s="80"/>
      <c r="CSX416" s="80"/>
      <c r="CSY416" s="80"/>
      <c r="CSZ416" s="80"/>
      <c r="CTA416" s="80"/>
      <c r="CTB416" s="80"/>
      <c r="CTC416" s="80"/>
      <c r="CTD416" s="80"/>
      <c r="CTE416" s="80"/>
      <c r="CTF416" s="80"/>
      <c r="CTG416" s="80"/>
      <c r="CTH416" s="80"/>
      <c r="CTI416" s="80"/>
      <c r="CTJ416" s="80"/>
      <c r="CTK416" s="80"/>
      <c r="CTL416" s="80"/>
      <c r="CTM416" s="80"/>
      <c r="CTN416" s="80"/>
      <c r="CTO416" s="80"/>
      <c r="CTP416" s="80"/>
      <c r="CTQ416" s="80"/>
      <c r="CTR416" s="80"/>
      <c r="CTS416" s="80"/>
      <c r="CTT416" s="80"/>
      <c r="CTU416" s="80"/>
      <c r="CTV416" s="80"/>
      <c r="CTW416" s="80"/>
      <c r="CTX416" s="80"/>
      <c r="CTY416" s="80"/>
      <c r="CTZ416" s="80"/>
      <c r="CUA416" s="80"/>
      <c r="CUB416" s="80"/>
      <c r="CUC416" s="80"/>
      <c r="CUD416" s="80"/>
      <c r="CUE416" s="80"/>
      <c r="CUF416" s="80"/>
      <c r="CUG416" s="80"/>
      <c r="CUH416" s="80"/>
      <c r="CUI416" s="80"/>
      <c r="CUJ416" s="80"/>
      <c r="CUK416" s="80"/>
      <c r="CUL416" s="80"/>
      <c r="CUM416" s="80"/>
      <c r="CUN416" s="80"/>
      <c r="CUO416" s="80"/>
      <c r="CUP416" s="80"/>
      <c r="CUQ416" s="80"/>
      <c r="CUR416" s="80"/>
      <c r="CUS416" s="80"/>
      <c r="CUT416" s="80"/>
      <c r="CUU416" s="80"/>
      <c r="CUV416" s="80"/>
      <c r="CUW416" s="80"/>
      <c r="CUX416" s="80"/>
      <c r="CUY416" s="80"/>
      <c r="CUZ416" s="80"/>
      <c r="CVA416" s="80"/>
      <c r="CVB416" s="80"/>
      <c r="CVC416" s="80"/>
      <c r="CVD416" s="80"/>
      <c r="CVE416" s="80"/>
      <c r="CVF416" s="80"/>
      <c r="CVG416" s="80"/>
      <c r="CVH416" s="80"/>
      <c r="CVI416" s="80"/>
      <c r="CVJ416" s="80"/>
      <c r="CVK416" s="80"/>
      <c r="CVL416" s="80"/>
      <c r="CVM416" s="80"/>
      <c r="CVN416" s="80"/>
      <c r="CVO416" s="80"/>
      <c r="CVP416" s="80"/>
      <c r="CVQ416" s="80"/>
      <c r="CVR416" s="80"/>
      <c r="CVS416" s="80"/>
      <c r="CVT416" s="80"/>
      <c r="CVU416" s="80"/>
      <c r="CVV416" s="80"/>
      <c r="CVW416" s="80"/>
      <c r="CVX416" s="80"/>
      <c r="CVY416" s="80"/>
      <c r="CVZ416" s="80"/>
      <c r="CWA416" s="80"/>
      <c r="CWB416" s="80"/>
      <c r="CWC416" s="80"/>
      <c r="CWD416" s="80"/>
      <c r="CWE416" s="80"/>
      <c r="CWF416" s="80"/>
      <c r="CWG416" s="80"/>
      <c r="CWH416" s="80"/>
      <c r="CWI416" s="80"/>
      <c r="CWJ416" s="80"/>
      <c r="CWK416" s="80"/>
      <c r="CWL416" s="80"/>
      <c r="CWM416" s="80"/>
      <c r="CWN416" s="80"/>
      <c r="CWO416" s="80"/>
      <c r="CWP416" s="80"/>
      <c r="CWQ416" s="80"/>
      <c r="CWR416" s="80"/>
      <c r="CWS416" s="80"/>
      <c r="CWT416" s="80"/>
      <c r="CWU416" s="80"/>
      <c r="CWV416" s="80"/>
      <c r="CWW416" s="80"/>
      <c r="CWX416" s="80"/>
      <c r="CWY416" s="80"/>
      <c r="CWZ416" s="80"/>
      <c r="CXA416" s="80"/>
      <c r="CXB416" s="80"/>
      <c r="CXC416" s="80"/>
      <c r="CXD416" s="80"/>
      <c r="CXE416" s="80"/>
      <c r="CXF416" s="80"/>
      <c r="CXG416" s="80"/>
      <c r="CXH416" s="80"/>
      <c r="CXI416" s="80"/>
      <c r="CXJ416" s="80"/>
      <c r="CXK416" s="80"/>
      <c r="CXL416" s="80"/>
      <c r="CXM416" s="80"/>
      <c r="CXN416" s="80"/>
      <c r="CXO416" s="80"/>
      <c r="CXP416" s="80"/>
      <c r="CXQ416" s="80"/>
      <c r="CXR416" s="80"/>
      <c r="CXS416" s="80"/>
      <c r="CXT416" s="80"/>
      <c r="CXU416" s="80"/>
      <c r="CXV416" s="80"/>
      <c r="CXW416" s="80"/>
      <c r="CXX416" s="80"/>
      <c r="CXY416" s="80"/>
      <c r="CXZ416" s="80"/>
      <c r="CYA416" s="80"/>
      <c r="CYB416" s="80"/>
      <c r="CYC416" s="80"/>
      <c r="CYD416" s="80"/>
      <c r="CYE416" s="80"/>
      <c r="CYF416" s="80"/>
      <c r="CYG416" s="80"/>
      <c r="CYH416" s="80"/>
      <c r="CYI416" s="80"/>
      <c r="CYJ416" s="80"/>
      <c r="CYK416" s="80"/>
      <c r="CYL416" s="80"/>
      <c r="CYM416" s="80"/>
      <c r="CYN416" s="80"/>
      <c r="CYO416" s="80"/>
      <c r="CYP416" s="80"/>
      <c r="CYQ416" s="80"/>
      <c r="CYR416" s="80"/>
      <c r="CYS416" s="80"/>
      <c r="CYT416" s="80"/>
      <c r="CYU416" s="80"/>
      <c r="CYV416" s="80"/>
      <c r="CYW416" s="80"/>
      <c r="CYX416" s="80"/>
      <c r="CYY416" s="80"/>
      <c r="CYZ416" s="80"/>
      <c r="CZA416" s="80"/>
      <c r="CZB416" s="80"/>
      <c r="CZC416" s="80"/>
      <c r="CZD416" s="80"/>
      <c r="CZE416" s="80"/>
      <c r="CZF416" s="80"/>
      <c r="CZG416" s="80"/>
      <c r="CZH416" s="80"/>
      <c r="CZI416" s="80"/>
      <c r="CZJ416" s="80"/>
      <c r="CZK416" s="80"/>
      <c r="CZL416" s="80"/>
      <c r="CZM416" s="80"/>
      <c r="CZN416" s="80"/>
      <c r="CZO416" s="80"/>
      <c r="CZP416" s="80"/>
      <c r="CZQ416" s="80"/>
      <c r="CZR416" s="80"/>
      <c r="CZS416" s="80"/>
      <c r="CZT416" s="80"/>
      <c r="CZU416" s="80"/>
      <c r="CZV416" s="80"/>
      <c r="CZW416" s="80"/>
      <c r="CZX416" s="80"/>
      <c r="CZY416" s="80"/>
      <c r="CZZ416" s="80"/>
      <c r="DAA416" s="80"/>
      <c r="DAB416" s="80"/>
      <c r="DAC416" s="80"/>
      <c r="DAD416" s="80"/>
      <c r="DAE416" s="80"/>
      <c r="DAF416" s="80"/>
      <c r="DAG416" s="80"/>
      <c r="DAH416" s="80"/>
      <c r="DAI416" s="80"/>
      <c r="DAJ416" s="80"/>
      <c r="DAK416" s="80"/>
      <c r="DAL416" s="80"/>
      <c r="DAM416" s="80"/>
      <c r="DAN416" s="80"/>
      <c r="DAO416" s="80"/>
      <c r="DAP416" s="80"/>
      <c r="DAQ416" s="80"/>
      <c r="DAR416" s="80"/>
      <c r="DAS416" s="80"/>
      <c r="DAT416" s="80"/>
      <c r="DAU416" s="80"/>
      <c r="DAV416" s="80"/>
      <c r="DAW416" s="80"/>
      <c r="DAX416" s="80"/>
      <c r="DAY416" s="80"/>
      <c r="DAZ416" s="80"/>
      <c r="DBA416" s="80"/>
      <c r="DBB416" s="80"/>
      <c r="DBC416" s="80"/>
      <c r="DBD416" s="80"/>
      <c r="DBE416" s="80"/>
      <c r="DBF416" s="80"/>
      <c r="DBG416" s="80"/>
      <c r="DBH416" s="80"/>
      <c r="DBI416" s="80"/>
      <c r="DBJ416" s="80"/>
      <c r="DBK416" s="80"/>
      <c r="DBL416" s="80"/>
      <c r="DBM416" s="80"/>
      <c r="DBN416" s="80"/>
      <c r="DBO416" s="80"/>
      <c r="DBP416" s="80"/>
      <c r="DBQ416" s="80"/>
      <c r="DBR416" s="80"/>
      <c r="DBS416" s="80"/>
      <c r="DBT416" s="80"/>
      <c r="DBU416" s="80"/>
      <c r="DBV416" s="80"/>
      <c r="DBW416" s="80"/>
      <c r="DBX416" s="80"/>
      <c r="DBY416" s="80"/>
      <c r="DBZ416" s="80"/>
      <c r="DCA416" s="80"/>
      <c r="DCB416" s="80"/>
      <c r="DCC416" s="80"/>
      <c r="DCD416" s="80"/>
      <c r="DCE416" s="80"/>
      <c r="DCF416" s="80"/>
      <c r="DCG416" s="80"/>
      <c r="DCH416" s="80"/>
      <c r="DCI416" s="80"/>
      <c r="DCJ416" s="80"/>
      <c r="DCK416" s="80"/>
      <c r="DCL416" s="80"/>
      <c r="DCM416" s="80"/>
      <c r="DCN416" s="80"/>
      <c r="DCO416" s="80"/>
      <c r="DCP416" s="80"/>
      <c r="DCQ416" s="80"/>
      <c r="DCR416" s="80"/>
      <c r="DCS416" s="80"/>
      <c r="DCT416" s="80"/>
      <c r="DCU416" s="80"/>
      <c r="DCV416" s="80"/>
      <c r="DCW416" s="80"/>
      <c r="DCX416" s="80"/>
      <c r="DCY416" s="80"/>
      <c r="DCZ416" s="80"/>
      <c r="DDA416" s="80"/>
      <c r="DDB416" s="80"/>
      <c r="DDC416" s="80"/>
      <c r="DDD416" s="80"/>
      <c r="DDE416" s="80"/>
      <c r="DDF416" s="80"/>
      <c r="DDG416" s="80"/>
      <c r="DDH416" s="80"/>
      <c r="DDI416" s="80"/>
      <c r="DDJ416" s="80"/>
      <c r="DDK416" s="80"/>
      <c r="DDL416" s="80"/>
      <c r="DDM416" s="80"/>
      <c r="DDN416" s="80"/>
      <c r="DDO416" s="80"/>
      <c r="DDP416" s="80"/>
      <c r="DDQ416" s="80"/>
      <c r="DDR416" s="80"/>
      <c r="DDS416" s="80"/>
      <c r="DDT416" s="80"/>
      <c r="DDU416" s="80"/>
      <c r="DDV416" s="80"/>
      <c r="DDW416" s="80"/>
      <c r="DDX416" s="80"/>
      <c r="DDY416" s="80"/>
      <c r="DDZ416" s="80"/>
      <c r="DEA416" s="80"/>
      <c r="DEB416" s="80"/>
      <c r="DEC416" s="80"/>
      <c r="DED416" s="80"/>
      <c r="DEE416" s="80"/>
      <c r="DEF416" s="80"/>
      <c r="DEG416" s="80"/>
      <c r="DEH416" s="80"/>
      <c r="DEI416" s="80"/>
      <c r="DEJ416" s="80"/>
      <c r="DEK416" s="80"/>
      <c r="DEL416" s="80"/>
      <c r="DEM416" s="80"/>
      <c r="DEN416" s="80"/>
      <c r="DEO416" s="80"/>
      <c r="DEP416" s="80"/>
      <c r="DEQ416" s="80"/>
      <c r="DER416" s="80"/>
      <c r="DES416" s="80"/>
      <c r="DET416" s="80"/>
      <c r="DEU416" s="80"/>
      <c r="DEV416" s="80"/>
      <c r="DEW416" s="80"/>
      <c r="DEX416" s="80"/>
      <c r="DEY416" s="80"/>
      <c r="DEZ416" s="80"/>
      <c r="DFA416" s="80"/>
      <c r="DFB416" s="80"/>
      <c r="DFC416" s="80"/>
      <c r="DFD416" s="80"/>
      <c r="DFE416" s="80"/>
      <c r="DFF416" s="80"/>
      <c r="DFG416" s="80"/>
      <c r="DFH416" s="80"/>
      <c r="DFI416" s="80"/>
      <c r="DFJ416" s="80"/>
      <c r="DFK416" s="80"/>
      <c r="DFL416" s="80"/>
      <c r="DFM416" s="80"/>
      <c r="DFN416" s="80"/>
      <c r="DFO416" s="80"/>
      <c r="DFP416" s="80"/>
      <c r="DFQ416" s="80"/>
      <c r="DFR416" s="80"/>
      <c r="DFS416" s="80"/>
      <c r="DFT416" s="80"/>
      <c r="DFU416" s="80"/>
      <c r="DFV416" s="80"/>
      <c r="DFW416" s="80"/>
      <c r="DFX416" s="80"/>
      <c r="DFY416" s="80"/>
      <c r="DFZ416" s="80"/>
      <c r="DGA416" s="80"/>
      <c r="DGB416" s="80"/>
      <c r="DGC416" s="80"/>
      <c r="DGD416" s="80"/>
      <c r="DGE416" s="80"/>
      <c r="DGF416" s="80"/>
      <c r="DGG416" s="80"/>
      <c r="DGH416" s="80"/>
      <c r="DGI416" s="80"/>
      <c r="DGJ416" s="80"/>
      <c r="DGK416" s="80"/>
      <c r="DGL416" s="80"/>
      <c r="DGM416" s="80"/>
      <c r="DGN416" s="80"/>
      <c r="DGO416" s="80"/>
      <c r="DGP416" s="80"/>
      <c r="DGQ416" s="80"/>
      <c r="DGR416" s="80"/>
      <c r="DGS416" s="80"/>
      <c r="DGT416" s="80"/>
      <c r="DGU416" s="80"/>
      <c r="DGV416" s="80"/>
      <c r="DGW416" s="80"/>
      <c r="DGX416" s="80"/>
      <c r="DGY416" s="80"/>
      <c r="DGZ416" s="80"/>
      <c r="DHA416" s="80"/>
      <c r="DHB416" s="80"/>
      <c r="DHC416" s="80"/>
      <c r="DHD416" s="80"/>
      <c r="DHE416" s="80"/>
      <c r="DHF416" s="80"/>
      <c r="DHG416" s="80"/>
      <c r="DHH416" s="80"/>
      <c r="DHI416" s="80"/>
      <c r="DHJ416" s="80"/>
      <c r="DHK416" s="80"/>
      <c r="DHL416" s="80"/>
      <c r="DHM416" s="80"/>
      <c r="DHN416" s="80"/>
      <c r="DHO416" s="80"/>
      <c r="DHP416" s="80"/>
      <c r="DHQ416" s="80"/>
      <c r="DHR416" s="80"/>
      <c r="DHS416" s="80"/>
      <c r="DHT416" s="80"/>
      <c r="DHU416" s="80"/>
      <c r="DHV416" s="80"/>
      <c r="DHW416" s="80"/>
      <c r="DHX416" s="80"/>
      <c r="DHY416" s="80"/>
      <c r="DHZ416" s="80"/>
      <c r="DIA416" s="80"/>
      <c r="DIB416" s="80"/>
      <c r="DIC416" s="80"/>
      <c r="DID416" s="80"/>
      <c r="DIE416" s="80"/>
      <c r="DIF416" s="80"/>
      <c r="DIG416" s="80"/>
      <c r="DIH416" s="80"/>
      <c r="DII416" s="80"/>
      <c r="DIJ416" s="80"/>
      <c r="DIK416" s="80"/>
      <c r="DIL416" s="80"/>
      <c r="DIM416" s="80"/>
      <c r="DIN416" s="80"/>
      <c r="DIO416" s="80"/>
      <c r="DIP416" s="80"/>
      <c r="DIQ416" s="80"/>
      <c r="DIR416" s="80"/>
      <c r="DIS416" s="80"/>
      <c r="DIT416" s="80"/>
      <c r="DIU416" s="80"/>
      <c r="DIV416" s="80"/>
      <c r="DIW416" s="80"/>
      <c r="DIX416" s="80"/>
      <c r="DIY416" s="80"/>
      <c r="DIZ416" s="80"/>
      <c r="DJA416" s="80"/>
      <c r="DJB416" s="80"/>
      <c r="DJC416" s="80"/>
      <c r="DJD416" s="80"/>
      <c r="DJE416" s="80"/>
      <c r="DJF416" s="80"/>
      <c r="DJG416" s="80"/>
      <c r="DJH416" s="80"/>
      <c r="DJI416" s="80"/>
      <c r="DJJ416" s="80"/>
      <c r="DJK416" s="80"/>
      <c r="DJL416" s="80"/>
      <c r="DJM416" s="80"/>
      <c r="DJN416" s="80"/>
      <c r="DJO416" s="80"/>
      <c r="DJP416" s="80"/>
      <c r="DJQ416" s="80"/>
      <c r="DJR416" s="80"/>
      <c r="DJS416" s="80"/>
      <c r="DJT416" s="80"/>
      <c r="DJU416" s="80"/>
      <c r="DJV416" s="80"/>
      <c r="DJW416" s="80"/>
      <c r="DJX416" s="80"/>
      <c r="DJY416" s="80"/>
      <c r="DJZ416" s="80"/>
      <c r="DKA416" s="80"/>
      <c r="DKB416" s="80"/>
      <c r="DKC416" s="80"/>
      <c r="DKD416" s="80"/>
      <c r="DKE416" s="80"/>
      <c r="DKF416" s="80"/>
      <c r="DKG416" s="80"/>
      <c r="DKH416" s="80"/>
      <c r="DKI416" s="80"/>
      <c r="DKJ416" s="80"/>
      <c r="DKK416" s="80"/>
      <c r="DKL416" s="80"/>
      <c r="DKM416" s="80"/>
      <c r="DKN416" s="80"/>
      <c r="DKO416" s="80"/>
      <c r="DKP416" s="80"/>
      <c r="DKQ416" s="80"/>
      <c r="DKR416" s="80"/>
      <c r="DKS416" s="80"/>
      <c r="DKT416" s="80"/>
      <c r="DKU416" s="80"/>
      <c r="DKV416" s="80"/>
      <c r="DKW416" s="80"/>
      <c r="DKX416" s="80"/>
      <c r="DKY416" s="80"/>
      <c r="DKZ416" s="80"/>
      <c r="DLA416" s="80"/>
      <c r="DLB416" s="80"/>
      <c r="DLC416" s="80"/>
      <c r="DLD416" s="80"/>
      <c r="DLE416" s="80"/>
      <c r="DLF416" s="80"/>
      <c r="DLG416" s="80"/>
      <c r="DLH416" s="80"/>
      <c r="DLI416" s="80"/>
      <c r="DLJ416" s="80"/>
      <c r="DLK416" s="80"/>
      <c r="DLL416" s="80"/>
      <c r="DLM416" s="80"/>
      <c r="DLN416" s="80"/>
      <c r="DLO416" s="80"/>
      <c r="DLP416" s="80"/>
      <c r="DLQ416" s="80"/>
      <c r="DLR416" s="80"/>
      <c r="DLS416" s="80"/>
      <c r="DLT416" s="80"/>
      <c r="DLU416" s="80"/>
      <c r="DLV416" s="80"/>
      <c r="DLW416" s="80"/>
      <c r="DLX416" s="80"/>
      <c r="DLY416" s="80"/>
      <c r="DLZ416" s="80"/>
      <c r="DMA416" s="80"/>
      <c r="DMB416" s="80"/>
      <c r="DMC416" s="80"/>
      <c r="DMD416" s="80"/>
      <c r="DME416" s="80"/>
      <c r="DMF416" s="80"/>
      <c r="DMG416" s="80"/>
      <c r="DMH416" s="80"/>
      <c r="DMI416" s="80"/>
      <c r="DMJ416" s="80"/>
      <c r="DMK416" s="80"/>
      <c r="DML416" s="80"/>
      <c r="DMM416" s="80"/>
      <c r="DMN416" s="80"/>
      <c r="DMO416" s="80"/>
      <c r="DMP416" s="80"/>
      <c r="DMQ416" s="80"/>
      <c r="DMR416" s="80"/>
      <c r="DMS416" s="80"/>
      <c r="DMT416" s="80"/>
      <c r="DMU416" s="80"/>
      <c r="DMV416" s="80"/>
      <c r="DMW416" s="80"/>
      <c r="DMX416" s="80"/>
      <c r="DMY416" s="80"/>
      <c r="DMZ416" s="80"/>
      <c r="DNA416" s="80"/>
      <c r="DNB416" s="80"/>
      <c r="DNC416" s="80"/>
      <c r="DND416" s="80"/>
      <c r="DNE416" s="80"/>
      <c r="DNF416" s="80"/>
      <c r="DNG416" s="80"/>
      <c r="DNH416" s="80"/>
      <c r="DNI416" s="80"/>
      <c r="DNJ416" s="80"/>
      <c r="DNK416" s="80"/>
      <c r="DNL416" s="80"/>
      <c r="DNM416" s="80"/>
      <c r="DNN416" s="80"/>
      <c r="DNO416" s="80"/>
      <c r="DNP416" s="80"/>
      <c r="DNQ416" s="80"/>
      <c r="DNR416" s="80"/>
      <c r="DNS416" s="80"/>
      <c r="DNT416" s="80"/>
      <c r="DNU416" s="80"/>
      <c r="DNV416" s="80"/>
      <c r="DNW416" s="80"/>
      <c r="DNX416" s="80"/>
      <c r="DNY416" s="80"/>
      <c r="DNZ416" s="80"/>
      <c r="DOA416" s="80"/>
      <c r="DOB416" s="80"/>
      <c r="DOC416" s="80"/>
      <c r="DOD416" s="80"/>
      <c r="DOE416" s="80"/>
      <c r="DOF416" s="80"/>
      <c r="DOG416" s="80"/>
      <c r="DOH416" s="80"/>
      <c r="DOI416" s="80"/>
      <c r="DOJ416" s="80"/>
      <c r="DOK416" s="80"/>
      <c r="DOL416" s="80"/>
      <c r="DOM416" s="80"/>
      <c r="DON416" s="80"/>
      <c r="DOO416" s="80"/>
      <c r="DOP416" s="80"/>
      <c r="DOQ416" s="80"/>
      <c r="DOR416" s="80"/>
      <c r="DOS416" s="80"/>
      <c r="DOT416" s="80"/>
      <c r="DOU416" s="80"/>
      <c r="DOV416" s="80"/>
      <c r="DOW416" s="80"/>
      <c r="DOX416" s="80"/>
      <c r="DOY416" s="80"/>
      <c r="DOZ416" s="80"/>
      <c r="DPA416" s="80"/>
      <c r="DPB416" s="80"/>
      <c r="DPC416" s="80"/>
      <c r="DPD416" s="80"/>
      <c r="DPE416" s="80"/>
      <c r="DPF416" s="80"/>
      <c r="DPG416" s="80"/>
      <c r="DPH416" s="80"/>
      <c r="DPI416" s="80"/>
      <c r="DPJ416" s="80"/>
      <c r="DPK416" s="80"/>
      <c r="DPL416" s="80"/>
      <c r="DPM416" s="80"/>
      <c r="DPN416" s="80"/>
      <c r="DPO416" s="80"/>
      <c r="DPP416" s="80"/>
      <c r="DPQ416" s="80"/>
      <c r="DPR416" s="80"/>
      <c r="DPS416" s="80"/>
      <c r="DPT416" s="80"/>
      <c r="DPU416" s="80"/>
      <c r="DPV416" s="80"/>
      <c r="DPW416" s="80"/>
      <c r="DPX416" s="80"/>
      <c r="DPY416" s="80"/>
      <c r="DPZ416" s="80"/>
      <c r="DQA416" s="80"/>
      <c r="DQB416" s="80"/>
      <c r="DQC416" s="80"/>
      <c r="DQD416" s="80"/>
      <c r="DQE416" s="80"/>
      <c r="DQF416" s="80"/>
      <c r="DQG416" s="80"/>
      <c r="DQH416" s="80"/>
      <c r="DQI416" s="80"/>
      <c r="DQJ416" s="80"/>
      <c r="DQK416" s="80"/>
      <c r="DQL416" s="80"/>
      <c r="DQM416" s="80"/>
      <c r="DQN416" s="80"/>
      <c r="DQO416" s="80"/>
      <c r="DQP416" s="80"/>
      <c r="DQQ416" s="80"/>
      <c r="DQR416" s="80"/>
      <c r="DQS416" s="80"/>
      <c r="DQT416" s="80"/>
      <c r="DQU416" s="80"/>
      <c r="DQV416" s="80"/>
      <c r="DQW416" s="80"/>
      <c r="DQX416" s="80"/>
      <c r="DQY416" s="80"/>
      <c r="DQZ416" s="80"/>
      <c r="DRA416" s="80"/>
      <c r="DRB416" s="80"/>
      <c r="DRC416" s="80"/>
      <c r="DRD416" s="80"/>
      <c r="DRE416" s="80"/>
      <c r="DRF416" s="80"/>
      <c r="DRG416" s="80"/>
      <c r="DRH416" s="80"/>
      <c r="DRI416" s="80"/>
      <c r="DRJ416" s="80"/>
      <c r="DRK416" s="80"/>
      <c r="DRL416" s="80"/>
      <c r="DRM416" s="80"/>
      <c r="DRN416" s="80"/>
      <c r="DRO416" s="80"/>
      <c r="DRP416" s="80"/>
      <c r="DRQ416" s="80"/>
      <c r="DRR416" s="80"/>
      <c r="DRS416" s="80"/>
      <c r="DRT416" s="80"/>
      <c r="DRU416" s="80"/>
      <c r="DRV416" s="80"/>
      <c r="DRW416" s="80"/>
      <c r="DRX416" s="80"/>
      <c r="DRY416" s="80"/>
      <c r="DRZ416" s="80"/>
      <c r="DSA416" s="80"/>
      <c r="DSB416" s="80"/>
      <c r="DSC416" s="80"/>
      <c r="DSD416" s="80"/>
      <c r="DSE416" s="80"/>
      <c r="DSF416" s="80"/>
      <c r="DSG416" s="80"/>
      <c r="DSH416" s="80"/>
      <c r="DSI416" s="80"/>
      <c r="DSJ416" s="80"/>
      <c r="DSK416" s="80"/>
      <c r="DSL416" s="80"/>
      <c r="DSM416" s="80"/>
      <c r="DSN416" s="80"/>
      <c r="DSO416" s="80"/>
      <c r="DSP416" s="80"/>
      <c r="DSQ416" s="80"/>
      <c r="DSR416" s="80"/>
      <c r="DSS416" s="80"/>
      <c r="DST416" s="80"/>
      <c r="DSU416" s="80"/>
      <c r="DSV416" s="80"/>
      <c r="DSW416" s="80"/>
      <c r="DSX416" s="80"/>
      <c r="DSY416" s="80"/>
      <c r="DSZ416" s="80"/>
      <c r="DTA416" s="80"/>
      <c r="DTB416" s="80"/>
      <c r="DTC416" s="80"/>
      <c r="DTD416" s="80"/>
      <c r="DTE416" s="80"/>
      <c r="DTF416" s="80"/>
      <c r="DTG416" s="80"/>
      <c r="DTH416" s="80"/>
      <c r="DTI416" s="80"/>
      <c r="DTJ416" s="80"/>
      <c r="DTK416" s="80"/>
      <c r="DTL416" s="80"/>
      <c r="DTM416" s="80"/>
      <c r="DTN416" s="80"/>
      <c r="DTO416" s="80"/>
      <c r="DTP416" s="80"/>
      <c r="DTQ416" s="80"/>
      <c r="DTR416" s="80"/>
      <c r="DTS416" s="80"/>
      <c r="DTT416" s="80"/>
      <c r="DTU416" s="80"/>
      <c r="DTV416" s="80"/>
      <c r="DTW416" s="80"/>
      <c r="DTX416" s="80"/>
      <c r="DTY416" s="80"/>
      <c r="DTZ416" s="80"/>
      <c r="DUA416" s="80"/>
      <c r="DUB416" s="80"/>
      <c r="DUC416" s="80"/>
      <c r="DUD416" s="80"/>
      <c r="DUE416" s="80"/>
      <c r="DUF416" s="80"/>
      <c r="DUG416" s="80"/>
      <c r="DUH416" s="80"/>
      <c r="DUI416" s="80"/>
      <c r="DUJ416" s="80"/>
      <c r="DUK416" s="80"/>
      <c r="DUL416" s="80"/>
      <c r="DUM416" s="80"/>
      <c r="DUN416" s="80"/>
      <c r="DUO416" s="80"/>
      <c r="DUP416" s="80"/>
      <c r="DUQ416" s="80"/>
      <c r="DUR416" s="80"/>
      <c r="DUS416" s="80"/>
      <c r="DUT416" s="80"/>
      <c r="DUU416" s="80"/>
      <c r="DUV416" s="80"/>
      <c r="DUW416" s="80"/>
      <c r="DUX416" s="80"/>
      <c r="DUY416" s="80"/>
      <c r="DUZ416" s="80"/>
      <c r="DVA416" s="80"/>
      <c r="DVB416" s="80"/>
      <c r="DVC416" s="80"/>
      <c r="DVD416" s="80"/>
      <c r="DVE416" s="80"/>
      <c r="DVF416" s="80"/>
      <c r="DVG416" s="80"/>
      <c r="DVH416" s="80"/>
      <c r="DVI416" s="80"/>
      <c r="DVJ416" s="80"/>
      <c r="DVK416" s="80"/>
      <c r="DVL416" s="80"/>
      <c r="DVM416" s="80"/>
      <c r="DVN416" s="80"/>
      <c r="DVO416" s="80"/>
      <c r="DVP416" s="80"/>
      <c r="DVQ416" s="80"/>
      <c r="DVR416" s="80"/>
      <c r="DVS416" s="80"/>
      <c r="DVT416" s="80"/>
      <c r="DVU416" s="80"/>
      <c r="DVV416" s="80"/>
      <c r="DVW416" s="80"/>
      <c r="DVX416" s="80"/>
      <c r="DVY416" s="80"/>
      <c r="DVZ416" s="80"/>
      <c r="DWA416" s="80"/>
      <c r="DWB416" s="80"/>
      <c r="DWC416" s="80"/>
      <c r="DWD416" s="80"/>
      <c r="DWE416" s="80"/>
      <c r="DWF416" s="80"/>
      <c r="DWG416" s="80"/>
      <c r="DWH416" s="80"/>
      <c r="DWI416" s="80"/>
      <c r="DWJ416" s="80"/>
      <c r="DWK416" s="80"/>
      <c r="DWL416" s="80"/>
      <c r="DWM416" s="80"/>
      <c r="DWN416" s="80"/>
      <c r="DWO416" s="80"/>
      <c r="DWP416" s="80"/>
      <c r="DWQ416" s="80"/>
      <c r="DWR416" s="80"/>
      <c r="DWS416" s="80"/>
      <c r="DWT416" s="80"/>
      <c r="DWU416" s="80"/>
      <c r="DWV416" s="80"/>
      <c r="DWW416" s="80"/>
      <c r="DWX416" s="80"/>
      <c r="DWY416" s="80"/>
      <c r="DWZ416" s="80"/>
      <c r="DXA416" s="80"/>
      <c r="DXB416" s="80"/>
      <c r="DXC416" s="80"/>
      <c r="DXD416" s="80"/>
      <c r="DXE416" s="80"/>
      <c r="DXF416" s="80"/>
      <c r="DXG416" s="80"/>
      <c r="DXH416" s="80"/>
      <c r="DXI416" s="80"/>
      <c r="DXJ416" s="80"/>
      <c r="DXK416" s="80"/>
      <c r="DXL416" s="80"/>
      <c r="DXM416" s="80"/>
      <c r="DXN416" s="80"/>
      <c r="DXO416" s="80"/>
      <c r="DXP416" s="80"/>
      <c r="DXQ416" s="80"/>
      <c r="DXR416" s="80"/>
      <c r="DXS416" s="80"/>
      <c r="DXT416" s="80"/>
      <c r="DXU416" s="80"/>
      <c r="DXV416" s="80"/>
      <c r="DXW416" s="80"/>
      <c r="DXX416" s="80"/>
      <c r="DXY416" s="80"/>
      <c r="DXZ416" s="80"/>
      <c r="DYA416" s="80"/>
      <c r="DYB416" s="80"/>
      <c r="DYC416" s="80"/>
      <c r="DYD416" s="80"/>
      <c r="DYE416" s="80"/>
      <c r="DYF416" s="80"/>
      <c r="DYG416" s="80"/>
      <c r="DYH416" s="80"/>
      <c r="DYI416" s="80"/>
      <c r="DYJ416" s="80"/>
      <c r="DYK416" s="80"/>
      <c r="DYL416" s="80"/>
      <c r="DYM416" s="80"/>
      <c r="DYN416" s="80"/>
      <c r="DYO416" s="80"/>
      <c r="DYP416" s="80"/>
      <c r="DYQ416" s="80"/>
      <c r="DYR416" s="80"/>
      <c r="DYS416" s="80"/>
      <c r="DYT416" s="80"/>
      <c r="DYU416" s="80"/>
      <c r="DYV416" s="80"/>
      <c r="DYW416" s="80"/>
      <c r="DYX416" s="80"/>
      <c r="DYY416" s="80"/>
      <c r="DYZ416" s="80"/>
      <c r="DZA416" s="80"/>
      <c r="DZB416" s="80"/>
      <c r="DZC416" s="80"/>
      <c r="DZD416" s="80"/>
      <c r="DZE416" s="80"/>
      <c r="DZF416" s="80"/>
      <c r="DZG416" s="80"/>
      <c r="DZH416" s="80"/>
      <c r="DZI416" s="80"/>
      <c r="DZJ416" s="80"/>
      <c r="DZK416" s="80"/>
      <c r="DZL416" s="80"/>
      <c r="DZM416" s="80"/>
      <c r="DZN416" s="80"/>
      <c r="DZO416" s="80"/>
      <c r="DZP416" s="80"/>
      <c r="DZQ416" s="80"/>
      <c r="DZR416" s="80"/>
      <c r="DZS416" s="80"/>
      <c r="DZT416" s="80"/>
      <c r="DZU416" s="80"/>
      <c r="DZV416" s="80"/>
      <c r="DZW416" s="80"/>
      <c r="DZX416" s="80"/>
      <c r="DZY416" s="80"/>
      <c r="DZZ416" s="80"/>
      <c r="EAA416" s="80"/>
      <c r="EAB416" s="80"/>
      <c r="EAC416" s="80"/>
      <c r="EAD416" s="80"/>
      <c r="EAE416" s="80"/>
      <c r="EAF416" s="80"/>
      <c r="EAG416" s="80"/>
      <c r="EAH416" s="80"/>
      <c r="EAI416" s="80"/>
      <c r="EAJ416" s="80"/>
      <c r="EAK416" s="80"/>
      <c r="EAL416" s="80"/>
      <c r="EAM416" s="80"/>
      <c r="EAN416" s="80"/>
      <c r="EAO416" s="80"/>
      <c r="EAP416" s="80"/>
      <c r="EAQ416" s="80"/>
      <c r="EAR416" s="80"/>
      <c r="EAS416" s="80"/>
      <c r="EAT416" s="80"/>
      <c r="EAU416" s="80"/>
      <c r="EAV416" s="80"/>
      <c r="EAW416" s="80"/>
      <c r="EAX416" s="80"/>
      <c r="EAY416" s="80"/>
      <c r="EAZ416" s="80"/>
      <c r="EBA416" s="80"/>
      <c r="EBB416" s="80"/>
      <c r="EBC416" s="80"/>
      <c r="EBD416" s="80"/>
      <c r="EBE416" s="80"/>
      <c r="EBF416" s="80"/>
      <c r="EBG416" s="80"/>
      <c r="EBH416" s="80"/>
      <c r="EBI416" s="80"/>
      <c r="EBJ416" s="80"/>
      <c r="EBK416" s="80"/>
      <c r="EBL416" s="80"/>
      <c r="EBM416" s="80"/>
      <c r="EBN416" s="80"/>
      <c r="EBO416" s="80"/>
      <c r="EBP416" s="80"/>
      <c r="EBQ416" s="80"/>
      <c r="EBR416" s="80"/>
      <c r="EBS416" s="80"/>
      <c r="EBT416" s="80"/>
      <c r="EBU416" s="80"/>
      <c r="EBV416" s="80"/>
      <c r="EBW416" s="80"/>
      <c r="EBX416" s="80"/>
      <c r="EBY416" s="80"/>
      <c r="EBZ416" s="80"/>
      <c r="ECA416" s="80"/>
      <c r="ECB416" s="80"/>
      <c r="ECC416" s="80"/>
      <c r="ECD416" s="80"/>
      <c r="ECE416" s="80"/>
      <c r="ECF416" s="80"/>
      <c r="ECG416" s="80"/>
      <c r="ECH416" s="80"/>
      <c r="ECI416" s="80"/>
      <c r="ECJ416" s="80"/>
      <c r="ECK416" s="80"/>
      <c r="ECL416" s="80"/>
      <c r="ECM416" s="80"/>
      <c r="ECN416" s="80"/>
      <c r="ECO416" s="80"/>
      <c r="ECP416" s="80"/>
      <c r="ECQ416" s="80"/>
      <c r="ECR416" s="80"/>
      <c r="ECS416" s="80"/>
      <c r="ECT416" s="80"/>
      <c r="ECU416" s="80"/>
      <c r="ECV416" s="80"/>
      <c r="ECW416" s="80"/>
      <c r="ECX416" s="80"/>
      <c r="ECY416" s="80"/>
      <c r="ECZ416" s="80"/>
      <c r="EDA416" s="80"/>
      <c r="EDB416" s="80"/>
      <c r="EDC416" s="80"/>
      <c r="EDD416" s="80"/>
      <c r="EDE416" s="80"/>
      <c r="EDF416" s="80"/>
      <c r="EDG416" s="80"/>
      <c r="EDH416" s="80"/>
      <c r="EDI416" s="80"/>
      <c r="EDJ416" s="80"/>
      <c r="EDK416" s="80"/>
      <c r="EDL416" s="80"/>
      <c r="EDM416" s="80"/>
      <c r="EDN416" s="80"/>
      <c r="EDO416" s="80"/>
      <c r="EDP416" s="80"/>
      <c r="EDQ416" s="80"/>
      <c r="EDR416" s="80"/>
      <c r="EDS416" s="80"/>
      <c r="EDT416" s="80"/>
      <c r="EDU416" s="80"/>
      <c r="EDV416" s="80"/>
      <c r="EDW416" s="80"/>
      <c r="EDX416" s="80"/>
      <c r="EDY416" s="80"/>
      <c r="EDZ416" s="80"/>
      <c r="EEA416" s="80"/>
      <c r="EEB416" s="80"/>
      <c r="EEC416" s="80"/>
      <c r="EED416" s="80"/>
      <c r="EEE416" s="80"/>
      <c r="EEF416" s="80"/>
      <c r="EEG416" s="80"/>
      <c r="EEH416" s="80"/>
      <c r="EEI416" s="80"/>
      <c r="EEJ416" s="80"/>
      <c r="EEK416" s="80"/>
      <c r="EEL416" s="80"/>
      <c r="EEM416" s="80"/>
      <c r="EEN416" s="80"/>
      <c r="EEO416" s="80"/>
      <c r="EEP416" s="80"/>
      <c r="EEQ416" s="80"/>
      <c r="EER416" s="80"/>
      <c r="EES416" s="80"/>
      <c r="EET416" s="80"/>
      <c r="EEU416" s="80"/>
      <c r="EEV416" s="80"/>
      <c r="EEW416" s="80"/>
      <c r="EEX416" s="80"/>
      <c r="EEY416" s="80"/>
      <c r="EEZ416" s="80"/>
      <c r="EFA416" s="80"/>
      <c r="EFB416" s="80"/>
      <c r="EFC416" s="80"/>
      <c r="EFD416" s="80"/>
      <c r="EFE416" s="80"/>
      <c r="EFF416" s="80"/>
      <c r="EFG416" s="80"/>
      <c r="EFH416" s="80"/>
      <c r="EFI416" s="80"/>
      <c r="EFJ416" s="80"/>
      <c r="EFK416" s="80"/>
      <c r="EFL416" s="80"/>
      <c r="EFM416" s="80"/>
      <c r="EFN416" s="80"/>
      <c r="EFO416" s="80"/>
      <c r="EFP416" s="80"/>
      <c r="EFQ416" s="80"/>
      <c r="EFR416" s="80"/>
      <c r="EFS416" s="80"/>
      <c r="EFT416" s="80"/>
      <c r="EFU416" s="80"/>
      <c r="EFV416" s="80"/>
      <c r="EFW416" s="80"/>
      <c r="EFX416" s="80"/>
      <c r="EFY416" s="80"/>
      <c r="EFZ416" s="80"/>
      <c r="EGA416" s="80"/>
      <c r="EGB416" s="80"/>
      <c r="EGC416" s="80"/>
      <c r="EGD416" s="80"/>
      <c r="EGE416" s="80"/>
      <c r="EGF416" s="80"/>
      <c r="EGG416" s="80"/>
      <c r="EGH416" s="80"/>
      <c r="EGI416" s="80"/>
      <c r="EGJ416" s="80"/>
      <c r="EGK416" s="80"/>
      <c r="EGL416" s="80"/>
      <c r="EGM416" s="80"/>
      <c r="EGN416" s="80"/>
      <c r="EGO416" s="80"/>
      <c r="EGP416" s="80"/>
      <c r="EGQ416" s="80"/>
      <c r="EGR416" s="80"/>
      <c r="EGS416" s="80"/>
      <c r="EGT416" s="80"/>
      <c r="EGU416" s="80"/>
      <c r="EGV416" s="80"/>
      <c r="EGW416" s="80"/>
      <c r="EGX416" s="80"/>
      <c r="EGY416" s="80"/>
      <c r="EGZ416" s="80"/>
      <c r="EHA416" s="80"/>
      <c r="EHB416" s="80"/>
      <c r="EHC416" s="80"/>
      <c r="EHD416" s="80"/>
      <c r="EHE416" s="80"/>
      <c r="EHF416" s="80"/>
      <c r="EHG416" s="80"/>
      <c r="EHH416" s="80"/>
      <c r="EHI416" s="80"/>
      <c r="EHJ416" s="80"/>
      <c r="EHK416" s="80"/>
      <c r="EHL416" s="80"/>
      <c r="EHM416" s="80"/>
      <c r="EHN416" s="80"/>
      <c r="EHO416" s="80"/>
      <c r="EHP416" s="80"/>
      <c r="EHQ416" s="80"/>
      <c r="EHR416" s="80"/>
      <c r="EHS416" s="80"/>
      <c r="EHT416" s="80"/>
      <c r="EHU416" s="80"/>
      <c r="EHV416" s="80"/>
      <c r="EHW416" s="80"/>
      <c r="EHX416" s="80"/>
      <c r="EHY416" s="80"/>
      <c r="EHZ416" s="80"/>
      <c r="EIA416" s="80"/>
      <c r="EIB416" s="80"/>
      <c r="EIC416" s="80"/>
      <c r="EID416" s="80"/>
      <c r="EIE416" s="80"/>
      <c r="EIF416" s="80"/>
      <c r="EIG416" s="80"/>
      <c r="EIH416" s="80"/>
      <c r="EII416" s="80"/>
      <c r="EIJ416" s="80"/>
      <c r="EIK416" s="80"/>
      <c r="EIL416" s="80"/>
      <c r="EIM416" s="80"/>
      <c r="EIN416" s="80"/>
      <c r="EIO416" s="80"/>
      <c r="EIP416" s="80"/>
      <c r="EIQ416" s="80"/>
      <c r="EIR416" s="80"/>
      <c r="EIS416" s="80"/>
      <c r="EIT416" s="80"/>
      <c r="EIU416" s="80"/>
      <c r="EIV416" s="80"/>
      <c r="EIW416" s="80"/>
      <c r="EIX416" s="80"/>
      <c r="EIY416" s="80"/>
      <c r="EIZ416" s="80"/>
      <c r="EJA416" s="80"/>
      <c r="EJB416" s="80"/>
      <c r="EJC416" s="80"/>
      <c r="EJD416" s="80"/>
      <c r="EJE416" s="80"/>
      <c r="EJF416" s="80"/>
      <c r="EJG416" s="80"/>
      <c r="EJH416" s="80"/>
      <c r="EJI416" s="80"/>
      <c r="EJJ416" s="80"/>
      <c r="EJK416" s="80"/>
      <c r="EJL416" s="80"/>
      <c r="EJM416" s="80"/>
      <c r="EJN416" s="80"/>
      <c r="EJO416" s="80"/>
      <c r="EJP416" s="80"/>
      <c r="EJQ416" s="80"/>
      <c r="EJR416" s="80"/>
      <c r="EJS416" s="80"/>
      <c r="EJT416" s="80"/>
      <c r="EJU416" s="80"/>
      <c r="EJV416" s="80"/>
      <c r="EJW416" s="80"/>
      <c r="EJX416" s="80"/>
      <c r="EJY416" s="80"/>
      <c r="EJZ416" s="80"/>
      <c r="EKA416" s="80"/>
      <c r="EKB416" s="80"/>
      <c r="EKC416" s="80"/>
      <c r="EKD416" s="80"/>
      <c r="EKE416" s="80"/>
      <c r="EKF416" s="80"/>
      <c r="EKG416" s="80"/>
      <c r="EKH416" s="80"/>
      <c r="EKI416" s="80"/>
      <c r="EKJ416" s="80"/>
      <c r="EKK416" s="80"/>
      <c r="EKL416" s="80"/>
      <c r="EKM416" s="80"/>
      <c r="EKN416" s="80"/>
      <c r="EKO416" s="80"/>
      <c r="EKP416" s="80"/>
      <c r="EKQ416" s="80"/>
      <c r="EKR416" s="80"/>
      <c r="EKS416" s="80"/>
      <c r="EKT416" s="80"/>
      <c r="EKU416" s="80"/>
      <c r="EKV416" s="80"/>
      <c r="EKW416" s="80"/>
      <c r="EKX416" s="80"/>
      <c r="EKY416" s="80"/>
      <c r="EKZ416" s="80"/>
      <c r="ELA416" s="80"/>
      <c r="ELB416" s="80"/>
      <c r="ELC416" s="80"/>
      <c r="ELD416" s="80"/>
      <c r="ELE416" s="80"/>
      <c r="ELF416" s="80"/>
      <c r="ELG416" s="80"/>
      <c r="ELH416" s="80"/>
      <c r="ELI416" s="80"/>
      <c r="ELJ416" s="80"/>
      <c r="ELK416" s="80"/>
      <c r="ELL416" s="80"/>
      <c r="ELM416" s="80"/>
      <c r="ELN416" s="80"/>
      <c r="ELO416" s="80"/>
      <c r="ELP416" s="80"/>
      <c r="ELQ416" s="80"/>
      <c r="ELR416" s="80"/>
      <c r="ELS416" s="80"/>
      <c r="ELT416" s="80"/>
      <c r="ELU416" s="80"/>
      <c r="ELV416" s="80"/>
      <c r="ELW416" s="80"/>
      <c r="ELX416" s="80"/>
      <c r="ELY416" s="80"/>
      <c r="ELZ416" s="80"/>
      <c r="EMA416" s="80"/>
      <c r="EMB416" s="80"/>
      <c r="EMC416" s="80"/>
      <c r="EMD416" s="80"/>
      <c r="EME416" s="80"/>
      <c r="EMF416" s="80"/>
      <c r="EMG416" s="80"/>
      <c r="EMH416" s="80"/>
      <c r="EMI416" s="80"/>
      <c r="EMJ416" s="80"/>
      <c r="EMK416" s="80"/>
      <c r="EML416" s="80"/>
      <c r="EMM416" s="80"/>
      <c r="EMN416" s="80"/>
      <c r="EMO416" s="80"/>
      <c r="EMP416" s="80"/>
      <c r="EMQ416" s="80"/>
      <c r="EMR416" s="80"/>
      <c r="EMS416" s="80"/>
      <c r="EMT416" s="80"/>
      <c r="EMU416" s="80"/>
      <c r="EMV416" s="80"/>
      <c r="EMW416" s="80"/>
      <c r="EMX416" s="80"/>
      <c r="EMY416" s="80"/>
      <c r="EMZ416" s="80"/>
      <c r="ENA416" s="80"/>
      <c r="ENB416" s="80"/>
      <c r="ENC416" s="80"/>
      <c r="END416" s="80"/>
      <c r="ENE416" s="80"/>
      <c r="ENF416" s="80"/>
      <c r="ENG416" s="80"/>
      <c r="ENH416" s="80"/>
      <c r="ENI416" s="80"/>
      <c r="ENJ416" s="80"/>
      <c r="ENK416" s="80"/>
      <c r="ENL416" s="80"/>
      <c r="ENM416" s="80"/>
      <c r="ENN416" s="80"/>
      <c r="ENO416" s="80"/>
      <c r="ENP416" s="80"/>
      <c r="ENQ416" s="80"/>
      <c r="ENR416" s="80"/>
      <c r="ENS416" s="80"/>
      <c r="ENT416" s="80"/>
      <c r="ENU416" s="80"/>
      <c r="ENV416" s="80"/>
      <c r="ENW416" s="80"/>
      <c r="ENX416" s="80"/>
      <c r="ENY416" s="80"/>
      <c r="ENZ416" s="80"/>
      <c r="EOA416" s="80"/>
      <c r="EOB416" s="80"/>
      <c r="EOC416" s="80"/>
      <c r="EOD416" s="80"/>
      <c r="EOE416" s="80"/>
      <c r="EOF416" s="80"/>
      <c r="EOG416" s="80"/>
      <c r="EOH416" s="80"/>
      <c r="EOI416" s="80"/>
      <c r="EOJ416" s="80"/>
      <c r="EOK416" s="80"/>
      <c r="EOL416" s="80"/>
      <c r="EOM416" s="80"/>
      <c r="EON416" s="80"/>
      <c r="EOO416" s="80"/>
      <c r="EOP416" s="80"/>
      <c r="EOQ416" s="80"/>
      <c r="EOR416" s="80"/>
      <c r="EOS416" s="80"/>
      <c r="EOT416" s="80"/>
      <c r="EOU416" s="80"/>
      <c r="EOV416" s="80"/>
      <c r="EOW416" s="80"/>
      <c r="EOX416" s="80"/>
      <c r="EOY416" s="80"/>
      <c r="EOZ416" s="80"/>
      <c r="EPA416" s="80"/>
      <c r="EPB416" s="80"/>
      <c r="EPC416" s="80"/>
      <c r="EPD416" s="80"/>
      <c r="EPE416" s="80"/>
      <c r="EPF416" s="80"/>
      <c r="EPG416" s="80"/>
      <c r="EPH416" s="80"/>
      <c r="EPI416" s="80"/>
      <c r="EPJ416" s="80"/>
      <c r="EPK416" s="80"/>
      <c r="EPL416" s="80"/>
      <c r="EPM416" s="80"/>
      <c r="EPN416" s="80"/>
      <c r="EPO416" s="80"/>
      <c r="EPP416" s="80"/>
      <c r="EPQ416" s="80"/>
      <c r="EPR416" s="80"/>
      <c r="EPS416" s="80"/>
      <c r="EPT416" s="80"/>
      <c r="EPU416" s="80"/>
      <c r="EPV416" s="80"/>
      <c r="EPW416" s="80"/>
      <c r="EPX416" s="80"/>
      <c r="EPY416" s="80"/>
      <c r="EPZ416" s="80"/>
      <c r="EQA416" s="80"/>
      <c r="EQB416" s="80"/>
      <c r="EQC416" s="80"/>
      <c r="EQD416" s="80"/>
      <c r="EQE416" s="80"/>
      <c r="EQF416" s="80"/>
      <c r="EQG416" s="80"/>
      <c r="EQH416" s="80"/>
      <c r="EQI416" s="80"/>
      <c r="EQJ416" s="80"/>
      <c r="EQK416" s="80"/>
      <c r="EQL416" s="80"/>
      <c r="EQM416" s="80"/>
      <c r="EQN416" s="80"/>
      <c r="EQO416" s="80"/>
      <c r="EQP416" s="80"/>
      <c r="EQQ416" s="80"/>
      <c r="EQR416" s="80"/>
      <c r="EQS416" s="80"/>
      <c r="EQT416" s="80"/>
      <c r="EQU416" s="80"/>
      <c r="EQV416" s="80"/>
      <c r="EQW416" s="80"/>
      <c r="EQX416" s="80"/>
      <c r="EQY416" s="80"/>
      <c r="EQZ416" s="80"/>
      <c r="ERA416" s="80"/>
      <c r="ERB416" s="80"/>
      <c r="ERC416" s="80"/>
      <c r="ERD416" s="80"/>
      <c r="ERE416" s="80"/>
      <c r="ERF416" s="80"/>
      <c r="ERG416" s="80"/>
      <c r="ERH416" s="80"/>
      <c r="ERI416" s="80"/>
      <c r="ERJ416" s="80"/>
      <c r="ERK416" s="80"/>
      <c r="ERL416" s="80"/>
      <c r="ERM416" s="80"/>
      <c r="ERN416" s="80"/>
      <c r="ERO416" s="80"/>
      <c r="ERP416" s="80"/>
      <c r="ERQ416" s="80"/>
      <c r="ERR416" s="80"/>
      <c r="ERS416" s="80"/>
      <c r="ERT416" s="80"/>
      <c r="ERU416" s="80"/>
      <c r="ERV416" s="80"/>
      <c r="ERW416" s="80"/>
      <c r="ERX416" s="80"/>
      <c r="ERY416" s="80"/>
      <c r="ERZ416" s="80"/>
      <c r="ESA416" s="80"/>
      <c r="ESB416" s="80"/>
      <c r="ESC416" s="80"/>
      <c r="ESD416" s="80"/>
      <c r="ESE416" s="80"/>
      <c r="ESF416" s="80"/>
      <c r="ESG416" s="80"/>
      <c r="ESH416" s="80"/>
      <c r="ESI416" s="80"/>
      <c r="ESJ416" s="80"/>
      <c r="ESK416" s="80"/>
      <c r="ESL416" s="80"/>
      <c r="ESM416" s="80"/>
      <c r="ESN416" s="80"/>
      <c r="ESO416" s="80"/>
      <c r="ESP416" s="80"/>
      <c r="ESQ416" s="80"/>
      <c r="ESR416" s="80"/>
      <c r="ESS416" s="80"/>
      <c r="EST416" s="80"/>
      <c r="ESU416" s="80"/>
      <c r="ESV416" s="80"/>
      <c r="ESW416" s="80"/>
      <c r="ESX416" s="80"/>
      <c r="ESY416" s="80"/>
      <c r="ESZ416" s="80"/>
      <c r="ETA416" s="80"/>
      <c r="ETB416" s="80"/>
      <c r="ETC416" s="80"/>
      <c r="ETD416" s="80"/>
      <c r="ETE416" s="80"/>
      <c r="ETF416" s="80"/>
      <c r="ETG416" s="80"/>
      <c r="ETH416" s="80"/>
      <c r="ETI416" s="80"/>
      <c r="ETJ416" s="80"/>
      <c r="ETK416" s="80"/>
      <c r="ETL416" s="80"/>
      <c r="ETM416" s="80"/>
      <c r="ETN416" s="80"/>
      <c r="ETO416" s="80"/>
      <c r="ETP416" s="80"/>
      <c r="ETQ416" s="80"/>
      <c r="ETR416" s="80"/>
      <c r="ETS416" s="80"/>
      <c r="ETT416" s="80"/>
      <c r="ETU416" s="80"/>
      <c r="ETV416" s="80"/>
      <c r="ETW416" s="80"/>
      <c r="ETX416" s="80"/>
      <c r="ETY416" s="80"/>
      <c r="ETZ416" s="80"/>
      <c r="EUA416" s="80"/>
      <c r="EUB416" s="80"/>
      <c r="EUC416" s="80"/>
      <c r="EUD416" s="80"/>
      <c r="EUE416" s="80"/>
      <c r="EUF416" s="80"/>
      <c r="EUG416" s="80"/>
      <c r="EUH416" s="80"/>
      <c r="EUI416" s="80"/>
      <c r="EUJ416" s="80"/>
      <c r="EUK416" s="80"/>
      <c r="EUL416" s="80"/>
      <c r="EUM416" s="80"/>
      <c r="EUN416" s="80"/>
      <c r="EUO416" s="80"/>
      <c r="EUP416" s="80"/>
      <c r="EUQ416" s="80"/>
      <c r="EUR416" s="80"/>
      <c r="EUS416" s="80"/>
      <c r="EUT416" s="80"/>
      <c r="EUU416" s="80"/>
      <c r="EUV416" s="80"/>
      <c r="EUW416" s="80"/>
      <c r="EUX416" s="80"/>
      <c r="EUY416" s="80"/>
      <c r="EUZ416" s="80"/>
      <c r="EVA416" s="80"/>
      <c r="EVB416" s="80"/>
      <c r="EVC416" s="80"/>
      <c r="EVD416" s="80"/>
      <c r="EVE416" s="80"/>
      <c r="EVF416" s="80"/>
      <c r="EVG416" s="80"/>
      <c r="EVH416" s="80"/>
      <c r="EVI416" s="80"/>
      <c r="EVJ416" s="80"/>
      <c r="EVK416" s="80"/>
      <c r="EVL416" s="80"/>
      <c r="EVM416" s="80"/>
      <c r="EVN416" s="80"/>
      <c r="EVO416" s="80"/>
      <c r="EVP416" s="80"/>
      <c r="EVQ416" s="80"/>
      <c r="EVR416" s="80"/>
      <c r="EVS416" s="80"/>
      <c r="EVT416" s="80"/>
      <c r="EVU416" s="80"/>
      <c r="EVV416" s="80"/>
      <c r="EVW416" s="80"/>
      <c r="EVX416" s="80"/>
      <c r="EVY416" s="80"/>
      <c r="EVZ416" s="80"/>
      <c r="EWA416" s="80"/>
      <c r="EWB416" s="80"/>
      <c r="EWC416" s="80"/>
      <c r="EWD416" s="80"/>
      <c r="EWE416" s="80"/>
      <c r="EWF416" s="80"/>
      <c r="EWG416" s="80"/>
      <c r="EWH416" s="80"/>
      <c r="EWI416" s="80"/>
      <c r="EWJ416" s="80"/>
      <c r="EWK416" s="80"/>
      <c r="EWL416" s="80"/>
      <c r="EWM416" s="80"/>
      <c r="EWN416" s="80"/>
      <c r="EWO416" s="80"/>
      <c r="EWP416" s="80"/>
      <c r="EWQ416" s="80"/>
      <c r="EWR416" s="80"/>
      <c r="EWS416" s="80"/>
      <c r="EWT416" s="80"/>
      <c r="EWU416" s="80"/>
      <c r="EWV416" s="80"/>
      <c r="EWW416" s="80"/>
      <c r="EWX416" s="80"/>
      <c r="EWY416" s="80"/>
      <c r="EWZ416" s="80"/>
      <c r="EXA416" s="80"/>
      <c r="EXB416" s="80"/>
      <c r="EXC416" s="80"/>
      <c r="EXD416" s="80"/>
      <c r="EXE416" s="80"/>
      <c r="EXF416" s="80"/>
      <c r="EXG416" s="80"/>
      <c r="EXH416" s="80"/>
      <c r="EXI416" s="80"/>
      <c r="EXJ416" s="80"/>
      <c r="EXK416" s="80"/>
      <c r="EXL416" s="80"/>
      <c r="EXM416" s="80"/>
      <c r="EXN416" s="80"/>
      <c r="EXO416" s="80"/>
      <c r="EXP416" s="80"/>
      <c r="EXQ416" s="80"/>
      <c r="EXR416" s="80"/>
      <c r="EXS416" s="80"/>
      <c r="EXT416" s="80"/>
      <c r="EXU416" s="80"/>
      <c r="EXV416" s="80"/>
      <c r="EXW416" s="80"/>
      <c r="EXX416" s="80"/>
      <c r="EXY416" s="80"/>
      <c r="EXZ416" s="80"/>
      <c r="EYA416" s="80"/>
      <c r="EYB416" s="80"/>
      <c r="EYC416" s="80"/>
      <c r="EYD416" s="80"/>
      <c r="EYE416" s="80"/>
      <c r="EYF416" s="80"/>
      <c r="EYG416" s="80"/>
      <c r="EYH416" s="80"/>
      <c r="EYI416" s="80"/>
      <c r="EYJ416" s="80"/>
      <c r="EYK416" s="80"/>
      <c r="EYL416" s="80"/>
      <c r="EYM416" s="80"/>
      <c r="EYN416" s="80"/>
      <c r="EYO416" s="80"/>
      <c r="EYP416" s="80"/>
      <c r="EYQ416" s="80"/>
      <c r="EYR416" s="80"/>
      <c r="EYS416" s="80"/>
      <c r="EYT416" s="80"/>
      <c r="EYU416" s="80"/>
      <c r="EYV416" s="80"/>
      <c r="EYW416" s="80"/>
      <c r="EYX416" s="80"/>
      <c r="EYY416" s="80"/>
      <c r="EYZ416" s="80"/>
      <c r="EZA416" s="80"/>
      <c r="EZB416" s="80"/>
      <c r="EZC416" s="80"/>
      <c r="EZD416" s="80"/>
      <c r="EZE416" s="80"/>
      <c r="EZF416" s="80"/>
      <c r="EZG416" s="80"/>
      <c r="EZH416" s="80"/>
      <c r="EZI416" s="80"/>
      <c r="EZJ416" s="80"/>
      <c r="EZK416" s="80"/>
      <c r="EZL416" s="80"/>
      <c r="EZM416" s="80"/>
      <c r="EZN416" s="80"/>
      <c r="EZO416" s="80"/>
      <c r="EZP416" s="80"/>
      <c r="EZQ416" s="80"/>
      <c r="EZR416" s="80"/>
      <c r="EZS416" s="80"/>
      <c r="EZT416" s="80"/>
      <c r="EZU416" s="80"/>
      <c r="EZV416" s="80"/>
      <c r="EZW416" s="80"/>
      <c r="EZX416" s="80"/>
      <c r="EZY416" s="80"/>
      <c r="EZZ416" s="80"/>
      <c r="FAA416" s="80"/>
      <c r="FAB416" s="80"/>
      <c r="FAC416" s="80"/>
      <c r="FAD416" s="80"/>
      <c r="FAE416" s="80"/>
      <c r="FAF416" s="80"/>
      <c r="FAG416" s="80"/>
      <c r="FAH416" s="80"/>
      <c r="FAI416" s="80"/>
      <c r="FAJ416" s="80"/>
      <c r="FAK416" s="80"/>
      <c r="FAL416" s="80"/>
      <c r="FAM416" s="80"/>
      <c r="FAN416" s="80"/>
      <c r="FAO416" s="80"/>
      <c r="FAP416" s="80"/>
      <c r="FAQ416" s="80"/>
      <c r="FAR416" s="80"/>
      <c r="FAS416" s="80"/>
      <c r="FAT416" s="80"/>
      <c r="FAU416" s="80"/>
      <c r="FAV416" s="80"/>
      <c r="FAW416" s="80"/>
      <c r="FAX416" s="80"/>
      <c r="FAY416" s="80"/>
      <c r="FAZ416" s="80"/>
      <c r="FBA416" s="80"/>
      <c r="FBB416" s="80"/>
      <c r="FBC416" s="80"/>
      <c r="FBD416" s="80"/>
      <c r="FBE416" s="80"/>
      <c r="FBF416" s="80"/>
      <c r="FBG416" s="80"/>
      <c r="FBH416" s="80"/>
      <c r="FBI416" s="80"/>
      <c r="FBJ416" s="80"/>
      <c r="FBK416" s="80"/>
      <c r="FBL416" s="80"/>
      <c r="FBM416" s="80"/>
      <c r="FBN416" s="80"/>
      <c r="FBO416" s="80"/>
      <c r="FBP416" s="80"/>
      <c r="FBQ416" s="80"/>
      <c r="FBR416" s="80"/>
      <c r="FBS416" s="80"/>
      <c r="FBT416" s="80"/>
      <c r="FBU416" s="80"/>
      <c r="FBV416" s="80"/>
      <c r="FBW416" s="80"/>
      <c r="FBX416" s="80"/>
      <c r="FBY416" s="80"/>
      <c r="FBZ416" s="80"/>
      <c r="FCA416" s="80"/>
      <c r="FCB416" s="80"/>
      <c r="FCC416" s="80"/>
      <c r="FCD416" s="80"/>
      <c r="FCE416" s="80"/>
      <c r="FCF416" s="80"/>
      <c r="FCG416" s="80"/>
      <c r="FCH416" s="80"/>
      <c r="FCI416" s="80"/>
      <c r="FCJ416" s="80"/>
      <c r="FCK416" s="80"/>
      <c r="FCL416" s="80"/>
      <c r="FCM416" s="80"/>
      <c r="FCN416" s="80"/>
      <c r="FCO416" s="80"/>
      <c r="FCP416" s="80"/>
      <c r="FCQ416" s="80"/>
      <c r="FCR416" s="80"/>
      <c r="FCS416" s="80"/>
      <c r="FCT416" s="80"/>
      <c r="FCU416" s="80"/>
      <c r="FCV416" s="80"/>
      <c r="FCW416" s="80"/>
      <c r="FCX416" s="80"/>
      <c r="FCY416" s="80"/>
      <c r="FCZ416" s="80"/>
      <c r="FDA416" s="80"/>
      <c r="FDB416" s="80"/>
      <c r="FDC416" s="80"/>
      <c r="FDD416" s="80"/>
      <c r="FDE416" s="80"/>
      <c r="FDF416" s="80"/>
      <c r="FDG416" s="80"/>
      <c r="FDH416" s="80"/>
      <c r="FDI416" s="80"/>
      <c r="FDJ416" s="80"/>
      <c r="FDK416" s="80"/>
      <c r="FDL416" s="80"/>
      <c r="FDM416" s="80"/>
      <c r="FDN416" s="80"/>
      <c r="FDO416" s="80"/>
      <c r="FDP416" s="80"/>
      <c r="FDQ416" s="80"/>
      <c r="FDR416" s="80"/>
      <c r="FDS416" s="80"/>
      <c r="FDT416" s="80"/>
      <c r="FDU416" s="80"/>
      <c r="FDV416" s="80"/>
      <c r="FDW416" s="80"/>
      <c r="FDX416" s="80"/>
      <c r="FDY416" s="80"/>
      <c r="FDZ416" s="80"/>
      <c r="FEA416" s="80"/>
      <c r="FEB416" s="80"/>
      <c r="FEC416" s="80"/>
      <c r="FED416" s="80"/>
      <c r="FEE416" s="80"/>
      <c r="FEF416" s="80"/>
      <c r="FEG416" s="80"/>
      <c r="FEH416" s="80"/>
      <c r="FEI416" s="80"/>
      <c r="FEJ416" s="80"/>
      <c r="FEK416" s="80"/>
      <c r="FEL416" s="80"/>
      <c r="FEM416" s="80"/>
      <c r="FEN416" s="80"/>
      <c r="FEO416" s="80"/>
      <c r="FEP416" s="80"/>
      <c r="FEQ416" s="80"/>
      <c r="FER416" s="80"/>
      <c r="FES416" s="80"/>
      <c r="FET416" s="80"/>
      <c r="FEU416" s="80"/>
      <c r="FEV416" s="80"/>
      <c r="FEW416" s="80"/>
      <c r="FEX416" s="80"/>
      <c r="FEY416" s="80"/>
      <c r="FEZ416" s="80"/>
      <c r="FFA416" s="80"/>
      <c r="FFB416" s="80"/>
      <c r="FFC416" s="80"/>
      <c r="FFD416" s="80"/>
      <c r="FFE416" s="80"/>
      <c r="FFF416" s="80"/>
      <c r="FFG416" s="80"/>
      <c r="FFH416" s="80"/>
      <c r="FFI416" s="80"/>
      <c r="FFJ416" s="80"/>
      <c r="FFK416" s="80"/>
      <c r="FFL416" s="80"/>
      <c r="FFM416" s="80"/>
      <c r="FFN416" s="80"/>
      <c r="FFO416" s="80"/>
      <c r="FFP416" s="80"/>
      <c r="FFQ416" s="80"/>
      <c r="FFR416" s="80"/>
      <c r="FFS416" s="80"/>
      <c r="FFT416" s="80"/>
      <c r="FFU416" s="80"/>
      <c r="FFV416" s="80"/>
      <c r="FFW416" s="80"/>
      <c r="FFX416" s="80"/>
      <c r="FFY416" s="80"/>
      <c r="FFZ416" s="80"/>
      <c r="FGA416" s="80"/>
      <c r="FGB416" s="80"/>
      <c r="FGC416" s="80"/>
      <c r="FGD416" s="80"/>
      <c r="FGE416" s="80"/>
      <c r="FGF416" s="80"/>
      <c r="FGG416" s="80"/>
      <c r="FGH416" s="80"/>
      <c r="FGI416" s="80"/>
      <c r="FGJ416" s="80"/>
      <c r="FGK416" s="80"/>
      <c r="FGL416" s="80"/>
      <c r="FGM416" s="80"/>
      <c r="FGN416" s="80"/>
      <c r="FGO416" s="80"/>
      <c r="FGP416" s="80"/>
      <c r="FGQ416" s="80"/>
      <c r="FGR416" s="80"/>
      <c r="FGS416" s="80"/>
      <c r="FGT416" s="80"/>
      <c r="FGU416" s="80"/>
      <c r="FGV416" s="80"/>
      <c r="FGW416" s="80"/>
      <c r="FGX416" s="80"/>
      <c r="FGY416" s="80"/>
      <c r="FGZ416" s="80"/>
      <c r="FHA416" s="80"/>
      <c r="FHB416" s="80"/>
      <c r="FHC416" s="80"/>
      <c r="FHD416" s="80"/>
      <c r="FHE416" s="80"/>
      <c r="FHF416" s="80"/>
      <c r="FHG416" s="80"/>
      <c r="FHH416" s="80"/>
      <c r="FHI416" s="80"/>
      <c r="FHJ416" s="80"/>
      <c r="FHK416" s="80"/>
      <c r="FHL416" s="80"/>
      <c r="FHM416" s="80"/>
      <c r="FHN416" s="80"/>
      <c r="FHO416" s="80"/>
      <c r="FHP416" s="80"/>
      <c r="FHQ416" s="80"/>
      <c r="FHR416" s="80"/>
      <c r="FHS416" s="80"/>
      <c r="FHT416" s="80"/>
      <c r="FHU416" s="80"/>
      <c r="FHV416" s="80"/>
      <c r="FHW416" s="80"/>
      <c r="FHX416" s="80"/>
      <c r="FHY416" s="80"/>
      <c r="FHZ416" s="80"/>
      <c r="FIA416" s="80"/>
      <c r="FIB416" s="80"/>
      <c r="FIC416" s="80"/>
      <c r="FID416" s="80"/>
      <c r="FIE416" s="80"/>
      <c r="FIF416" s="80"/>
      <c r="FIG416" s="80"/>
      <c r="FIH416" s="80"/>
      <c r="FII416" s="80"/>
      <c r="FIJ416" s="80"/>
      <c r="FIK416" s="80"/>
      <c r="FIL416" s="80"/>
      <c r="FIM416" s="80"/>
      <c r="FIN416" s="80"/>
      <c r="FIO416" s="80"/>
      <c r="FIP416" s="80"/>
      <c r="FIQ416" s="80"/>
      <c r="FIR416" s="80"/>
      <c r="FIS416" s="80"/>
      <c r="FIT416" s="80"/>
      <c r="FIU416" s="80"/>
      <c r="FIV416" s="80"/>
      <c r="FIW416" s="80"/>
      <c r="FIX416" s="80"/>
      <c r="FIY416" s="80"/>
      <c r="FIZ416" s="80"/>
      <c r="FJA416" s="80"/>
      <c r="FJB416" s="80"/>
      <c r="FJC416" s="80"/>
      <c r="FJD416" s="80"/>
      <c r="FJE416" s="80"/>
      <c r="FJF416" s="80"/>
      <c r="FJG416" s="80"/>
      <c r="FJH416" s="80"/>
      <c r="FJI416" s="80"/>
      <c r="FJJ416" s="80"/>
      <c r="FJK416" s="80"/>
      <c r="FJL416" s="80"/>
      <c r="FJM416" s="80"/>
      <c r="FJN416" s="80"/>
      <c r="FJO416" s="80"/>
      <c r="FJP416" s="80"/>
      <c r="FJQ416" s="80"/>
      <c r="FJR416" s="80"/>
      <c r="FJS416" s="80"/>
      <c r="FJT416" s="80"/>
      <c r="FJU416" s="80"/>
      <c r="FJV416" s="80"/>
      <c r="FJW416" s="80"/>
      <c r="FJX416" s="80"/>
      <c r="FJY416" s="80"/>
      <c r="FJZ416" s="80"/>
      <c r="FKA416" s="80"/>
      <c r="FKB416" s="80"/>
      <c r="FKC416" s="80"/>
      <c r="FKD416" s="80"/>
      <c r="FKE416" s="80"/>
      <c r="FKF416" s="80"/>
      <c r="FKG416" s="80"/>
      <c r="FKH416" s="80"/>
      <c r="FKI416" s="80"/>
      <c r="FKJ416" s="80"/>
      <c r="FKK416" s="80"/>
      <c r="FKL416" s="80"/>
      <c r="FKM416" s="80"/>
      <c r="FKN416" s="80"/>
      <c r="FKO416" s="80"/>
      <c r="FKP416" s="80"/>
      <c r="FKQ416" s="80"/>
      <c r="FKR416" s="80"/>
      <c r="FKS416" s="80"/>
      <c r="FKT416" s="80"/>
      <c r="FKU416" s="80"/>
      <c r="FKV416" s="80"/>
      <c r="FKW416" s="80"/>
      <c r="FKX416" s="80"/>
      <c r="FKY416" s="80"/>
      <c r="FKZ416" s="80"/>
      <c r="FLA416" s="80"/>
      <c r="FLB416" s="80"/>
      <c r="FLC416" s="80"/>
      <c r="FLD416" s="80"/>
      <c r="FLE416" s="80"/>
      <c r="FLF416" s="80"/>
      <c r="FLG416" s="80"/>
      <c r="FLH416" s="80"/>
      <c r="FLI416" s="80"/>
      <c r="FLJ416" s="80"/>
      <c r="FLK416" s="80"/>
      <c r="FLL416" s="80"/>
      <c r="FLM416" s="80"/>
      <c r="FLN416" s="80"/>
      <c r="FLO416" s="80"/>
      <c r="FLP416" s="80"/>
      <c r="FLQ416" s="80"/>
      <c r="FLR416" s="80"/>
      <c r="FLS416" s="80"/>
      <c r="FLT416" s="80"/>
      <c r="FLU416" s="80"/>
      <c r="FLV416" s="80"/>
      <c r="FLW416" s="80"/>
      <c r="FLX416" s="80"/>
      <c r="FLY416" s="80"/>
      <c r="FLZ416" s="80"/>
      <c r="FMA416" s="80"/>
      <c r="FMB416" s="80"/>
      <c r="FMC416" s="80"/>
      <c r="FMD416" s="80"/>
      <c r="FME416" s="80"/>
      <c r="FMF416" s="80"/>
      <c r="FMG416" s="80"/>
      <c r="FMH416" s="80"/>
      <c r="FMI416" s="80"/>
      <c r="FMJ416" s="80"/>
      <c r="FMK416" s="80"/>
      <c r="FML416" s="80"/>
      <c r="FMM416" s="80"/>
      <c r="FMN416" s="80"/>
      <c r="FMO416" s="80"/>
      <c r="FMP416" s="80"/>
      <c r="FMQ416" s="80"/>
      <c r="FMR416" s="80"/>
      <c r="FMS416" s="80"/>
      <c r="FMT416" s="80"/>
      <c r="FMU416" s="80"/>
      <c r="FMV416" s="80"/>
      <c r="FMW416" s="80"/>
      <c r="FMX416" s="80"/>
      <c r="FMY416" s="80"/>
      <c r="FMZ416" s="80"/>
      <c r="FNA416" s="80"/>
      <c r="FNB416" s="80"/>
      <c r="FNC416" s="80"/>
      <c r="FND416" s="80"/>
      <c r="FNE416" s="80"/>
      <c r="FNF416" s="80"/>
      <c r="FNG416" s="80"/>
      <c r="FNH416" s="80"/>
      <c r="FNI416" s="80"/>
      <c r="FNJ416" s="80"/>
      <c r="FNK416" s="80"/>
      <c r="FNL416" s="80"/>
      <c r="FNM416" s="80"/>
      <c r="FNN416" s="80"/>
      <c r="FNO416" s="80"/>
      <c r="FNP416" s="80"/>
      <c r="FNQ416" s="80"/>
      <c r="FNR416" s="80"/>
      <c r="FNS416" s="80"/>
      <c r="FNT416" s="80"/>
      <c r="FNU416" s="80"/>
      <c r="FNV416" s="80"/>
      <c r="FNW416" s="80"/>
      <c r="FNX416" s="80"/>
      <c r="FNY416" s="80"/>
      <c r="FNZ416" s="80"/>
      <c r="FOA416" s="80"/>
      <c r="FOB416" s="80"/>
      <c r="FOC416" s="80"/>
      <c r="FOD416" s="80"/>
      <c r="FOE416" s="80"/>
      <c r="FOF416" s="80"/>
      <c r="FOG416" s="80"/>
      <c r="FOH416" s="80"/>
      <c r="FOI416" s="80"/>
      <c r="FOJ416" s="80"/>
      <c r="FOK416" s="80"/>
      <c r="FOL416" s="80"/>
      <c r="FOM416" s="80"/>
      <c r="FON416" s="80"/>
      <c r="FOO416" s="80"/>
      <c r="FOP416" s="80"/>
      <c r="FOQ416" s="80"/>
      <c r="FOR416" s="80"/>
      <c r="FOS416" s="80"/>
      <c r="FOT416" s="80"/>
      <c r="FOU416" s="80"/>
      <c r="FOV416" s="80"/>
      <c r="FOW416" s="80"/>
      <c r="FOX416" s="80"/>
      <c r="FOY416" s="80"/>
      <c r="FOZ416" s="80"/>
      <c r="FPA416" s="80"/>
      <c r="FPB416" s="80"/>
      <c r="FPC416" s="80"/>
      <c r="FPD416" s="80"/>
      <c r="FPE416" s="80"/>
      <c r="FPF416" s="80"/>
      <c r="FPG416" s="80"/>
      <c r="FPH416" s="80"/>
      <c r="FPI416" s="80"/>
      <c r="FPJ416" s="80"/>
      <c r="FPK416" s="80"/>
      <c r="FPL416" s="80"/>
      <c r="FPM416" s="80"/>
      <c r="FPN416" s="80"/>
      <c r="FPO416" s="80"/>
      <c r="FPP416" s="80"/>
      <c r="FPQ416" s="80"/>
      <c r="FPR416" s="80"/>
      <c r="FPS416" s="80"/>
      <c r="FPT416" s="80"/>
      <c r="FPU416" s="80"/>
      <c r="FPV416" s="80"/>
      <c r="FPW416" s="80"/>
      <c r="FPX416" s="80"/>
      <c r="FPY416" s="80"/>
      <c r="FPZ416" s="80"/>
      <c r="FQA416" s="80"/>
      <c r="FQB416" s="80"/>
      <c r="FQC416" s="80"/>
      <c r="FQD416" s="80"/>
      <c r="FQE416" s="80"/>
      <c r="FQF416" s="80"/>
      <c r="FQG416" s="80"/>
      <c r="FQH416" s="80"/>
      <c r="FQI416" s="80"/>
      <c r="FQJ416" s="80"/>
      <c r="FQK416" s="80"/>
      <c r="FQL416" s="80"/>
      <c r="FQM416" s="80"/>
      <c r="FQN416" s="80"/>
      <c r="FQO416" s="80"/>
      <c r="FQP416" s="80"/>
      <c r="FQQ416" s="80"/>
      <c r="FQR416" s="80"/>
      <c r="FQS416" s="80"/>
      <c r="FQT416" s="80"/>
      <c r="FQU416" s="80"/>
      <c r="FQV416" s="80"/>
      <c r="FQW416" s="80"/>
      <c r="FQX416" s="80"/>
      <c r="FQY416" s="80"/>
      <c r="FQZ416" s="80"/>
      <c r="FRA416" s="80"/>
      <c r="FRB416" s="80"/>
      <c r="FRC416" s="80"/>
      <c r="FRD416" s="80"/>
      <c r="FRE416" s="80"/>
      <c r="FRF416" s="80"/>
      <c r="FRG416" s="80"/>
      <c r="FRH416" s="80"/>
      <c r="FRI416" s="80"/>
      <c r="FRJ416" s="80"/>
      <c r="FRK416" s="80"/>
      <c r="FRL416" s="80"/>
      <c r="FRM416" s="80"/>
      <c r="FRN416" s="80"/>
      <c r="FRO416" s="80"/>
      <c r="FRP416" s="80"/>
      <c r="FRQ416" s="80"/>
      <c r="FRR416" s="80"/>
      <c r="FRS416" s="80"/>
      <c r="FRT416" s="80"/>
      <c r="FRU416" s="80"/>
      <c r="FRV416" s="80"/>
      <c r="FRW416" s="80"/>
      <c r="FRX416" s="80"/>
      <c r="FRY416" s="80"/>
      <c r="FRZ416" s="80"/>
      <c r="FSA416" s="80"/>
      <c r="FSB416" s="80"/>
      <c r="FSC416" s="80"/>
      <c r="FSD416" s="80"/>
      <c r="FSE416" s="80"/>
      <c r="FSF416" s="80"/>
      <c r="FSG416" s="80"/>
      <c r="FSH416" s="80"/>
      <c r="FSI416" s="80"/>
      <c r="FSJ416" s="80"/>
      <c r="FSK416" s="80"/>
      <c r="FSL416" s="80"/>
      <c r="FSM416" s="80"/>
      <c r="FSN416" s="80"/>
      <c r="FSO416" s="80"/>
      <c r="FSP416" s="80"/>
      <c r="FSQ416" s="80"/>
      <c r="FSR416" s="80"/>
      <c r="FSS416" s="80"/>
      <c r="FST416" s="80"/>
      <c r="FSU416" s="80"/>
      <c r="FSV416" s="80"/>
      <c r="FSW416" s="80"/>
      <c r="FSX416" s="80"/>
      <c r="FSY416" s="80"/>
      <c r="FSZ416" s="80"/>
      <c r="FTA416" s="80"/>
      <c r="FTB416" s="80"/>
      <c r="FTC416" s="80"/>
      <c r="FTD416" s="80"/>
      <c r="FTE416" s="80"/>
      <c r="FTF416" s="80"/>
      <c r="FTG416" s="80"/>
      <c r="FTH416" s="80"/>
      <c r="FTI416" s="80"/>
      <c r="FTJ416" s="80"/>
      <c r="FTK416" s="80"/>
      <c r="FTL416" s="80"/>
      <c r="FTM416" s="80"/>
      <c r="FTN416" s="80"/>
      <c r="FTO416" s="80"/>
      <c r="FTP416" s="80"/>
      <c r="FTQ416" s="80"/>
      <c r="FTR416" s="80"/>
      <c r="FTS416" s="80"/>
      <c r="FTT416" s="80"/>
      <c r="FTU416" s="80"/>
      <c r="FTV416" s="80"/>
      <c r="FTW416" s="80"/>
      <c r="FTX416" s="80"/>
      <c r="FTY416" s="80"/>
      <c r="FTZ416" s="80"/>
      <c r="FUA416" s="80"/>
      <c r="FUB416" s="80"/>
      <c r="FUC416" s="80"/>
      <c r="FUD416" s="80"/>
      <c r="FUE416" s="80"/>
      <c r="FUF416" s="80"/>
      <c r="FUG416" s="80"/>
      <c r="FUH416" s="80"/>
      <c r="FUI416" s="80"/>
      <c r="FUJ416" s="80"/>
      <c r="FUK416" s="80"/>
      <c r="FUL416" s="80"/>
      <c r="FUM416" s="80"/>
      <c r="FUN416" s="80"/>
      <c r="FUO416" s="80"/>
      <c r="FUP416" s="80"/>
      <c r="FUQ416" s="80"/>
      <c r="FUR416" s="80"/>
      <c r="FUS416" s="80"/>
      <c r="FUT416" s="80"/>
      <c r="FUU416" s="80"/>
      <c r="FUV416" s="80"/>
      <c r="FUW416" s="80"/>
      <c r="FUX416" s="80"/>
      <c r="FUY416" s="80"/>
      <c r="FUZ416" s="80"/>
      <c r="FVA416" s="80"/>
      <c r="FVB416" s="80"/>
      <c r="FVC416" s="80"/>
      <c r="FVD416" s="80"/>
      <c r="FVE416" s="80"/>
      <c r="FVF416" s="80"/>
      <c r="FVG416" s="80"/>
      <c r="FVH416" s="80"/>
      <c r="FVI416" s="80"/>
      <c r="FVJ416" s="80"/>
      <c r="FVK416" s="80"/>
      <c r="FVL416" s="80"/>
      <c r="FVM416" s="80"/>
      <c r="FVN416" s="80"/>
      <c r="FVO416" s="80"/>
      <c r="FVP416" s="80"/>
      <c r="FVQ416" s="80"/>
      <c r="FVR416" s="80"/>
      <c r="FVS416" s="80"/>
      <c r="FVT416" s="80"/>
      <c r="FVU416" s="80"/>
      <c r="FVV416" s="80"/>
      <c r="FVW416" s="80"/>
      <c r="FVX416" s="80"/>
      <c r="FVY416" s="80"/>
      <c r="FVZ416" s="80"/>
      <c r="FWA416" s="80"/>
      <c r="FWB416" s="80"/>
      <c r="FWC416" s="80"/>
      <c r="FWD416" s="80"/>
      <c r="FWE416" s="80"/>
      <c r="FWF416" s="80"/>
      <c r="FWG416" s="80"/>
      <c r="FWH416" s="80"/>
      <c r="FWI416" s="80"/>
      <c r="FWJ416" s="80"/>
      <c r="FWK416" s="80"/>
      <c r="FWL416" s="80"/>
      <c r="FWM416" s="80"/>
      <c r="FWN416" s="80"/>
      <c r="FWO416" s="80"/>
      <c r="FWP416" s="80"/>
      <c r="FWQ416" s="80"/>
      <c r="FWR416" s="80"/>
      <c r="FWS416" s="80"/>
      <c r="FWT416" s="80"/>
      <c r="FWU416" s="80"/>
      <c r="FWV416" s="80"/>
      <c r="FWW416" s="80"/>
      <c r="FWX416" s="80"/>
      <c r="FWY416" s="80"/>
      <c r="FWZ416" s="80"/>
      <c r="FXA416" s="80"/>
      <c r="FXB416" s="80"/>
      <c r="FXC416" s="80"/>
      <c r="FXD416" s="80"/>
      <c r="FXE416" s="80"/>
      <c r="FXF416" s="80"/>
      <c r="FXG416" s="80"/>
      <c r="FXH416" s="80"/>
      <c r="FXI416" s="80"/>
      <c r="FXJ416" s="80"/>
      <c r="FXK416" s="80"/>
      <c r="FXL416" s="80"/>
      <c r="FXM416" s="80"/>
      <c r="FXN416" s="80"/>
      <c r="FXO416" s="80"/>
      <c r="FXP416" s="80"/>
      <c r="FXQ416" s="80"/>
      <c r="FXR416" s="80"/>
      <c r="FXS416" s="80"/>
      <c r="FXT416" s="80"/>
      <c r="FXU416" s="80"/>
      <c r="FXV416" s="80"/>
      <c r="FXW416" s="80"/>
      <c r="FXX416" s="80"/>
      <c r="FXY416" s="80"/>
      <c r="FXZ416" s="80"/>
      <c r="FYA416" s="80"/>
      <c r="FYB416" s="80"/>
      <c r="FYC416" s="80"/>
      <c r="FYD416" s="80"/>
      <c r="FYE416" s="80"/>
      <c r="FYF416" s="80"/>
      <c r="FYG416" s="80"/>
      <c r="FYH416" s="80"/>
      <c r="FYI416" s="80"/>
      <c r="FYJ416" s="80"/>
      <c r="FYK416" s="80"/>
      <c r="FYL416" s="80"/>
      <c r="FYM416" s="80"/>
      <c r="FYN416" s="80"/>
      <c r="FYO416" s="80"/>
      <c r="FYP416" s="80"/>
      <c r="FYQ416" s="80"/>
      <c r="FYR416" s="80"/>
      <c r="FYS416" s="80"/>
      <c r="FYT416" s="80"/>
      <c r="FYU416" s="80"/>
      <c r="FYV416" s="80"/>
      <c r="FYW416" s="80"/>
      <c r="FYX416" s="80"/>
      <c r="FYY416" s="80"/>
      <c r="FYZ416" s="80"/>
      <c r="FZA416" s="80"/>
      <c r="FZB416" s="80"/>
      <c r="FZC416" s="80"/>
      <c r="FZD416" s="80"/>
      <c r="FZE416" s="80"/>
      <c r="FZF416" s="80"/>
      <c r="FZG416" s="80"/>
      <c r="FZH416" s="80"/>
      <c r="FZI416" s="80"/>
      <c r="FZJ416" s="80"/>
      <c r="FZK416" s="80"/>
      <c r="FZL416" s="80"/>
      <c r="FZM416" s="80"/>
      <c r="FZN416" s="80"/>
      <c r="FZO416" s="80"/>
      <c r="FZP416" s="80"/>
      <c r="FZQ416" s="80"/>
      <c r="FZR416" s="80"/>
      <c r="FZS416" s="80"/>
      <c r="FZT416" s="80"/>
      <c r="FZU416" s="80"/>
      <c r="FZV416" s="80"/>
      <c r="FZW416" s="80"/>
      <c r="FZX416" s="80"/>
      <c r="FZY416" s="80"/>
      <c r="FZZ416" s="80"/>
      <c r="GAA416" s="80"/>
      <c r="GAB416" s="80"/>
      <c r="GAC416" s="80"/>
      <c r="GAD416" s="80"/>
      <c r="GAE416" s="80"/>
      <c r="GAF416" s="80"/>
      <c r="GAG416" s="80"/>
      <c r="GAH416" s="80"/>
      <c r="GAI416" s="80"/>
      <c r="GAJ416" s="80"/>
      <c r="GAK416" s="80"/>
      <c r="GAL416" s="80"/>
      <c r="GAM416" s="80"/>
      <c r="GAN416" s="80"/>
      <c r="GAO416" s="80"/>
      <c r="GAP416" s="80"/>
      <c r="GAQ416" s="80"/>
      <c r="GAR416" s="80"/>
      <c r="GAS416" s="80"/>
      <c r="GAT416" s="80"/>
      <c r="GAU416" s="80"/>
      <c r="GAV416" s="80"/>
      <c r="GAW416" s="80"/>
      <c r="GAX416" s="80"/>
      <c r="GAY416" s="80"/>
      <c r="GAZ416" s="80"/>
      <c r="GBA416" s="80"/>
      <c r="GBB416" s="80"/>
      <c r="GBC416" s="80"/>
      <c r="GBD416" s="80"/>
      <c r="GBE416" s="80"/>
      <c r="GBF416" s="80"/>
      <c r="GBG416" s="80"/>
      <c r="GBH416" s="80"/>
      <c r="GBI416" s="80"/>
      <c r="GBJ416" s="80"/>
      <c r="GBK416" s="80"/>
      <c r="GBL416" s="80"/>
      <c r="GBM416" s="80"/>
      <c r="GBN416" s="80"/>
      <c r="GBO416" s="80"/>
      <c r="GBP416" s="80"/>
      <c r="GBQ416" s="80"/>
      <c r="GBR416" s="80"/>
      <c r="GBS416" s="80"/>
      <c r="GBT416" s="80"/>
      <c r="GBU416" s="80"/>
      <c r="GBV416" s="80"/>
      <c r="GBW416" s="80"/>
      <c r="GBX416" s="80"/>
      <c r="GBY416" s="80"/>
      <c r="GBZ416" s="80"/>
      <c r="GCA416" s="80"/>
      <c r="GCB416" s="80"/>
      <c r="GCC416" s="80"/>
      <c r="GCD416" s="80"/>
      <c r="GCE416" s="80"/>
      <c r="GCF416" s="80"/>
      <c r="GCG416" s="80"/>
      <c r="GCH416" s="80"/>
      <c r="GCI416" s="80"/>
      <c r="GCJ416" s="80"/>
      <c r="GCK416" s="80"/>
      <c r="GCL416" s="80"/>
      <c r="GCM416" s="80"/>
      <c r="GCN416" s="80"/>
      <c r="GCO416" s="80"/>
      <c r="GCP416" s="80"/>
      <c r="GCQ416" s="80"/>
      <c r="GCR416" s="80"/>
      <c r="GCS416" s="80"/>
      <c r="GCT416" s="80"/>
      <c r="GCU416" s="80"/>
      <c r="GCV416" s="80"/>
      <c r="GCW416" s="80"/>
      <c r="GCX416" s="80"/>
      <c r="GCY416" s="80"/>
      <c r="GCZ416" s="80"/>
      <c r="GDA416" s="80"/>
      <c r="GDB416" s="80"/>
      <c r="GDC416" s="80"/>
      <c r="GDD416" s="80"/>
      <c r="GDE416" s="80"/>
      <c r="GDF416" s="80"/>
      <c r="GDG416" s="80"/>
      <c r="GDH416" s="80"/>
      <c r="GDI416" s="80"/>
      <c r="GDJ416" s="80"/>
      <c r="GDK416" s="80"/>
      <c r="GDL416" s="80"/>
      <c r="GDM416" s="80"/>
      <c r="GDN416" s="80"/>
      <c r="GDO416" s="80"/>
      <c r="GDP416" s="80"/>
      <c r="GDQ416" s="80"/>
      <c r="GDR416" s="80"/>
      <c r="GDS416" s="80"/>
      <c r="GDT416" s="80"/>
      <c r="GDU416" s="80"/>
      <c r="GDV416" s="80"/>
      <c r="GDW416" s="80"/>
      <c r="GDX416" s="80"/>
      <c r="GDY416" s="80"/>
      <c r="GDZ416" s="80"/>
      <c r="GEA416" s="80"/>
      <c r="GEB416" s="80"/>
      <c r="GEC416" s="80"/>
      <c r="GED416" s="80"/>
      <c r="GEE416" s="80"/>
      <c r="GEF416" s="80"/>
      <c r="GEG416" s="80"/>
      <c r="GEH416" s="80"/>
      <c r="GEI416" s="80"/>
      <c r="GEJ416" s="80"/>
      <c r="GEK416" s="80"/>
      <c r="GEL416" s="80"/>
      <c r="GEM416" s="80"/>
      <c r="GEN416" s="80"/>
      <c r="GEO416" s="80"/>
      <c r="GEP416" s="80"/>
      <c r="GEQ416" s="80"/>
      <c r="GER416" s="80"/>
      <c r="GES416" s="80"/>
      <c r="GET416" s="80"/>
      <c r="GEU416" s="80"/>
      <c r="GEV416" s="80"/>
      <c r="GEW416" s="80"/>
      <c r="GEX416" s="80"/>
      <c r="GEY416" s="80"/>
      <c r="GEZ416" s="80"/>
      <c r="GFA416" s="80"/>
      <c r="GFB416" s="80"/>
      <c r="GFC416" s="80"/>
      <c r="GFD416" s="80"/>
      <c r="GFE416" s="80"/>
      <c r="GFF416" s="80"/>
      <c r="GFG416" s="80"/>
      <c r="GFH416" s="80"/>
      <c r="GFI416" s="80"/>
      <c r="GFJ416" s="80"/>
      <c r="GFK416" s="80"/>
      <c r="GFL416" s="80"/>
      <c r="GFM416" s="80"/>
      <c r="GFN416" s="80"/>
      <c r="GFO416" s="80"/>
      <c r="GFP416" s="80"/>
      <c r="GFQ416" s="80"/>
      <c r="GFR416" s="80"/>
      <c r="GFS416" s="80"/>
      <c r="GFT416" s="80"/>
      <c r="GFU416" s="80"/>
      <c r="GFV416" s="80"/>
      <c r="GFW416" s="80"/>
      <c r="GFX416" s="80"/>
      <c r="GFY416" s="80"/>
      <c r="GFZ416" s="80"/>
      <c r="GGA416" s="80"/>
      <c r="GGB416" s="80"/>
      <c r="GGC416" s="80"/>
      <c r="GGD416" s="80"/>
      <c r="GGE416" s="80"/>
      <c r="GGF416" s="80"/>
      <c r="GGG416" s="80"/>
      <c r="GGH416" s="80"/>
      <c r="GGI416" s="80"/>
      <c r="GGJ416" s="80"/>
      <c r="GGK416" s="80"/>
      <c r="GGL416" s="80"/>
      <c r="GGM416" s="80"/>
      <c r="GGN416" s="80"/>
      <c r="GGO416" s="80"/>
      <c r="GGP416" s="80"/>
      <c r="GGQ416" s="80"/>
      <c r="GGR416" s="80"/>
      <c r="GGS416" s="80"/>
      <c r="GGT416" s="80"/>
      <c r="GGU416" s="80"/>
      <c r="GGV416" s="80"/>
      <c r="GGW416" s="80"/>
      <c r="GGX416" s="80"/>
      <c r="GGY416" s="80"/>
      <c r="GGZ416" s="80"/>
      <c r="GHA416" s="80"/>
      <c r="GHB416" s="80"/>
      <c r="GHC416" s="80"/>
      <c r="GHD416" s="80"/>
      <c r="GHE416" s="80"/>
      <c r="GHF416" s="80"/>
      <c r="GHG416" s="80"/>
      <c r="GHH416" s="80"/>
      <c r="GHI416" s="80"/>
      <c r="GHJ416" s="80"/>
      <c r="GHK416" s="80"/>
      <c r="GHL416" s="80"/>
      <c r="GHM416" s="80"/>
      <c r="GHN416" s="80"/>
      <c r="GHO416" s="80"/>
      <c r="GHP416" s="80"/>
      <c r="GHQ416" s="80"/>
      <c r="GHR416" s="80"/>
      <c r="GHS416" s="80"/>
      <c r="GHT416" s="80"/>
      <c r="GHU416" s="80"/>
      <c r="GHV416" s="80"/>
      <c r="GHW416" s="80"/>
      <c r="GHX416" s="80"/>
      <c r="GHY416" s="80"/>
      <c r="GHZ416" s="80"/>
      <c r="GIA416" s="80"/>
      <c r="GIB416" s="80"/>
      <c r="GIC416" s="80"/>
      <c r="GID416" s="80"/>
      <c r="GIE416" s="80"/>
      <c r="GIF416" s="80"/>
      <c r="GIG416" s="80"/>
      <c r="GIH416" s="80"/>
      <c r="GII416" s="80"/>
      <c r="GIJ416" s="80"/>
      <c r="GIK416" s="80"/>
      <c r="GIL416" s="80"/>
      <c r="GIM416" s="80"/>
      <c r="GIN416" s="80"/>
      <c r="GIO416" s="80"/>
      <c r="GIP416" s="80"/>
      <c r="GIQ416" s="80"/>
      <c r="GIR416" s="80"/>
      <c r="GIS416" s="80"/>
      <c r="GIT416" s="80"/>
      <c r="GIU416" s="80"/>
      <c r="GIV416" s="80"/>
      <c r="GIW416" s="80"/>
      <c r="GIX416" s="80"/>
      <c r="GIY416" s="80"/>
      <c r="GIZ416" s="80"/>
      <c r="GJA416" s="80"/>
      <c r="GJB416" s="80"/>
      <c r="GJC416" s="80"/>
      <c r="GJD416" s="80"/>
      <c r="GJE416" s="80"/>
      <c r="GJF416" s="80"/>
      <c r="GJG416" s="80"/>
      <c r="GJH416" s="80"/>
      <c r="GJI416" s="80"/>
      <c r="GJJ416" s="80"/>
      <c r="GJK416" s="80"/>
      <c r="GJL416" s="80"/>
      <c r="GJM416" s="80"/>
      <c r="GJN416" s="80"/>
      <c r="GJO416" s="80"/>
      <c r="GJP416" s="80"/>
      <c r="GJQ416" s="80"/>
      <c r="GJR416" s="80"/>
      <c r="GJS416" s="80"/>
      <c r="GJT416" s="80"/>
      <c r="GJU416" s="80"/>
      <c r="GJV416" s="80"/>
      <c r="GJW416" s="80"/>
      <c r="GJX416" s="80"/>
      <c r="GJY416" s="80"/>
      <c r="GJZ416" s="80"/>
      <c r="GKA416" s="80"/>
      <c r="GKB416" s="80"/>
      <c r="GKC416" s="80"/>
      <c r="GKD416" s="80"/>
      <c r="GKE416" s="80"/>
      <c r="GKF416" s="80"/>
      <c r="GKG416" s="80"/>
      <c r="GKH416" s="80"/>
      <c r="GKI416" s="80"/>
      <c r="GKJ416" s="80"/>
      <c r="GKK416" s="80"/>
      <c r="GKL416" s="80"/>
      <c r="GKM416" s="80"/>
      <c r="GKN416" s="80"/>
      <c r="GKO416" s="80"/>
      <c r="GKP416" s="80"/>
      <c r="GKQ416" s="80"/>
      <c r="GKR416" s="80"/>
      <c r="GKS416" s="80"/>
      <c r="GKT416" s="80"/>
      <c r="GKU416" s="80"/>
      <c r="GKV416" s="80"/>
      <c r="GKW416" s="80"/>
      <c r="GKX416" s="80"/>
      <c r="GKY416" s="80"/>
      <c r="GKZ416" s="80"/>
      <c r="GLA416" s="80"/>
      <c r="GLB416" s="80"/>
      <c r="GLC416" s="80"/>
      <c r="GLD416" s="80"/>
      <c r="GLE416" s="80"/>
      <c r="GLF416" s="80"/>
      <c r="GLG416" s="80"/>
      <c r="GLH416" s="80"/>
      <c r="GLI416" s="80"/>
      <c r="GLJ416" s="80"/>
      <c r="GLK416" s="80"/>
      <c r="GLL416" s="80"/>
      <c r="GLM416" s="80"/>
      <c r="GLN416" s="80"/>
      <c r="GLO416" s="80"/>
      <c r="GLP416" s="80"/>
      <c r="GLQ416" s="80"/>
      <c r="GLR416" s="80"/>
      <c r="GLS416" s="80"/>
      <c r="GLT416" s="80"/>
      <c r="GLU416" s="80"/>
      <c r="GLV416" s="80"/>
      <c r="GLW416" s="80"/>
      <c r="GLX416" s="80"/>
      <c r="GLY416" s="80"/>
      <c r="GLZ416" s="80"/>
      <c r="GMA416" s="80"/>
      <c r="GMB416" s="80"/>
      <c r="GMC416" s="80"/>
      <c r="GMD416" s="80"/>
      <c r="GME416" s="80"/>
      <c r="GMF416" s="80"/>
      <c r="GMG416" s="80"/>
      <c r="GMH416" s="80"/>
      <c r="GMI416" s="80"/>
      <c r="GMJ416" s="80"/>
      <c r="GMK416" s="80"/>
      <c r="GML416" s="80"/>
      <c r="GMM416" s="80"/>
      <c r="GMN416" s="80"/>
      <c r="GMO416" s="80"/>
      <c r="GMP416" s="80"/>
      <c r="GMQ416" s="80"/>
      <c r="GMR416" s="80"/>
      <c r="GMS416" s="80"/>
      <c r="GMT416" s="80"/>
      <c r="GMU416" s="80"/>
      <c r="GMV416" s="80"/>
      <c r="GMW416" s="80"/>
      <c r="GMX416" s="80"/>
      <c r="GMY416" s="80"/>
      <c r="GMZ416" s="80"/>
      <c r="GNA416" s="80"/>
      <c r="GNB416" s="80"/>
      <c r="GNC416" s="80"/>
      <c r="GND416" s="80"/>
      <c r="GNE416" s="80"/>
      <c r="GNF416" s="80"/>
      <c r="GNG416" s="80"/>
      <c r="GNH416" s="80"/>
      <c r="GNI416" s="80"/>
      <c r="GNJ416" s="80"/>
      <c r="GNK416" s="80"/>
      <c r="GNL416" s="80"/>
      <c r="GNM416" s="80"/>
      <c r="GNN416" s="80"/>
      <c r="GNO416" s="80"/>
      <c r="GNP416" s="80"/>
      <c r="GNQ416" s="80"/>
      <c r="GNR416" s="80"/>
      <c r="GNS416" s="80"/>
      <c r="GNT416" s="80"/>
      <c r="GNU416" s="80"/>
      <c r="GNV416" s="80"/>
      <c r="GNW416" s="80"/>
      <c r="GNX416" s="80"/>
      <c r="GNY416" s="80"/>
      <c r="GNZ416" s="80"/>
      <c r="GOA416" s="80"/>
      <c r="GOB416" s="80"/>
      <c r="GOC416" s="80"/>
      <c r="GOD416" s="80"/>
      <c r="GOE416" s="80"/>
      <c r="GOF416" s="80"/>
      <c r="GOG416" s="80"/>
      <c r="GOH416" s="80"/>
      <c r="GOI416" s="80"/>
      <c r="GOJ416" s="80"/>
      <c r="GOK416" s="80"/>
      <c r="GOL416" s="80"/>
      <c r="GOM416" s="80"/>
      <c r="GON416" s="80"/>
      <c r="GOO416" s="80"/>
      <c r="GOP416" s="80"/>
      <c r="GOQ416" s="80"/>
      <c r="GOR416" s="80"/>
      <c r="GOS416" s="80"/>
      <c r="GOT416" s="80"/>
      <c r="GOU416" s="80"/>
      <c r="GOV416" s="80"/>
      <c r="GOW416" s="80"/>
      <c r="GOX416" s="80"/>
      <c r="GOY416" s="80"/>
      <c r="GOZ416" s="80"/>
      <c r="GPA416" s="80"/>
      <c r="GPB416" s="80"/>
      <c r="GPC416" s="80"/>
      <c r="GPD416" s="80"/>
      <c r="GPE416" s="80"/>
      <c r="GPF416" s="80"/>
      <c r="GPG416" s="80"/>
      <c r="GPH416" s="80"/>
      <c r="GPI416" s="80"/>
      <c r="GPJ416" s="80"/>
      <c r="GPK416" s="80"/>
      <c r="GPL416" s="80"/>
      <c r="GPM416" s="80"/>
      <c r="GPN416" s="80"/>
      <c r="GPO416" s="80"/>
      <c r="GPP416" s="80"/>
      <c r="GPQ416" s="80"/>
      <c r="GPR416" s="80"/>
      <c r="GPS416" s="80"/>
      <c r="GPT416" s="80"/>
      <c r="GPU416" s="80"/>
      <c r="GPV416" s="80"/>
      <c r="GPW416" s="80"/>
      <c r="GPX416" s="80"/>
      <c r="GPY416" s="80"/>
      <c r="GPZ416" s="80"/>
      <c r="GQA416" s="80"/>
      <c r="GQB416" s="80"/>
      <c r="GQC416" s="80"/>
      <c r="GQD416" s="80"/>
      <c r="GQE416" s="80"/>
      <c r="GQF416" s="80"/>
      <c r="GQG416" s="80"/>
      <c r="GQH416" s="80"/>
      <c r="GQI416" s="80"/>
      <c r="GQJ416" s="80"/>
      <c r="GQK416" s="80"/>
      <c r="GQL416" s="80"/>
      <c r="GQM416" s="80"/>
      <c r="GQN416" s="80"/>
      <c r="GQO416" s="80"/>
      <c r="GQP416" s="80"/>
      <c r="GQQ416" s="80"/>
      <c r="GQR416" s="80"/>
      <c r="GQS416" s="80"/>
      <c r="GQT416" s="80"/>
      <c r="GQU416" s="80"/>
      <c r="GQV416" s="80"/>
      <c r="GQW416" s="80"/>
      <c r="GQX416" s="80"/>
      <c r="GQY416" s="80"/>
      <c r="GQZ416" s="80"/>
      <c r="GRA416" s="80"/>
      <c r="GRB416" s="80"/>
      <c r="GRC416" s="80"/>
      <c r="GRD416" s="80"/>
      <c r="GRE416" s="80"/>
      <c r="GRF416" s="80"/>
      <c r="GRG416" s="80"/>
      <c r="GRH416" s="80"/>
      <c r="GRI416" s="80"/>
      <c r="GRJ416" s="80"/>
      <c r="GRK416" s="80"/>
      <c r="GRL416" s="80"/>
      <c r="GRM416" s="80"/>
      <c r="GRN416" s="80"/>
      <c r="GRO416" s="80"/>
      <c r="GRP416" s="80"/>
      <c r="GRQ416" s="80"/>
      <c r="GRR416" s="80"/>
      <c r="GRS416" s="80"/>
      <c r="GRT416" s="80"/>
      <c r="GRU416" s="80"/>
      <c r="GRV416" s="80"/>
      <c r="GRW416" s="80"/>
      <c r="GRX416" s="80"/>
      <c r="GRY416" s="80"/>
      <c r="GRZ416" s="80"/>
      <c r="GSA416" s="80"/>
      <c r="GSB416" s="80"/>
      <c r="GSC416" s="80"/>
      <c r="GSD416" s="80"/>
      <c r="GSE416" s="80"/>
      <c r="GSF416" s="80"/>
      <c r="GSG416" s="80"/>
      <c r="GSH416" s="80"/>
      <c r="GSI416" s="80"/>
      <c r="GSJ416" s="80"/>
      <c r="GSK416" s="80"/>
      <c r="GSL416" s="80"/>
      <c r="GSM416" s="80"/>
      <c r="GSN416" s="80"/>
      <c r="GSO416" s="80"/>
      <c r="GSP416" s="80"/>
      <c r="GSQ416" s="80"/>
      <c r="GSR416" s="80"/>
      <c r="GSS416" s="80"/>
      <c r="GST416" s="80"/>
      <c r="GSU416" s="80"/>
      <c r="GSV416" s="80"/>
      <c r="GSW416" s="80"/>
      <c r="GSX416" s="80"/>
      <c r="GSY416" s="80"/>
      <c r="GSZ416" s="80"/>
      <c r="GTA416" s="80"/>
      <c r="GTB416" s="80"/>
      <c r="GTC416" s="80"/>
      <c r="GTD416" s="80"/>
      <c r="GTE416" s="80"/>
      <c r="GTF416" s="80"/>
      <c r="GTG416" s="80"/>
      <c r="GTH416" s="80"/>
      <c r="GTI416" s="80"/>
      <c r="GTJ416" s="80"/>
      <c r="GTK416" s="80"/>
      <c r="GTL416" s="80"/>
      <c r="GTM416" s="80"/>
      <c r="GTN416" s="80"/>
      <c r="GTO416" s="80"/>
      <c r="GTP416" s="80"/>
      <c r="GTQ416" s="80"/>
      <c r="GTR416" s="80"/>
      <c r="GTS416" s="80"/>
      <c r="GTT416" s="80"/>
      <c r="GTU416" s="80"/>
      <c r="GTV416" s="80"/>
      <c r="GTW416" s="80"/>
      <c r="GTX416" s="80"/>
      <c r="GTY416" s="80"/>
      <c r="GTZ416" s="80"/>
      <c r="GUA416" s="80"/>
      <c r="GUB416" s="80"/>
      <c r="GUC416" s="80"/>
      <c r="GUD416" s="80"/>
      <c r="GUE416" s="80"/>
      <c r="GUF416" s="80"/>
      <c r="GUG416" s="80"/>
      <c r="GUH416" s="80"/>
      <c r="GUI416" s="80"/>
      <c r="GUJ416" s="80"/>
      <c r="GUK416" s="80"/>
      <c r="GUL416" s="80"/>
      <c r="GUM416" s="80"/>
      <c r="GUN416" s="80"/>
      <c r="GUO416" s="80"/>
      <c r="GUP416" s="80"/>
      <c r="GUQ416" s="80"/>
      <c r="GUR416" s="80"/>
      <c r="GUS416" s="80"/>
      <c r="GUT416" s="80"/>
      <c r="GUU416" s="80"/>
      <c r="GUV416" s="80"/>
      <c r="GUW416" s="80"/>
      <c r="GUX416" s="80"/>
      <c r="GUY416" s="80"/>
      <c r="GUZ416" s="80"/>
      <c r="GVA416" s="80"/>
      <c r="GVB416" s="80"/>
      <c r="GVC416" s="80"/>
      <c r="GVD416" s="80"/>
      <c r="GVE416" s="80"/>
      <c r="GVF416" s="80"/>
      <c r="GVG416" s="80"/>
      <c r="GVH416" s="80"/>
      <c r="GVI416" s="80"/>
      <c r="GVJ416" s="80"/>
      <c r="GVK416" s="80"/>
      <c r="GVL416" s="80"/>
      <c r="GVM416" s="80"/>
      <c r="GVN416" s="80"/>
      <c r="GVO416" s="80"/>
      <c r="GVP416" s="80"/>
      <c r="GVQ416" s="80"/>
      <c r="GVR416" s="80"/>
      <c r="GVS416" s="80"/>
      <c r="GVT416" s="80"/>
      <c r="GVU416" s="80"/>
      <c r="GVV416" s="80"/>
      <c r="GVW416" s="80"/>
      <c r="GVX416" s="80"/>
      <c r="GVY416" s="80"/>
      <c r="GVZ416" s="80"/>
      <c r="GWA416" s="80"/>
      <c r="GWB416" s="80"/>
      <c r="GWC416" s="80"/>
      <c r="GWD416" s="80"/>
      <c r="GWE416" s="80"/>
      <c r="GWF416" s="80"/>
      <c r="GWG416" s="80"/>
      <c r="GWH416" s="80"/>
      <c r="GWI416" s="80"/>
      <c r="GWJ416" s="80"/>
      <c r="GWK416" s="80"/>
      <c r="GWL416" s="80"/>
      <c r="GWM416" s="80"/>
      <c r="GWN416" s="80"/>
      <c r="GWO416" s="80"/>
      <c r="GWP416" s="80"/>
      <c r="GWQ416" s="80"/>
      <c r="GWR416" s="80"/>
      <c r="GWS416" s="80"/>
      <c r="GWT416" s="80"/>
      <c r="GWU416" s="80"/>
      <c r="GWV416" s="80"/>
      <c r="GWW416" s="80"/>
      <c r="GWX416" s="80"/>
      <c r="GWY416" s="80"/>
      <c r="GWZ416" s="80"/>
      <c r="GXA416" s="80"/>
      <c r="GXB416" s="80"/>
      <c r="GXC416" s="80"/>
      <c r="GXD416" s="80"/>
      <c r="GXE416" s="80"/>
      <c r="GXF416" s="80"/>
      <c r="GXG416" s="80"/>
      <c r="GXH416" s="80"/>
      <c r="GXI416" s="80"/>
      <c r="GXJ416" s="80"/>
      <c r="GXK416" s="80"/>
      <c r="GXL416" s="80"/>
      <c r="GXM416" s="80"/>
      <c r="GXN416" s="80"/>
      <c r="GXO416" s="80"/>
      <c r="GXP416" s="80"/>
      <c r="GXQ416" s="80"/>
      <c r="GXR416" s="80"/>
      <c r="GXS416" s="80"/>
      <c r="GXT416" s="80"/>
      <c r="GXU416" s="80"/>
      <c r="GXV416" s="80"/>
      <c r="GXW416" s="80"/>
      <c r="GXX416" s="80"/>
      <c r="GXY416" s="80"/>
      <c r="GXZ416" s="80"/>
      <c r="GYA416" s="80"/>
      <c r="GYB416" s="80"/>
      <c r="GYC416" s="80"/>
      <c r="GYD416" s="80"/>
      <c r="GYE416" s="80"/>
      <c r="GYF416" s="80"/>
      <c r="GYG416" s="80"/>
      <c r="GYH416" s="80"/>
      <c r="GYI416" s="80"/>
      <c r="GYJ416" s="80"/>
      <c r="GYK416" s="80"/>
      <c r="GYL416" s="80"/>
      <c r="GYM416" s="80"/>
      <c r="GYN416" s="80"/>
      <c r="GYO416" s="80"/>
      <c r="GYP416" s="80"/>
      <c r="GYQ416" s="80"/>
      <c r="GYR416" s="80"/>
      <c r="GYS416" s="80"/>
      <c r="GYT416" s="80"/>
      <c r="GYU416" s="80"/>
      <c r="GYV416" s="80"/>
      <c r="GYW416" s="80"/>
      <c r="GYX416" s="80"/>
      <c r="GYY416" s="80"/>
      <c r="GYZ416" s="80"/>
      <c r="GZA416" s="80"/>
      <c r="GZB416" s="80"/>
      <c r="GZC416" s="80"/>
      <c r="GZD416" s="80"/>
      <c r="GZE416" s="80"/>
      <c r="GZF416" s="80"/>
      <c r="GZG416" s="80"/>
      <c r="GZH416" s="80"/>
      <c r="GZI416" s="80"/>
      <c r="GZJ416" s="80"/>
      <c r="GZK416" s="80"/>
      <c r="GZL416" s="80"/>
      <c r="GZM416" s="80"/>
      <c r="GZN416" s="80"/>
      <c r="GZO416" s="80"/>
      <c r="GZP416" s="80"/>
      <c r="GZQ416" s="80"/>
      <c r="GZR416" s="80"/>
      <c r="GZS416" s="80"/>
      <c r="GZT416" s="80"/>
      <c r="GZU416" s="80"/>
      <c r="GZV416" s="80"/>
      <c r="GZW416" s="80"/>
      <c r="GZX416" s="80"/>
      <c r="GZY416" s="80"/>
      <c r="GZZ416" s="80"/>
      <c r="HAA416" s="80"/>
      <c r="HAB416" s="80"/>
      <c r="HAC416" s="80"/>
      <c r="HAD416" s="80"/>
      <c r="HAE416" s="80"/>
      <c r="HAF416" s="80"/>
      <c r="HAG416" s="80"/>
      <c r="HAH416" s="80"/>
      <c r="HAI416" s="80"/>
      <c r="HAJ416" s="80"/>
      <c r="HAK416" s="80"/>
      <c r="HAL416" s="80"/>
      <c r="HAM416" s="80"/>
      <c r="HAN416" s="80"/>
      <c r="HAO416" s="80"/>
      <c r="HAP416" s="80"/>
      <c r="HAQ416" s="80"/>
      <c r="HAR416" s="80"/>
      <c r="HAS416" s="80"/>
      <c r="HAT416" s="80"/>
      <c r="HAU416" s="80"/>
      <c r="HAV416" s="80"/>
      <c r="HAW416" s="80"/>
      <c r="HAX416" s="80"/>
      <c r="HAY416" s="80"/>
      <c r="HAZ416" s="80"/>
      <c r="HBA416" s="80"/>
      <c r="HBB416" s="80"/>
      <c r="HBC416" s="80"/>
      <c r="HBD416" s="80"/>
      <c r="HBE416" s="80"/>
      <c r="HBF416" s="80"/>
      <c r="HBG416" s="80"/>
      <c r="HBH416" s="80"/>
      <c r="HBI416" s="80"/>
      <c r="HBJ416" s="80"/>
      <c r="HBK416" s="80"/>
      <c r="HBL416" s="80"/>
      <c r="HBM416" s="80"/>
      <c r="HBN416" s="80"/>
      <c r="HBO416" s="80"/>
      <c r="HBP416" s="80"/>
      <c r="HBQ416" s="80"/>
      <c r="HBR416" s="80"/>
      <c r="HBS416" s="80"/>
      <c r="HBT416" s="80"/>
      <c r="HBU416" s="80"/>
      <c r="HBV416" s="80"/>
      <c r="HBW416" s="80"/>
      <c r="HBX416" s="80"/>
      <c r="HBY416" s="80"/>
      <c r="HBZ416" s="80"/>
      <c r="HCA416" s="80"/>
      <c r="HCB416" s="80"/>
      <c r="HCC416" s="80"/>
      <c r="HCD416" s="80"/>
      <c r="HCE416" s="80"/>
      <c r="HCF416" s="80"/>
      <c r="HCG416" s="80"/>
      <c r="HCH416" s="80"/>
      <c r="HCI416" s="80"/>
      <c r="HCJ416" s="80"/>
      <c r="HCK416" s="80"/>
      <c r="HCL416" s="80"/>
      <c r="HCM416" s="80"/>
      <c r="HCN416" s="80"/>
      <c r="HCO416" s="80"/>
      <c r="HCP416" s="80"/>
      <c r="HCQ416" s="80"/>
      <c r="HCR416" s="80"/>
      <c r="HCS416" s="80"/>
      <c r="HCT416" s="80"/>
      <c r="HCU416" s="80"/>
      <c r="HCV416" s="80"/>
      <c r="HCW416" s="80"/>
      <c r="HCX416" s="80"/>
      <c r="HCY416" s="80"/>
      <c r="HCZ416" s="80"/>
      <c r="HDA416" s="80"/>
      <c r="HDB416" s="80"/>
      <c r="HDC416" s="80"/>
      <c r="HDD416" s="80"/>
      <c r="HDE416" s="80"/>
      <c r="HDF416" s="80"/>
      <c r="HDG416" s="80"/>
      <c r="HDH416" s="80"/>
      <c r="HDI416" s="80"/>
      <c r="HDJ416" s="80"/>
      <c r="HDK416" s="80"/>
      <c r="HDL416" s="80"/>
      <c r="HDM416" s="80"/>
      <c r="HDN416" s="80"/>
      <c r="HDO416" s="80"/>
      <c r="HDP416" s="80"/>
      <c r="HDQ416" s="80"/>
      <c r="HDR416" s="80"/>
      <c r="HDS416" s="80"/>
      <c r="HDT416" s="80"/>
      <c r="HDU416" s="80"/>
      <c r="HDV416" s="80"/>
      <c r="HDW416" s="80"/>
      <c r="HDX416" s="80"/>
      <c r="HDY416" s="80"/>
      <c r="HDZ416" s="80"/>
      <c r="HEA416" s="80"/>
      <c r="HEB416" s="80"/>
      <c r="HEC416" s="80"/>
      <c r="HED416" s="80"/>
      <c r="HEE416" s="80"/>
      <c r="HEF416" s="80"/>
      <c r="HEG416" s="80"/>
      <c r="HEH416" s="80"/>
      <c r="HEI416" s="80"/>
      <c r="HEJ416" s="80"/>
      <c r="HEK416" s="80"/>
      <c r="HEL416" s="80"/>
      <c r="HEM416" s="80"/>
      <c r="HEN416" s="80"/>
      <c r="HEO416" s="80"/>
      <c r="HEP416" s="80"/>
      <c r="HEQ416" s="80"/>
      <c r="HER416" s="80"/>
      <c r="HES416" s="80"/>
      <c r="HET416" s="80"/>
      <c r="HEU416" s="80"/>
      <c r="HEV416" s="80"/>
      <c r="HEW416" s="80"/>
      <c r="HEX416" s="80"/>
      <c r="HEY416" s="80"/>
      <c r="HEZ416" s="80"/>
      <c r="HFA416" s="80"/>
      <c r="HFB416" s="80"/>
      <c r="HFC416" s="80"/>
      <c r="HFD416" s="80"/>
      <c r="HFE416" s="80"/>
      <c r="HFF416" s="80"/>
      <c r="HFG416" s="80"/>
      <c r="HFH416" s="80"/>
      <c r="HFI416" s="80"/>
      <c r="HFJ416" s="80"/>
      <c r="HFK416" s="80"/>
      <c r="HFL416" s="80"/>
      <c r="HFM416" s="80"/>
      <c r="HFN416" s="80"/>
      <c r="HFO416" s="80"/>
      <c r="HFP416" s="80"/>
      <c r="HFQ416" s="80"/>
      <c r="HFR416" s="80"/>
      <c r="HFS416" s="80"/>
      <c r="HFT416" s="80"/>
      <c r="HFU416" s="80"/>
      <c r="HFV416" s="80"/>
      <c r="HFW416" s="80"/>
      <c r="HFX416" s="80"/>
      <c r="HFY416" s="80"/>
      <c r="HFZ416" s="80"/>
      <c r="HGA416" s="80"/>
      <c r="HGB416" s="80"/>
      <c r="HGC416" s="80"/>
      <c r="HGD416" s="80"/>
      <c r="HGE416" s="80"/>
      <c r="HGF416" s="80"/>
      <c r="HGG416" s="80"/>
      <c r="HGH416" s="80"/>
      <c r="HGI416" s="80"/>
      <c r="HGJ416" s="80"/>
      <c r="HGK416" s="80"/>
      <c r="HGL416" s="80"/>
      <c r="HGM416" s="80"/>
      <c r="HGN416" s="80"/>
      <c r="HGO416" s="80"/>
      <c r="HGP416" s="80"/>
      <c r="HGQ416" s="80"/>
      <c r="HGR416" s="80"/>
      <c r="HGS416" s="80"/>
      <c r="HGT416" s="80"/>
      <c r="HGU416" s="80"/>
      <c r="HGV416" s="80"/>
      <c r="HGW416" s="80"/>
      <c r="HGX416" s="80"/>
      <c r="HGY416" s="80"/>
      <c r="HGZ416" s="80"/>
      <c r="HHA416" s="80"/>
      <c r="HHB416" s="80"/>
      <c r="HHC416" s="80"/>
      <c r="HHD416" s="80"/>
      <c r="HHE416" s="80"/>
      <c r="HHF416" s="80"/>
      <c r="HHG416" s="80"/>
      <c r="HHH416" s="80"/>
      <c r="HHI416" s="80"/>
      <c r="HHJ416" s="80"/>
      <c r="HHK416" s="80"/>
      <c r="HHL416" s="80"/>
      <c r="HHM416" s="80"/>
      <c r="HHN416" s="80"/>
      <c r="HHO416" s="80"/>
      <c r="HHP416" s="80"/>
      <c r="HHQ416" s="80"/>
      <c r="HHR416" s="80"/>
      <c r="HHS416" s="80"/>
      <c r="HHT416" s="80"/>
      <c r="HHU416" s="80"/>
      <c r="HHV416" s="80"/>
      <c r="HHW416" s="80"/>
      <c r="HHX416" s="80"/>
      <c r="HHY416" s="80"/>
      <c r="HHZ416" s="80"/>
      <c r="HIA416" s="80"/>
      <c r="HIB416" s="80"/>
      <c r="HIC416" s="80"/>
      <c r="HID416" s="80"/>
      <c r="HIE416" s="80"/>
      <c r="HIF416" s="80"/>
      <c r="HIG416" s="80"/>
      <c r="HIH416" s="80"/>
      <c r="HII416" s="80"/>
      <c r="HIJ416" s="80"/>
      <c r="HIK416" s="80"/>
      <c r="HIL416" s="80"/>
      <c r="HIM416" s="80"/>
      <c r="HIN416" s="80"/>
      <c r="HIO416" s="80"/>
      <c r="HIP416" s="80"/>
      <c r="HIQ416" s="80"/>
      <c r="HIR416" s="80"/>
      <c r="HIS416" s="80"/>
      <c r="HIT416" s="80"/>
      <c r="HIU416" s="80"/>
      <c r="HIV416" s="80"/>
      <c r="HIW416" s="80"/>
      <c r="HIX416" s="80"/>
      <c r="HIY416" s="80"/>
      <c r="HIZ416" s="80"/>
      <c r="HJA416" s="80"/>
      <c r="HJB416" s="80"/>
      <c r="HJC416" s="80"/>
      <c r="HJD416" s="80"/>
      <c r="HJE416" s="80"/>
      <c r="HJF416" s="80"/>
      <c r="HJG416" s="80"/>
      <c r="HJH416" s="80"/>
      <c r="HJI416" s="80"/>
      <c r="HJJ416" s="80"/>
      <c r="HJK416" s="80"/>
      <c r="HJL416" s="80"/>
      <c r="HJM416" s="80"/>
      <c r="HJN416" s="80"/>
      <c r="HJO416" s="80"/>
      <c r="HJP416" s="80"/>
      <c r="HJQ416" s="80"/>
      <c r="HJR416" s="80"/>
      <c r="HJS416" s="80"/>
      <c r="HJT416" s="80"/>
      <c r="HJU416" s="80"/>
      <c r="HJV416" s="80"/>
      <c r="HJW416" s="80"/>
      <c r="HJX416" s="80"/>
      <c r="HJY416" s="80"/>
      <c r="HJZ416" s="80"/>
      <c r="HKA416" s="80"/>
      <c r="HKB416" s="80"/>
      <c r="HKC416" s="80"/>
      <c r="HKD416" s="80"/>
      <c r="HKE416" s="80"/>
      <c r="HKF416" s="80"/>
      <c r="HKG416" s="80"/>
      <c r="HKH416" s="80"/>
      <c r="HKI416" s="80"/>
      <c r="HKJ416" s="80"/>
      <c r="HKK416" s="80"/>
      <c r="HKL416" s="80"/>
      <c r="HKM416" s="80"/>
      <c r="HKN416" s="80"/>
      <c r="HKO416" s="80"/>
      <c r="HKP416" s="80"/>
      <c r="HKQ416" s="80"/>
      <c r="HKR416" s="80"/>
      <c r="HKS416" s="80"/>
      <c r="HKT416" s="80"/>
      <c r="HKU416" s="80"/>
      <c r="HKV416" s="80"/>
      <c r="HKW416" s="80"/>
      <c r="HKX416" s="80"/>
      <c r="HKY416" s="80"/>
      <c r="HKZ416" s="80"/>
      <c r="HLA416" s="80"/>
      <c r="HLB416" s="80"/>
      <c r="HLC416" s="80"/>
      <c r="HLD416" s="80"/>
      <c r="HLE416" s="80"/>
      <c r="HLF416" s="80"/>
      <c r="HLG416" s="80"/>
      <c r="HLH416" s="80"/>
      <c r="HLI416" s="80"/>
      <c r="HLJ416" s="80"/>
      <c r="HLK416" s="80"/>
      <c r="HLL416" s="80"/>
      <c r="HLM416" s="80"/>
      <c r="HLN416" s="80"/>
      <c r="HLO416" s="80"/>
      <c r="HLP416" s="80"/>
      <c r="HLQ416" s="80"/>
      <c r="HLR416" s="80"/>
      <c r="HLS416" s="80"/>
      <c r="HLT416" s="80"/>
      <c r="HLU416" s="80"/>
      <c r="HLV416" s="80"/>
      <c r="HLW416" s="80"/>
      <c r="HLX416" s="80"/>
      <c r="HLY416" s="80"/>
      <c r="HLZ416" s="80"/>
      <c r="HMA416" s="80"/>
      <c r="HMB416" s="80"/>
      <c r="HMC416" s="80"/>
      <c r="HMD416" s="80"/>
      <c r="HME416" s="80"/>
      <c r="HMF416" s="80"/>
      <c r="HMG416" s="80"/>
      <c r="HMH416" s="80"/>
      <c r="HMI416" s="80"/>
      <c r="HMJ416" s="80"/>
      <c r="HMK416" s="80"/>
      <c r="HML416" s="80"/>
      <c r="HMM416" s="80"/>
      <c r="HMN416" s="80"/>
      <c r="HMO416" s="80"/>
      <c r="HMP416" s="80"/>
      <c r="HMQ416" s="80"/>
      <c r="HMR416" s="80"/>
      <c r="HMS416" s="80"/>
      <c r="HMT416" s="80"/>
      <c r="HMU416" s="80"/>
      <c r="HMV416" s="80"/>
      <c r="HMW416" s="80"/>
      <c r="HMX416" s="80"/>
      <c r="HMY416" s="80"/>
      <c r="HMZ416" s="80"/>
      <c r="HNA416" s="80"/>
      <c r="HNB416" s="80"/>
      <c r="HNC416" s="80"/>
      <c r="HND416" s="80"/>
      <c r="HNE416" s="80"/>
      <c r="HNF416" s="80"/>
      <c r="HNG416" s="80"/>
      <c r="HNH416" s="80"/>
      <c r="HNI416" s="80"/>
      <c r="HNJ416" s="80"/>
      <c r="HNK416" s="80"/>
      <c r="HNL416" s="80"/>
      <c r="HNM416" s="80"/>
      <c r="HNN416" s="80"/>
      <c r="HNO416" s="80"/>
      <c r="HNP416" s="80"/>
      <c r="HNQ416" s="80"/>
      <c r="HNR416" s="80"/>
      <c r="HNS416" s="80"/>
      <c r="HNT416" s="80"/>
      <c r="HNU416" s="80"/>
      <c r="HNV416" s="80"/>
      <c r="HNW416" s="80"/>
      <c r="HNX416" s="80"/>
      <c r="HNY416" s="80"/>
      <c r="HNZ416" s="80"/>
      <c r="HOA416" s="80"/>
      <c r="HOB416" s="80"/>
      <c r="HOC416" s="80"/>
      <c r="HOD416" s="80"/>
      <c r="HOE416" s="80"/>
      <c r="HOF416" s="80"/>
      <c r="HOG416" s="80"/>
      <c r="HOH416" s="80"/>
      <c r="HOI416" s="80"/>
      <c r="HOJ416" s="80"/>
      <c r="HOK416" s="80"/>
      <c r="HOL416" s="80"/>
      <c r="HOM416" s="80"/>
      <c r="HON416" s="80"/>
      <c r="HOO416" s="80"/>
      <c r="HOP416" s="80"/>
      <c r="HOQ416" s="80"/>
      <c r="HOR416" s="80"/>
      <c r="HOS416" s="80"/>
      <c r="HOT416" s="80"/>
      <c r="HOU416" s="80"/>
      <c r="HOV416" s="80"/>
      <c r="HOW416" s="80"/>
      <c r="HOX416" s="80"/>
      <c r="HOY416" s="80"/>
      <c r="HOZ416" s="80"/>
      <c r="HPA416" s="80"/>
      <c r="HPB416" s="80"/>
      <c r="HPC416" s="80"/>
      <c r="HPD416" s="80"/>
      <c r="HPE416" s="80"/>
      <c r="HPF416" s="80"/>
      <c r="HPG416" s="80"/>
      <c r="HPH416" s="80"/>
      <c r="HPI416" s="80"/>
      <c r="HPJ416" s="80"/>
      <c r="HPK416" s="80"/>
      <c r="HPL416" s="80"/>
      <c r="HPM416" s="80"/>
      <c r="HPN416" s="80"/>
      <c r="HPO416" s="80"/>
      <c r="HPP416" s="80"/>
      <c r="HPQ416" s="80"/>
      <c r="HPR416" s="80"/>
      <c r="HPS416" s="80"/>
      <c r="HPT416" s="80"/>
      <c r="HPU416" s="80"/>
      <c r="HPV416" s="80"/>
      <c r="HPW416" s="80"/>
      <c r="HPX416" s="80"/>
      <c r="HPY416" s="80"/>
      <c r="HPZ416" s="80"/>
      <c r="HQA416" s="80"/>
      <c r="HQB416" s="80"/>
      <c r="HQC416" s="80"/>
      <c r="HQD416" s="80"/>
      <c r="HQE416" s="80"/>
      <c r="HQF416" s="80"/>
      <c r="HQG416" s="80"/>
      <c r="HQH416" s="80"/>
      <c r="HQI416" s="80"/>
      <c r="HQJ416" s="80"/>
      <c r="HQK416" s="80"/>
      <c r="HQL416" s="80"/>
      <c r="HQM416" s="80"/>
      <c r="HQN416" s="80"/>
      <c r="HQO416" s="80"/>
      <c r="HQP416" s="80"/>
      <c r="HQQ416" s="80"/>
      <c r="HQR416" s="80"/>
      <c r="HQS416" s="80"/>
      <c r="HQT416" s="80"/>
      <c r="HQU416" s="80"/>
      <c r="HQV416" s="80"/>
      <c r="HQW416" s="80"/>
      <c r="HQX416" s="80"/>
      <c r="HQY416" s="80"/>
      <c r="HQZ416" s="80"/>
      <c r="HRA416" s="80"/>
      <c r="HRB416" s="80"/>
      <c r="HRC416" s="80"/>
      <c r="HRD416" s="80"/>
      <c r="HRE416" s="80"/>
      <c r="HRF416" s="80"/>
      <c r="HRG416" s="80"/>
      <c r="HRH416" s="80"/>
      <c r="HRI416" s="80"/>
      <c r="HRJ416" s="80"/>
      <c r="HRK416" s="80"/>
      <c r="HRL416" s="80"/>
      <c r="HRM416" s="80"/>
      <c r="HRN416" s="80"/>
      <c r="HRO416" s="80"/>
      <c r="HRP416" s="80"/>
      <c r="HRQ416" s="80"/>
      <c r="HRR416" s="80"/>
      <c r="HRS416" s="80"/>
      <c r="HRT416" s="80"/>
      <c r="HRU416" s="80"/>
      <c r="HRV416" s="80"/>
      <c r="HRW416" s="80"/>
      <c r="HRX416" s="80"/>
      <c r="HRY416" s="80"/>
      <c r="HRZ416" s="80"/>
      <c r="HSA416" s="80"/>
      <c r="HSB416" s="80"/>
      <c r="HSC416" s="80"/>
      <c r="HSD416" s="80"/>
      <c r="HSE416" s="80"/>
      <c r="HSF416" s="80"/>
      <c r="HSG416" s="80"/>
      <c r="HSH416" s="80"/>
      <c r="HSI416" s="80"/>
      <c r="HSJ416" s="80"/>
      <c r="HSK416" s="80"/>
      <c r="HSL416" s="80"/>
      <c r="HSM416" s="80"/>
      <c r="HSN416" s="80"/>
      <c r="HSO416" s="80"/>
      <c r="HSP416" s="80"/>
      <c r="HSQ416" s="80"/>
      <c r="HSR416" s="80"/>
      <c r="HSS416" s="80"/>
      <c r="HST416" s="80"/>
      <c r="HSU416" s="80"/>
      <c r="HSV416" s="80"/>
      <c r="HSW416" s="80"/>
      <c r="HSX416" s="80"/>
      <c r="HSY416" s="80"/>
      <c r="HSZ416" s="80"/>
      <c r="HTA416" s="80"/>
      <c r="HTB416" s="80"/>
      <c r="HTC416" s="80"/>
      <c r="HTD416" s="80"/>
      <c r="HTE416" s="80"/>
      <c r="HTF416" s="80"/>
      <c r="HTG416" s="80"/>
      <c r="HTH416" s="80"/>
      <c r="HTI416" s="80"/>
      <c r="HTJ416" s="80"/>
      <c r="HTK416" s="80"/>
      <c r="HTL416" s="80"/>
      <c r="HTM416" s="80"/>
      <c r="HTN416" s="80"/>
      <c r="HTO416" s="80"/>
      <c r="HTP416" s="80"/>
      <c r="HTQ416" s="80"/>
      <c r="HTR416" s="80"/>
      <c r="HTS416" s="80"/>
      <c r="HTT416" s="80"/>
      <c r="HTU416" s="80"/>
      <c r="HTV416" s="80"/>
      <c r="HTW416" s="80"/>
      <c r="HTX416" s="80"/>
      <c r="HTY416" s="80"/>
      <c r="HTZ416" s="80"/>
      <c r="HUA416" s="80"/>
      <c r="HUB416" s="80"/>
      <c r="HUC416" s="80"/>
      <c r="HUD416" s="80"/>
      <c r="HUE416" s="80"/>
      <c r="HUF416" s="80"/>
      <c r="HUG416" s="80"/>
      <c r="HUH416" s="80"/>
      <c r="HUI416" s="80"/>
      <c r="HUJ416" s="80"/>
      <c r="HUK416" s="80"/>
      <c r="HUL416" s="80"/>
      <c r="HUM416" s="80"/>
      <c r="HUN416" s="80"/>
      <c r="HUO416" s="80"/>
      <c r="HUP416" s="80"/>
      <c r="HUQ416" s="80"/>
      <c r="HUR416" s="80"/>
      <c r="HUS416" s="80"/>
      <c r="HUT416" s="80"/>
      <c r="HUU416" s="80"/>
      <c r="HUV416" s="80"/>
      <c r="HUW416" s="80"/>
      <c r="HUX416" s="80"/>
      <c r="HUY416" s="80"/>
      <c r="HUZ416" s="80"/>
      <c r="HVA416" s="80"/>
      <c r="HVB416" s="80"/>
      <c r="HVC416" s="80"/>
      <c r="HVD416" s="80"/>
      <c r="HVE416" s="80"/>
      <c r="HVF416" s="80"/>
      <c r="HVG416" s="80"/>
      <c r="HVH416" s="80"/>
      <c r="HVI416" s="80"/>
      <c r="HVJ416" s="80"/>
      <c r="HVK416" s="80"/>
      <c r="HVL416" s="80"/>
      <c r="HVM416" s="80"/>
      <c r="HVN416" s="80"/>
      <c r="HVO416" s="80"/>
      <c r="HVP416" s="80"/>
      <c r="HVQ416" s="80"/>
      <c r="HVR416" s="80"/>
      <c r="HVS416" s="80"/>
      <c r="HVT416" s="80"/>
      <c r="HVU416" s="80"/>
      <c r="HVV416" s="80"/>
      <c r="HVW416" s="80"/>
      <c r="HVX416" s="80"/>
      <c r="HVY416" s="80"/>
      <c r="HVZ416" s="80"/>
      <c r="HWA416" s="80"/>
      <c r="HWB416" s="80"/>
      <c r="HWC416" s="80"/>
      <c r="HWD416" s="80"/>
      <c r="HWE416" s="80"/>
      <c r="HWF416" s="80"/>
      <c r="HWG416" s="80"/>
      <c r="HWH416" s="80"/>
      <c r="HWI416" s="80"/>
      <c r="HWJ416" s="80"/>
      <c r="HWK416" s="80"/>
      <c r="HWL416" s="80"/>
      <c r="HWM416" s="80"/>
      <c r="HWN416" s="80"/>
      <c r="HWO416" s="80"/>
      <c r="HWP416" s="80"/>
      <c r="HWQ416" s="80"/>
      <c r="HWR416" s="80"/>
      <c r="HWS416" s="80"/>
      <c r="HWT416" s="80"/>
      <c r="HWU416" s="80"/>
      <c r="HWV416" s="80"/>
      <c r="HWW416" s="80"/>
      <c r="HWX416" s="80"/>
      <c r="HWY416" s="80"/>
      <c r="HWZ416" s="80"/>
      <c r="HXA416" s="80"/>
      <c r="HXB416" s="80"/>
      <c r="HXC416" s="80"/>
      <c r="HXD416" s="80"/>
      <c r="HXE416" s="80"/>
      <c r="HXF416" s="80"/>
      <c r="HXG416" s="80"/>
      <c r="HXH416" s="80"/>
      <c r="HXI416" s="80"/>
      <c r="HXJ416" s="80"/>
      <c r="HXK416" s="80"/>
      <c r="HXL416" s="80"/>
      <c r="HXM416" s="80"/>
      <c r="HXN416" s="80"/>
      <c r="HXO416" s="80"/>
      <c r="HXP416" s="80"/>
      <c r="HXQ416" s="80"/>
      <c r="HXR416" s="80"/>
      <c r="HXS416" s="80"/>
      <c r="HXT416" s="80"/>
      <c r="HXU416" s="80"/>
      <c r="HXV416" s="80"/>
      <c r="HXW416" s="80"/>
      <c r="HXX416" s="80"/>
      <c r="HXY416" s="80"/>
      <c r="HXZ416" s="80"/>
      <c r="HYA416" s="80"/>
      <c r="HYB416" s="80"/>
      <c r="HYC416" s="80"/>
      <c r="HYD416" s="80"/>
      <c r="HYE416" s="80"/>
      <c r="HYF416" s="80"/>
      <c r="HYG416" s="80"/>
      <c r="HYH416" s="80"/>
      <c r="HYI416" s="80"/>
      <c r="HYJ416" s="80"/>
      <c r="HYK416" s="80"/>
      <c r="HYL416" s="80"/>
      <c r="HYM416" s="80"/>
      <c r="HYN416" s="80"/>
      <c r="HYO416" s="80"/>
      <c r="HYP416" s="80"/>
      <c r="HYQ416" s="80"/>
      <c r="HYR416" s="80"/>
      <c r="HYS416" s="80"/>
      <c r="HYT416" s="80"/>
      <c r="HYU416" s="80"/>
      <c r="HYV416" s="80"/>
      <c r="HYW416" s="80"/>
      <c r="HYX416" s="80"/>
      <c r="HYY416" s="80"/>
      <c r="HYZ416" s="80"/>
      <c r="HZA416" s="80"/>
      <c r="HZB416" s="80"/>
      <c r="HZC416" s="80"/>
      <c r="HZD416" s="80"/>
      <c r="HZE416" s="80"/>
      <c r="HZF416" s="80"/>
      <c r="HZG416" s="80"/>
      <c r="HZH416" s="80"/>
      <c r="HZI416" s="80"/>
      <c r="HZJ416" s="80"/>
      <c r="HZK416" s="80"/>
      <c r="HZL416" s="80"/>
      <c r="HZM416" s="80"/>
      <c r="HZN416" s="80"/>
      <c r="HZO416" s="80"/>
      <c r="HZP416" s="80"/>
      <c r="HZQ416" s="80"/>
      <c r="HZR416" s="80"/>
      <c r="HZS416" s="80"/>
      <c r="HZT416" s="80"/>
      <c r="HZU416" s="80"/>
      <c r="HZV416" s="80"/>
      <c r="HZW416" s="80"/>
      <c r="HZX416" s="80"/>
      <c r="HZY416" s="80"/>
      <c r="HZZ416" s="80"/>
      <c r="IAA416" s="80"/>
      <c r="IAB416" s="80"/>
      <c r="IAC416" s="80"/>
      <c r="IAD416" s="80"/>
      <c r="IAE416" s="80"/>
      <c r="IAF416" s="80"/>
      <c r="IAG416" s="80"/>
      <c r="IAH416" s="80"/>
      <c r="IAI416" s="80"/>
      <c r="IAJ416" s="80"/>
      <c r="IAK416" s="80"/>
      <c r="IAL416" s="80"/>
      <c r="IAM416" s="80"/>
      <c r="IAN416" s="80"/>
      <c r="IAO416" s="80"/>
      <c r="IAP416" s="80"/>
      <c r="IAQ416" s="80"/>
      <c r="IAR416" s="80"/>
      <c r="IAS416" s="80"/>
      <c r="IAT416" s="80"/>
      <c r="IAU416" s="80"/>
      <c r="IAV416" s="80"/>
      <c r="IAW416" s="80"/>
      <c r="IAX416" s="80"/>
      <c r="IAY416" s="80"/>
      <c r="IAZ416" s="80"/>
      <c r="IBA416" s="80"/>
      <c r="IBB416" s="80"/>
      <c r="IBC416" s="80"/>
      <c r="IBD416" s="80"/>
      <c r="IBE416" s="80"/>
      <c r="IBF416" s="80"/>
      <c r="IBG416" s="80"/>
      <c r="IBH416" s="80"/>
      <c r="IBI416" s="80"/>
      <c r="IBJ416" s="80"/>
      <c r="IBK416" s="80"/>
      <c r="IBL416" s="80"/>
      <c r="IBM416" s="80"/>
      <c r="IBN416" s="80"/>
      <c r="IBO416" s="80"/>
      <c r="IBP416" s="80"/>
      <c r="IBQ416" s="80"/>
      <c r="IBR416" s="80"/>
      <c r="IBS416" s="80"/>
      <c r="IBT416" s="80"/>
      <c r="IBU416" s="80"/>
      <c r="IBV416" s="80"/>
      <c r="IBW416" s="80"/>
      <c r="IBX416" s="80"/>
      <c r="IBY416" s="80"/>
      <c r="IBZ416" s="80"/>
      <c r="ICA416" s="80"/>
      <c r="ICB416" s="80"/>
      <c r="ICC416" s="80"/>
      <c r="ICD416" s="80"/>
      <c r="ICE416" s="80"/>
      <c r="ICF416" s="80"/>
      <c r="ICG416" s="80"/>
      <c r="ICH416" s="80"/>
      <c r="ICI416" s="80"/>
      <c r="ICJ416" s="80"/>
      <c r="ICK416" s="80"/>
      <c r="ICL416" s="80"/>
      <c r="ICM416" s="80"/>
      <c r="ICN416" s="80"/>
      <c r="ICO416" s="80"/>
      <c r="ICP416" s="80"/>
      <c r="ICQ416" s="80"/>
      <c r="ICR416" s="80"/>
      <c r="ICS416" s="80"/>
      <c r="ICT416" s="80"/>
      <c r="ICU416" s="80"/>
      <c r="ICV416" s="80"/>
      <c r="ICW416" s="80"/>
      <c r="ICX416" s="80"/>
      <c r="ICY416" s="80"/>
      <c r="ICZ416" s="80"/>
      <c r="IDA416" s="80"/>
      <c r="IDB416" s="80"/>
      <c r="IDC416" s="80"/>
      <c r="IDD416" s="80"/>
      <c r="IDE416" s="80"/>
      <c r="IDF416" s="80"/>
      <c r="IDG416" s="80"/>
      <c r="IDH416" s="80"/>
      <c r="IDI416" s="80"/>
      <c r="IDJ416" s="80"/>
      <c r="IDK416" s="80"/>
      <c r="IDL416" s="80"/>
      <c r="IDM416" s="80"/>
      <c r="IDN416" s="80"/>
      <c r="IDO416" s="80"/>
      <c r="IDP416" s="80"/>
      <c r="IDQ416" s="80"/>
      <c r="IDR416" s="80"/>
      <c r="IDS416" s="80"/>
      <c r="IDT416" s="80"/>
      <c r="IDU416" s="80"/>
      <c r="IDV416" s="80"/>
      <c r="IDW416" s="80"/>
      <c r="IDX416" s="80"/>
      <c r="IDY416" s="80"/>
      <c r="IDZ416" s="80"/>
      <c r="IEA416" s="80"/>
      <c r="IEB416" s="80"/>
      <c r="IEC416" s="80"/>
      <c r="IED416" s="80"/>
      <c r="IEE416" s="80"/>
      <c r="IEF416" s="80"/>
      <c r="IEG416" s="80"/>
      <c r="IEH416" s="80"/>
      <c r="IEI416" s="80"/>
      <c r="IEJ416" s="80"/>
      <c r="IEK416" s="80"/>
      <c r="IEL416" s="80"/>
      <c r="IEM416" s="80"/>
      <c r="IEN416" s="80"/>
      <c r="IEO416" s="80"/>
      <c r="IEP416" s="80"/>
      <c r="IEQ416" s="80"/>
      <c r="IER416" s="80"/>
      <c r="IES416" s="80"/>
      <c r="IET416" s="80"/>
      <c r="IEU416" s="80"/>
      <c r="IEV416" s="80"/>
      <c r="IEW416" s="80"/>
      <c r="IEX416" s="80"/>
      <c r="IEY416" s="80"/>
      <c r="IEZ416" s="80"/>
      <c r="IFA416" s="80"/>
      <c r="IFB416" s="80"/>
      <c r="IFC416" s="80"/>
      <c r="IFD416" s="80"/>
      <c r="IFE416" s="80"/>
      <c r="IFF416" s="80"/>
      <c r="IFG416" s="80"/>
      <c r="IFH416" s="80"/>
      <c r="IFI416" s="80"/>
      <c r="IFJ416" s="80"/>
      <c r="IFK416" s="80"/>
      <c r="IFL416" s="80"/>
      <c r="IFM416" s="80"/>
      <c r="IFN416" s="80"/>
      <c r="IFO416" s="80"/>
      <c r="IFP416" s="80"/>
      <c r="IFQ416" s="80"/>
      <c r="IFR416" s="80"/>
      <c r="IFS416" s="80"/>
      <c r="IFT416" s="80"/>
      <c r="IFU416" s="80"/>
      <c r="IFV416" s="80"/>
      <c r="IFW416" s="80"/>
      <c r="IFX416" s="80"/>
      <c r="IFY416" s="80"/>
      <c r="IFZ416" s="80"/>
      <c r="IGA416" s="80"/>
      <c r="IGB416" s="80"/>
      <c r="IGC416" s="80"/>
      <c r="IGD416" s="80"/>
      <c r="IGE416" s="80"/>
      <c r="IGF416" s="80"/>
      <c r="IGG416" s="80"/>
      <c r="IGH416" s="80"/>
      <c r="IGI416" s="80"/>
      <c r="IGJ416" s="80"/>
      <c r="IGK416" s="80"/>
      <c r="IGL416" s="80"/>
      <c r="IGM416" s="80"/>
      <c r="IGN416" s="80"/>
      <c r="IGO416" s="80"/>
      <c r="IGP416" s="80"/>
      <c r="IGQ416" s="80"/>
      <c r="IGR416" s="80"/>
      <c r="IGS416" s="80"/>
      <c r="IGT416" s="80"/>
      <c r="IGU416" s="80"/>
      <c r="IGV416" s="80"/>
      <c r="IGW416" s="80"/>
      <c r="IGX416" s="80"/>
      <c r="IGY416" s="80"/>
      <c r="IGZ416" s="80"/>
      <c r="IHA416" s="80"/>
      <c r="IHB416" s="80"/>
      <c r="IHC416" s="80"/>
      <c r="IHD416" s="80"/>
      <c r="IHE416" s="80"/>
      <c r="IHF416" s="80"/>
      <c r="IHG416" s="80"/>
      <c r="IHH416" s="80"/>
      <c r="IHI416" s="80"/>
      <c r="IHJ416" s="80"/>
      <c r="IHK416" s="80"/>
      <c r="IHL416" s="80"/>
      <c r="IHM416" s="80"/>
      <c r="IHN416" s="80"/>
      <c r="IHO416" s="80"/>
      <c r="IHP416" s="80"/>
      <c r="IHQ416" s="80"/>
      <c r="IHR416" s="80"/>
      <c r="IHS416" s="80"/>
      <c r="IHT416" s="80"/>
      <c r="IHU416" s="80"/>
      <c r="IHV416" s="80"/>
      <c r="IHW416" s="80"/>
      <c r="IHX416" s="80"/>
      <c r="IHY416" s="80"/>
      <c r="IHZ416" s="80"/>
      <c r="IIA416" s="80"/>
      <c r="IIB416" s="80"/>
      <c r="IIC416" s="80"/>
      <c r="IID416" s="80"/>
      <c r="IIE416" s="80"/>
      <c r="IIF416" s="80"/>
      <c r="IIG416" s="80"/>
      <c r="IIH416" s="80"/>
      <c r="III416" s="80"/>
      <c r="IIJ416" s="80"/>
      <c r="IIK416" s="80"/>
      <c r="IIL416" s="80"/>
      <c r="IIM416" s="80"/>
      <c r="IIN416" s="80"/>
      <c r="IIO416" s="80"/>
      <c r="IIP416" s="80"/>
      <c r="IIQ416" s="80"/>
      <c r="IIR416" s="80"/>
      <c r="IIS416" s="80"/>
      <c r="IIT416" s="80"/>
      <c r="IIU416" s="80"/>
      <c r="IIV416" s="80"/>
      <c r="IIW416" s="80"/>
      <c r="IIX416" s="80"/>
      <c r="IIY416" s="80"/>
      <c r="IIZ416" s="80"/>
      <c r="IJA416" s="80"/>
      <c r="IJB416" s="80"/>
      <c r="IJC416" s="80"/>
      <c r="IJD416" s="80"/>
      <c r="IJE416" s="80"/>
      <c r="IJF416" s="80"/>
      <c r="IJG416" s="80"/>
      <c r="IJH416" s="80"/>
      <c r="IJI416" s="80"/>
      <c r="IJJ416" s="80"/>
      <c r="IJK416" s="80"/>
      <c r="IJL416" s="80"/>
      <c r="IJM416" s="80"/>
      <c r="IJN416" s="80"/>
      <c r="IJO416" s="80"/>
      <c r="IJP416" s="80"/>
      <c r="IJQ416" s="80"/>
      <c r="IJR416" s="80"/>
      <c r="IJS416" s="80"/>
      <c r="IJT416" s="80"/>
      <c r="IJU416" s="80"/>
      <c r="IJV416" s="80"/>
      <c r="IJW416" s="80"/>
      <c r="IJX416" s="80"/>
      <c r="IJY416" s="80"/>
      <c r="IJZ416" s="80"/>
      <c r="IKA416" s="80"/>
      <c r="IKB416" s="80"/>
      <c r="IKC416" s="80"/>
      <c r="IKD416" s="80"/>
      <c r="IKE416" s="80"/>
      <c r="IKF416" s="80"/>
      <c r="IKG416" s="80"/>
      <c r="IKH416" s="80"/>
      <c r="IKI416" s="80"/>
      <c r="IKJ416" s="80"/>
      <c r="IKK416" s="80"/>
      <c r="IKL416" s="80"/>
      <c r="IKM416" s="80"/>
      <c r="IKN416" s="80"/>
      <c r="IKO416" s="80"/>
      <c r="IKP416" s="80"/>
      <c r="IKQ416" s="80"/>
      <c r="IKR416" s="80"/>
      <c r="IKS416" s="80"/>
      <c r="IKT416" s="80"/>
      <c r="IKU416" s="80"/>
      <c r="IKV416" s="80"/>
      <c r="IKW416" s="80"/>
      <c r="IKX416" s="80"/>
      <c r="IKY416" s="80"/>
      <c r="IKZ416" s="80"/>
      <c r="ILA416" s="80"/>
      <c r="ILB416" s="80"/>
      <c r="ILC416" s="80"/>
      <c r="ILD416" s="80"/>
      <c r="ILE416" s="80"/>
      <c r="ILF416" s="80"/>
      <c r="ILG416" s="80"/>
      <c r="ILH416" s="80"/>
      <c r="ILI416" s="80"/>
      <c r="ILJ416" s="80"/>
      <c r="ILK416" s="80"/>
      <c r="ILL416" s="80"/>
      <c r="ILM416" s="80"/>
      <c r="ILN416" s="80"/>
      <c r="ILO416" s="80"/>
      <c r="ILP416" s="80"/>
      <c r="ILQ416" s="80"/>
      <c r="ILR416" s="80"/>
      <c r="ILS416" s="80"/>
      <c r="ILT416" s="80"/>
      <c r="ILU416" s="80"/>
      <c r="ILV416" s="80"/>
      <c r="ILW416" s="80"/>
      <c r="ILX416" s="80"/>
      <c r="ILY416" s="80"/>
      <c r="ILZ416" s="80"/>
      <c r="IMA416" s="80"/>
      <c r="IMB416" s="80"/>
      <c r="IMC416" s="80"/>
      <c r="IMD416" s="80"/>
      <c r="IME416" s="80"/>
      <c r="IMF416" s="80"/>
      <c r="IMG416" s="80"/>
      <c r="IMH416" s="80"/>
      <c r="IMI416" s="80"/>
      <c r="IMJ416" s="80"/>
      <c r="IMK416" s="80"/>
      <c r="IML416" s="80"/>
      <c r="IMM416" s="80"/>
      <c r="IMN416" s="80"/>
      <c r="IMO416" s="80"/>
      <c r="IMP416" s="80"/>
      <c r="IMQ416" s="80"/>
      <c r="IMR416" s="80"/>
      <c r="IMS416" s="80"/>
      <c r="IMT416" s="80"/>
      <c r="IMU416" s="80"/>
      <c r="IMV416" s="80"/>
      <c r="IMW416" s="80"/>
      <c r="IMX416" s="80"/>
      <c r="IMY416" s="80"/>
      <c r="IMZ416" s="80"/>
      <c r="INA416" s="80"/>
      <c r="INB416" s="80"/>
      <c r="INC416" s="80"/>
      <c r="IND416" s="80"/>
      <c r="INE416" s="80"/>
      <c r="INF416" s="80"/>
      <c r="ING416" s="80"/>
      <c r="INH416" s="80"/>
      <c r="INI416" s="80"/>
      <c r="INJ416" s="80"/>
      <c r="INK416" s="80"/>
      <c r="INL416" s="80"/>
      <c r="INM416" s="80"/>
      <c r="INN416" s="80"/>
      <c r="INO416" s="80"/>
      <c r="INP416" s="80"/>
      <c r="INQ416" s="80"/>
      <c r="INR416" s="80"/>
      <c r="INS416" s="80"/>
      <c r="INT416" s="80"/>
      <c r="INU416" s="80"/>
      <c r="INV416" s="80"/>
      <c r="INW416" s="80"/>
      <c r="INX416" s="80"/>
      <c r="INY416" s="80"/>
      <c r="INZ416" s="80"/>
      <c r="IOA416" s="80"/>
      <c r="IOB416" s="80"/>
      <c r="IOC416" s="80"/>
      <c r="IOD416" s="80"/>
      <c r="IOE416" s="80"/>
      <c r="IOF416" s="80"/>
      <c r="IOG416" s="80"/>
      <c r="IOH416" s="80"/>
      <c r="IOI416" s="80"/>
      <c r="IOJ416" s="80"/>
      <c r="IOK416" s="80"/>
      <c r="IOL416" s="80"/>
      <c r="IOM416" s="80"/>
      <c r="ION416" s="80"/>
      <c r="IOO416" s="80"/>
      <c r="IOP416" s="80"/>
      <c r="IOQ416" s="80"/>
      <c r="IOR416" s="80"/>
      <c r="IOS416" s="80"/>
      <c r="IOT416" s="80"/>
      <c r="IOU416" s="80"/>
      <c r="IOV416" s="80"/>
      <c r="IOW416" s="80"/>
      <c r="IOX416" s="80"/>
      <c r="IOY416" s="80"/>
      <c r="IOZ416" s="80"/>
      <c r="IPA416" s="80"/>
      <c r="IPB416" s="80"/>
      <c r="IPC416" s="80"/>
      <c r="IPD416" s="80"/>
      <c r="IPE416" s="80"/>
      <c r="IPF416" s="80"/>
      <c r="IPG416" s="80"/>
      <c r="IPH416" s="80"/>
      <c r="IPI416" s="80"/>
      <c r="IPJ416" s="80"/>
      <c r="IPK416" s="80"/>
      <c r="IPL416" s="80"/>
      <c r="IPM416" s="80"/>
      <c r="IPN416" s="80"/>
      <c r="IPO416" s="80"/>
      <c r="IPP416" s="80"/>
      <c r="IPQ416" s="80"/>
      <c r="IPR416" s="80"/>
      <c r="IPS416" s="80"/>
      <c r="IPT416" s="80"/>
      <c r="IPU416" s="80"/>
      <c r="IPV416" s="80"/>
      <c r="IPW416" s="80"/>
      <c r="IPX416" s="80"/>
      <c r="IPY416" s="80"/>
      <c r="IPZ416" s="80"/>
      <c r="IQA416" s="80"/>
      <c r="IQB416" s="80"/>
      <c r="IQC416" s="80"/>
      <c r="IQD416" s="80"/>
      <c r="IQE416" s="80"/>
      <c r="IQF416" s="80"/>
      <c r="IQG416" s="80"/>
      <c r="IQH416" s="80"/>
      <c r="IQI416" s="80"/>
      <c r="IQJ416" s="80"/>
      <c r="IQK416" s="80"/>
      <c r="IQL416" s="80"/>
      <c r="IQM416" s="80"/>
      <c r="IQN416" s="80"/>
      <c r="IQO416" s="80"/>
      <c r="IQP416" s="80"/>
      <c r="IQQ416" s="80"/>
      <c r="IQR416" s="80"/>
      <c r="IQS416" s="80"/>
      <c r="IQT416" s="80"/>
      <c r="IQU416" s="80"/>
      <c r="IQV416" s="80"/>
      <c r="IQW416" s="80"/>
      <c r="IQX416" s="80"/>
      <c r="IQY416" s="80"/>
      <c r="IQZ416" s="80"/>
      <c r="IRA416" s="80"/>
      <c r="IRB416" s="80"/>
      <c r="IRC416" s="80"/>
      <c r="IRD416" s="80"/>
      <c r="IRE416" s="80"/>
      <c r="IRF416" s="80"/>
      <c r="IRG416" s="80"/>
      <c r="IRH416" s="80"/>
      <c r="IRI416" s="80"/>
      <c r="IRJ416" s="80"/>
      <c r="IRK416" s="80"/>
      <c r="IRL416" s="80"/>
      <c r="IRM416" s="80"/>
      <c r="IRN416" s="80"/>
      <c r="IRO416" s="80"/>
      <c r="IRP416" s="80"/>
      <c r="IRQ416" s="80"/>
      <c r="IRR416" s="80"/>
      <c r="IRS416" s="80"/>
      <c r="IRT416" s="80"/>
      <c r="IRU416" s="80"/>
      <c r="IRV416" s="80"/>
      <c r="IRW416" s="80"/>
      <c r="IRX416" s="80"/>
      <c r="IRY416" s="80"/>
      <c r="IRZ416" s="80"/>
      <c r="ISA416" s="80"/>
      <c r="ISB416" s="80"/>
      <c r="ISC416" s="80"/>
      <c r="ISD416" s="80"/>
      <c r="ISE416" s="80"/>
      <c r="ISF416" s="80"/>
      <c r="ISG416" s="80"/>
      <c r="ISH416" s="80"/>
      <c r="ISI416" s="80"/>
      <c r="ISJ416" s="80"/>
      <c r="ISK416" s="80"/>
      <c r="ISL416" s="80"/>
      <c r="ISM416" s="80"/>
      <c r="ISN416" s="80"/>
      <c r="ISO416" s="80"/>
      <c r="ISP416" s="80"/>
      <c r="ISQ416" s="80"/>
      <c r="ISR416" s="80"/>
      <c r="ISS416" s="80"/>
      <c r="IST416" s="80"/>
      <c r="ISU416" s="80"/>
      <c r="ISV416" s="80"/>
      <c r="ISW416" s="80"/>
      <c r="ISX416" s="80"/>
      <c r="ISY416" s="80"/>
      <c r="ISZ416" s="80"/>
      <c r="ITA416" s="80"/>
      <c r="ITB416" s="80"/>
      <c r="ITC416" s="80"/>
      <c r="ITD416" s="80"/>
      <c r="ITE416" s="80"/>
      <c r="ITF416" s="80"/>
      <c r="ITG416" s="80"/>
      <c r="ITH416" s="80"/>
      <c r="ITI416" s="80"/>
      <c r="ITJ416" s="80"/>
      <c r="ITK416" s="80"/>
      <c r="ITL416" s="80"/>
      <c r="ITM416" s="80"/>
      <c r="ITN416" s="80"/>
      <c r="ITO416" s="80"/>
      <c r="ITP416" s="80"/>
      <c r="ITQ416" s="80"/>
      <c r="ITR416" s="80"/>
      <c r="ITS416" s="80"/>
      <c r="ITT416" s="80"/>
      <c r="ITU416" s="80"/>
      <c r="ITV416" s="80"/>
      <c r="ITW416" s="80"/>
      <c r="ITX416" s="80"/>
      <c r="ITY416" s="80"/>
      <c r="ITZ416" s="80"/>
      <c r="IUA416" s="80"/>
      <c r="IUB416" s="80"/>
      <c r="IUC416" s="80"/>
      <c r="IUD416" s="80"/>
      <c r="IUE416" s="80"/>
      <c r="IUF416" s="80"/>
      <c r="IUG416" s="80"/>
      <c r="IUH416" s="80"/>
      <c r="IUI416" s="80"/>
      <c r="IUJ416" s="80"/>
      <c r="IUK416" s="80"/>
      <c r="IUL416" s="80"/>
      <c r="IUM416" s="80"/>
      <c r="IUN416" s="80"/>
      <c r="IUO416" s="80"/>
      <c r="IUP416" s="80"/>
      <c r="IUQ416" s="80"/>
      <c r="IUR416" s="80"/>
      <c r="IUS416" s="80"/>
      <c r="IUT416" s="80"/>
      <c r="IUU416" s="80"/>
      <c r="IUV416" s="80"/>
      <c r="IUW416" s="80"/>
      <c r="IUX416" s="80"/>
      <c r="IUY416" s="80"/>
      <c r="IUZ416" s="80"/>
      <c r="IVA416" s="80"/>
      <c r="IVB416" s="80"/>
      <c r="IVC416" s="80"/>
      <c r="IVD416" s="80"/>
      <c r="IVE416" s="80"/>
      <c r="IVF416" s="80"/>
      <c r="IVG416" s="80"/>
      <c r="IVH416" s="80"/>
      <c r="IVI416" s="80"/>
      <c r="IVJ416" s="80"/>
      <c r="IVK416" s="80"/>
      <c r="IVL416" s="80"/>
      <c r="IVM416" s="80"/>
      <c r="IVN416" s="80"/>
      <c r="IVO416" s="80"/>
      <c r="IVP416" s="80"/>
      <c r="IVQ416" s="80"/>
      <c r="IVR416" s="80"/>
      <c r="IVS416" s="80"/>
      <c r="IVT416" s="80"/>
      <c r="IVU416" s="80"/>
      <c r="IVV416" s="80"/>
      <c r="IVW416" s="80"/>
      <c r="IVX416" s="80"/>
      <c r="IVY416" s="80"/>
      <c r="IVZ416" s="80"/>
      <c r="IWA416" s="80"/>
      <c r="IWB416" s="80"/>
      <c r="IWC416" s="80"/>
      <c r="IWD416" s="80"/>
      <c r="IWE416" s="80"/>
      <c r="IWF416" s="80"/>
      <c r="IWG416" s="80"/>
      <c r="IWH416" s="80"/>
      <c r="IWI416" s="80"/>
      <c r="IWJ416" s="80"/>
      <c r="IWK416" s="80"/>
      <c r="IWL416" s="80"/>
      <c r="IWM416" s="80"/>
      <c r="IWN416" s="80"/>
      <c r="IWO416" s="80"/>
      <c r="IWP416" s="80"/>
      <c r="IWQ416" s="80"/>
      <c r="IWR416" s="80"/>
      <c r="IWS416" s="80"/>
      <c r="IWT416" s="80"/>
      <c r="IWU416" s="80"/>
      <c r="IWV416" s="80"/>
      <c r="IWW416" s="80"/>
      <c r="IWX416" s="80"/>
      <c r="IWY416" s="80"/>
      <c r="IWZ416" s="80"/>
      <c r="IXA416" s="80"/>
      <c r="IXB416" s="80"/>
      <c r="IXC416" s="80"/>
      <c r="IXD416" s="80"/>
      <c r="IXE416" s="80"/>
      <c r="IXF416" s="80"/>
      <c r="IXG416" s="80"/>
      <c r="IXH416" s="80"/>
      <c r="IXI416" s="80"/>
      <c r="IXJ416" s="80"/>
      <c r="IXK416" s="80"/>
      <c r="IXL416" s="80"/>
      <c r="IXM416" s="80"/>
      <c r="IXN416" s="80"/>
      <c r="IXO416" s="80"/>
      <c r="IXP416" s="80"/>
      <c r="IXQ416" s="80"/>
      <c r="IXR416" s="80"/>
      <c r="IXS416" s="80"/>
      <c r="IXT416" s="80"/>
      <c r="IXU416" s="80"/>
      <c r="IXV416" s="80"/>
      <c r="IXW416" s="80"/>
      <c r="IXX416" s="80"/>
      <c r="IXY416" s="80"/>
      <c r="IXZ416" s="80"/>
      <c r="IYA416" s="80"/>
      <c r="IYB416" s="80"/>
      <c r="IYC416" s="80"/>
      <c r="IYD416" s="80"/>
      <c r="IYE416" s="80"/>
      <c r="IYF416" s="80"/>
      <c r="IYG416" s="80"/>
      <c r="IYH416" s="80"/>
      <c r="IYI416" s="80"/>
      <c r="IYJ416" s="80"/>
      <c r="IYK416" s="80"/>
      <c r="IYL416" s="80"/>
      <c r="IYM416" s="80"/>
      <c r="IYN416" s="80"/>
      <c r="IYO416" s="80"/>
      <c r="IYP416" s="80"/>
      <c r="IYQ416" s="80"/>
      <c r="IYR416" s="80"/>
      <c r="IYS416" s="80"/>
      <c r="IYT416" s="80"/>
      <c r="IYU416" s="80"/>
      <c r="IYV416" s="80"/>
      <c r="IYW416" s="80"/>
      <c r="IYX416" s="80"/>
      <c r="IYY416" s="80"/>
      <c r="IYZ416" s="80"/>
      <c r="IZA416" s="80"/>
      <c r="IZB416" s="80"/>
      <c r="IZC416" s="80"/>
      <c r="IZD416" s="80"/>
      <c r="IZE416" s="80"/>
      <c r="IZF416" s="80"/>
      <c r="IZG416" s="80"/>
      <c r="IZH416" s="80"/>
      <c r="IZI416" s="80"/>
      <c r="IZJ416" s="80"/>
      <c r="IZK416" s="80"/>
      <c r="IZL416" s="80"/>
      <c r="IZM416" s="80"/>
      <c r="IZN416" s="80"/>
      <c r="IZO416" s="80"/>
      <c r="IZP416" s="80"/>
      <c r="IZQ416" s="80"/>
      <c r="IZR416" s="80"/>
      <c r="IZS416" s="80"/>
      <c r="IZT416" s="80"/>
      <c r="IZU416" s="80"/>
      <c r="IZV416" s="80"/>
      <c r="IZW416" s="80"/>
      <c r="IZX416" s="80"/>
      <c r="IZY416" s="80"/>
      <c r="IZZ416" s="80"/>
      <c r="JAA416" s="80"/>
      <c r="JAB416" s="80"/>
      <c r="JAC416" s="80"/>
      <c r="JAD416" s="80"/>
      <c r="JAE416" s="80"/>
      <c r="JAF416" s="80"/>
      <c r="JAG416" s="80"/>
      <c r="JAH416" s="80"/>
      <c r="JAI416" s="80"/>
      <c r="JAJ416" s="80"/>
      <c r="JAK416" s="80"/>
      <c r="JAL416" s="80"/>
      <c r="JAM416" s="80"/>
      <c r="JAN416" s="80"/>
      <c r="JAO416" s="80"/>
      <c r="JAP416" s="80"/>
      <c r="JAQ416" s="80"/>
      <c r="JAR416" s="80"/>
      <c r="JAS416" s="80"/>
      <c r="JAT416" s="80"/>
      <c r="JAU416" s="80"/>
      <c r="JAV416" s="80"/>
      <c r="JAW416" s="80"/>
      <c r="JAX416" s="80"/>
      <c r="JAY416" s="80"/>
      <c r="JAZ416" s="80"/>
      <c r="JBA416" s="80"/>
      <c r="JBB416" s="80"/>
      <c r="JBC416" s="80"/>
      <c r="JBD416" s="80"/>
      <c r="JBE416" s="80"/>
      <c r="JBF416" s="80"/>
      <c r="JBG416" s="80"/>
      <c r="JBH416" s="80"/>
      <c r="JBI416" s="80"/>
      <c r="JBJ416" s="80"/>
      <c r="JBK416" s="80"/>
      <c r="JBL416" s="80"/>
      <c r="JBM416" s="80"/>
      <c r="JBN416" s="80"/>
      <c r="JBO416" s="80"/>
      <c r="JBP416" s="80"/>
      <c r="JBQ416" s="80"/>
      <c r="JBR416" s="80"/>
      <c r="JBS416" s="80"/>
      <c r="JBT416" s="80"/>
      <c r="JBU416" s="80"/>
      <c r="JBV416" s="80"/>
      <c r="JBW416" s="80"/>
      <c r="JBX416" s="80"/>
      <c r="JBY416" s="80"/>
      <c r="JBZ416" s="80"/>
      <c r="JCA416" s="80"/>
      <c r="JCB416" s="80"/>
      <c r="JCC416" s="80"/>
      <c r="JCD416" s="80"/>
      <c r="JCE416" s="80"/>
      <c r="JCF416" s="80"/>
      <c r="JCG416" s="80"/>
      <c r="JCH416" s="80"/>
      <c r="JCI416" s="80"/>
      <c r="JCJ416" s="80"/>
      <c r="JCK416" s="80"/>
      <c r="JCL416" s="80"/>
      <c r="JCM416" s="80"/>
      <c r="JCN416" s="80"/>
      <c r="JCO416" s="80"/>
      <c r="JCP416" s="80"/>
      <c r="JCQ416" s="80"/>
      <c r="JCR416" s="80"/>
      <c r="JCS416" s="80"/>
      <c r="JCT416" s="80"/>
      <c r="JCU416" s="80"/>
      <c r="JCV416" s="80"/>
      <c r="JCW416" s="80"/>
      <c r="JCX416" s="80"/>
      <c r="JCY416" s="80"/>
      <c r="JCZ416" s="80"/>
      <c r="JDA416" s="80"/>
      <c r="JDB416" s="80"/>
      <c r="JDC416" s="80"/>
      <c r="JDD416" s="80"/>
      <c r="JDE416" s="80"/>
      <c r="JDF416" s="80"/>
      <c r="JDG416" s="80"/>
      <c r="JDH416" s="80"/>
      <c r="JDI416" s="80"/>
      <c r="JDJ416" s="80"/>
      <c r="JDK416" s="80"/>
      <c r="JDL416" s="80"/>
      <c r="JDM416" s="80"/>
      <c r="JDN416" s="80"/>
      <c r="JDO416" s="80"/>
      <c r="JDP416" s="80"/>
      <c r="JDQ416" s="80"/>
      <c r="JDR416" s="80"/>
      <c r="JDS416" s="80"/>
      <c r="JDT416" s="80"/>
      <c r="JDU416" s="80"/>
      <c r="JDV416" s="80"/>
      <c r="JDW416" s="80"/>
      <c r="JDX416" s="80"/>
      <c r="JDY416" s="80"/>
      <c r="JDZ416" s="80"/>
      <c r="JEA416" s="80"/>
      <c r="JEB416" s="80"/>
      <c r="JEC416" s="80"/>
      <c r="JED416" s="80"/>
      <c r="JEE416" s="80"/>
      <c r="JEF416" s="80"/>
      <c r="JEG416" s="80"/>
      <c r="JEH416" s="80"/>
      <c r="JEI416" s="80"/>
      <c r="JEJ416" s="80"/>
      <c r="JEK416" s="80"/>
      <c r="JEL416" s="80"/>
      <c r="JEM416" s="80"/>
      <c r="JEN416" s="80"/>
      <c r="JEO416" s="80"/>
      <c r="JEP416" s="80"/>
      <c r="JEQ416" s="80"/>
      <c r="JER416" s="80"/>
      <c r="JES416" s="80"/>
      <c r="JET416" s="80"/>
      <c r="JEU416" s="80"/>
      <c r="JEV416" s="80"/>
      <c r="JEW416" s="80"/>
      <c r="JEX416" s="80"/>
      <c r="JEY416" s="80"/>
      <c r="JEZ416" s="80"/>
      <c r="JFA416" s="80"/>
      <c r="JFB416" s="80"/>
      <c r="JFC416" s="80"/>
      <c r="JFD416" s="80"/>
      <c r="JFE416" s="80"/>
      <c r="JFF416" s="80"/>
      <c r="JFG416" s="80"/>
      <c r="JFH416" s="80"/>
      <c r="JFI416" s="80"/>
      <c r="JFJ416" s="80"/>
      <c r="JFK416" s="80"/>
      <c r="JFL416" s="80"/>
      <c r="JFM416" s="80"/>
      <c r="JFN416" s="80"/>
      <c r="JFO416" s="80"/>
      <c r="JFP416" s="80"/>
      <c r="JFQ416" s="80"/>
      <c r="JFR416" s="80"/>
      <c r="JFS416" s="80"/>
      <c r="JFT416" s="80"/>
      <c r="JFU416" s="80"/>
      <c r="JFV416" s="80"/>
      <c r="JFW416" s="80"/>
      <c r="JFX416" s="80"/>
      <c r="JFY416" s="80"/>
      <c r="JFZ416" s="80"/>
      <c r="JGA416" s="80"/>
      <c r="JGB416" s="80"/>
      <c r="JGC416" s="80"/>
      <c r="JGD416" s="80"/>
      <c r="JGE416" s="80"/>
      <c r="JGF416" s="80"/>
      <c r="JGG416" s="80"/>
      <c r="JGH416" s="80"/>
      <c r="JGI416" s="80"/>
      <c r="JGJ416" s="80"/>
      <c r="JGK416" s="80"/>
      <c r="JGL416" s="80"/>
      <c r="JGM416" s="80"/>
      <c r="JGN416" s="80"/>
      <c r="JGO416" s="80"/>
      <c r="JGP416" s="80"/>
      <c r="JGQ416" s="80"/>
      <c r="JGR416" s="80"/>
      <c r="JGS416" s="80"/>
      <c r="JGT416" s="80"/>
      <c r="JGU416" s="80"/>
      <c r="JGV416" s="80"/>
      <c r="JGW416" s="80"/>
      <c r="JGX416" s="80"/>
      <c r="JGY416" s="80"/>
      <c r="JGZ416" s="80"/>
      <c r="JHA416" s="80"/>
      <c r="JHB416" s="80"/>
      <c r="JHC416" s="80"/>
      <c r="JHD416" s="80"/>
      <c r="JHE416" s="80"/>
      <c r="JHF416" s="80"/>
      <c r="JHG416" s="80"/>
      <c r="JHH416" s="80"/>
      <c r="JHI416" s="80"/>
      <c r="JHJ416" s="80"/>
      <c r="JHK416" s="80"/>
      <c r="JHL416" s="80"/>
      <c r="JHM416" s="80"/>
      <c r="JHN416" s="80"/>
      <c r="JHO416" s="80"/>
      <c r="JHP416" s="80"/>
      <c r="JHQ416" s="80"/>
      <c r="JHR416" s="80"/>
      <c r="JHS416" s="80"/>
      <c r="JHT416" s="80"/>
      <c r="JHU416" s="80"/>
      <c r="JHV416" s="80"/>
      <c r="JHW416" s="80"/>
      <c r="JHX416" s="80"/>
      <c r="JHY416" s="80"/>
      <c r="JHZ416" s="80"/>
      <c r="JIA416" s="80"/>
      <c r="JIB416" s="80"/>
      <c r="JIC416" s="80"/>
      <c r="JID416" s="80"/>
      <c r="JIE416" s="80"/>
      <c r="JIF416" s="80"/>
      <c r="JIG416" s="80"/>
      <c r="JIH416" s="80"/>
      <c r="JII416" s="80"/>
      <c r="JIJ416" s="80"/>
      <c r="JIK416" s="80"/>
      <c r="JIL416" s="80"/>
      <c r="JIM416" s="80"/>
      <c r="JIN416" s="80"/>
      <c r="JIO416" s="80"/>
      <c r="JIP416" s="80"/>
      <c r="JIQ416" s="80"/>
      <c r="JIR416" s="80"/>
      <c r="JIS416" s="80"/>
      <c r="JIT416" s="80"/>
      <c r="JIU416" s="80"/>
      <c r="JIV416" s="80"/>
      <c r="JIW416" s="80"/>
      <c r="JIX416" s="80"/>
      <c r="JIY416" s="80"/>
      <c r="JIZ416" s="80"/>
      <c r="JJA416" s="80"/>
      <c r="JJB416" s="80"/>
      <c r="JJC416" s="80"/>
      <c r="JJD416" s="80"/>
      <c r="JJE416" s="80"/>
      <c r="JJF416" s="80"/>
      <c r="JJG416" s="80"/>
      <c r="JJH416" s="80"/>
      <c r="JJI416" s="80"/>
      <c r="JJJ416" s="80"/>
      <c r="JJK416" s="80"/>
      <c r="JJL416" s="80"/>
      <c r="JJM416" s="80"/>
      <c r="JJN416" s="80"/>
      <c r="JJO416" s="80"/>
      <c r="JJP416" s="80"/>
      <c r="JJQ416" s="80"/>
      <c r="JJR416" s="80"/>
      <c r="JJS416" s="80"/>
      <c r="JJT416" s="80"/>
      <c r="JJU416" s="80"/>
      <c r="JJV416" s="80"/>
      <c r="JJW416" s="80"/>
      <c r="JJX416" s="80"/>
      <c r="JJY416" s="80"/>
      <c r="JJZ416" s="80"/>
      <c r="JKA416" s="80"/>
      <c r="JKB416" s="80"/>
      <c r="JKC416" s="80"/>
      <c r="JKD416" s="80"/>
      <c r="JKE416" s="80"/>
      <c r="JKF416" s="80"/>
      <c r="JKG416" s="80"/>
      <c r="JKH416" s="80"/>
      <c r="JKI416" s="80"/>
      <c r="JKJ416" s="80"/>
      <c r="JKK416" s="80"/>
      <c r="JKL416" s="80"/>
      <c r="JKM416" s="80"/>
      <c r="JKN416" s="80"/>
      <c r="JKO416" s="80"/>
      <c r="JKP416" s="80"/>
      <c r="JKQ416" s="80"/>
      <c r="JKR416" s="80"/>
      <c r="JKS416" s="80"/>
      <c r="JKT416" s="80"/>
      <c r="JKU416" s="80"/>
      <c r="JKV416" s="80"/>
      <c r="JKW416" s="80"/>
      <c r="JKX416" s="80"/>
      <c r="JKY416" s="80"/>
      <c r="JKZ416" s="80"/>
      <c r="JLA416" s="80"/>
      <c r="JLB416" s="80"/>
      <c r="JLC416" s="80"/>
      <c r="JLD416" s="80"/>
      <c r="JLE416" s="80"/>
      <c r="JLF416" s="80"/>
      <c r="JLG416" s="80"/>
      <c r="JLH416" s="80"/>
      <c r="JLI416" s="80"/>
      <c r="JLJ416" s="80"/>
      <c r="JLK416" s="80"/>
      <c r="JLL416" s="80"/>
      <c r="JLM416" s="80"/>
      <c r="JLN416" s="80"/>
      <c r="JLO416" s="80"/>
      <c r="JLP416" s="80"/>
      <c r="JLQ416" s="80"/>
      <c r="JLR416" s="80"/>
      <c r="JLS416" s="80"/>
      <c r="JLT416" s="80"/>
      <c r="JLU416" s="80"/>
      <c r="JLV416" s="80"/>
      <c r="JLW416" s="80"/>
      <c r="JLX416" s="80"/>
      <c r="JLY416" s="80"/>
      <c r="JLZ416" s="80"/>
      <c r="JMA416" s="80"/>
      <c r="JMB416" s="80"/>
      <c r="JMC416" s="80"/>
      <c r="JMD416" s="80"/>
      <c r="JME416" s="80"/>
      <c r="JMF416" s="80"/>
      <c r="JMG416" s="80"/>
      <c r="JMH416" s="80"/>
      <c r="JMI416" s="80"/>
      <c r="JMJ416" s="80"/>
      <c r="JMK416" s="80"/>
      <c r="JML416" s="80"/>
      <c r="JMM416" s="80"/>
      <c r="JMN416" s="80"/>
      <c r="JMO416" s="80"/>
      <c r="JMP416" s="80"/>
      <c r="JMQ416" s="80"/>
      <c r="JMR416" s="80"/>
      <c r="JMS416" s="80"/>
      <c r="JMT416" s="80"/>
      <c r="JMU416" s="80"/>
      <c r="JMV416" s="80"/>
      <c r="JMW416" s="80"/>
      <c r="JMX416" s="80"/>
      <c r="JMY416" s="80"/>
      <c r="JMZ416" s="80"/>
      <c r="JNA416" s="80"/>
      <c r="JNB416" s="80"/>
      <c r="JNC416" s="80"/>
      <c r="JND416" s="80"/>
      <c r="JNE416" s="80"/>
      <c r="JNF416" s="80"/>
      <c r="JNG416" s="80"/>
      <c r="JNH416" s="80"/>
      <c r="JNI416" s="80"/>
      <c r="JNJ416" s="80"/>
      <c r="JNK416" s="80"/>
      <c r="JNL416" s="80"/>
      <c r="JNM416" s="80"/>
      <c r="JNN416" s="80"/>
      <c r="JNO416" s="80"/>
      <c r="JNP416" s="80"/>
      <c r="JNQ416" s="80"/>
      <c r="JNR416" s="80"/>
      <c r="JNS416" s="80"/>
      <c r="JNT416" s="80"/>
      <c r="JNU416" s="80"/>
      <c r="JNV416" s="80"/>
      <c r="JNW416" s="80"/>
      <c r="JNX416" s="80"/>
      <c r="JNY416" s="80"/>
      <c r="JNZ416" s="80"/>
      <c r="JOA416" s="80"/>
      <c r="JOB416" s="80"/>
      <c r="JOC416" s="80"/>
      <c r="JOD416" s="80"/>
      <c r="JOE416" s="80"/>
      <c r="JOF416" s="80"/>
      <c r="JOG416" s="80"/>
      <c r="JOH416" s="80"/>
      <c r="JOI416" s="80"/>
      <c r="JOJ416" s="80"/>
      <c r="JOK416" s="80"/>
      <c r="JOL416" s="80"/>
      <c r="JOM416" s="80"/>
      <c r="JON416" s="80"/>
      <c r="JOO416" s="80"/>
      <c r="JOP416" s="80"/>
      <c r="JOQ416" s="80"/>
      <c r="JOR416" s="80"/>
      <c r="JOS416" s="80"/>
      <c r="JOT416" s="80"/>
      <c r="JOU416" s="80"/>
      <c r="JOV416" s="80"/>
      <c r="JOW416" s="80"/>
      <c r="JOX416" s="80"/>
      <c r="JOY416" s="80"/>
      <c r="JOZ416" s="80"/>
      <c r="JPA416" s="80"/>
      <c r="JPB416" s="80"/>
      <c r="JPC416" s="80"/>
      <c r="JPD416" s="80"/>
      <c r="JPE416" s="80"/>
      <c r="JPF416" s="80"/>
      <c r="JPG416" s="80"/>
      <c r="JPH416" s="80"/>
      <c r="JPI416" s="80"/>
      <c r="JPJ416" s="80"/>
      <c r="JPK416" s="80"/>
      <c r="JPL416" s="80"/>
      <c r="JPM416" s="80"/>
      <c r="JPN416" s="80"/>
      <c r="JPO416" s="80"/>
      <c r="JPP416" s="80"/>
      <c r="JPQ416" s="80"/>
      <c r="JPR416" s="80"/>
      <c r="JPS416" s="80"/>
      <c r="JPT416" s="80"/>
      <c r="JPU416" s="80"/>
      <c r="JPV416" s="80"/>
      <c r="JPW416" s="80"/>
      <c r="JPX416" s="80"/>
      <c r="JPY416" s="80"/>
      <c r="JPZ416" s="80"/>
      <c r="JQA416" s="80"/>
      <c r="JQB416" s="80"/>
      <c r="JQC416" s="80"/>
      <c r="JQD416" s="80"/>
      <c r="JQE416" s="80"/>
      <c r="JQF416" s="80"/>
      <c r="JQG416" s="80"/>
      <c r="JQH416" s="80"/>
      <c r="JQI416" s="80"/>
      <c r="JQJ416" s="80"/>
      <c r="JQK416" s="80"/>
      <c r="JQL416" s="80"/>
      <c r="JQM416" s="80"/>
      <c r="JQN416" s="80"/>
      <c r="JQO416" s="80"/>
      <c r="JQP416" s="80"/>
      <c r="JQQ416" s="80"/>
      <c r="JQR416" s="80"/>
      <c r="JQS416" s="80"/>
      <c r="JQT416" s="80"/>
      <c r="JQU416" s="80"/>
      <c r="JQV416" s="80"/>
      <c r="JQW416" s="80"/>
      <c r="JQX416" s="80"/>
      <c r="JQY416" s="80"/>
      <c r="JQZ416" s="80"/>
      <c r="JRA416" s="80"/>
      <c r="JRB416" s="80"/>
      <c r="JRC416" s="80"/>
      <c r="JRD416" s="80"/>
      <c r="JRE416" s="80"/>
      <c r="JRF416" s="80"/>
      <c r="JRG416" s="80"/>
      <c r="JRH416" s="80"/>
      <c r="JRI416" s="80"/>
      <c r="JRJ416" s="80"/>
      <c r="JRK416" s="80"/>
      <c r="JRL416" s="80"/>
      <c r="JRM416" s="80"/>
      <c r="JRN416" s="80"/>
      <c r="JRO416" s="80"/>
      <c r="JRP416" s="80"/>
      <c r="JRQ416" s="80"/>
      <c r="JRR416" s="80"/>
      <c r="JRS416" s="80"/>
      <c r="JRT416" s="80"/>
      <c r="JRU416" s="80"/>
      <c r="JRV416" s="80"/>
      <c r="JRW416" s="80"/>
      <c r="JRX416" s="80"/>
      <c r="JRY416" s="80"/>
      <c r="JRZ416" s="80"/>
      <c r="JSA416" s="80"/>
      <c r="JSB416" s="80"/>
      <c r="JSC416" s="80"/>
      <c r="JSD416" s="80"/>
      <c r="JSE416" s="80"/>
      <c r="JSF416" s="80"/>
      <c r="JSG416" s="80"/>
      <c r="JSH416" s="80"/>
      <c r="JSI416" s="80"/>
      <c r="JSJ416" s="80"/>
      <c r="JSK416" s="80"/>
      <c r="JSL416" s="80"/>
      <c r="JSM416" s="80"/>
      <c r="JSN416" s="80"/>
      <c r="JSO416" s="80"/>
      <c r="JSP416" s="80"/>
      <c r="JSQ416" s="80"/>
      <c r="JSR416" s="80"/>
      <c r="JSS416" s="80"/>
      <c r="JST416" s="80"/>
      <c r="JSU416" s="80"/>
      <c r="JSV416" s="80"/>
      <c r="JSW416" s="80"/>
      <c r="JSX416" s="80"/>
      <c r="JSY416" s="80"/>
      <c r="JSZ416" s="80"/>
      <c r="JTA416" s="80"/>
      <c r="JTB416" s="80"/>
      <c r="JTC416" s="80"/>
      <c r="JTD416" s="80"/>
      <c r="JTE416" s="80"/>
      <c r="JTF416" s="80"/>
      <c r="JTG416" s="80"/>
      <c r="JTH416" s="80"/>
      <c r="JTI416" s="80"/>
      <c r="JTJ416" s="80"/>
      <c r="JTK416" s="80"/>
      <c r="JTL416" s="80"/>
      <c r="JTM416" s="80"/>
      <c r="JTN416" s="80"/>
      <c r="JTO416" s="80"/>
      <c r="JTP416" s="80"/>
      <c r="JTQ416" s="80"/>
      <c r="JTR416" s="80"/>
      <c r="JTS416" s="80"/>
      <c r="JTT416" s="80"/>
      <c r="JTU416" s="80"/>
      <c r="JTV416" s="80"/>
      <c r="JTW416" s="80"/>
      <c r="JTX416" s="80"/>
      <c r="JTY416" s="80"/>
      <c r="JTZ416" s="80"/>
      <c r="JUA416" s="80"/>
      <c r="JUB416" s="80"/>
      <c r="JUC416" s="80"/>
      <c r="JUD416" s="80"/>
      <c r="JUE416" s="80"/>
      <c r="JUF416" s="80"/>
      <c r="JUG416" s="80"/>
      <c r="JUH416" s="80"/>
      <c r="JUI416" s="80"/>
      <c r="JUJ416" s="80"/>
      <c r="JUK416" s="80"/>
      <c r="JUL416" s="80"/>
      <c r="JUM416" s="80"/>
      <c r="JUN416" s="80"/>
      <c r="JUO416" s="80"/>
      <c r="JUP416" s="80"/>
      <c r="JUQ416" s="80"/>
      <c r="JUR416" s="80"/>
      <c r="JUS416" s="80"/>
      <c r="JUT416" s="80"/>
      <c r="JUU416" s="80"/>
      <c r="JUV416" s="80"/>
      <c r="JUW416" s="80"/>
      <c r="JUX416" s="80"/>
      <c r="JUY416" s="80"/>
      <c r="JUZ416" s="80"/>
      <c r="JVA416" s="80"/>
      <c r="JVB416" s="80"/>
      <c r="JVC416" s="80"/>
      <c r="JVD416" s="80"/>
      <c r="JVE416" s="80"/>
      <c r="JVF416" s="80"/>
      <c r="JVG416" s="80"/>
      <c r="JVH416" s="80"/>
      <c r="JVI416" s="80"/>
      <c r="JVJ416" s="80"/>
      <c r="JVK416" s="80"/>
      <c r="JVL416" s="80"/>
      <c r="JVM416" s="80"/>
      <c r="JVN416" s="80"/>
      <c r="JVO416" s="80"/>
      <c r="JVP416" s="80"/>
      <c r="JVQ416" s="80"/>
      <c r="JVR416" s="80"/>
      <c r="JVS416" s="80"/>
      <c r="JVT416" s="80"/>
      <c r="JVU416" s="80"/>
      <c r="JVV416" s="80"/>
      <c r="JVW416" s="80"/>
      <c r="JVX416" s="80"/>
      <c r="JVY416" s="80"/>
      <c r="JVZ416" s="80"/>
      <c r="JWA416" s="80"/>
      <c r="JWB416" s="80"/>
      <c r="JWC416" s="80"/>
      <c r="JWD416" s="80"/>
      <c r="JWE416" s="80"/>
      <c r="JWF416" s="80"/>
      <c r="JWG416" s="80"/>
      <c r="JWH416" s="80"/>
      <c r="JWI416" s="80"/>
      <c r="JWJ416" s="80"/>
      <c r="JWK416" s="80"/>
      <c r="JWL416" s="80"/>
      <c r="JWM416" s="80"/>
      <c r="JWN416" s="80"/>
      <c r="JWO416" s="80"/>
      <c r="JWP416" s="80"/>
      <c r="JWQ416" s="80"/>
      <c r="JWR416" s="80"/>
      <c r="JWS416" s="80"/>
      <c r="JWT416" s="80"/>
      <c r="JWU416" s="80"/>
      <c r="JWV416" s="80"/>
      <c r="JWW416" s="80"/>
      <c r="JWX416" s="80"/>
      <c r="JWY416" s="80"/>
      <c r="JWZ416" s="80"/>
      <c r="JXA416" s="80"/>
      <c r="JXB416" s="80"/>
      <c r="JXC416" s="80"/>
      <c r="JXD416" s="80"/>
      <c r="JXE416" s="80"/>
      <c r="JXF416" s="80"/>
      <c r="JXG416" s="80"/>
      <c r="JXH416" s="80"/>
      <c r="JXI416" s="80"/>
      <c r="JXJ416" s="80"/>
      <c r="JXK416" s="80"/>
      <c r="JXL416" s="80"/>
      <c r="JXM416" s="80"/>
      <c r="JXN416" s="80"/>
      <c r="JXO416" s="80"/>
      <c r="JXP416" s="80"/>
      <c r="JXQ416" s="80"/>
      <c r="JXR416" s="80"/>
      <c r="JXS416" s="80"/>
      <c r="JXT416" s="80"/>
      <c r="JXU416" s="80"/>
      <c r="JXV416" s="80"/>
      <c r="JXW416" s="80"/>
      <c r="JXX416" s="80"/>
      <c r="JXY416" s="80"/>
      <c r="JXZ416" s="80"/>
      <c r="JYA416" s="80"/>
      <c r="JYB416" s="80"/>
      <c r="JYC416" s="80"/>
      <c r="JYD416" s="80"/>
      <c r="JYE416" s="80"/>
      <c r="JYF416" s="80"/>
      <c r="JYG416" s="80"/>
      <c r="JYH416" s="80"/>
      <c r="JYI416" s="80"/>
      <c r="JYJ416" s="80"/>
      <c r="JYK416" s="80"/>
      <c r="JYL416" s="80"/>
      <c r="JYM416" s="80"/>
      <c r="JYN416" s="80"/>
      <c r="JYO416" s="80"/>
      <c r="JYP416" s="80"/>
      <c r="JYQ416" s="80"/>
      <c r="JYR416" s="80"/>
      <c r="JYS416" s="80"/>
      <c r="JYT416" s="80"/>
      <c r="JYU416" s="80"/>
      <c r="JYV416" s="80"/>
      <c r="JYW416" s="80"/>
      <c r="JYX416" s="80"/>
      <c r="JYY416" s="80"/>
      <c r="JYZ416" s="80"/>
      <c r="JZA416" s="80"/>
      <c r="JZB416" s="80"/>
      <c r="JZC416" s="80"/>
      <c r="JZD416" s="80"/>
      <c r="JZE416" s="80"/>
      <c r="JZF416" s="80"/>
      <c r="JZG416" s="80"/>
      <c r="JZH416" s="80"/>
      <c r="JZI416" s="80"/>
      <c r="JZJ416" s="80"/>
      <c r="JZK416" s="80"/>
      <c r="JZL416" s="80"/>
      <c r="JZM416" s="80"/>
      <c r="JZN416" s="80"/>
      <c r="JZO416" s="80"/>
      <c r="JZP416" s="80"/>
      <c r="JZQ416" s="80"/>
      <c r="JZR416" s="80"/>
      <c r="JZS416" s="80"/>
      <c r="JZT416" s="80"/>
      <c r="JZU416" s="80"/>
      <c r="JZV416" s="80"/>
      <c r="JZW416" s="80"/>
      <c r="JZX416" s="80"/>
      <c r="JZY416" s="80"/>
      <c r="JZZ416" s="80"/>
      <c r="KAA416" s="80"/>
      <c r="KAB416" s="80"/>
      <c r="KAC416" s="80"/>
      <c r="KAD416" s="80"/>
      <c r="KAE416" s="80"/>
      <c r="KAF416" s="80"/>
      <c r="KAG416" s="80"/>
      <c r="KAH416" s="80"/>
      <c r="KAI416" s="80"/>
      <c r="KAJ416" s="80"/>
      <c r="KAK416" s="80"/>
      <c r="KAL416" s="80"/>
      <c r="KAM416" s="80"/>
      <c r="KAN416" s="80"/>
      <c r="KAO416" s="80"/>
      <c r="KAP416" s="80"/>
      <c r="KAQ416" s="80"/>
      <c r="KAR416" s="80"/>
      <c r="KAS416" s="80"/>
      <c r="KAT416" s="80"/>
      <c r="KAU416" s="80"/>
      <c r="KAV416" s="80"/>
      <c r="KAW416" s="80"/>
      <c r="KAX416" s="80"/>
      <c r="KAY416" s="80"/>
      <c r="KAZ416" s="80"/>
      <c r="KBA416" s="80"/>
      <c r="KBB416" s="80"/>
      <c r="KBC416" s="80"/>
      <c r="KBD416" s="80"/>
      <c r="KBE416" s="80"/>
      <c r="KBF416" s="80"/>
      <c r="KBG416" s="80"/>
      <c r="KBH416" s="80"/>
      <c r="KBI416" s="80"/>
      <c r="KBJ416" s="80"/>
      <c r="KBK416" s="80"/>
      <c r="KBL416" s="80"/>
      <c r="KBM416" s="80"/>
      <c r="KBN416" s="80"/>
      <c r="KBO416" s="80"/>
      <c r="KBP416" s="80"/>
      <c r="KBQ416" s="80"/>
      <c r="KBR416" s="80"/>
      <c r="KBS416" s="80"/>
      <c r="KBT416" s="80"/>
      <c r="KBU416" s="80"/>
      <c r="KBV416" s="80"/>
      <c r="KBW416" s="80"/>
      <c r="KBX416" s="80"/>
      <c r="KBY416" s="80"/>
      <c r="KBZ416" s="80"/>
      <c r="KCA416" s="80"/>
      <c r="KCB416" s="80"/>
      <c r="KCC416" s="80"/>
      <c r="KCD416" s="80"/>
      <c r="KCE416" s="80"/>
      <c r="KCF416" s="80"/>
      <c r="KCG416" s="80"/>
      <c r="KCH416" s="80"/>
      <c r="KCI416" s="80"/>
      <c r="KCJ416" s="80"/>
      <c r="KCK416" s="80"/>
      <c r="KCL416" s="80"/>
      <c r="KCM416" s="80"/>
      <c r="KCN416" s="80"/>
      <c r="KCO416" s="80"/>
      <c r="KCP416" s="80"/>
      <c r="KCQ416" s="80"/>
      <c r="KCR416" s="80"/>
      <c r="KCS416" s="80"/>
      <c r="KCT416" s="80"/>
      <c r="KCU416" s="80"/>
      <c r="KCV416" s="80"/>
      <c r="KCW416" s="80"/>
      <c r="KCX416" s="80"/>
      <c r="KCY416" s="80"/>
      <c r="KCZ416" s="80"/>
      <c r="KDA416" s="80"/>
      <c r="KDB416" s="80"/>
      <c r="KDC416" s="80"/>
      <c r="KDD416" s="80"/>
      <c r="KDE416" s="80"/>
      <c r="KDF416" s="80"/>
      <c r="KDG416" s="80"/>
      <c r="KDH416" s="80"/>
      <c r="KDI416" s="80"/>
      <c r="KDJ416" s="80"/>
      <c r="KDK416" s="80"/>
      <c r="KDL416" s="80"/>
      <c r="KDM416" s="80"/>
      <c r="KDN416" s="80"/>
      <c r="KDO416" s="80"/>
      <c r="KDP416" s="80"/>
      <c r="KDQ416" s="80"/>
      <c r="KDR416" s="80"/>
      <c r="KDS416" s="80"/>
      <c r="KDT416" s="80"/>
      <c r="KDU416" s="80"/>
      <c r="KDV416" s="80"/>
      <c r="KDW416" s="80"/>
      <c r="KDX416" s="80"/>
      <c r="KDY416" s="80"/>
      <c r="KDZ416" s="80"/>
      <c r="KEA416" s="80"/>
      <c r="KEB416" s="80"/>
      <c r="KEC416" s="80"/>
      <c r="KED416" s="80"/>
      <c r="KEE416" s="80"/>
      <c r="KEF416" s="80"/>
      <c r="KEG416" s="80"/>
      <c r="KEH416" s="80"/>
      <c r="KEI416" s="80"/>
      <c r="KEJ416" s="80"/>
      <c r="KEK416" s="80"/>
      <c r="KEL416" s="80"/>
      <c r="KEM416" s="80"/>
      <c r="KEN416" s="80"/>
      <c r="KEO416" s="80"/>
      <c r="KEP416" s="80"/>
      <c r="KEQ416" s="80"/>
      <c r="KER416" s="80"/>
      <c r="KES416" s="80"/>
      <c r="KET416" s="80"/>
      <c r="KEU416" s="80"/>
      <c r="KEV416" s="80"/>
      <c r="KEW416" s="80"/>
      <c r="KEX416" s="80"/>
      <c r="KEY416" s="80"/>
      <c r="KEZ416" s="80"/>
      <c r="KFA416" s="80"/>
      <c r="KFB416" s="80"/>
      <c r="KFC416" s="80"/>
      <c r="KFD416" s="80"/>
      <c r="KFE416" s="80"/>
      <c r="KFF416" s="80"/>
      <c r="KFG416" s="80"/>
      <c r="KFH416" s="80"/>
      <c r="KFI416" s="80"/>
      <c r="KFJ416" s="80"/>
      <c r="KFK416" s="80"/>
      <c r="KFL416" s="80"/>
      <c r="KFM416" s="80"/>
      <c r="KFN416" s="80"/>
      <c r="KFO416" s="80"/>
      <c r="KFP416" s="80"/>
      <c r="KFQ416" s="80"/>
      <c r="KFR416" s="80"/>
      <c r="KFS416" s="80"/>
      <c r="KFT416" s="80"/>
      <c r="KFU416" s="80"/>
      <c r="KFV416" s="80"/>
      <c r="KFW416" s="80"/>
      <c r="KFX416" s="80"/>
      <c r="KFY416" s="80"/>
      <c r="KFZ416" s="80"/>
      <c r="KGA416" s="80"/>
      <c r="KGB416" s="80"/>
      <c r="KGC416" s="80"/>
      <c r="KGD416" s="80"/>
      <c r="KGE416" s="80"/>
      <c r="KGF416" s="80"/>
      <c r="KGG416" s="80"/>
      <c r="KGH416" s="80"/>
      <c r="KGI416" s="80"/>
      <c r="KGJ416" s="80"/>
      <c r="KGK416" s="80"/>
      <c r="KGL416" s="80"/>
      <c r="KGM416" s="80"/>
      <c r="KGN416" s="80"/>
      <c r="KGO416" s="80"/>
      <c r="KGP416" s="80"/>
      <c r="KGQ416" s="80"/>
      <c r="KGR416" s="80"/>
      <c r="KGS416" s="80"/>
      <c r="KGT416" s="80"/>
      <c r="KGU416" s="80"/>
      <c r="KGV416" s="80"/>
      <c r="KGW416" s="80"/>
      <c r="KGX416" s="80"/>
      <c r="KGY416" s="80"/>
      <c r="KGZ416" s="80"/>
      <c r="KHA416" s="80"/>
      <c r="KHB416" s="80"/>
      <c r="KHC416" s="80"/>
      <c r="KHD416" s="80"/>
      <c r="KHE416" s="80"/>
      <c r="KHF416" s="80"/>
      <c r="KHG416" s="80"/>
      <c r="KHH416" s="80"/>
      <c r="KHI416" s="80"/>
      <c r="KHJ416" s="80"/>
      <c r="KHK416" s="80"/>
      <c r="KHL416" s="80"/>
      <c r="KHM416" s="80"/>
      <c r="KHN416" s="80"/>
      <c r="KHO416" s="80"/>
      <c r="KHP416" s="80"/>
      <c r="KHQ416" s="80"/>
      <c r="KHR416" s="80"/>
      <c r="KHS416" s="80"/>
      <c r="KHT416" s="80"/>
      <c r="KHU416" s="80"/>
      <c r="KHV416" s="80"/>
      <c r="KHW416" s="80"/>
      <c r="KHX416" s="80"/>
      <c r="KHY416" s="80"/>
      <c r="KHZ416" s="80"/>
      <c r="KIA416" s="80"/>
      <c r="KIB416" s="80"/>
      <c r="KIC416" s="80"/>
      <c r="KID416" s="80"/>
      <c r="KIE416" s="80"/>
      <c r="KIF416" s="80"/>
      <c r="KIG416" s="80"/>
      <c r="KIH416" s="80"/>
      <c r="KII416" s="80"/>
      <c r="KIJ416" s="80"/>
      <c r="KIK416" s="80"/>
      <c r="KIL416" s="80"/>
      <c r="KIM416" s="80"/>
      <c r="KIN416" s="80"/>
      <c r="KIO416" s="80"/>
      <c r="KIP416" s="80"/>
      <c r="KIQ416" s="80"/>
      <c r="KIR416" s="80"/>
      <c r="KIS416" s="80"/>
      <c r="KIT416" s="80"/>
      <c r="KIU416" s="80"/>
      <c r="KIV416" s="80"/>
      <c r="KIW416" s="80"/>
      <c r="KIX416" s="80"/>
      <c r="KIY416" s="80"/>
      <c r="KIZ416" s="80"/>
      <c r="KJA416" s="80"/>
      <c r="KJB416" s="80"/>
      <c r="KJC416" s="80"/>
      <c r="KJD416" s="80"/>
      <c r="KJE416" s="80"/>
      <c r="KJF416" s="80"/>
      <c r="KJG416" s="80"/>
      <c r="KJH416" s="80"/>
      <c r="KJI416" s="80"/>
      <c r="KJJ416" s="80"/>
      <c r="KJK416" s="80"/>
      <c r="KJL416" s="80"/>
      <c r="KJM416" s="80"/>
      <c r="KJN416" s="80"/>
      <c r="KJO416" s="80"/>
      <c r="KJP416" s="80"/>
      <c r="KJQ416" s="80"/>
      <c r="KJR416" s="80"/>
      <c r="KJS416" s="80"/>
      <c r="KJT416" s="80"/>
      <c r="KJU416" s="80"/>
      <c r="KJV416" s="80"/>
      <c r="KJW416" s="80"/>
      <c r="KJX416" s="80"/>
      <c r="KJY416" s="80"/>
      <c r="KJZ416" s="80"/>
      <c r="KKA416" s="80"/>
      <c r="KKB416" s="80"/>
      <c r="KKC416" s="80"/>
      <c r="KKD416" s="80"/>
      <c r="KKE416" s="80"/>
      <c r="KKF416" s="80"/>
      <c r="KKG416" s="80"/>
      <c r="KKH416" s="80"/>
      <c r="KKI416" s="80"/>
      <c r="KKJ416" s="80"/>
      <c r="KKK416" s="80"/>
      <c r="KKL416" s="80"/>
      <c r="KKM416" s="80"/>
      <c r="KKN416" s="80"/>
      <c r="KKO416" s="80"/>
      <c r="KKP416" s="80"/>
      <c r="KKQ416" s="80"/>
      <c r="KKR416" s="80"/>
      <c r="KKS416" s="80"/>
      <c r="KKT416" s="80"/>
      <c r="KKU416" s="80"/>
      <c r="KKV416" s="80"/>
      <c r="KKW416" s="80"/>
      <c r="KKX416" s="80"/>
      <c r="KKY416" s="80"/>
      <c r="KKZ416" s="80"/>
      <c r="KLA416" s="80"/>
      <c r="KLB416" s="80"/>
      <c r="KLC416" s="80"/>
      <c r="KLD416" s="80"/>
      <c r="KLE416" s="80"/>
      <c r="KLF416" s="80"/>
      <c r="KLG416" s="80"/>
      <c r="KLH416" s="80"/>
      <c r="KLI416" s="80"/>
      <c r="KLJ416" s="80"/>
      <c r="KLK416" s="80"/>
      <c r="KLL416" s="80"/>
      <c r="KLM416" s="80"/>
      <c r="KLN416" s="80"/>
      <c r="KLO416" s="80"/>
      <c r="KLP416" s="80"/>
      <c r="KLQ416" s="80"/>
      <c r="KLR416" s="80"/>
      <c r="KLS416" s="80"/>
      <c r="KLT416" s="80"/>
      <c r="KLU416" s="80"/>
      <c r="KLV416" s="80"/>
      <c r="KLW416" s="80"/>
      <c r="KLX416" s="80"/>
      <c r="KLY416" s="80"/>
      <c r="KLZ416" s="80"/>
      <c r="KMA416" s="80"/>
      <c r="KMB416" s="80"/>
      <c r="KMC416" s="80"/>
      <c r="KMD416" s="80"/>
      <c r="KME416" s="80"/>
      <c r="KMF416" s="80"/>
      <c r="KMG416" s="80"/>
      <c r="KMH416" s="80"/>
      <c r="KMI416" s="80"/>
      <c r="KMJ416" s="80"/>
      <c r="KMK416" s="80"/>
      <c r="KML416" s="80"/>
      <c r="KMM416" s="80"/>
      <c r="KMN416" s="80"/>
      <c r="KMO416" s="80"/>
      <c r="KMP416" s="80"/>
      <c r="KMQ416" s="80"/>
      <c r="KMR416" s="80"/>
      <c r="KMS416" s="80"/>
      <c r="KMT416" s="80"/>
      <c r="KMU416" s="80"/>
      <c r="KMV416" s="80"/>
      <c r="KMW416" s="80"/>
      <c r="KMX416" s="80"/>
      <c r="KMY416" s="80"/>
      <c r="KMZ416" s="80"/>
      <c r="KNA416" s="80"/>
      <c r="KNB416" s="80"/>
      <c r="KNC416" s="80"/>
      <c r="KND416" s="80"/>
      <c r="KNE416" s="80"/>
      <c r="KNF416" s="80"/>
      <c r="KNG416" s="80"/>
      <c r="KNH416" s="80"/>
      <c r="KNI416" s="80"/>
      <c r="KNJ416" s="80"/>
      <c r="KNK416" s="80"/>
      <c r="KNL416" s="80"/>
      <c r="KNM416" s="80"/>
      <c r="KNN416" s="80"/>
      <c r="KNO416" s="80"/>
      <c r="KNP416" s="80"/>
      <c r="KNQ416" s="80"/>
      <c r="KNR416" s="80"/>
      <c r="KNS416" s="80"/>
      <c r="KNT416" s="80"/>
      <c r="KNU416" s="80"/>
      <c r="KNV416" s="80"/>
      <c r="KNW416" s="80"/>
      <c r="KNX416" s="80"/>
      <c r="KNY416" s="80"/>
      <c r="KNZ416" s="80"/>
      <c r="KOA416" s="80"/>
      <c r="KOB416" s="80"/>
      <c r="KOC416" s="80"/>
      <c r="KOD416" s="80"/>
      <c r="KOE416" s="80"/>
      <c r="KOF416" s="80"/>
      <c r="KOG416" s="80"/>
      <c r="KOH416" s="80"/>
      <c r="KOI416" s="80"/>
      <c r="KOJ416" s="80"/>
      <c r="KOK416" s="80"/>
      <c r="KOL416" s="80"/>
      <c r="KOM416" s="80"/>
      <c r="KON416" s="80"/>
      <c r="KOO416" s="80"/>
      <c r="KOP416" s="80"/>
      <c r="KOQ416" s="80"/>
      <c r="KOR416" s="80"/>
      <c r="KOS416" s="80"/>
      <c r="KOT416" s="80"/>
      <c r="KOU416" s="80"/>
      <c r="KOV416" s="80"/>
      <c r="KOW416" s="80"/>
      <c r="KOX416" s="80"/>
      <c r="KOY416" s="80"/>
      <c r="KOZ416" s="80"/>
      <c r="KPA416" s="80"/>
      <c r="KPB416" s="80"/>
      <c r="KPC416" s="80"/>
      <c r="KPD416" s="80"/>
      <c r="KPE416" s="80"/>
      <c r="KPF416" s="80"/>
      <c r="KPG416" s="80"/>
      <c r="KPH416" s="80"/>
      <c r="KPI416" s="80"/>
      <c r="KPJ416" s="80"/>
      <c r="KPK416" s="80"/>
      <c r="KPL416" s="80"/>
      <c r="KPM416" s="80"/>
      <c r="KPN416" s="80"/>
      <c r="KPO416" s="80"/>
      <c r="KPP416" s="80"/>
      <c r="KPQ416" s="80"/>
      <c r="KPR416" s="80"/>
      <c r="KPS416" s="80"/>
      <c r="KPT416" s="80"/>
      <c r="KPU416" s="80"/>
      <c r="KPV416" s="80"/>
      <c r="KPW416" s="80"/>
      <c r="KPX416" s="80"/>
      <c r="KPY416" s="80"/>
      <c r="KPZ416" s="80"/>
      <c r="KQA416" s="80"/>
      <c r="KQB416" s="80"/>
      <c r="KQC416" s="80"/>
      <c r="KQD416" s="80"/>
      <c r="KQE416" s="80"/>
      <c r="KQF416" s="80"/>
      <c r="KQG416" s="80"/>
      <c r="KQH416" s="80"/>
      <c r="KQI416" s="80"/>
      <c r="KQJ416" s="80"/>
      <c r="KQK416" s="80"/>
      <c r="KQL416" s="80"/>
      <c r="KQM416" s="80"/>
      <c r="KQN416" s="80"/>
      <c r="KQO416" s="80"/>
      <c r="KQP416" s="80"/>
      <c r="KQQ416" s="80"/>
      <c r="KQR416" s="80"/>
      <c r="KQS416" s="80"/>
      <c r="KQT416" s="80"/>
      <c r="KQU416" s="80"/>
      <c r="KQV416" s="80"/>
      <c r="KQW416" s="80"/>
      <c r="KQX416" s="80"/>
      <c r="KQY416" s="80"/>
      <c r="KQZ416" s="80"/>
      <c r="KRA416" s="80"/>
      <c r="KRB416" s="80"/>
      <c r="KRC416" s="80"/>
      <c r="KRD416" s="80"/>
      <c r="KRE416" s="80"/>
      <c r="KRF416" s="80"/>
      <c r="KRG416" s="80"/>
      <c r="KRH416" s="80"/>
      <c r="KRI416" s="80"/>
      <c r="KRJ416" s="80"/>
      <c r="KRK416" s="80"/>
      <c r="KRL416" s="80"/>
      <c r="KRM416" s="80"/>
      <c r="KRN416" s="80"/>
      <c r="KRO416" s="80"/>
      <c r="KRP416" s="80"/>
      <c r="KRQ416" s="80"/>
      <c r="KRR416" s="80"/>
      <c r="KRS416" s="80"/>
      <c r="KRT416" s="80"/>
      <c r="KRU416" s="80"/>
      <c r="KRV416" s="80"/>
      <c r="KRW416" s="80"/>
      <c r="KRX416" s="80"/>
      <c r="KRY416" s="80"/>
      <c r="KRZ416" s="80"/>
      <c r="KSA416" s="80"/>
      <c r="KSB416" s="80"/>
      <c r="KSC416" s="80"/>
      <c r="KSD416" s="80"/>
      <c r="KSE416" s="80"/>
      <c r="KSF416" s="80"/>
      <c r="KSG416" s="80"/>
      <c r="KSH416" s="80"/>
      <c r="KSI416" s="80"/>
      <c r="KSJ416" s="80"/>
      <c r="KSK416" s="80"/>
      <c r="KSL416" s="80"/>
      <c r="KSM416" s="80"/>
      <c r="KSN416" s="80"/>
      <c r="KSO416" s="80"/>
      <c r="KSP416" s="80"/>
      <c r="KSQ416" s="80"/>
      <c r="KSR416" s="80"/>
      <c r="KSS416" s="80"/>
      <c r="KST416" s="80"/>
      <c r="KSU416" s="80"/>
      <c r="KSV416" s="80"/>
      <c r="KSW416" s="80"/>
      <c r="KSX416" s="80"/>
      <c r="KSY416" s="80"/>
      <c r="KSZ416" s="80"/>
      <c r="KTA416" s="80"/>
      <c r="KTB416" s="80"/>
      <c r="KTC416" s="80"/>
      <c r="KTD416" s="80"/>
      <c r="KTE416" s="80"/>
      <c r="KTF416" s="80"/>
      <c r="KTG416" s="80"/>
      <c r="KTH416" s="80"/>
      <c r="KTI416" s="80"/>
      <c r="KTJ416" s="80"/>
      <c r="KTK416" s="80"/>
      <c r="KTL416" s="80"/>
      <c r="KTM416" s="80"/>
      <c r="KTN416" s="80"/>
      <c r="KTO416" s="80"/>
      <c r="KTP416" s="80"/>
      <c r="KTQ416" s="80"/>
      <c r="KTR416" s="80"/>
      <c r="KTS416" s="80"/>
      <c r="KTT416" s="80"/>
      <c r="KTU416" s="80"/>
      <c r="KTV416" s="80"/>
      <c r="KTW416" s="80"/>
      <c r="KTX416" s="80"/>
      <c r="KTY416" s="80"/>
      <c r="KTZ416" s="80"/>
      <c r="KUA416" s="80"/>
      <c r="KUB416" s="80"/>
      <c r="KUC416" s="80"/>
      <c r="KUD416" s="80"/>
      <c r="KUE416" s="80"/>
      <c r="KUF416" s="80"/>
      <c r="KUG416" s="80"/>
      <c r="KUH416" s="80"/>
      <c r="KUI416" s="80"/>
      <c r="KUJ416" s="80"/>
      <c r="KUK416" s="80"/>
      <c r="KUL416" s="80"/>
      <c r="KUM416" s="80"/>
      <c r="KUN416" s="80"/>
      <c r="KUO416" s="80"/>
      <c r="KUP416" s="80"/>
      <c r="KUQ416" s="80"/>
      <c r="KUR416" s="80"/>
      <c r="KUS416" s="80"/>
      <c r="KUT416" s="80"/>
      <c r="KUU416" s="80"/>
      <c r="KUV416" s="80"/>
      <c r="KUW416" s="80"/>
      <c r="KUX416" s="80"/>
      <c r="KUY416" s="80"/>
      <c r="KUZ416" s="80"/>
      <c r="KVA416" s="80"/>
      <c r="KVB416" s="80"/>
      <c r="KVC416" s="80"/>
      <c r="KVD416" s="80"/>
      <c r="KVE416" s="80"/>
      <c r="KVF416" s="80"/>
      <c r="KVG416" s="80"/>
      <c r="KVH416" s="80"/>
      <c r="KVI416" s="80"/>
      <c r="KVJ416" s="80"/>
      <c r="KVK416" s="80"/>
      <c r="KVL416" s="80"/>
      <c r="KVM416" s="80"/>
      <c r="KVN416" s="80"/>
      <c r="KVO416" s="80"/>
      <c r="KVP416" s="80"/>
      <c r="KVQ416" s="80"/>
      <c r="KVR416" s="80"/>
      <c r="KVS416" s="80"/>
      <c r="KVT416" s="80"/>
      <c r="KVU416" s="80"/>
      <c r="KVV416" s="80"/>
      <c r="KVW416" s="80"/>
      <c r="KVX416" s="80"/>
      <c r="KVY416" s="80"/>
      <c r="KVZ416" s="80"/>
      <c r="KWA416" s="80"/>
      <c r="KWB416" s="80"/>
      <c r="KWC416" s="80"/>
      <c r="KWD416" s="80"/>
      <c r="KWE416" s="80"/>
      <c r="KWF416" s="80"/>
      <c r="KWG416" s="80"/>
      <c r="KWH416" s="80"/>
      <c r="KWI416" s="80"/>
      <c r="KWJ416" s="80"/>
      <c r="KWK416" s="80"/>
      <c r="KWL416" s="80"/>
      <c r="KWM416" s="80"/>
      <c r="KWN416" s="80"/>
      <c r="KWO416" s="80"/>
      <c r="KWP416" s="80"/>
      <c r="KWQ416" s="80"/>
      <c r="KWR416" s="80"/>
      <c r="KWS416" s="80"/>
      <c r="KWT416" s="80"/>
      <c r="KWU416" s="80"/>
      <c r="KWV416" s="80"/>
      <c r="KWW416" s="80"/>
      <c r="KWX416" s="80"/>
      <c r="KWY416" s="80"/>
      <c r="KWZ416" s="80"/>
      <c r="KXA416" s="80"/>
      <c r="KXB416" s="80"/>
      <c r="KXC416" s="80"/>
      <c r="KXD416" s="80"/>
      <c r="KXE416" s="80"/>
      <c r="KXF416" s="80"/>
      <c r="KXG416" s="80"/>
      <c r="KXH416" s="80"/>
      <c r="KXI416" s="80"/>
      <c r="KXJ416" s="80"/>
      <c r="KXK416" s="80"/>
      <c r="KXL416" s="80"/>
      <c r="KXM416" s="80"/>
      <c r="KXN416" s="80"/>
      <c r="KXO416" s="80"/>
      <c r="KXP416" s="80"/>
      <c r="KXQ416" s="80"/>
      <c r="KXR416" s="80"/>
      <c r="KXS416" s="80"/>
      <c r="KXT416" s="80"/>
      <c r="KXU416" s="80"/>
      <c r="KXV416" s="80"/>
      <c r="KXW416" s="80"/>
      <c r="KXX416" s="80"/>
      <c r="KXY416" s="80"/>
      <c r="KXZ416" s="80"/>
      <c r="KYA416" s="80"/>
      <c r="KYB416" s="80"/>
      <c r="KYC416" s="80"/>
      <c r="KYD416" s="80"/>
      <c r="KYE416" s="80"/>
      <c r="KYF416" s="80"/>
      <c r="KYG416" s="80"/>
      <c r="KYH416" s="80"/>
      <c r="KYI416" s="80"/>
      <c r="KYJ416" s="80"/>
      <c r="KYK416" s="80"/>
      <c r="KYL416" s="80"/>
      <c r="KYM416" s="80"/>
      <c r="KYN416" s="80"/>
      <c r="KYO416" s="80"/>
      <c r="KYP416" s="80"/>
      <c r="KYQ416" s="80"/>
      <c r="KYR416" s="80"/>
      <c r="KYS416" s="80"/>
      <c r="KYT416" s="80"/>
      <c r="KYU416" s="80"/>
      <c r="KYV416" s="80"/>
      <c r="KYW416" s="80"/>
      <c r="KYX416" s="80"/>
      <c r="KYY416" s="80"/>
      <c r="KYZ416" s="80"/>
      <c r="KZA416" s="80"/>
      <c r="KZB416" s="80"/>
      <c r="KZC416" s="80"/>
      <c r="KZD416" s="80"/>
      <c r="KZE416" s="80"/>
      <c r="KZF416" s="80"/>
      <c r="KZG416" s="80"/>
      <c r="KZH416" s="80"/>
      <c r="KZI416" s="80"/>
      <c r="KZJ416" s="80"/>
      <c r="KZK416" s="80"/>
      <c r="KZL416" s="80"/>
      <c r="KZM416" s="80"/>
      <c r="KZN416" s="80"/>
      <c r="KZO416" s="80"/>
      <c r="KZP416" s="80"/>
      <c r="KZQ416" s="80"/>
      <c r="KZR416" s="80"/>
      <c r="KZS416" s="80"/>
      <c r="KZT416" s="80"/>
      <c r="KZU416" s="80"/>
      <c r="KZV416" s="80"/>
      <c r="KZW416" s="80"/>
      <c r="KZX416" s="80"/>
      <c r="KZY416" s="80"/>
      <c r="KZZ416" s="80"/>
      <c r="LAA416" s="80"/>
      <c r="LAB416" s="80"/>
      <c r="LAC416" s="80"/>
      <c r="LAD416" s="80"/>
      <c r="LAE416" s="80"/>
      <c r="LAF416" s="80"/>
      <c r="LAG416" s="80"/>
      <c r="LAH416" s="80"/>
      <c r="LAI416" s="80"/>
      <c r="LAJ416" s="80"/>
      <c r="LAK416" s="80"/>
      <c r="LAL416" s="80"/>
      <c r="LAM416" s="80"/>
      <c r="LAN416" s="80"/>
      <c r="LAO416" s="80"/>
      <c r="LAP416" s="80"/>
      <c r="LAQ416" s="80"/>
      <c r="LAR416" s="80"/>
      <c r="LAS416" s="80"/>
      <c r="LAT416" s="80"/>
      <c r="LAU416" s="80"/>
      <c r="LAV416" s="80"/>
      <c r="LAW416" s="80"/>
      <c r="LAX416" s="80"/>
      <c r="LAY416" s="80"/>
      <c r="LAZ416" s="80"/>
      <c r="LBA416" s="80"/>
      <c r="LBB416" s="80"/>
      <c r="LBC416" s="80"/>
      <c r="LBD416" s="80"/>
      <c r="LBE416" s="80"/>
      <c r="LBF416" s="80"/>
      <c r="LBG416" s="80"/>
      <c r="LBH416" s="80"/>
      <c r="LBI416" s="80"/>
      <c r="LBJ416" s="80"/>
      <c r="LBK416" s="80"/>
      <c r="LBL416" s="80"/>
      <c r="LBM416" s="80"/>
      <c r="LBN416" s="80"/>
      <c r="LBO416" s="80"/>
      <c r="LBP416" s="80"/>
      <c r="LBQ416" s="80"/>
      <c r="LBR416" s="80"/>
      <c r="LBS416" s="80"/>
      <c r="LBT416" s="80"/>
      <c r="LBU416" s="80"/>
      <c r="LBV416" s="80"/>
      <c r="LBW416" s="80"/>
      <c r="LBX416" s="80"/>
      <c r="LBY416" s="80"/>
      <c r="LBZ416" s="80"/>
      <c r="LCA416" s="80"/>
      <c r="LCB416" s="80"/>
      <c r="LCC416" s="80"/>
      <c r="LCD416" s="80"/>
      <c r="LCE416" s="80"/>
      <c r="LCF416" s="80"/>
      <c r="LCG416" s="80"/>
      <c r="LCH416" s="80"/>
      <c r="LCI416" s="80"/>
      <c r="LCJ416" s="80"/>
      <c r="LCK416" s="80"/>
      <c r="LCL416" s="80"/>
      <c r="LCM416" s="80"/>
      <c r="LCN416" s="80"/>
      <c r="LCO416" s="80"/>
      <c r="LCP416" s="80"/>
      <c r="LCQ416" s="80"/>
      <c r="LCR416" s="80"/>
      <c r="LCS416" s="80"/>
      <c r="LCT416" s="80"/>
      <c r="LCU416" s="80"/>
      <c r="LCV416" s="80"/>
      <c r="LCW416" s="80"/>
      <c r="LCX416" s="80"/>
      <c r="LCY416" s="80"/>
      <c r="LCZ416" s="80"/>
      <c r="LDA416" s="80"/>
      <c r="LDB416" s="80"/>
      <c r="LDC416" s="80"/>
      <c r="LDD416" s="80"/>
      <c r="LDE416" s="80"/>
      <c r="LDF416" s="80"/>
      <c r="LDG416" s="80"/>
      <c r="LDH416" s="80"/>
      <c r="LDI416" s="80"/>
      <c r="LDJ416" s="80"/>
      <c r="LDK416" s="80"/>
      <c r="LDL416" s="80"/>
      <c r="LDM416" s="80"/>
      <c r="LDN416" s="80"/>
      <c r="LDO416" s="80"/>
      <c r="LDP416" s="80"/>
      <c r="LDQ416" s="80"/>
      <c r="LDR416" s="80"/>
      <c r="LDS416" s="80"/>
      <c r="LDT416" s="80"/>
      <c r="LDU416" s="80"/>
      <c r="LDV416" s="80"/>
      <c r="LDW416" s="80"/>
      <c r="LDX416" s="80"/>
      <c r="LDY416" s="80"/>
      <c r="LDZ416" s="80"/>
      <c r="LEA416" s="80"/>
      <c r="LEB416" s="80"/>
      <c r="LEC416" s="80"/>
      <c r="LED416" s="80"/>
      <c r="LEE416" s="80"/>
      <c r="LEF416" s="80"/>
      <c r="LEG416" s="80"/>
      <c r="LEH416" s="80"/>
      <c r="LEI416" s="80"/>
      <c r="LEJ416" s="80"/>
      <c r="LEK416" s="80"/>
      <c r="LEL416" s="80"/>
      <c r="LEM416" s="80"/>
      <c r="LEN416" s="80"/>
      <c r="LEO416" s="80"/>
      <c r="LEP416" s="80"/>
      <c r="LEQ416" s="80"/>
      <c r="LER416" s="80"/>
      <c r="LES416" s="80"/>
      <c r="LET416" s="80"/>
      <c r="LEU416" s="80"/>
      <c r="LEV416" s="80"/>
      <c r="LEW416" s="80"/>
      <c r="LEX416" s="80"/>
      <c r="LEY416" s="80"/>
      <c r="LEZ416" s="80"/>
      <c r="LFA416" s="80"/>
      <c r="LFB416" s="80"/>
      <c r="LFC416" s="80"/>
      <c r="LFD416" s="80"/>
      <c r="LFE416" s="80"/>
      <c r="LFF416" s="80"/>
      <c r="LFG416" s="80"/>
      <c r="LFH416" s="80"/>
      <c r="LFI416" s="80"/>
      <c r="LFJ416" s="80"/>
      <c r="LFK416" s="80"/>
      <c r="LFL416" s="80"/>
      <c r="LFM416" s="80"/>
      <c r="LFN416" s="80"/>
      <c r="LFO416" s="80"/>
      <c r="LFP416" s="80"/>
      <c r="LFQ416" s="80"/>
      <c r="LFR416" s="80"/>
      <c r="LFS416" s="80"/>
      <c r="LFT416" s="80"/>
      <c r="LFU416" s="80"/>
      <c r="LFV416" s="80"/>
      <c r="LFW416" s="80"/>
      <c r="LFX416" s="80"/>
      <c r="LFY416" s="80"/>
      <c r="LFZ416" s="80"/>
      <c r="LGA416" s="80"/>
      <c r="LGB416" s="80"/>
      <c r="LGC416" s="80"/>
      <c r="LGD416" s="80"/>
      <c r="LGE416" s="80"/>
      <c r="LGF416" s="80"/>
      <c r="LGG416" s="80"/>
      <c r="LGH416" s="80"/>
      <c r="LGI416" s="80"/>
      <c r="LGJ416" s="80"/>
      <c r="LGK416" s="80"/>
      <c r="LGL416" s="80"/>
      <c r="LGM416" s="80"/>
      <c r="LGN416" s="80"/>
      <c r="LGO416" s="80"/>
      <c r="LGP416" s="80"/>
      <c r="LGQ416" s="80"/>
      <c r="LGR416" s="80"/>
      <c r="LGS416" s="80"/>
      <c r="LGT416" s="80"/>
      <c r="LGU416" s="80"/>
      <c r="LGV416" s="80"/>
      <c r="LGW416" s="80"/>
      <c r="LGX416" s="80"/>
      <c r="LGY416" s="80"/>
      <c r="LGZ416" s="80"/>
      <c r="LHA416" s="80"/>
      <c r="LHB416" s="80"/>
      <c r="LHC416" s="80"/>
      <c r="LHD416" s="80"/>
      <c r="LHE416" s="80"/>
      <c r="LHF416" s="80"/>
      <c r="LHG416" s="80"/>
      <c r="LHH416" s="80"/>
      <c r="LHI416" s="80"/>
      <c r="LHJ416" s="80"/>
      <c r="LHK416" s="80"/>
      <c r="LHL416" s="80"/>
      <c r="LHM416" s="80"/>
      <c r="LHN416" s="80"/>
      <c r="LHO416" s="80"/>
      <c r="LHP416" s="80"/>
      <c r="LHQ416" s="80"/>
      <c r="LHR416" s="80"/>
      <c r="LHS416" s="80"/>
      <c r="LHT416" s="80"/>
      <c r="LHU416" s="80"/>
      <c r="LHV416" s="80"/>
      <c r="LHW416" s="80"/>
      <c r="LHX416" s="80"/>
      <c r="LHY416" s="80"/>
      <c r="LHZ416" s="80"/>
      <c r="LIA416" s="80"/>
      <c r="LIB416" s="80"/>
      <c r="LIC416" s="80"/>
      <c r="LID416" s="80"/>
      <c r="LIE416" s="80"/>
      <c r="LIF416" s="80"/>
      <c r="LIG416" s="80"/>
      <c r="LIH416" s="80"/>
      <c r="LII416" s="80"/>
      <c r="LIJ416" s="80"/>
      <c r="LIK416" s="80"/>
      <c r="LIL416" s="80"/>
      <c r="LIM416" s="80"/>
      <c r="LIN416" s="80"/>
      <c r="LIO416" s="80"/>
      <c r="LIP416" s="80"/>
      <c r="LIQ416" s="80"/>
      <c r="LIR416" s="80"/>
      <c r="LIS416" s="80"/>
      <c r="LIT416" s="80"/>
      <c r="LIU416" s="80"/>
      <c r="LIV416" s="80"/>
      <c r="LIW416" s="80"/>
      <c r="LIX416" s="80"/>
      <c r="LIY416" s="80"/>
      <c r="LIZ416" s="80"/>
      <c r="LJA416" s="80"/>
      <c r="LJB416" s="80"/>
      <c r="LJC416" s="80"/>
      <c r="LJD416" s="80"/>
      <c r="LJE416" s="80"/>
      <c r="LJF416" s="80"/>
      <c r="LJG416" s="80"/>
      <c r="LJH416" s="80"/>
      <c r="LJI416" s="80"/>
      <c r="LJJ416" s="80"/>
      <c r="LJK416" s="80"/>
      <c r="LJL416" s="80"/>
      <c r="LJM416" s="80"/>
      <c r="LJN416" s="80"/>
      <c r="LJO416" s="80"/>
      <c r="LJP416" s="80"/>
      <c r="LJQ416" s="80"/>
      <c r="LJR416" s="80"/>
      <c r="LJS416" s="80"/>
      <c r="LJT416" s="80"/>
      <c r="LJU416" s="80"/>
      <c r="LJV416" s="80"/>
      <c r="LJW416" s="80"/>
      <c r="LJX416" s="80"/>
      <c r="LJY416" s="80"/>
      <c r="LJZ416" s="80"/>
      <c r="LKA416" s="80"/>
      <c r="LKB416" s="80"/>
      <c r="LKC416" s="80"/>
      <c r="LKD416" s="80"/>
      <c r="LKE416" s="80"/>
      <c r="LKF416" s="80"/>
      <c r="LKG416" s="80"/>
      <c r="LKH416" s="80"/>
      <c r="LKI416" s="80"/>
      <c r="LKJ416" s="80"/>
      <c r="LKK416" s="80"/>
      <c r="LKL416" s="80"/>
      <c r="LKM416" s="80"/>
      <c r="LKN416" s="80"/>
      <c r="LKO416" s="80"/>
      <c r="LKP416" s="80"/>
      <c r="LKQ416" s="80"/>
      <c r="LKR416" s="80"/>
      <c r="LKS416" s="80"/>
      <c r="LKT416" s="80"/>
      <c r="LKU416" s="80"/>
      <c r="LKV416" s="80"/>
      <c r="LKW416" s="80"/>
      <c r="LKX416" s="80"/>
      <c r="LKY416" s="80"/>
      <c r="LKZ416" s="80"/>
      <c r="LLA416" s="80"/>
      <c r="LLB416" s="80"/>
      <c r="LLC416" s="80"/>
      <c r="LLD416" s="80"/>
      <c r="LLE416" s="80"/>
      <c r="LLF416" s="80"/>
      <c r="LLG416" s="80"/>
      <c r="LLH416" s="80"/>
      <c r="LLI416" s="80"/>
      <c r="LLJ416" s="80"/>
      <c r="LLK416" s="80"/>
      <c r="LLL416" s="80"/>
      <c r="LLM416" s="80"/>
      <c r="LLN416" s="80"/>
      <c r="LLO416" s="80"/>
      <c r="LLP416" s="80"/>
      <c r="LLQ416" s="80"/>
      <c r="LLR416" s="80"/>
      <c r="LLS416" s="80"/>
      <c r="LLT416" s="80"/>
      <c r="LLU416" s="80"/>
      <c r="LLV416" s="80"/>
      <c r="LLW416" s="80"/>
      <c r="LLX416" s="80"/>
      <c r="LLY416" s="80"/>
      <c r="LLZ416" s="80"/>
      <c r="LMA416" s="80"/>
      <c r="LMB416" s="80"/>
      <c r="LMC416" s="80"/>
      <c r="LMD416" s="80"/>
      <c r="LME416" s="80"/>
      <c r="LMF416" s="80"/>
      <c r="LMG416" s="80"/>
      <c r="LMH416" s="80"/>
      <c r="LMI416" s="80"/>
      <c r="LMJ416" s="80"/>
      <c r="LMK416" s="80"/>
      <c r="LML416" s="80"/>
      <c r="LMM416" s="80"/>
      <c r="LMN416" s="80"/>
      <c r="LMO416" s="80"/>
      <c r="LMP416" s="80"/>
      <c r="LMQ416" s="80"/>
      <c r="LMR416" s="80"/>
      <c r="LMS416" s="80"/>
      <c r="LMT416" s="80"/>
      <c r="LMU416" s="80"/>
      <c r="LMV416" s="80"/>
      <c r="LMW416" s="80"/>
      <c r="LMX416" s="80"/>
      <c r="LMY416" s="80"/>
      <c r="LMZ416" s="80"/>
      <c r="LNA416" s="80"/>
      <c r="LNB416" s="80"/>
      <c r="LNC416" s="80"/>
      <c r="LND416" s="80"/>
      <c r="LNE416" s="80"/>
      <c r="LNF416" s="80"/>
      <c r="LNG416" s="80"/>
      <c r="LNH416" s="80"/>
      <c r="LNI416" s="80"/>
      <c r="LNJ416" s="80"/>
      <c r="LNK416" s="80"/>
      <c r="LNL416" s="80"/>
      <c r="LNM416" s="80"/>
      <c r="LNN416" s="80"/>
      <c r="LNO416" s="80"/>
      <c r="LNP416" s="80"/>
      <c r="LNQ416" s="80"/>
      <c r="LNR416" s="80"/>
      <c r="LNS416" s="80"/>
      <c r="LNT416" s="80"/>
      <c r="LNU416" s="80"/>
      <c r="LNV416" s="80"/>
      <c r="LNW416" s="80"/>
      <c r="LNX416" s="80"/>
      <c r="LNY416" s="80"/>
      <c r="LNZ416" s="80"/>
      <c r="LOA416" s="80"/>
      <c r="LOB416" s="80"/>
      <c r="LOC416" s="80"/>
      <c r="LOD416" s="80"/>
      <c r="LOE416" s="80"/>
      <c r="LOF416" s="80"/>
      <c r="LOG416" s="80"/>
      <c r="LOH416" s="80"/>
      <c r="LOI416" s="80"/>
      <c r="LOJ416" s="80"/>
      <c r="LOK416" s="80"/>
      <c r="LOL416" s="80"/>
      <c r="LOM416" s="80"/>
      <c r="LON416" s="80"/>
      <c r="LOO416" s="80"/>
      <c r="LOP416" s="80"/>
      <c r="LOQ416" s="80"/>
      <c r="LOR416" s="80"/>
      <c r="LOS416" s="80"/>
      <c r="LOT416" s="80"/>
      <c r="LOU416" s="80"/>
      <c r="LOV416" s="80"/>
      <c r="LOW416" s="80"/>
      <c r="LOX416" s="80"/>
      <c r="LOY416" s="80"/>
      <c r="LOZ416" s="80"/>
      <c r="LPA416" s="80"/>
      <c r="LPB416" s="80"/>
      <c r="LPC416" s="80"/>
      <c r="LPD416" s="80"/>
      <c r="LPE416" s="80"/>
      <c r="LPF416" s="80"/>
      <c r="LPG416" s="80"/>
      <c r="LPH416" s="80"/>
      <c r="LPI416" s="80"/>
      <c r="LPJ416" s="80"/>
      <c r="LPK416" s="80"/>
      <c r="LPL416" s="80"/>
      <c r="LPM416" s="80"/>
      <c r="LPN416" s="80"/>
      <c r="LPO416" s="80"/>
      <c r="LPP416" s="80"/>
      <c r="LPQ416" s="80"/>
      <c r="LPR416" s="80"/>
      <c r="LPS416" s="80"/>
      <c r="LPT416" s="80"/>
      <c r="LPU416" s="80"/>
      <c r="LPV416" s="80"/>
      <c r="LPW416" s="80"/>
      <c r="LPX416" s="80"/>
      <c r="LPY416" s="80"/>
      <c r="LPZ416" s="80"/>
      <c r="LQA416" s="80"/>
      <c r="LQB416" s="80"/>
      <c r="LQC416" s="80"/>
      <c r="LQD416" s="80"/>
      <c r="LQE416" s="80"/>
      <c r="LQF416" s="80"/>
      <c r="LQG416" s="80"/>
      <c r="LQH416" s="80"/>
      <c r="LQI416" s="80"/>
      <c r="LQJ416" s="80"/>
      <c r="LQK416" s="80"/>
      <c r="LQL416" s="80"/>
      <c r="LQM416" s="80"/>
      <c r="LQN416" s="80"/>
      <c r="LQO416" s="80"/>
      <c r="LQP416" s="80"/>
      <c r="LQQ416" s="80"/>
      <c r="LQR416" s="80"/>
      <c r="LQS416" s="80"/>
      <c r="LQT416" s="80"/>
      <c r="LQU416" s="80"/>
      <c r="LQV416" s="80"/>
      <c r="LQW416" s="80"/>
      <c r="LQX416" s="80"/>
      <c r="LQY416" s="80"/>
      <c r="LQZ416" s="80"/>
      <c r="LRA416" s="80"/>
      <c r="LRB416" s="80"/>
      <c r="LRC416" s="80"/>
      <c r="LRD416" s="80"/>
      <c r="LRE416" s="80"/>
      <c r="LRF416" s="80"/>
      <c r="LRG416" s="80"/>
      <c r="LRH416" s="80"/>
      <c r="LRI416" s="80"/>
      <c r="LRJ416" s="80"/>
      <c r="LRK416" s="80"/>
      <c r="LRL416" s="80"/>
      <c r="LRM416" s="80"/>
      <c r="LRN416" s="80"/>
      <c r="LRO416" s="80"/>
      <c r="LRP416" s="80"/>
      <c r="LRQ416" s="80"/>
      <c r="LRR416" s="80"/>
      <c r="LRS416" s="80"/>
      <c r="LRT416" s="80"/>
      <c r="LRU416" s="80"/>
      <c r="LRV416" s="80"/>
      <c r="LRW416" s="80"/>
      <c r="LRX416" s="80"/>
      <c r="LRY416" s="80"/>
      <c r="LRZ416" s="80"/>
      <c r="LSA416" s="80"/>
      <c r="LSB416" s="80"/>
      <c r="LSC416" s="80"/>
      <c r="LSD416" s="80"/>
      <c r="LSE416" s="80"/>
      <c r="LSF416" s="80"/>
      <c r="LSG416" s="80"/>
      <c r="LSH416" s="80"/>
      <c r="LSI416" s="80"/>
      <c r="LSJ416" s="80"/>
      <c r="LSK416" s="80"/>
      <c r="LSL416" s="80"/>
      <c r="LSM416" s="80"/>
      <c r="LSN416" s="80"/>
      <c r="LSO416" s="80"/>
      <c r="LSP416" s="80"/>
      <c r="LSQ416" s="80"/>
      <c r="LSR416" s="80"/>
      <c r="LSS416" s="80"/>
      <c r="LST416" s="80"/>
      <c r="LSU416" s="80"/>
      <c r="LSV416" s="80"/>
      <c r="LSW416" s="80"/>
      <c r="LSX416" s="80"/>
      <c r="LSY416" s="80"/>
      <c r="LSZ416" s="80"/>
      <c r="LTA416" s="80"/>
      <c r="LTB416" s="80"/>
      <c r="LTC416" s="80"/>
      <c r="LTD416" s="80"/>
      <c r="LTE416" s="80"/>
      <c r="LTF416" s="80"/>
      <c r="LTG416" s="80"/>
      <c r="LTH416" s="80"/>
      <c r="LTI416" s="80"/>
      <c r="LTJ416" s="80"/>
      <c r="LTK416" s="80"/>
      <c r="LTL416" s="80"/>
      <c r="LTM416" s="80"/>
      <c r="LTN416" s="80"/>
      <c r="LTO416" s="80"/>
      <c r="LTP416" s="80"/>
      <c r="LTQ416" s="80"/>
      <c r="LTR416" s="80"/>
      <c r="LTS416" s="80"/>
      <c r="LTT416" s="80"/>
      <c r="LTU416" s="80"/>
      <c r="LTV416" s="80"/>
      <c r="LTW416" s="80"/>
      <c r="LTX416" s="80"/>
      <c r="LTY416" s="80"/>
      <c r="LTZ416" s="80"/>
      <c r="LUA416" s="80"/>
      <c r="LUB416" s="80"/>
      <c r="LUC416" s="80"/>
      <c r="LUD416" s="80"/>
      <c r="LUE416" s="80"/>
      <c r="LUF416" s="80"/>
      <c r="LUG416" s="80"/>
      <c r="LUH416" s="80"/>
      <c r="LUI416" s="80"/>
      <c r="LUJ416" s="80"/>
      <c r="LUK416" s="80"/>
      <c r="LUL416" s="80"/>
      <c r="LUM416" s="80"/>
      <c r="LUN416" s="80"/>
      <c r="LUO416" s="80"/>
      <c r="LUP416" s="80"/>
      <c r="LUQ416" s="80"/>
      <c r="LUR416" s="80"/>
      <c r="LUS416" s="80"/>
      <c r="LUT416" s="80"/>
      <c r="LUU416" s="80"/>
      <c r="LUV416" s="80"/>
      <c r="LUW416" s="80"/>
      <c r="LUX416" s="80"/>
      <c r="LUY416" s="80"/>
      <c r="LUZ416" s="80"/>
      <c r="LVA416" s="80"/>
      <c r="LVB416" s="80"/>
      <c r="LVC416" s="80"/>
      <c r="LVD416" s="80"/>
      <c r="LVE416" s="80"/>
      <c r="LVF416" s="80"/>
      <c r="LVG416" s="80"/>
      <c r="LVH416" s="80"/>
      <c r="LVI416" s="80"/>
      <c r="LVJ416" s="80"/>
      <c r="LVK416" s="80"/>
      <c r="LVL416" s="80"/>
      <c r="LVM416" s="80"/>
      <c r="LVN416" s="80"/>
      <c r="LVO416" s="80"/>
      <c r="LVP416" s="80"/>
      <c r="LVQ416" s="80"/>
      <c r="LVR416" s="80"/>
      <c r="LVS416" s="80"/>
      <c r="LVT416" s="80"/>
      <c r="LVU416" s="80"/>
      <c r="LVV416" s="80"/>
      <c r="LVW416" s="80"/>
      <c r="LVX416" s="80"/>
      <c r="LVY416" s="80"/>
      <c r="LVZ416" s="80"/>
      <c r="LWA416" s="80"/>
      <c r="LWB416" s="80"/>
      <c r="LWC416" s="80"/>
      <c r="LWD416" s="80"/>
      <c r="LWE416" s="80"/>
      <c r="LWF416" s="80"/>
      <c r="LWG416" s="80"/>
      <c r="LWH416" s="80"/>
      <c r="LWI416" s="80"/>
      <c r="LWJ416" s="80"/>
      <c r="LWK416" s="80"/>
      <c r="LWL416" s="80"/>
      <c r="LWM416" s="80"/>
      <c r="LWN416" s="80"/>
      <c r="LWO416" s="80"/>
      <c r="LWP416" s="80"/>
      <c r="LWQ416" s="80"/>
      <c r="LWR416" s="80"/>
      <c r="LWS416" s="80"/>
      <c r="LWT416" s="80"/>
      <c r="LWU416" s="80"/>
      <c r="LWV416" s="80"/>
      <c r="LWW416" s="80"/>
      <c r="LWX416" s="80"/>
      <c r="LWY416" s="80"/>
      <c r="LWZ416" s="80"/>
      <c r="LXA416" s="80"/>
      <c r="LXB416" s="80"/>
      <c r="LXC416" s="80"/>
      <c r="LXD416" s="80"/>
      <c r="LXE416" s="80"/>
      <c r="LXF416" s="80"/>
      <c r="LXG416" s="80"/>
      <c r="LXH416" s="80"/>
      <c r="LXI416" s="80"/>
      <c r="LXJ416" s="80"/>
      <c r="LXK416" s="80"/>
      <c r="LXL416" s="80"/>
      <c r="LXM416" s="80"/>
      <c r="LXN416" s="80"/>
      <c r="LXO416" s="80"/>
      <c r="LXP416" s="80"/>
      <c r="LXQ416" s="80"/>
      <c r="LXR416" s="80"/>
      <c r="LXS416" s="80"/>
      <c r="LXT416" s="80"/>
      <c r="LXU416" s="80"/>
      <c r="LXV416" s="80"/>
      <c r="LXW416" s="80"/>
      <c r="LXX416" s="80"/>
      <c r="LXY416" s="80"/>
      <c r="LXZ416" s="80"/>
      <c r="LYA416" s="80"/>
      <c r="LYB416" s="80"/>
      <c r="LYC416" s="80"/>
      <c r="LYD416" s="80"/>
      <c r="LYE416" s="80"/>
      <c r="LYF416" s="80"/>
      <c r="LYG416" s="80"/>
      <c r="LYH416" s="80"/>
      <c r="LYI416" s="80"/>
      <c r="LYJ416" s="80"/>
      <c r="LYK416" s="80"/>
      <c r="LYL416" s="80"/>
      <c r="LYM416" s="80"/>
      <c r="LYN416" s="80"/>
      <c r="LYO416" s="80"/>
      <c r="LYP416" s="80"/>
      <c r="LYQ416" s="80"/>
      <c r="LYR416" s="80"/>
      <c r="LYS416" s="80"/>
      <c r="LYT416" s="80"/>
      <c r="LYU416" s="80"/>
      <c r="LYV416" s="80"/>
      <c r="LYW416" s="80"/>
      <c r="LYX416" s="80"/>
      <c r="LYY416" s="80"/>
      <c r="LYZ416" s="80"/>
      <c r="LZA416" s="80"/>
      <c r="LZB416" s="80"/>
      <c r="LZC416" s="80"/>
      <c r="LZD416" s="80"/>
      <c r="LZE416" s="80"/>
      <c r="LZF416" s="80"/>
      <c r="LZG416" s="80"/>
      <c r="LZH416" s="80"/>
      <c r="LZI416" s="80"/>
      <c r="LZJ416" s="80"/>
      <c r="LZK416" s="80"/>
      <c r="LZL416" s="80"/>
      <c r="LZM416" s="80"/>
      <c r="LZN416" s="80"/>
      <c r="LZO416" s="80"/>
      <c r="LZP416" s="80"/>
      <c r="LZQ416" s="80"/>
      <c r="LZR416" s="80"/>
      <c r="LZS416" s="80"/>
      <c r="LZT416" s="80"/>
      <c r="LZU416" s="80"/>
      <c r="LZV416" s="80"/>
      <c r="LZW416" s="80"/>
      <c r="LZX416" s="80"/>
      <c r="LZY416" s="80"/>
      <c r="LZZ416" s="80"/>
      <c r="MAA416" s="80"/>
      <c r="MAB416" s="80"/>
      <c r="MAC416" s="80"/>
      <c r="MAD416" s="80"/>
      <c r="MAE416" s="80"/>
      <c r="MAF416" s="80"/>
      <c r="MAG416" s="80"/>
      <c r="MAH416" s="80"/>
      <c r="MAI416" s="80"/>
      <c r="MAJ416" s="80"/>
      <c r="MAK416" s="80"/>
      <c r="MAL416" s="80"/>
      <c r="MAM416" s="80"/>
      <c r="MAN416" s="80"/>
      <c r="MAO416" s="80"/>
      <c r="MAP416" s="80"/>
      <c r="MAQ416" s="80"/>
      <c r="MAR416" s="80"/>
      <c r="MAS416" s="80"/>
      <c r="MAT416" s="80"/>
      <c r="MAU416" s="80"/>
      <c r="MAV416" s="80"/>
      <c r="MAW416" s="80"/>
      <c r="MAX416" s="80"/>
      <c r="MAY416" s="80"/>
      <c r="MAZ416" s="80"/>
      <c r="MBA416" s="80"/>
      <c r="MBB416" s="80"/>
      <c r="MBC416" s="80"/>
      <c r="MBD416" s="80"/>
      <c r="MBE416" s="80"/>
      <c r="MBF416" s="80"/>
      <c r="MBG416" s="80"/>
      <c r="MBH416" s="80"/>
      <c r="MBI416" s="80"/>
      <c r="MBJ416" s="80"/>
      <c r="MBK416" s="80"/>
      <c r="MBL416" s="80"/>
      <c r="MBM416" s="80"/>
      <c r="MBN416" s="80"/>
      <c r="MBO416" s="80"/>
      <c r="MBP416" s="80"/>
      <c r="MBQ416" s="80"/>
      <c r="MBR416" s="80"/>
      <c r="MBS416" s="80"/>
      <c r="MBT416" s="80"/>
      <c r="MBU416" s="80"/>
      <c r="MBV416" s="80"/>
      <c r="MBW416" s="80"/>
      <c r="MBX416" s="80"/>
      <c r="MBY416" s="80"/>
      <c r="MBZ416" s="80"/>
      <c r="MCA416" s="80"/>
      <c r="MCB416" s="80"/>
      <c r="MCC416" s="80"/>
      <c r="MCD416" s="80"/>
      <c r="MCE416" s="80"/>
      <c r="MCF416" s="80"/>
      <c r="MCG416" s="80"/>
      <c r="MCH416" s="80"/>
      <c r="MCI416" s="80"/>
      <c r="MCJ416" s="80"/>
      <c r="MCK416" s="80"/>
      <c r="MCL416" s="80"/>
      <c r="MCM416" s="80"/>
      <c r="MCN416" s="80"/>
      <c r="MCO416" s="80"/>
      <c r="MCP416" s="80"/>
      <c r="MCQ416" s="80"/>
      <c r="MCR416" s="80"/>
      <c r="MCS416" s="80"/>
      <c r="MCT416" s="80"/>
      <c r="MCU416" s="80"/>
      <c r="MCV416" s="80"/>
      <c r="MCW416" s="80"/>
      <c r="MCX416" s="80"/>
      <c r="MCY416" s="80"/>
      <c r="MCZ416" s="80"/>
      <c r="MDA416" s="80"/>
      <c r="MDB416" s="80"/>
      <c r="MDC416" s="80"/>
      <c r="MDD416" s="80"/>
      <c r="MDE416" s="80"/>
      <c r="MDF416" s="80"/>
      <c r="MDG416" s="80"/>
      <c r="MDH416" s="80"/>
      <c r="MDI416" s="80"/>
      <c r="MDJ416" s="80"/>
      <c r="MDK416" s="80"/>
      <c r="MDL416" s="80"/>
      <c r="MDM416" s="80"/>
      <c r="MDN416" s="80"/>
      <c r="MDO416" s="80"/>
      <c r="MDP416" s="80"/>
      <c r="MDQ416" s="80"/>
      <c r="MDR416" s="80"/>
      <c r="MDS416" s="80"/>
      <c r="MDT416" s="80"/>
      <c r="MDU416" s="80"/>
      <c r="MDV416" s="80"/>
      <c r="MDW416" s="80"/>
      <c r="MDX416" s="80"/>
      <c r="MDY416" s="80"/>
      <c r="MDZ416" s="80"/>
      <c r="MEA416" s="80"/>
      <c r="MEB416" s="80"/>
      <c r="MEC416" s="80"/>
      <c r="MED416" s="80"/>
      <c r="MEE416" s="80"/>
      <c r="MEF416" s="80"/>
      <c r="MEG416" s="80"/>
      <c r="MEH416" s="80"/>
      <c r="MEI416" s="80"/>
      <c r="MEJ416" s="80"/>
      <c r="MEK416" s="80"/>
      <c r="MEL416" s="80"/>
      <c r="MEM416" s="80"/>
      <c r="MEN416" s="80"/>
      <c r="MEO416" s="80"/>
      <c r="MEP416" s="80"/>
      <c r="MEQ416" s="80"/>
      <c r="MER416" s="80"/>
      <c r="MES416" s="80"/>
      <c r="MET416" s="80"/>
      <c r="MEU416" s="80"/>
      <c r="MEV416" s="80"/>
      <c r="MEW416" s="80"/>
      <c r="MEX416" s="80"/>
      <c r="MEY416" s="80"/>
      <c r="MEZ416" s="80"/>
      <c r="MFA416" s="80"/>
      <c r="MFB416" s="80"/>
      <c r="MFC416" s="80"/>
      <c r="MFD416" s="80"/>
      <c r="MFE416" s="80"/>
      <c r="MFF416" s="80"/>
      <c r="MFG416" s="80"/>
      <c r="MFH416" s="80"/>
      <c r="MFI416" s="80"/>
      <c r="MFJ416" s="80"/>
      <c r="MFK416" s="80"/>
      <c r="MFL416" s="80"/>
      <c r="MFM416" s="80"/>
      <c r="MFN416" s="80"/>
      <c r="MFO416" s="80"/>
      <c r="MFP416" s="80"/>
      <c r="MFQ416" s="80"/>
      <c r="MFR416" s="80"/>
      <c r="MFS416" s="80"/>
      <c r="MFT416" s="80"/>
      <c r="MFU416" s="80"/>
      <c r="MFV416" s="80"/>
      <c r="MFW416" s="80"/>
      <c r="MFX416" s="80"/>
      <c r="MFY416" s="80"/>
      <c r="MFZ416" s="80"/>
      <c r="MGA416" s="80"/>
      <c r="MGB416" s="80"/>
      <c r="MGC416" s="80"/>
      <c r="MGD416" s="80"/>
      <c r="MGE416" s="80"/>
      <c r="MGF416" s="80"/>
      <c r="MGG416" s="80"/>
      <c r="MGH416" s="80"/>
      <c r="MGI416" s="80"/>
      <c r="MGJ416" s="80"/>
      <c r="MGK416" s="80"/>
      <c r="MGL416" s="80"/>
      <c r="MGM416" s="80"/>
      <c r="MGN416" s="80"/>
      <c r="MGO416" s="80"/>
      <c r="MGP416" s="80"/>
      <c r="MGQ416" s="80"/>
      <c r="MGR416" s="80"/>
      <c r="MGS416" s="80"/>
      <c r="MGT416" s="80"/>
      <c r="MGU416" s="80"/>
      <c r="MGV416" s="80"/>
      <c r="MGW416" s="80"/>
      <c r="MGX416" s="80"/>
      <c r="MGY416" s="80"/>
      <c r="MGZ416" s="80"/>
      <c r="MHA416" s="80"/>
      <c r="MHB416" s="80"/>
      <c r="MHC416" s="80"/>
      <c r="MHD416" s="80"/>
      <c r="MHE416" s="80"/>
      <c r="MHF416" s="80"/>
      <c r="MHG416" s="80"/>
      <c r="MHH416" s="80"/>
      <c r="MHI416" s="80"/>
      <c r="MHJ416" s="80"/>
      <c r="MHK416" s="80"/>
      <c r="MHL416" s="80"/>
      <c r="MHM416" s="80"/>
      <c r="MHN416" s="80"/>
      <c r="MHO416" s="80"/>
      <c r="MHP416" s="80"/>
      <c r="MHQ416" s="80"/>
      <c r="MHR416" s="80"/>
      <c r="MHS416" s="80"/>
      <c r="MHT416" s="80"/>
      <c r="MHU416" s="80"/>
      <c r="MHV416" s="80"/>
      <c r="MHW416" s="80"/>
      <c r="MHX416" s="80"/>
      <c r="MHY416" s="80"/>
      <c r="MHZ416" s="80"/>
      <c r="MIA416" s="80"/>
      <c r="MIB416" s="80"/>
      <c r="MIC416" s="80"/>
      <c r="MID416" s="80"/>
      <c r="MIE416" s="80"/>
      <c r="MIF416" s="80"/>
      <c r="MIG416" s="80"/>
      <c r="MIH416" s="80"/>
      <c r="MII416" s="80"/>
      <c r="MIJ416" s="80"/>
      <c r="MIK416" s="80"/>
      <c r="MIL416" s="80"/>
      <c r="MIM416" s="80"/>
      <c r="MIN416" s="80"/>
      <c r="MIO416" s="80"/>
      <c r="MIP416" s="80"/>
      <c r="MIQ416" s="80"/>
      <c r="MIR416" s="80"/>
      <c r="MIS416" s="80"/>
      <c r="MIT416" s="80"/>
      <c r="MIU416" s="80"/>
      <c r="MIV416" s="80"/>
      <c r="MIW416" s="80"/>
      <c r="MIX416" s="80"/>
      <c r="MIY416" s="80"/>
      <c r="MIZ416" s="80"/>
      <c r="MJA416" s="80"/>
      <c r="MJB416" s="80"/>
      <c r="MJC416" s="80"/>
      <c r="MJD416" s="80"/>
      <c r="MJE416" s="80"/>
      <c r="MJF416" s="80"/>
      <c r="MJG416" s="80"/>
      <c r="MJH416" s="80"/>
      <c r="MJI416" s="80"/>
      <c r="MJJ416" s="80"/>
      <c r="MJK416" s="80"/>
      <c r="MJL416" s="80"/>
      <c r="MJM416" s="80"/>
      <c r="MJN416" s="80"/>
      <c r="MJO416" s="80"/>
      <c r="MJP416" s="80"/>
      <c r="MJQ416" s="80"/>
      <c r="MJR416" s="80"/>
      <c r="MJS416" s="80"/>
      <c r="MJT416" s="80"/>
      <c r="MJU416" s="80"/>
      <c r="MJV416" s="80"/>
      <c r="MJW416" s="80"/>
      <c r="MJX416" s="80"/>
      <c r="MJY416" s="80"/>
      <c r="MJZ416" s="80"/>
      <c r="MKA416" s="80"/>
      <c r="MKB416" s="80"/>
      <c r="MKC416" s="80"/>
      <c r="MKD416" s="80"/>
      <c r="MKE416" s="80"/>
      <c r="MKF416" s="80"/>
      <c r="MKG416" s="80"/>
      <c r="MKH416" s="80"/>
      <c r="MKI416" s="80"/>
      <c r="MKJ416" s="80"/>
      <c r="MKK416" s="80"/>
      <c r="MKL416" s="80"/>
      <c r="MKM416" s="80"/>
      <c r="MKN416" s="80"/>
      <c r="MKO416" s="80"/>
      <c r="MKP416" s="80"/>
      <c r="MKQ416" s="80"/>
      <c r="MKR416" s="80"/>
      <c r="MKS416" s="80"/>
      <c r="MKT416" s="80"/>
      <c r="MKU416" s="80"/>
      <c r="MKV416" s="80"/>
      <c r="MKW416" s="80"/>
      <c r="MKX416" s="80"/>
      <c r="MKY416" s="80"/>
      <c r="MKZ416" s="80"/>
      <c r="MLA416" s="80"/>
      <c r="MLB416" s="80"/>
      <c r="MLC416" s="80"/>
      <c r="MLD416" s="80"/>
      <c r="MLE416" s="80"/>
      <c r="MLF416" s="80"/>
      <c r="MLG416" s="80"/>
      <c r="MLH416" s="80"/>
      <c r="MLI416" s="80"/>
      <c r="MLJ416" s="80"/>
      <c r="MLK416" s="80"/>
      <c r="MLL416" s="80"/>
      <c r="MLM416" s="80"/>
      <c r="MLN416" s="80"/>
      <c r="MLO416" s="80"/>
      <c r="MLP416" s="80"/>
      <c r="MLQ416" s="80"/>
      <c r="MLR416" s="80"/>
      <c r="MLS416" s="80"/>
      <c r="MLT416" s="80"/>
      <c r="MLU416" s="80"/>
      <c r="MLV416" s="80"/>
      <c r="MLW416" s="80"/>
      <c r="MLX416" s="80"/>
      <c r="MLY416" s="80"/>
      <c r="MLZ416" s="80"/>
      <c r="MMA416" s="80"/>
      <c r="MMB416" s="80"/>
      <c r="MMC416" s="80"/>
      <c r="MMD416" s="80"/>
      <c r="MME416" s="80"/>
      <c r="MMF416" s="80"/>
      <c r="MMG416" s="80"/>
      <c r="MMH416" s="80"/>
      <c r="MMI416" s="80"/>
      <c r="MMJ416" s="80"/>
      <c r="MMK416" s="80"/>
      <c r="MML416" s="80"/>
      <c r="MMM416" s="80"/>
      <c r="MMN416" s="80"/>
      <c r="MMO416" s="80"/>
      <c r="MMP416" s="80"/>
      <c r="MMQ416" s="80"/>
      <c r="MMR416" s="80"/>
      <c r="MMS416" s="80"/>
      <c r="MMT416" s="80"/>
      <c r="MMU416" s="80"/>
      <c r="MMV416" s="80"/>
      <c r="MMW416" s="80"/>
      <c r="MMX416" s="80"/>
      <c r="MMY416" s="80"/>
      <c r="MMZ416" s="80"/>
      <c r="MNA416" s="80"/>
      <c r="MNB416" s="80"/>
      <c r="MNC416" s="80"/>
      <c r="MND416" s="80"/>
      <c r="MNE416" s="80"/>
      <c r="MNF416" s="80"/>
      <c r="MNG416" s="80"/>
      <c r="MNH416" s="80"/>
      <c r="MNI416" s="80"/>
      <c r="MNJ416" s="80"/>
      <c r="MNK416" s="80"/>
      <c r="MNL416" s="80"/>
      <c r="MNM416" s="80"/>
      <c r="MNN416" s="80"/>
      <c r="MNO416" s="80"/>
      <c r="MNP416" s="80"/>
      <c r="MNQ416" s="80"/>
      <c r="MNR416" s="80"/>
      <c r="MNS416" s="80"/>
      <c r="MNT416" s="80"/>
      <c r="MNU416" s="80"/>
      <c r="MNV416" s="80"/>
      <c r="MNW416" s="80"/>
      <c r="MNX416" s="80"/>
      <c r="MNY416" s="80"/>
      <c r="MNZ416" s="80"/>
      <c r="MOA416" s="80"/>
      <c r="MOB416" s="80"/>
      <c r="MOC416" s="80"/>
      <c r="MOD416" s="80"/>
      <c r="MOE416" s="80"/>
      <c r="MOF416" s="80"/>
      <c r="MOG416" s="80"/>
      <c r="MOH416" s="80"/>
      <c r="MOI416" s="80"/>
      <c r="MOJ416" s="80"/>
      <c r="MOK416" s="80"/>
      <c r="MOL416" s="80"/>
      <c r="MOM416" s="80"/>
      <c r="MON416" s="80"/>
      <c r="MOO416" s="80"/>
      <c r="MOP416" s="80"/>
      <c r="MOQ416" s="80"/>
      <c r="MOR416" s="80"/>
      <c r="MOS416" s="80"/>
      <c r="MOT416" s="80"/>
      <c r="MOU416" s="80"/>
      <c r="MOV416" s="80"/>
      <c r="MOW416" s="80"/>
      <c r="MOX416" s="80"/>
      <c r="MOY416" s="80"/>
      <c r="MOZ416" s="80"/>
      <c r="MPA416" s="80"/>
      <c r="MPB416" s="80"/>
      <c r="MPC416" s="80"/>
      <c r="MPD416" s="80"/>
      <c r="MPE416" s="80"/>
      <c r="MPF416" s="80"/>
      <c r="MPG416" s="80"/>
      <c r="MPH416" s="80"/>
      <c r="MPI416" s="80"/>
      <c r="MPJ416" s="80"/>
      <c r="MPK416" s="80"/>
      <c r="MPL416" s="80"/>
      <c r="MPM416" s="80"/>
      <c r="MPN416" s="80"/>
      <c r="MPO416" s="80"/>
      <c r="MPP416" s="80"/>
      <c r="MPQ416" s="80"/>
      <c r="MPR416" s="80"/>
      <c r="MPS416" s="80"/>
      <c r="MPT416" s="80"/>
      <c r="MPU416" s="80"/>
      <c r="MPV416" s="80"/>
      <c r="MPW416" s="80"/>
      <c r="MPX416" s="80"/>
      <c r="MPY416" s="80"/>
      <c r="MPZ416" s="80"/>
      <c r="MQA416" s="80"/>
      <c r="MQB416" s="80"/>
      <c r="MQC416" s="80"/>
      <c r="MQD416" s="80"/>
      <c r="MQE416" s="80"/>
      <c r="MQF416" s="80"/>
      <c r="MQG416" s="80"/>
      <c r="MQH416" s="80"/>
      <c r="MQI416" s="80"/>
      <c r="MQJ416" s="80"/>
      <c r="MQK416" s="80"/>
      <c r="MQL416" s="80"/>
      <c r="MQM416" s="80"/>
      <c r="MQN416" s="80"/>
      <c r="MQO416" s="80"/>
      <c r="MQP416" s="80"/>
      <c r="MQQ416" s="80"/>
      <c r="MQR416" s="80"/>
      <c r="MQS416" s="80"/>
      <c r="MQT416" s="80"/>
      <c r="MQU416" s="80"/>
      <c r="MQV416" s="80"/>
      <c r="MQW416" s="80"/>
      <c r="MQX416" s="80"/>
      <c r="MQY416" s="80"/>
      <c r="MQZ416" s="80"/>
      <c r="MRA416" s="80"/>
      <c r="MRB416" s="80"/>
      <c r="MRC416" s="80"/>
      <c r="MRD416" s="80"/>
      <c r="MRE416" s="80"/>
      <c r="MRF416" s="80"/>
      <c r="MRG416" s="80"/>
      <c r="MRH416" s="80"/>
      <c r="MRI416" s="80"/>
      <c r="MRJ416" s="80"/>
      <c r="MRK416" s="80"/>
      <c r="MRL416" s="80"/>
      <c r="MRM416" s="80"/>
      <c r="MRN416" s="80"/>
      <c r="MRO416" s="80"/>
      <c r="MRP416" s="80"/>
      <c r="MRQ416" s="80"/>
      <c r="MRR416" s="80"/>
      <c r="MRS416" s="80"/>
      <c r="MRT416" s="80"/>
      <c r="MRU416" s="80"/>
      <c r="MRV416" s="80"/>
      <c r="MRW416" s="80"/>
      <c r="MRX416" s="80"/>
      <c r="MRY416" s="80"/>
      <c r="MRZ416" s="80"/>
      <c r="MSA416" s="80"/>
      <c r="MSB416" s="80"/>
      <c r="MSC416" s="80"/>
      <c r="MSD416" s="80"/>
      <c r="MSE416" s="80"/>
      <c r="MSF416" s="80"/>
      <c r="MSG416" s="80"/>
      <c r="MSH416" s="80"/>
      <c r="MSI416" s="80"/>
      <c r="MSJ416" s="80"/>
      <c r="MSK416" s="80"/>
      <c r="MSL416" s="80"/>
      <c r="MSM416" s="80"/>
      <c r="MSN416" s="80"/>
      <c r="MSO416" s="80"/>
      <c r="MSP416" s="80"/>
      <c r="MSQ416" s="80"/>
      <c r="MSR416" s="80"/>
      <c r="MSS416" s="80"/>
      <c r="MST416" s="80"/>
      <c r="MSU416" s="80"/>
      <c r="MSV416" s="80"/>
      <c r="MSW416" s="80"/>
      <c r="MSX416" s="80"/>
      <c r="MSY416" s="80"/>
      <c r="MSZ416" s="80"/>
      <c r="MTA416" s="80"/>
      <c r="MTB416" s="80"/>
      <c r="MTC416" s="80"/>
      <c r="MTD416" s="80"/>
      <c r="MTE416" s="80"/>
      <c r="MTF416" s="80"/>
      <c r="MTG416" s="80"/>
      <c r="MTH416" s="80"/>
      <c r="MTI416" s="80"/>
      <c r="MTJ416" s="80"/>
      <c r="MTK416" s="80"/>
      <c r="MTL416" s="80"/>
      <c r="MTM416" s="80"/>
      <c r="MTN416" s="80"/>
      <c r="MTO416" s="80"/>
      <c r="MTP416" s="80"/>
      <c r="MTQ416" s="80"/>
      <c r="MTR416" s="80"/>
      <c r="MTS416" s="80"/>
      <c r="MTT416" s="80"/>
      <c r="MTU416" s="80"/>
      <c r="MTV416" s="80"/>
      <c r="MTW416" s="80"/>
      <c r="MTX416" s="80"/>
      <c r="MTY416" s="80"/>
      <c r="MTZ416" s="80"/>
      <c r="MUA416" s="80"/>
      <c r="MUB416" s="80"/>
      <c r="MUC416" s="80"/>
      <c r="MUD416" s="80"/>
      <c r="MUE416" s="80"/>
      <c r="MUF416" s="80"/>
      <c r="MUG416" s="80"/>
      <c r="MUH416" s="80"/>
      <c r="MUI416" s="80"/>
      <c r="MUJ416" s="80"/>
      <c r="MUK416" s="80"/>
      <c r="MUL416" s="80"/>
      <c r="MUM416" s="80"/>
      <c r="MUN416" s="80"/>
      <c r="MUO416" s="80"/>
      <c r="MUP416" s="80"/>
      <c r="MUQ416" s="80"/>
      <c r="MUR416" s="80"/>
      <c r="MUS416" s="80"/>
      <c r="MUT416" s="80"/>
      <c r="MUU416" s="80"/>
      <c r="MUV416" s="80"/>
      <c r="MUW416" s="80"/>
      <c r="MUX416" s="80"/>
      <c r="MUY416" s="80"/>
      <c r="MUZ416" s="80"/>
      <c r="MVA416" s="80"/>
      <c r="MVB416" s="80"/>
      <c r="MVC416" s="80"/>
      <c r="MVD416" s="80"/>
      <c r="MVE416" s="80"/>
      <c r="MVF416" s="80"/>
      <c r="MVG416" s="80"/>
      <c r="MVH416" s="80"/>
      <c r="MVI416" s="80"/>
      <c r="MVJ416" s="80"/>
      <c r="MVK416" s="80"/>
      <c r="MVL416" s="80"/>
      <c r="MVM416" s="80"/>
      <c r="MVN416" s="80"/>
      <c r="MVO416" s="80"/>
      <c r="MVP416" s="80"/>
      <c r="MVQ416" s="80"/>
      <c r="MVR416" s="80"/>
      <c r="MVS416" s="80"/>
      <c r="MVT416" s="80"/>
      <c r="MVU416" s="80"/>
      <c r="MVV416" s="80"/>
      <c r="MVW416" s="80"/>
      <c r="MVX416" s="80"/>
      <c r="MVY416" s="80"/>
      <c r="MVZ416" s="80"/>
      <c r="MWA416" s="80"/>
      <c r="MWB416" s="80"/>
      <c r="MWC416" s="80"/>
      <c r="MWD416" s="80"/>
      <c r="MWE416" s="80"/>
      <c r="MWF416" s="80"/>
      <c r="MWG416" s="80"/>
      <c r="MWH416" s="80"/>
      <c r="MWI416" s="80"/>
      <c r="MWJ416" s="80"/>
      <c r="MWK416" s="80"/>
      <c r="MWL416" s="80"/>
      <c r="MWM416" s="80"/>
      <c r="MWN416" s="80"/>
      <c r="MWO416" s="80"/>
      <c r="MWP416" s="80"/>
      <c r="MWQ416" s="80"/>
      <c r="MWR416" s="80"/>
      <c r="MWS416" s="80"/>
      <c r="MWT416" s="80"/>
      <c r="MWU416" s="80"/>
      <c r="MWV416" s="80"/>
      <c r="MWW416" s="80"/>
      <c r="MWX416" s="80"/>
      <c r="MWY416" s="80"/>
      <c r="MWZ416" s="80"/>
      <c r="MXA416" s="80"/>
      <c r="MXB416" s="80"/>
      <c r="MXC416" s="80"/>
      <c r="MXD416" s="80"/>
      <c r="MXE416" s="80"/>
      <c r="MXF416" s="80"/>
      <c r="MXG416" s="80"/>
      <c r="MXH416" s="80"/>
      <c r="MXI416" s="80"/>
      <c r="MXJ416" s="80"/>
      <c r="MXK416" s="80"/>
      <c r="MXL416" s="80"/>
      <c r="MXM416" s="80"/>
      <c r="MXN416" s="80"/>
      <c r="MXO416" s="80"/>
      <c r="MXP416" s="80"/>
      <c r="MXQ416" s="80"/>
      <c r="MXR416" s="80"/>
      <c r="MXS416" s="80"/>
      <c r="MXT416" s="80"/>
      <c r="MXU416" s="80"/>
      <c r="MXV416" s="80"/>
      <c r="MXW416" s="80"/>
      <c r="MXX416" s="80"/>
      <c r="MXY416" s="80"/>
      <c r="MXZ416" s="80"/>
      <c r="MYA416" s="80"/>
      <c r="MYB416" s="80"/>
      <c r="MYC416" s="80"/>
      <c r="MYD416" s="80"/>
      <c r="MYE416" s="80"/>
      <c r="MYF416" s="80"/>
      <c r="MYG416" s="80"/>
      <c r="MYH416" s="80"/>
      <c r="MYI416" s="80"/>
      <c r="MYJ416" s="80"/>
      <c r="MYK416" s="80"/>
      <c r="MYL416" s="80"/>
      <c r="MYM416" s="80"/>
      <c r="MYN416" s="80"/>
      <c r="MYO416" s="80"/>
      <c r="MYP416" s="80"/>
      <c r="MYQ416" s="80"/>
      <c r="MYR416" s="80"/>
      <c r="MYS416" s="80"/>
      <c r="MYT416" s="80"/>
      <c r="MYU416" s="80"/>
      <c r="MYV416" s="80"/>
      <c r="MYW416" s="80"/>
      <c r="MYX416" s="80"/>
      <c r="MYY416" s="80"/>
      <c r="MYZ416" s="80"/>
      <c r="MZA416" s="80"/>
      <c r="MZB416" s="80"/>
      <c r="MZC416" s="80"/>
      <c r="MZD416" s="80"/>
      <c r="MZE416" s="80"/>
      <c r="MZF416" s="80"/>
      <c r="MZG416" s="80"/>
      <c r="MZH416" s="80"/>
      <c r="MZI416" s="80"/>
      <c r="MZJ416" s="80"/>
      <c r="MZK416" s="80"/>
      <c r="MZL416" s="80"/>
      <c r="MZM416" s="80"/>
      <c r="MZN416" s="80"/>
      <c r="MZO416" s="80"/>
      <c r="MZP416" s="80"/>
      <c r="MZQ416" s="80"/>
      <c r="MZR416" s="80"/>
      <c r="MZS416" s="80"/>
      <c r="MZT416" s="80"/>
      <c r="MZU416" s="80"/>
      <c r="MZV416" s="80"/>
      <c r="MZW416" s="80"/>
      <c r="MZX416" s="80"/>
      <c r="MZY416" s="80"/>
      <c r="MZZ416" s="80"/>
      <c r="NAA416" s="80"/>
      <c r="NAB416" s="80"/>
      <c r="NAC416" s="80"/>
      <c r="NAD416" s="80"/>
      <c r="NAE416" s="80"/>
      <c r="NAF416" s="80"/>
      <c r="NAG416" s="80"/>
      <c r="NAH416" s="80"/>
      <c r="NAI416" s="80"/>
      <c r="NAJ416" s="80"/>
      <c r="NAK416" s="80"/>
      <c r="NAL416" s="80"/>
      <c r="NAM416" s="80"/>
      <c r="NAN416" s="80"/>
      <c r="NAO416" s="80"/>
      <c r="NAP416" s="80"/>
      <c r="NAQ416" s="80"/>
      <c r="NAR416" s="80"/>
      <c r="NAS416" s="80"/>
      <c r="NAT416" s="80"/>
      <c r="NAU416" s="80"/>
      <c r="NAV416" s="80"/>
      <c r="NAW416" s="80"/>
      <c r="NAX416" s="80"/>
      <c r="NAY416" s="80"/>
      <c r="NAZ416" s="80"/>
      <c r="NBA416" s="80"/>
      <c r="NBB416" s="80"/>
      <c r="NBC416" s="80"/>
      <c r="NBD416" s="80"/>
      <c r="NBE416" s="80"/>
      <c r="NBF416" s="80"/>
      <c r="NBG416" s="80"/>
      <c r="NBH416" s="80"/>
      <c r="NBI416" s="80"/>
      <c r="NBJ416" s="80"/>
      <c r="NBK416" s="80"/>
      <c r="NBL416" s="80"/>
      <c r="NBM416" s="80"/>
      <c r="NBN416" s="80"/>
      <c r="NBO416" s="80"/>
      <c r="NBP416" s="80"/>
      <c r="NBQ416" s="80"/>
      <c r="NBR416" s="80"/>
      <c r="NBS416" s="80"/>
      <c r="NBT416" s="80"/>
      <c r="NBU416" s="80"/>
      <c r="NBV416" s="80"/>
      <c r="NBW416" s="80"/>
      <c r="NBX416" s="80"/>
      <c r="NBY416" s="80"/>
      <c r="NBZ416" s="80"/>
      <c r="NCA416" s="80"/>
      <c r="NCB416" s="80"/>
      <c r="NCC416" s="80"/>
      <c r="NCD416" s="80"/>
      <c r="NCE416" s="80"/>
      <c r="NCF416" s="80"/>
      <c r="NCG416" s="80"/>
      <c r="NCH416" s="80"/>
      <c r="NCI416" s="80"/>
      <c r="NCJ416" s="80"/>
      <c r="NCK416" s="80"/>
      <c r="NCL416" s="80"/>
      <c r="NCM416" s="80"/>
      <c r="NCN416" s="80"/>
      <c r="NCO416" s="80"/>
      <c r="NCP416" s="80"/>
      <c r="NCQ416" s="80"/>
      <c r="NCR416" s="80"/>
      <c r="NCS416" s="80"/>
      <c r="NCT416" s="80"/>
      <c r="NCU416" s="80"/>
      <c r="NCV416" s="80"/>
      <c r="NCW416" s="80"/>
      <c r="NCX416" s="80"/>
      <c r="NCY416" s="80"/>
      <c r="NCZ416" s="80"/>
      <c r="NDA416" s="80"/>
      <c r="NDB416" s="80"/>
      <c r="NDC416" s="80"/>
      <c r="NDD416" s="80"/>
      <c r="NDE416" s="80"/>
      <c r="NDF416" s="80"/>
      <c r="NDG416" s="80"/>
      <c r="NDH416" s="80"/>
      <c r="NDI416" s="80"/>
      <c r="NDJ416" s="80"/>
      <c r="NDK416" s="80"/>
      <c r="NDL416" s="80"/>
      <c r="NDM416" s="80"/>
      <c r="NDN416" s="80"/>
      <c r="NDO416" s="80"/>
      <c r="NDP416" s="80"/>
      <c r="NDQ416" s="80"/>
      <c r="NDR416" s="80"/>
      <c r="NDS416" s="80"/>
      <c r="NDT416" s="80"/>
      <c r="NDU416" s="80"/>
      <c r="NDV416" s="80"/>
      <c r="NDW416" s="80"/>
      <c r="NDX416" s="80"/>
      <c r="NDY416" s="80"/>
      <c r="NDZ416" s="80"/>
      <c r="NEA416" s="80"/>
      <c r="NEB416" s="80"/>
      <c r="NEC416" s="80"/>
      <c r="NED416" s="80"/>
      <c r="NEE416" s="80"/>
      <c r="NEF416" s="80"/>
      <c r="NEG416" s="80"/>
      <c r="NEH416" s="80"/>
      <c r="NEI416" s="80"/>
      <c r="NEJ416" s="80"/>
      <c r="NEK416" s="80"/>
      <c r="NEL416" s="80"/>
      <c r="NEM416" s="80"/>
      <c r="NEN416" s="80"/>
      <c r="NEO416" s="80"/>
      <c r="NEP416" s="80"/>
      <c r="NEQ416" s="80"/>
      <c r="NER416" s="80"/>
      <c r="NES416" s="80"/>
      <c r="NET416" s="80"/>
      <c r="NEU416" s="80"/>
      <c r="NEV416" s="80"/>
      <c r="NEW416" s="80"/>
      <c r="NEX416" s="80"/>
      <c r="NEY416" s="80"/>
      <c r="NEZ416" s="80"/>
      <c r="NFA416" s="80"/>
      <c r="NFB416" s="80"/>
      <c r="NFC416" s="80"/>
      <c r="NFD416" s="80"/>
      <c r="NFE416" s="80"/>
      <c r="NFF416" s="80"/>
      <c r="NFG416" s="80"/>
      <c r="NFH416" s="80"/>
      <c r="NFI416" s="80"/>
      <c r="NFJ416" s="80"/>
      <c r="NFK416" s="80"/>
      <c r="NFL416" s="80"/>
      <c r="NFM416" s="80"/>
      <c r="NFN416" s="80"/>
      <c r="NFO416" s="80"/>
      <c r="NFP416" s="80"/>
      <c r="NFQ416" s="80"/>
      <c r="NFR416" s="80"/>
      <c r="NFS416" s="80"/>
      <c r="NFT416" s="80"/>
      <c r="NFU416" s="80"/>
      <c r="NFV416" s="80"/>
      <c r="NFW416" s="80"/>
      <c r="NFX416" s="80"/>
      <c r="NFY416" s="80"/>
      <c r="NFZ416" s="80"/>
      <c r="NGA416" s="80"/>
      <c r="NGB416" s="80"/>
      <c r="NGC416" s="80"/>
      <c r="NGD416" s="80"/>
      <c r="NGE416" s="80"/>
      <c r="NGF416" s="80"/>
      <c r="NGG416" s="80"/>
      <c r="NGH416" s="80"/>
      <c r="NGI416" s="80"/>
      <c r="NGJ416" s="80"/>
      <c r="NGK416" s="80"/>
      <c r="NGL416" s="80"/>
      <c r="NGM416" s="80"/>
      <c r="NGN416" s="80"/>
      <c r="NGO416" s="80"/>
      <c r="NGP416" s="80"/>
      <c r="NGQ416" s="80"/>
      <c r="NGR416" s="80"/>
      <c r="NGS416" s="80"/>
      <c r="NGT416" s="80"/>
      <c r="NGU416" s="80"/>
      <c r="NGV416" s="80"/>
      <c r="NGW416" s="80"/>
      <c r="NGX416" s="80"/>
      <c r="NGY416" s="80"/>
      <c r="NGZ416" s="80"/>
      <c r="NHA416" s="80"/>
      <c r="NHB416" s="80"/>
      <c r="NHC416" s="80"/>
      <c r="NHD416" s="80"/>
      <c r="NHE416" s="80"/>
      <c r="NHF416" s="80"/>
      <c r="NHG416" s="80"/>
      <c r="NHH416" s="80"/>
      <c r="NHI416" s="80"/>
      <c r="NHJ416" s="80"/>
      <c r="NHK416" s="80"/>
      <c r="NHL416" s="80"/>
      <c r="NHM416" s="80"/>
      <c r="NHN416" s="80"/>
      <c r="NHO416" s="80"/>
      <c r="NHP416" s="80"/>
      <c r="NHQ416" s="80"/>
      <c r="NHR416" s="80"/>
      <c r="NHS416" s="80"/>
      <c r="NHT416" s="80"/>
      <c r="NHU416" s="80"/>
      <c r="NHV416" s="80"/>
      <c r="NHW416" s="80"/>
      <c r="NHX416" s="80"/>
      <c r="NHY416" s="80"/>
      <c r="NHZ416" s="80"/>
      <c r="NIA416" s="80"/>
      <c r="NIB416" s="80"/>
      <c r="NIC416" s="80"/>
      <c r="NID416" s="80"/>
      <c r="NIE416" s="80"/>
      <c r="NIF416" s="80"/>
      <c r="NIG416" s="80"/>
      <c r="NIH416" s="80"/>
      <c r="NII416" s="80"/>
      <c r="NIJ416" s="80"/>
      <c r="NIK416" s="80"/>
      <c r="NIL416" s="80"/>
      <c r="NIM416" s="80"/>
      <c r="NIN416" s="80"/>
      <c r="NIO416" s="80"/>
      <c r="NIP416" s="80"/>
      <c r="NIQ416" s="80"/>
      <c r="NIR416" s="80"/>
      <c r="NIS416" s="80"/>
      <c r="NIT416" s="80"/>
      <c r="NIU416" s="80"/>
      <c r="NIV416" s="80"/>
      <c r="NIW416" s="80"/>
      <c r="NIX416" s="80"/>
      <c r="NIY416" s="80"/>
      <c r="NIZ416" s="80"/>
      <c r="NJA416" s="80"/>
      <c r="NJB416" s="80"/>
      <c r="NJC416" s="80"/>
      <c r="NJD416" s="80"/>
      <c r="NJE416" s="80"/>
      <c r="NJF416" s="80"/>
      <c r="NJG416" s="80"/>
      <c r="NJH416" s="80"/>
      <c r="NJI416" s="80"/>
      <c r="NJJ416" s="80"/>
      <c r="NJK416" s="80"/>
      <c r="NJL416" s="80"/>
      <c r="NJM416" s="80"/>
      <c r="NJN416" s="80"/>
      <c r="NJO416" s="80"/>
      <c r="NJP416" s="80"/>
      <c r="NJQ416" s="80"/>
      <c r="NJR416" s="80"/>
      <c r="NJS416" s="80"/>
      <c r="NJT416" s="80"/>
      <c r="NJU416" s="80"/>
      <c r="NJV416" s="80"/>
      <c r="NJW416" s="80"/>
      <c r="NJX416" s="80"/>
      <c r="NJY416" s="80"/>
      <c r="NJZ416" s="80"/>
      <c r="NKA416" s="80"/>
      <c r="NKB416" s="80"/>
      <c r="NKC416" s="80"/>
      <c r="NKD416" s="80"/>
      <c r="NKE416" s="80"/>
      <c r="NKF416" s="80"/>
      <c r="NKG416" s="80"/>
      <c r="NKH416" s="80"/>
      <c r="NKI416" s="80"/>
      <c r="NKJ416" s="80"/>
      <c r="NKK416" s="80"/>
      <c r="NKL416" s="80"/>
      <c r="NKM416" s="80"/>
      <c r="NKN416" s="80"/>
      <c r="NKO416" s="80"/>
      <c r="NKP416" s="80"/>
      <c r="NKQ416" s="80"/>
      <c r="NKR416" s="80"/>
      <c r="NKS416" s="80"/>
      <c r="NKT416" s="80"/>
      <c r="NKU416" s="80"/>
      <c r="NKV416" s="80"/>
      <c r="NKW416" s="80"/>
      <c r="NKX416" s="80"/>
      <c r="NKY416" s="80"/>
      <c r="NKZ416" s="80"/>
      <c r="NLA416" s="80"/>
      <c r="NLB416" s="80"/>
      <c r="NLC416" s="80"/>
      <c r="NLD416" s="80"/>
      <c r="NLE416" s="80"/>
      <c r="NLF416" s="80"/>
      <c r="NLG416" s="80"/>
      <c r="NLH416" s="80"/>
      <c r="NLI416" s="80"/>
      <c r="NLJ416" s="80"/>
      <c r="NLK416" s="80"/>
      <c r="NLL416" s="80"/>
      <c r="NLM416" s="80"/>
      <c r="NLN416" s="80"/>
      <c r="NLO416" s="80"/>
      <c r="NLP416" s="80"/>
      <c r="NLQ416" s="80"/>
      <c r="NLR416" s="80"/>
      <c r="NLS416" s="80"/>
      <c r="NLT416" s="80"/>
      <c r="NLU416" s="80"/>
      <c r="NLV416" s="80"/>
      <c r="NLW416" s="80"/>
      <c r="NLX416" s="80"/>
      <c r="NLY416" s="80"/>
      <c r="NLZ416" s="80"/>
      <c r="NMA416" s="80"/>
      <c r="NMB416" s="80"/>
      <c r="NMC416" s="80"/>
      <c r="NMD416" s="80"/>
      <c r="NME416" s="80"/>
      <c r="NMF416" s="80"/>
      <c r="NMG416" s="80"/>
      <c r="NMH416" s="80"/>
      <c r="NMI416" s="80"/>
      <c r="NMJ416" s="80"/>
      <c r="NMK416" s="80"/>
      <c r="NML416" s="80"/>
      <c r="NMM416" s="80"/>
      <c r="NMN416" s="80"/>
      <c r="NMO416" s="80"/>
      <c r="NMP416" s="80"/>
      <c r="NMQ416" s="80"/>
      <c r="NMR416" s="80"/>
      <c r="NMS416" s="80"/>
      <c r="NMT416" s="80"/>
      <c r="NMU416" s="80"/>
      <c r="NMV416" s="80"/>
      <c r="NMW416" s="80"/>
      <c r="NMX416" s="80"/>
      <c r="NMY416" s="80"/>
      <c r="NMZ416" s="80"/>
      <c r="NNA416" s="80"/>
      <c r="NNB416" s="80"/>
      <c r="NNC416" s="80"/>
      <c r="NND416" s="80"/>
      <c r="NNE416" s="80"/>
      <c r="NNF416" s="80"/>
      <c r="NNG416" s="80"/>
      <c r="NNH416" s="80"/>
      <c r="NNI416" s="80"/>
      <c r="NNJ416" s="80"/>
      <c r="NNK416" s="80"/>
      <c r="NNL416" s="80"/>
      <c r="NNM416" s="80"/>
      <c r="NNN416" s="80"/>
      <c r="NNO416" s="80"/>
      <c r="NNP416" s="80"/>
      <c r="NNQ416" s="80"/>
      <c r="NNR416" s="80"/>
      <c r="NNS416" s="80"/>
      <c r="NNT416" s="80"/>
      <c r="NNU416" s="80"/>
      <c r="NNV416" s="80"/>
      <c r="NNW416" s="80"/>
      <c r="NNX416" s="80"/>
      <c r="NNY416" s="80"/>
      <c r="NNZ416" s="80"/>
      <c r="NOA416" s="80"/>
      <c r="NOB416" s="80"/>
      <c r="NOC416" s="80"/>
      <c r="NOD416" s="80"/>
      <c r="NOE416" s="80"/>
      <c r="NOF416" s="80"/>
      <c r="NOG416" s="80"/>
      <c r="NOH416" s="80"/>
      <c r="NOI416" s="80"/>
      <c r="NOJ416" s="80"/>
      <c r="NOK416" s="80"/>
      <c r="NOL416" s="80"/>
      <c r="NOM416" s="80"/>
      <c r="NON416" s="80"/>
      <c r="NOO416" s="80"/>
      <c r="NOP416" s="80"/>
      <c r="NOQ416" s="80"/>
      <c r="NOR416" s="80"/>
      <c r="NOS416" s="80"/>
      <c r="NOT416" s="80"/>
      <c r="NOU416" s="80"/>
      <c r="NOV416" s="80"/>
      <c r="NOW416" s="80"/>
      <c r="NOX416" s="80"/>
      <c r="NOY416" s="80"/>
      <c r="NOZ416" s="80"/>
      <c r="NPA416" s="80"/>
      <c r="NPB416" s="80"/>
      <c r="NPC416" s="80"/>
      <c r="NPD416" s="80"/>
      <c r="NPE416" s="80"/>
      <c r="NPF416" s="80"/>
      <c r="NPG416" s="80"/>
      <c r="NPH416" s="80"/>
      <c r="NPI416" s="80"/>
      <c r="NPJ416" s="80"/>
      <c r="NPK416" s="80"/>
      <c r="NPL416" s="80"/>
      <c r="NPM416" s="80"/>
      <c r="NPN416" s="80"/>
      <c r="NPO416" s="80"/>
      <c r="NPP416" s="80"/>
      <c r="NPQ416" s="80"/>
      <c r="NPR416" s="80"/>
      <c r="NPS416" s="80"/>
      <c r="NPT416" s="80"/>
      <c r="NPU416" s="80"/>
      <c r="NPV416" s="80"/>
      <c r="NPW416" s="80"/>
      <c r="NPX416" s="80"/>
      <c r="NPY416" s="80"/>
      <c r="NPZ416" s="80"/>
      <c r="NQA416" s="80"/>
      <c r="NQB416" s="80"/>
      <c r="NQC416" s="80"/>
      <c r="NQD416" s="80"/>
      <c r="NQE416" s="80"/>
      <c r="NQF416" s="80"/>
      <c r="NQG416" s="80"/>
      <c r="NQH416" s="80"/>
      <c r="NQI416" s="80"/>
      <c r="NQJ416" s="80"/>
      <c r="NQK416" s="80"/>
      <c r="NQL416" s="80"/>
      <c r="NQM416" s="80"/>
      <c r="NQN416" s="80"/>
      <c r="NQO416" s="80"/>
      <c r="NQP416" s="80"/>
      <c r="NQQ416" s="80"/>
      <c r="NQR416" s="80"/>
      <c r="NQS416" s="80"/>
      <c r="NQT416" s="80"/>
      <c r="NQU416" s="80"/>
      <c r="NQV416" s="80"/>
      <c r="NQW416" s="80"/>
      <c r="NQX416" s="80"/>
      <c r="NQY416" s="80"/>
      <c r="NQZ416" s="80"/>
      <c r="NRA416" s="80"/>
      <c r="NRB416" s="80"/>
      <c r="NRC416" s="80"/>
      <c r="NRD416" s="80"/>
      <c r="NRE416" s="80"/>
      <c r="NRF416" s="80"/>
      <c r="NRG416" s="80"/>
      <c r="NRH416" s="80"/>
      <c r="NRI416" s="80"/>
      <c r="NRJ416" s="80"/>
      <c r="NRK416" s="80"/>
      <c r="NRL416" s="80"/>
      <c r="NRM416" s="80"/>
      <c r="NRN416" s="80"/>
      <c r="NRO416" s="80"/>
      <c r="NRP416" s="80"/>
      <c r="NRQ416" s="80"/>
      <c r="NRR416" s="80"/>
      <c r="NRS416" s="80"/>
      <c r="NRT416" s="80"/>
      <c r="NRU416" s="80"/>
      <c r="NRV416" s="80"/>
      <c r="NRW416" s="80"/>
      <c r="NRX416" s="80"/>
      <c r="NRY416" s="80"/>
      <c r="NRZ416" s="80"/>
      <c r="NSA416" s="80"/>
      <c r="NSB416" s="80"/>
      <c r="NSC416" s="80"/>
      <c r="NSD416" s="80"/>
      <c r="NSE416" s="80"/>
      <c r="NSF416" s="80"/>
      <c r="NSG416" s="80"/>
      <c r="NSH416" s="80"/>
      <c r="NSI416" s="80"/>
      <c r="NSJ416" s="80"/>
      <c r="NSK416" s="80"/>
      <c r="NSL416" s="80"/>
      <c r="NSM416" s="80"/>
      <c r="NSN416" s="80"/>
      <c r="NSO416" s="80"/>
      <c r="NSP416" s="80"/>
      <c r="NSQ416" s="80"/>
      <c r="NSR416" s="80"/>
      <c r="NSS416" s="80"/>
      <c r="NST416" s="80"/>
      <c r="NSU416" s="80"/>
      <c r="NSV416" s="80"/>
      <c r="NSW416" s="80"/>
      <c r="NSX416" s="80"/>
      <c r="NSY416" s="80"/>
      <c r="NSZ416" s="80"/>
      <c r="NTA416" s="80"/>
      <c r="NTB416" s="80"/>
      <c r="NTC416" s="80"/>
      <c r="NTD416" s="80"/>
      <c r="NTE416" s="80"/>
      <c r="NTF416" s="80"/>
      <c r="NTG416" s="80"/>
      <c r="NTH416" s="80"/>
      <c r="NTI416" s="80"/>
      <c r="NTJ416" s="80"/>
      <c r="NTK416" s="80"/>
      <c r="NTL416" s="80"/>
      <c r="NTM416" s="80"/>
      <c r="NTN416" s="80"/>
      <c r="NTO416" s="80"/>
      <c r="NTP416" s="80"/>
      <c r="NTQ416" s="80"/>
      <c r="NTR416" s="80"/>
      <c r="NTS416" s="80"/>
      <c r="NTT416" s="80"/>
      <c r="NTU416" s="80"/>
      <c r="NTV416" s="80"/>
      <c r="NTW416" s="80"/>
      <c r="NTX416" s="80"/>
      <c r="NTY416" s="80"/>
      <c r="NTZ416" s="80"/>
      <c r="NUA416" s="80"/>
      <c r="NUB416" s="80"/>
      <c r="NUC416" s="80"/>
      <c r="NUD416" s="80"/>
      <c r="NUE416" s="80"/>
      <c r="NUF416" s="80"/>
      <c r="NUG416" s="80"/>
      <c r="NUH416" s="80"/>
      <c r="NUI416" s="80"/>
      <c r="NUJ416" s="80"/>
      <c r="NUK416" s="80"/>
      <c r="NUL416" s="80"/>
      <c r="NUM416" s="80"/>
      <c r="NUN416" s="80"/>
      <c r="NUO416" s="80"/>
      <c r="NUP416" s="80"/>
      <c r="NUQ416" s="80"/>
      <c r="NUR416" s="80"/>
      <c r="NUS416" s="80"/>
      <c r="NUT416" s="80"/>
      <c r="NUU416" s="80"/>
      <c r="NUV416" s="80"/>
      <c r="NUW416" s="80"/>
      <c r="NUX416" s="80"/>
      <c r="NUY416" s="80"/>
      <c r="NUZ416" s="80"/>
      <c r="NVA416" s="80"/>
      <c r="NVB416" s="80"/>
      <c r="NVC416" s="80"/>
      <c r="NVD416" s="80"/>
      <c r="NVE416" s="80"/>
      <c r="NVF416" s="80"/>
      <c r="NVG416" s="80"/>
      <c r="NVH416" s="80"/>
      <c r="NVI416" s="80"/>
      <c r="NVJ416" s="80"/>
      <c r="NVK416" s="80"/>
      <c r="NVL416" s="80"/>
      <c r="NVM416" s="80"/>
      <c r="NVN416" s="80"/>
      <c r="NVO416" s="80"/>
      <c r="NVP416" s="80"/>
      <c r="NVQ416" s="80"/>
      <c r="NVR416" s="80"/>
      <c r="NVS416" s="80"/>
      <c r="NVT416" s="80"/>
      <c r="NVU416" s="80"/>
      <c r="NVV416" s="80"/>
      <c r="NVW416" s="80"/>
      <c r="NVX416" s="80"/>
      <c r="NVY416" s="80"/>
      <c r="NVZ416" s="80"/>
      <c r="NWA416" s="80"/>
      <c r="NWB416" s="80"/>
      <c r="NWC416" s="80"/>
      <c r="NWD416" s="80"/>
      <c r="NWE416" s="80"/>
      <c r="NWF416" s="80"/>
      <c r="NWG416" s="80"/>
      <c r="NWH416" s="80"/>
      <c r="NWI416" s="80"/>
      <c r="NWJ416" s="80"/>
      <c r="NWK416" s="80"/>
      <c r="NWL416" s="80"/>
      <c r="NWM416" s="80"/>
      <c r="NWN416" s="80"/>
      <c r="NWO416" s="80"/>
      <c r="NWP416" s="80"/>
      <c r="NWQ416" s="80"/>
      <c r="NWR416" s="80"/>
      <c r="NWS416" s="80"/>
      <c r="NWT416" s="80"/>
      <c r="NWU416" s="80"/>
      <c r="NWV416" s="80"/>
      <c r="NWW416" s="80"/>
      <c r="NWX416" s="80"/>
      <c r="NWY416" s="80"/>
      <c r="NWZ416" s="80"/>
      <c r="NXA416" s="80"/>
      <c r="NXB416" s="80"/>
      <c r="NXC416" s="80"/>
      <c r="NXD416" s="80"/>
      <c r="NXE416" s="80"/>
      <c r="NXF416" s="80"/>
      <c r="NXG416" s="80"/>
      <c r="NXH416" s="80"/>
      <c r="NXI416" s="80"/>
      <c r="NXJ416" s="80"/>
      <c r="NXK416" s="80"/>
      <c r="NXL416" s="80"/>
      <c r="NXM416" s="80"/>
      <c r="NXN416" s="80"/>
      <c r="NXO416" s="80"/>
      <c r="NXP416" s="80"/>
      <c r="NXQ416" s="80"/>
      <c r="NXR416" s="80"/>
      <c r="NXS416" s="80"/>
      <c r="NXT416" s="80"/>
      <c r="NXU416" s="80"/>
      <c r="NXV416" s="80"/>
      <c r="NXW416" s="80"/>
      <c r="NXX416" s="80"/>
      <c r="NXY416" s="80"/>
      <c r="NXZ416" s="80"/>
      <c r="NYA416" s="80"/>
      <c r="NYB416" s="80"/>
      <c r="NYC416" s="80"/>
      <c r="NYD416" s="80"/>
      <c r="NYE416" s="80"/>
      <c r="NYF416" s="80"/>
      <c r="NYG416" s="80"/>
      <c r="NYH416" s="80"/>
      <c r="NYI416" s="80"/>
      <c r="NYJ416" s="80"/>
      <c r="NYK416" s="80"/>
      <c r="NYL416" s="80"/>
      <c r="NYM416" s="80"/>
      <c r="NYN416" s="80"/>
      <c r="NYO416" s="80"/>
      <c r="NYP416" s="80"/>
      <c r="NYQ416" s="80"/>
      <c r="NYR416" s="80"/>
      <c r="NYS416" s="80"/>
      <c r="NYT416" s="80"/>
      <c r="NYU416" s="80"/>
      <c r="NYV416" s="80"/>
      <c r="NYW416" s="80"/>
      <c r="NYX416" s="80"/>
      <c r="NYY416" s="80"/>
      <c r="NYZ416" s="80"/>
      <c r="NZA416" s="80"/>
      <c r="NZB416" s="80"/>
      <c r="NZC416" s="80"/>
      <c r="NZD416" s="80"/>
      <c r="NZE416" s="80"/>
      <c r="NZF416" s="80"/>
      <c r="NZG416" s="80"/>
      <c r="NZH416" s="80"/>
      <c r="NZI416" s="80"/>
      <c r="NZJ416" s="80"/>
      <c r="NZK416" s="80"/>
      <c r="NZL416" s="80"/>
      <c r="NZM416" s="80"/>
      <c r="NZN416" s="80"/>
      <c r="NZO416" s="80"/>
      <c r="NZP416" s="80"/>
      <c r="NZQ416" s="80"/>
      <c r="NZR416" s="80"/>
      <c r="NZS416" s="80"/>
      <c r="NZT416" s="80"/>
      <c r="NZU416" s="80"/>
      <c r="NZV416" s="80"/>
      <c r="NZW416" s="80"/>
      <c r="NZX416" s="80"/>
      <c r="NZY416" s="80"/>
      <c r="NZZ416" s="80"/>
      <c r="OAA416" s="80"/>
      <c r="OAB416" s="80"/>
      <c r="OAC416" s="80"/>
      <c r="OAD416" s="80"/>
      <c r="OAE416" s="80"/>
      <c r="OAF416" s="80"/>
      <c r="OAG416" s="80"/>
      <c r="OAH416" s="80"/>
      <c r="OAI416" s="80"/>
      <c r="OAJ416" s="80"/>
      <c r="OAK416" s="80"/>
      <c r="OAL416" s="80"/>
      <c r="OAM416" s="80"/>
      <c r="OAN416" s="80"/>
      <c r="OAO416" s="80"/>
      <c r="OAP416" s="80"/>
      <c r="OAQ416" s="80"/>
      <c r="OAR416" s="80"/>
      <c r="OAS416" s="80"/>
      <c r="OAT416" s="80"/>
      <c r="OAU416" s="80"/>
      <c r="OAV416" s="80"/>
      <c r="OAW416" s="80"/>
      <c r="OAX416" s="80"/>
      <c r="OAY416" s="80"/>
      <c r="OAZ416" s="80"/>
      <c r="OBA416" s="80"/>
      <c r="OBB416" s="80"/>
      <c r="OBC416" s="80"/>
      <c r="OBD416" s="80"/>
      <c r="OBE416" s="80"/>
      <c r="OBF416" s="80"/>
      <c r="OBG416" s="80"/>
      <c r="OBH416" s="80"/>
      <c r="OBI416" s="80"/>
      <c r="OBJ416" s="80"/>
      <c r="OBK416" s="80"/>
      <c r="OBL416" s="80"/>
      <c r="OBM416" s="80"/>
      <c r="OBN416" s="80"/>
      <c r="OBO416" s="80"/>
      <c r="OBP416" s="80"/>
      <c r="OBQ416" s="80"/>
      <c r="OBR416" s="80"/>
      <c r="OBS416" s="80"/>
      <c r="OBT416" s="80"/>
      <c r="OBU416" s="80"/>
      <c r="OBV416" s="80"/>
      <c r="OBW416" s="80"/>
      <c r="OBX416" s="80"/>
      <c r="OBY416" s="80"/>
      <c r="OBZ416" s="80"/>
      <c r="OCA416" s="80"/>
      <c r="OCB416" s="80"/>
      <c r="OCC416" s="80"/>
      <c r="OCD416" s="80"/>
      <c r="OCE416" s="80"/>
      <c r="OCF416" s="80"/>
      <c r="OCG416" s="80"/>
      <c r="OCH416" s="80"/>
      <c r="OCI416" s="80"/>
      <c r="OCJ416" s="80"/>
      <c r="OCK416" s="80"/>
      <c r="OCL416" s="80"/>
      <c r="OCM416" s="80"/>
      <c r="OCN416" s="80"/>
      <c r="OCO416" s="80"/>
      <c r="OCP416" s="80"/>
      <c r="OCQ416" s="80"/>
      <c r="OCR416" s="80"/>
      <c r="OCS416" s="80"/>
      <c r="OCT416" s="80"/>
      <c r="OCU416" s="80"/>
      <c r="OCV416" s="80"/>
      <c r="OCW416" s="80"/>
      <c r="OCX416" s="80"/>
      <c r="OCY416" s="80"/>
      <c r="OCZ416" s="80"/>
      <c r="ODA416" s="80"/>
      <c r="ODB416" s="80"/>
      <c r="ODC416" s="80"/>
      <c r="ODD416" s="80"/>
      <c r="ODE416" s="80"/>
      <c r="ODF416" s="80"/>
      <c r="ODG416" s="80"/>
      <c r="ODH416" s="80"/>
      <c r="ODI416" s="80"/>
      <c r="ODJ416" s="80"/>
      <c r="ODK416" s="80"/>
      <c r="ODL416" s="80"/>
      <c r="ODM416" s="80"/>
      <c r="ODN416" s="80"/>
      <c r="ODO416" s="80"/>
      <c r="ODP416" s="80"/>
      <c r="ODQ416" s="80"/>
      <c r="ODR416" s="80"/>
      <c r="ODS416" s="80"/>
      <c r="ODT416" s="80"/>
      <c r="ODU416" s="80"/>
      <c r="ODV416" s="80"/>
      <c r="ODW416" s="80"/>
      <c r="ODX416" s="80"/>
      <c r="ODY416" s="80"/>
      <c r="ODZ416" s="80"/>
      <c r="OEA416" s="80"/>
      <c r="OEB416" s="80"/>
      <c r="OEC416" s="80"/>
      <c r="OED416" s="80"/>
      <c r="OEE416" s="80"/>
      <c r="OEF416" s="80"/>
      <c r="OEG416" s="80"/>
      <c r="OEH416" s="80"/>
      <c r="OEI416" s="80"/>
      <c r="OEJ416" s="80"/>
      <c r="OEK416" s="80"/>
      <c r="OEL416" s="80"/>
      <c r="OEM416" s="80"/>
      <c r="OEN416" s="80"/>
      <c r="OEO416" s="80"/>
      <c r="OEP416" s="80"/>
      <c r="OEQ416" s="80"/>
      <c r="OER416" s="80"/>
      <c r="OES416" s="80"/>
      <c r="OET416" s="80"/>
      <c r="OEU416" s="80"/>
      <c r="OEV416" s="80"/>
      <c r="OEW416" s="80"/>
      <c r="OEX416" s="80"/>
      <c r="OEY416" s="80"/>
      <c r="OEZ416" s="80"/>
      <c r="OFA416" s="80"/>
      <c r="OFB416" s="80"/>
      <c r="OFC416" s="80"/>
      <c r="OFD416" s="80"/>
      <c r="OFE416" s="80"/>
      <c r="OFF416" s="80"/>
      <c r="OFG416" s="80"/>
      <c r="OFH416" s="80"/>
      <c r="OFI416" s="80"/>
      <c r="OFJ416" s="80"/>
      <c r="OFK416" s="80"/>
      <c r="OFL416" s="80"/>
      <c r="OFM416" s="80"/>
      <c r="OFN416" s="80"/>
      <c r="OFO416" s="80"/>
      <c r="OFP416" s="80"/>
      <c r="OFQ416" s="80"/>
      <c r="OFR416" s="80"/>
      <c r="OFS416" s="80"/>
      <c r="OFT416" s="80"/>
      <c r="OFU416" s="80"/>
      <c r="OFV416" s="80"/>
      <c r="OFW416" s="80"/>
      <c r="OFX416" s="80"/>
      <c r="OFY416" s="80"/>
      <c r="OFZ416" s="80"/>
      <c r="OGA416" s="80"/>
      <c r="OGB416" s="80"/>
      <c r="OGC416" s="80"/>
      <c r="OGD416" s="80"/>
      <c r="OGE416" s="80"/>
      <c r="OGF416" s="80"/>
      <c r="OGG416" s="80"/>
      <c r="OGH416" s="80"/>
      <c r="OGI416" s="80"/>
      <c r="OGJ416" s="80"/>
      <c r="OGK416" s="80"/>
      <c r="OGL416" s="80"/>
      <c r="OGM416" s="80"/>
      <c r="OGN416" s="80"/>
      <c r="OGO416" s="80"/>
      <c r="OGP416" s="80"/>
      <c r="OGQ416" s="80"/>
      <c r="OGR416" s="80"/>
      <c r="OGS416" s="80"/>
      <c r="OGT416" s="80"/>
      <c r="OGU416" s="80"/>
      <c r="OGV416" s="80"/>
      <c r="OGW416" s="80"/>
      <c r="OGX416" s="80"/>
      <c r="OGY416" s="80"/>
      <c r="OGZ416" s="80"/>
      <c r="OHA416" s="80"/>
      <c r="OHB416" s="80"/>
      <c r="OHC416" s="80"/>
      <c r="OHD416" s="80"/>
      <c r="OHE416" s="80"/>
      <c r="OHF416" s="80"/>
      <c r="OHG416" s="80"/>
      <c r="OHH416" s="80"/>
      <c r="OHI416" s="80"/>
      <c r="OHJ416" s="80"/>
      <c r="OHK416" s="80"/>
      <c r="OHL416" s="80"/>
      <c r="OHM416" s="80"/>
      <c r="OHN416" s="80"/>
      <c r="OHO416" s="80"/>
      <c r="OHP416" s="80"/>
      <c r="OHQ416" s="80"/>
      <c r="OHR416" s="80"/>
      <c r="OHS416" s="80"/>
      <c r="OHT416" s="80"/>
      <c r="OHU416" s="80"/>
      <c r="OHV416" s="80"/>
      <c r="OHW416" s="80"/>
      <c r="OHX416" s="80"/>
      <c r="OHY416" s="80"/>
      <c r="OHZ416" s="80"/>
      <c r="OIA416" s="80"/>
      <c r="OIB416" s="80"/>
      <c r="OIC416" s="80"/>
      <c r="OID416" s="80"/>
      <c r="OIE416" s="80"/>
      <c r="OIF416" s="80"/>
      <c r="OIG416" s="80"/>
      <c r="OIH416" s="80"/>
      <c r="OII416" s="80"/>
      <c r="OIJ416" s="80"/>
      <c r="OIK416" s="80"/>
      <c r="OIL416" s="80"/>
      <c r="OIM416" s="80"/>
      <c r="OIN416" s="80"/>
      <c r="OIO416" s="80"/>
      <c r="OIP416" s="80"/>
      <c r="OIQ416" s="80"/>
      <c r="OIR416" s="80"/>
      <c r="OIS416" s="80"/>
      <c r="OIT416" s="80"/>
      <c r="OIU416" s="80"/>
      <c r="OIV416" s="80"/>
      <c r="OIW416" s="80"/>
      <c r="OIX416" s="80"/>
      <c r="OIY416" s="80"/>
      <c r="OIZ416" s="80"/>
      <c r="OJA416" s="80"/>
      <c r="OJB416" s="80"/>
      <c r="OJC416" s="80"/>
      <c r="OJD416" s="80"/>
      <c r="OJE416" s="80"/>
      <c r="OJF416" s="80"/>
      <c r="OJG416" s="80"/>
      <c r="OJH416" s="80"/>
      <c r="OJI416" s="80"/>
      <c r="OJJ416" s="80"/>
      <c r="OJK416" s="80"/>
      <c r="OJL416" s="80"/>
      <c r="OJM416" s="80"/>
      <c r="OJN416" s="80"/>
      <c r="OJO416" s="80"/>
      <c r="OJP416" s="80"/>
      <c r="OJQ416" s="80"/>
      <c r="OJR416" s="80"/>
      <c r="OJS416" s="80"/>
      <c r="OJT416" s="80"/>
      <c r="OJU416" s="80"/>
      <c r="OJV416" s="80"/>
      <c r="OJW416" s="80"/>
      <c r="OJX416" s="80"/>
      <c r="OJY416" s="80"/>
      <c r="OJZ416" s="80"/>
      <c r="OKA416" s="80"/>
      <c r="OKB416" s="80"/>
      <c r="OKC416" s="80"/>
      <c r="OKD416" s="80"/>
      <c r="OKE416" s="80"/>
      <c r="OKF416" s="80"/>
      <c r="OKG416" s="80"/>
      <c r="OKH416" s="80"/>
      <c r="OKI416" s="80"/>
      <c r="OKJ416" s="80"/>
      <c r="OKK416" s="80"/>
      <c r="OKL416" s="80"/>
      <c r="OKM416" s="80"/>
      <c r="OKN416" s="80"/>
      <c r="OKO416" s="80"/>
      <c r="OKP416" s="80"/>
      <c r="OKQ416" s="80"/>
      <c r="OKR416" s="80"/>
      <c r="OKS416" s="80"/>
      <c r="OKT416" s="80"/>
      <c r="OKU416" s="80"/>
      <c r="OKV416" s="80"/>
      <c r="OKW416" s="80"/>
      <c r="OKX416" s="80"/>
      <c r="OKY416" s="80"/>
      <c r="OKZ416" s="80"/>
      <c r="OLA416" s="80"/>
      <c r="OLB416" s="80"/>
      <c r="OLC416" s="80"/>
      <c r="OLD416" s="80"/>
      <c r="OLE416" s="80"/>
      <c r="OLF416" s="80"/>
      <c r="OLG416" s="80"/>
      <c r="OLH416" s="80"/>
      <c r="OLI416" s="80"/>
      <c r="OLJ416" s="80"/>
      <c r="OLK416" s="80"/>
      <c r="OLL416" s="80"/>
      <c r="OLM416" s="80"/>
      <c r="OLN416" s="80"/>
      <c r="OLO416" s="80"/>
      <c r="OLP416" s="80"/>
      <c r="OLQ416" s="80"/>
      <c r="OLR416" s="80"/>
      <c r="OLS416" s="80"/>
      <c r="OLT416" s="80"/>
      <c r="OLU416" s="80"/>
      <c r="OLV416" s="80"/>
      <c r="OLW416" s="80"/>
      <c r="OLX416" s="80"/>
      <c r="OLY416" s="80"/>
      <c r="OLZ416" s="80"/>
      <c r="OMA416" s="80"/>
      <c r="OMB416" s="80"/>
      <c r="OMC416" s="80"/>
      <c r="OMD416" s="80"/>
      <c r="OME416" s="80"/>
      <c r="OMF416" s="80"/>
      <c r="OMG416" s="80"/>
      <c r="OMH416" s="80"/>
      <c r="OMI416" s="80"/>
      <c r="OMJ416" s="80"/>
      <c r="OMK416" s="80"/>
      <c r="OML416" s="80"/>
      <c r="OMM416" s="80"/>
      <c r="OMN416" s="80"/>
      <c r="OMO416" s="80"/>
      <c r="OMP416" s="80"/>
      <c r="OMQ416" s="80"/>
      <c r="OMR416" s="80"/>
      <c r="OMS416" s="80"/>
      <c r="OMT416" s="80"/>
      <c r="OMU416" s="80"/>
      <c r="OMV416" s="80"/>
      <c r="OMW416" s="80"/>
      <c r="OMX416" s="80"/>
      <c r="OMY416" s="80"/>
      <c r="OMZ416" s="80"/>
      <c r="ONA416" s="80"/>
      <c r="ONB416" s="80"/>
      <c r="ONC416" s="80"/>
      <c r="OND416" s="80"/>
      <c r="ONE416" s="80"/>
      <c r="ONF416" s="80"/>
      <c r="ONG416" s="80"/>
      <c r="ONH416" s="80"/>
      <c r="ONI416" s="80"/>
      <c r="ONJ416" s="80"/>
      <c r="ONK416" s="80"/>
      <c r="ONL416" s="80"/>
      <c r="ONM416" s="80"/>
      <c r="ONN416" s="80"/>
      <c r="ONO416" s="80"/>
      <c r="ONP416" s="80"/>
      <c r="ONQ416" s="80"/>
      <c r="ONR416" s="80"/>
      <c r="ONS416" s="80"/>
      <c r="ONT416" s="80"/>
      <c r="ONU416" s="80"/>
      <c r="ONV416" s="80"/>
      <c r="ONW416" s="80"/>
      <c r="ONX416" s="80"/>
      <c r="ONY416" s="80"/>
      <c r="ONZ416" s="80"/>
      <c r="OOA416" s="80"/>
      <c r="OOB416" s="80"/>
      <c r="OOC416" s="80"/>
      <c r="OOD416" s="80"/>
      <c r="OOE416" s="80"/>
      <c r="OOF416" s="80"/>
      <c r="OOG416" s="80"/>
      <c r="OOH416" s="80"/>
      <c r="OOI416" s="80"/>
      <c r="OOJ416" s="80"/>
      <c r="OOK416" s="80"/>
      <c r="OOL416" s="80"/>
      <c r="OOM416" s="80"/>
      <c r="OON416" s="80"/>
      <c r="OOO416" s="80"/>
      <c r="OOP416" s="80"/>
      <c r="OOQ416" s="80"/>
      <c r="OOR416" s="80"/>
      <c r="OOS416" s="80"/>
      <c r="OOT416" s="80"/>
      <c r="OOU416" s="80"/>
      <c r="OOV416" s="80"/>
      <c r="OOW416" s="80"/>
      <c r="OOX416" s="80"/>
      <c r="OOY416" s="80"/>
      <c r="OOZ416" s="80"/>
      <c r="OPA416" s="80"/>
      <c r="OPB416" s="80"/>
      <c r="OPC416" s="80"/>
      <c r="OPD416" s="80"/>
      <c r="OPE416" s="80"/>
      <c r="OPF416" s="80"/>
      <c r="OPG416" s="80"/>
      <c r="OPH416" s="80"/>
      <c r="OPI416" s="80"/>
      <c r="OPJ416" s="80"/>
      <c r="OPK416" s="80"/>
      <c r="OPL416" s="80"/>
      <c r="OPM416" s="80"/>
      <c r="OPN416" s="80"/>
      <c r="OPO416" s="80"/>
      <c r="OPP416" s="80"/>
      <c r="OPQ416" s="80"/>
      <c r="OPR416" s="80"/>
      <c r="OPS416" s="80"/>
      <c r="OPT416" s="80"/>
      <c r="OPU416" s="80"/>
      <c r="OPV416" s="80"/>
      <c r="OPW416" s="80"/>
      <c r="OPX416" s="80"/>
      <c r="OPY416" s="80"/>
      <c r="OPZ416" s="80"/>
      <c r="OQA416" s="80"/>
      <c r="OQB416" s="80"/>
      <c r="OQC416" s="80"/>
      <c r="OQD416" s="80"/>
      <c r="OQE416" s="80"/>
      <c r="OQF416" s="80"/>
      <c r="OQG416" s="80"/>
      <c r="OQH416" s="80"/>
      <c r="OQI416" s="80"/>
      <c r="OQJ416" s="80"/>
      <c r="OQK416" s="80"/>
      <c r="OQL416" s="80"/>
      <c r="OQM416" s="80"/>
      <c r="OQN416" s="80"/>
      <c r="OQO416" s="80"/>
      <c r="OQP416" s="80"/>
      <c r="OQQ416" s="80"/>
      <c r="OQR416" s="80"/>
      <c r="OQS416" s="80"/>
      <c r="OQT416" s="80"/>
      <c r="OQU416" s="80"/>
      <c r="OQV416" s="80"/>
      <c r="OQW416" s="80"/>
      <c r="OQX416" s="80"/>
      <c r="OQY416" s="80"/>
      <c r="OQZ416" s="80"/>
      <c r="ORA416" s="80"/>
      <c r="ORB416" s="80"/>
      <c r="ORC416" s="80"/>
      <c r="ORD416" s="80"/>
      <c r="ORE416" s="80"/>
      <c r="ORF416" s="80"/>
      <c r="ORG416" s="80"/>
      <c r="ORH416" s="80"/>
      <c r="ORI416" s="80"/>
      <c r="ORJ416" s="80"/>
      <c r="ORK416" s="80"/>
      <c r="ORL416" s="80"/>
      <c r="ORM416" s="80"/>
      <c r="ORN416" s="80"/>
      <c r="ORO416" s="80"/>
      <c r="ORP416" s="80"/>
      <c r="ORQ416" s="80"/>
      <c r="ORR416" s="80"/>
      <c r="ORS416" s="80"/>
      <c r="ORT416" s="80"/>
      <c r="ORU416" s="80"/>
      <c r="ORV416" s="80"/>
      <c r="ORW416" s="80"/>
      <c r="ORX416" s="80"/>
      <c r="ORY416" s="80"/>
      <c r="ORZ416" s="80"/>
      <c r="OSA416" s="80"/>
      <c r="OSB416" s="80"/>
      <c r="OSC416" s="80"/>
      <c r="OSD416" s="80"/>
      <c r="OSE416" s="80"/>
      <c r="OSF416" s="80"/>
      <c r="OSG416" s="80"/>
      <c r="OSH416" s="80"/>
      <c r="OSI416" s="80"/>
      <c r="OSJ416" s="80"/>
      <c r="OSK416" s="80"/>
      <c r="OSL416" s="80"/>
      <c r="OSM416" s="80"/>
      <c r="OSN416" s="80"/>
      <c r="OSO416" s="80"/>
      <c r="OSP416" s="80"/>
      <c r="OSQ416" s="80"/>
      <c r="OSR416" s="80"/>
      <c r="OSS416" s="80"/>
      <c r="OST416" s="80"/>
      <c r="OSU416" s="80"/>
      <c r="OSV416" s="80"/>
      <c r="OSW416" s="80"/>
      <c r="OSX416" s="80"/>
      <c r="OSY416" s="80"/>
      <c r="OSZ416" s="80"/>
      <c r="OTA416" s="80"/>
      <c r="OTB416" s="80"/>
      <c r="OTC416" s="80"/>
      <c r="OTD416" s="80"/>
      <c r="OTE416" s="80"/>
      <c r="OTF416" s="80"/>
      <c r="OTG416" s="80"/>
      <c r="OTH416" s="80"/>
      <c r="OTI416" s="80"/>
      <c r="OTJ416" s="80"/>
      <c r="OTK416" s="80"/>
      <c r="OTL416" s="80"/>
      <c r="OTM416" s="80"/>
      <c r="OTN416" s="80"/>
      <c r="OTO416" s="80"/>
      <c r="OTP416" s="80"/>
      <c r="OTQ416" s="80"/>
      <c r="OTR416" s="80"/>
      <c r="OTS416" s="80"/>
      <c r="OTT416" s="80"/>
      <c r="OTU416" s="80"/>
      <c r="OTV416" s="80"/>
      <c r="OTW416" s="80"/>
      <c r="OTX416" s="80"/>
      <c r="OTY416" s="80"/>
      <c r="OTZ416" s="80"/>
      <c r="OUA416" s="80"/>
      <c r="OUB416" s="80"/>
      <c r="OUC416" s="80"/>
      <c r="OUD416" s="80"/>
      <c r="OUE416" s="80"/>
      <c r="OUF416" s="80"/>
      <c r="OUG416" s="80"/>
      <c r="OUH416" s="80"/>
      <c r="OUI416" s="80"/>
      <c r="OUJ416" s="80"/>
      <c r="OUK416" s="80"/>
      <c r="OUL416" s="80"/>
      <c r="OUM416" s="80"/>
      <c r="OUN416" s="80"/>
      <c r="OUO416" s="80"/>
      <c r="OUP416" s="80"/>
      <c r="OUQ416" s="80"/>
      <c r="OUR416" s="80"/>
      <c r="OUS416" s="80"/>
      <c r="OUT416" s="80"/>
      <c r="OUU416" s="80"/>
      <c r="OUV416" s="80"/>
      <c r="OUW416" s="80"/>
      <c r="OUX416" s="80"/>
      <c r="OUY416" s="80"/>
      <c r="OUZ416" s="80"/>
      <c r="OVA416" s="80"/>
      <c r="OVB416" s="80"/>
      <c r="OVC416" s="80"/>
      <c r="OVD416" s="80"/>
      <c r="OVE416" s="80"/>
      <c r="OVF416" s="80"/>
      <c r="OVG416" s="80"/>
      <c r="OVH416" s="80"/>
      <c r="OVI416" s="80"/>
      <c r="OVJ416" s="80"/>
      <c r="OVK416" s="80"/>
      <c r="OVL416" s="80"/>
      <c r="OVM416" s="80"/>
      <c r="OVN416" s="80"/>
      <c r="OVO416" s="80"/>
      <c r="OVP416" s="80"/>
      <c r="OVQ416" s="80"/>
      <c r="OVR416" s="80"/>
      <c r="OVS416" s="80"/>
      <c r="OVT416" s="80"/>
      <c r="OVU416" s="80"/>
      <c r="OVV416" s="80"/>
      <c r="OVW416" s="80"/>
      <c r="OVX416" s="80"/>
      <c r="OVY416" s="80"/>
      <c r="OVZ416" s="80"/>
      <c r="OWA416" s="80"/>
      <c r="OWB416" s="80"/>
      <c r="OWC416" s="80"/>
      <c r="OWD416" s="80"/>
      <c r="OWE416" s="80"/>
      <c r="OWF416" s="80"/>
      <c r="OWG416" s="80"/>
      <c r="OWH416" s="80"/>
      <c r="OWI416" s="80"/>
      <c r="OWJ416" s="80"/>
      <c r="OWK416" s="80"/>
      <c r="OWL416" s="80"/>
      <c r="OWM416" s="80"/>
      <c r="OWN416" s="80"/>
      <c r="OWO416" s="80"/>
      <c r="OWP416" s="80"/>
      <c r="OWQ416" s="80"/>
      <c r="OWR416" s="80"/>
      <c r="OWS416" s="80"/>
      <c r="OWT416" s="80"/>
      <c r="OWU416" s="80"/>
      <c r="OWV416" s="80"/>
      <c r="OWW416" s="80"/>
      <c r="OWX416" s="80"/>
      <c r="OWY416" s="80"/>
      <c r="OWZ416" s="80"/>
      <c r="OXA416" s="80"/>
      <c r="OXB416" s="80"/>
      <c r="OXC416" s="80"/>
      <c r="OXD416" s="80"/>
      <c r="OXE416" s="80"/>
      <c r="OXF416" s="80"/>
      <c r="OXG416" s="80"/>
      <c r="OXH416" s="80"/>
      <c r="OXI416" s="80"/>
      <c r="OXJ416" s="80"/>
      <c r="OXK416" s="80"/>
      <c r="OXL416" s="80"/>
      <c r="OXM416" s="80"/>
      <c r="OXN416" s="80"/>
      <c r="OXO416" s="80"/>
      <c r="OXP416" s="80"/>
      <c r="OXQ416" s="80"/>
      <c r="OXR416" s="80"/>
      <c r="OXS416" s="80"/>
      <c r="OXT416" s="80"/>
      <c r="OXU416" s="80"/>
      <c r="OXV416" s="80"/>
      <c r="OXW416" s="80"/>
      <c r="OXX416" s="80"/>
      <c r="OXY416" s="80"/>
      <c r="OXZ416" s="80"/>
      <c r="OYA416" s="80"/>
      <c r="OYB416" s="80"/>
      <c r="OYC416" s="80"/>
      <c r="OYD416" s="80"/>
      <c r="OYE416" s="80"/>
      <c r="OYF416" s="80"/>
      <c r="OYG416" s="80"/>
      <c r="OYH416" s="80"/>
      <c r="OYI416" s="80"/>
      <c r="OYJ416" s="80"/>
      <c r="OYK416" s="80"/>
      <c r="OYL416" s="80"/>
      <c r="OYM416" s="80"/>
      <c r="OYN416" s="80"/>
      <c r="OYO416" s="80"/>
      <c r="OYP416" s="80"/>
      <c r="OYQ416" s="80"/>
      <c r="OYR416" s="80"/>
      <c r="OYS416" s="80"/>
      <c r="OYT416" s="80"/>
      <c r="OYU416" s="80"/>
      <c r="OYV416" s="80"/>
      <c r="OYW416" s="80"/>
      <c r="OYX416" s="80"/>
      <c r="OYY416" s="80"/>
      <c r="OYZ416" s="80"/>
      <c r="OZA416" s="80"/>
      <c r="OZB416" s="80"/>
      <c r="OZC416" s="80"/>
      <c r="OZD416" s="80"/>
      <c r="OZE416" s="80"/>
      <c r="OZF416" s="80"/>
      <c r="OZG416" s="80"/>
      <c r="OZH416" s="80"/>
      <c r="OZI416" s="80"/>
      <c r="OZJ416" s="80"/>
      <c r="OZK416" s="80"/>
      <c r="OZL416" s="80"/>
      <c r="OZM416" s="80"/>
      <c r="OZN416" s="80"/>
      <c r="OZO416" s="80"/>
      <c r="OZP416" s="80"/>
      <c r="OZQ416" s="80"/>
      <c r="OZR416" s="80"/>
      <c r="OZS416" s="80"/>
      <c r="OZT416" s="80"/>
      <c r="OZU416" s="80"/>
      <c r="OZV416" s="80"/>
      <c r="OZW416" s="80"/>
      <c r="OZX416" s="80"/>
      <c r="OZY416" s="80"/>
      <c r="OZZ416" s="80"/>
      <c r="PAA416" s="80"/>
      <c r="PAB416" s="80"/>
      <c r="PAC416" s="80"/>
      <c r="PAD416" s="80"/>
      <c r="PAE416" s="80"/>
      <c r="PAF416" s="80"/>
      <c r="PAG416" s="80"/>
      <c r="PAH416" s="80"/>
      <c r="PAI416" s="80"/>
      <c r="PAJ416" s="80"/>
      <c r="PAK416" s="80"/>
      <c r="PAL416" s="80"/>
      <c r="PAM416" s="80"/>
      <c r="PAN416" s="80"/>
      <c r="PAO416" s="80"/>
      <c r="PAP416" s="80"/>
      <c r="PAQ416" s="80"/>
      <c r="PAR416" s="80"/>
      <c r="PAS416" s="80"/>
      <c r="PAT416" s="80"/>
      <c r="PAU416" s="80"/>
      <c r="PAV416" s="80"/>
      <c r="PAW416" s="80"/>
      <c r="PAX416" s="80"/>
      <c r="PAY416" s="80"/>
      <c r="PAZ416" s="80"/>
      <c r="PBA416" s="80"/>
      <c r="PBB416" s="80"/>
      <c r="PBC416" s="80"/>
      <c r="PBD416" s="80"/>
      <c r="PBE416" s="80"/>
      <c r="PBF416" s="80"/>
      <c r="PBG416" s="80"/>
      <c r="PBH416" s="80"/>
      <c r="PBI416" s="80"/>
      <c r="PBJ416" s="80"/>
      <c r="PBK416" s="80"/>
      <c r="PBL416" s="80"/>
      <c r="PBM416" s="80"/>
      <c r="PBN416" s="80"/>
      <c r="PBO416" s="80"/>
      <c r="PBP416" s="80"/>
      <c r="PBQ416" s="80"/>
      <c r="PBR416" s="80"/>
      <c r="PBS416" s="80"/>
      <c r="PBT416" s="80"/>
      <c r="PBU416" s="80"/>
      <c r="PBV416" s="80"/>
      <c r="PBW416" s="80"/>
      <c r="PBX416" s="80"/>
      <c r="PBY416" s="80"/>
      <c r="PBZ416" s="80"/>
      <c r="PCA416" s="80"/>
      <c r="PCB416" s="80"/>
      <c r="PCC416" s="80"/>
      <c r="PCD416" s="80"/>
      <c r="PCE416" s="80"/>
      <c r="PCF416" s="80"/>
      <c r="PCG416" s="80"/>
      <c r="PCH416" s="80"/>
      <c r="PCI416" s="80"/>
      <c r="PCJ416" s="80"/>
      <c r="PCK416" s="80"/>
      <c r="PCL416" s="80"/>
      <c r="PCM416" s="80"/>
      <c r="PCN416" s="80"/>
      <c r="PCO416" s="80"/>
      <c r="PCP416" s="80"/>
      <c r="PCQ416" s="80"/>
      <c r="PCR416" s="80"/>
      <c r="PCS416" s="80"/>
      <c r="PCT416" s="80"/>
      <c r="PCU416" s="80"/>
      <c r="PCV416" s="80"/>
      <c r="PCW416" s="80"/>
      <c r="PCX416" s="80"/>
      <c r="PCY416" s="80"/>
      <c r="PCZ416" s="80"/>
      <c r="PDA416" s="80"/>
      <c r="PDB416" s="80"/>
      <c r="PDC416" s="80"/>
      <c r="PDD416" s="80"/>
      <c r="PDE416" s="80"/>
      <c r="PDF416" s="80"/>
      <c r="PDG416" s="80"/>
      <c r="PDH416" s="80"/>
      <c r="PDI416" s="80"/>
      <c r="PDJ416" s="80"/>
      <c r="PDK416" s="80"/>
      <c r="PDL416" s="80"/>
      <c r="PDM416" s="80"/>
      <c r="PDN416" s="80"/>
      <c r="PDO416" s="80"/>
      <c r="PDP416" s="80"/>
      <c r="PDQ416" s="80"/>
      <c r="PDR416" s="80"/>
      <c r="PDS416" s="80"/>
      <c r="PDT416" s="80"/>
      <c r="PDU416" s="80"/>
      <c r="PDV416" s="80"/>
      <c r="PDW416" s="80"/>
      <c r="PDX416" s="80"/>
      <c r="PDY416" s="80"/>
      <c r="PDZ416" s="80"/>
      <c r="PEA416" s="80"/>
      <c r="PEB416" s="80"/>
      <c r="PEC416" s="80"/>
      <c r="PED416" s="80"/>
      <c r="PEE416" s="80"/>
      <c r="PEF416" s="80"/>
      <c r="PEG416" s="80"/>
      <c r="PEH416" s="80"/>
      <c r="PEI416" s="80"/>
      <c r="PEJ416" s="80"/>
      <c r="PEK416" s="80"/>
      <c r="PEL416" s="80"/>
      <c r="PEM416" s="80"/>
      <c r="PEN416" s="80"/>
      <c r="PEO416" s="80"/>
      <c r="PEP416" s="80"/>
      <c r="PEQ416" s="80"/>
      <c r="PER416" s="80"/>
      <c r="PES416" s="80"/>
      <c r="PET416" s="80"/>
      <c r="PEU416" s="80"/>
      <c r="PEV416" s="80"/>
      <c r="PEW416" s="80"/>
      <c r="PEX416" s="80"/>
      <c r="PEY416" s="80"/>
      <c r="PEZ416" s="80"/>
      <c r="PFA416" s="80"/>
      <c r="PFB416" s="80"/>
      <c r="PFC416" s="80"/>
      <c r="PFD416" s="80"/>
      <c r="PFE416" s="80"/>
      <c r="PFF416" s="80"/>
      <c r="PFG416" s="80"/>
      <c r="PFH416" s="80"/>
      <c r="PFI416" s="80"/>
      <c r="PFJ416" s="80"/>
      <c r="PFK416" s="80"/>
      <c r="PFL416" s="80"/>
      <c r="PFM416" s="80"/>
      <c r="PFN416" s="80"/>
      <c r="PFO416" s="80"/>
      <c r="PFP416" s="80"/>
      <c r="PFQ416" s="80"/>
      <c r="PFR416" s="80"/>
      <c r="PFS416" s="80"/>
      <c r="PFT416" s="80"/>
      <c r="PFU416" s="80"/>
      <c r="PFV416" s="80"/>
      <c r="PFW416" s="80"/>
      <c r="PFX416" s="80"/>
      <c r="PFY416" s="80"/>
      <c r="PFZ416" s="80"/>
      <c r="PGA416" s="80"/>
      <c r="PGB416" s="80"/>
      <c r="PGC416" s="80"/>
      <c r="PGD416" s="80"/>
      <c r="PGE416" s="80"/>
      <c r="PGF416" s="80"/>
      <c r="PGG416" s="80"/>
      <c r="PGH416" s="80"/>
      <c r="PGI416" s="80"/>
      <c r="PGJ416" s="80"/>
      <c r="PGK416" s="80"/>
      <c r="PGL416" s="80"/>
      <c r="PGM416" s="80"/>
      <c r="PGN416" s="80"/>
      <c r="PGO416" s="80"/>
      <c r="PGP416" s="80"/>
      <c r="PGQ416" s="80"/>
      <c r="PGR416" s="80"/>
      <c r="PGS416" s="80"/>
      <c r="PGT416" s="80"/>
      <c r="PGU416" s="80"/>
      <c r="PGV416" s="80"/>
      <c r="PGW416" s="80"/>
      <c r="PGX416" s="80"/>
      <c r="PGY416" s="80"/>
      <c r="PGZ416" s="80"/>
      <c r="PHA416" s="80"/>
      <c r="PHB416" s="80"/>
      <c r="PHC416" s="80"/>
      <c r="PHD416" s="80"/>
      <c r="PHE416" s="80"/>
      <c r="PHF416" s="80"/>
      <c r="PHG416" s="80"/>
      <c r="PHH416" s="80"/>
      <c r="PHI416" s="80"/>
      <c r="PHJ416" s="80"/>
      <c r="PHK416" s="80"/>
      <c r="PHL416" s="80"/>
      <c r="PHM416" s="80"/>
      <c r="PHN416" s="80"/>
      <c r="PHO416" s="80"/>
      <c r="PHP416" s="80"/>
      <c r="PHQ416" s="80"/>
      <c r="PHR416" s="80"/>
      <c r="PHS416" s="80"/>
      <c r="PHT416" s="80"/>
      <c r="PHU416" s="80"/>
      <c r="PHV416" s="80"/>
      <c r="PHW416" s="80"/>
      <c r="PHX416" s="80"/>
      <c r="PHY416" s="80"/>
      <c r="PHZ416" s="80"/>
      <c r="PIA416" s="80"/>
      <c r="PIB416" s="80"/>
      <c r="PIC416" s="80"/>
      <c r="PID416" s="80"/>
      <c r="PIE416" s="80"/>
      <c r="PIF416" s="80"/>
      <c r="PIG416" s="80"/>
      <c r="PIH416" s="80"/>
      <c r="PII416" s="80"/>
      <c r="PIJ416" s="80"/>
      <c r="PIK416" s="80"/>
      <c r="PIL416" s="80"/>
      <c r="PIM416" s="80"/>
      <c r="PIN416" s="80"/>
      <c r="PIO416" s="80"/>
      <c r="PIP416" s="80"/>
      <c r="PIQ416" s="80"/>
      <c r="PIR416" s="80"/>
      <c r="PIS416" s="80"/>
      <c r="PIT416" s="80"/>
      <c r="PIU416" s="80"/>
      <c r="PIV416" s="80"/>
      <c r="PIW416" s="80"/>
      <c r="PIX416" s="80"/>
      <c r="PIY416" s="80"/>
      <c r="PIZ416" s="80"/>
      <c r="PJA416" s="80"/>
      <c r="PJB416" s="80"/>
      <c r="PJC416" s="80"/>
      <c r="PJD416" s="80"/>
      <c r="PJE416" s="80"/>
      <c r="PJF416" s="80"/>
      <c r="PJG416" s="80"/>
      <c r="PJH416" s="80"/>
      <c r="PJI416" s="80"/>
      <c r="PJJ416" s="80"/>
      <c r="PJK416" s="80"/>
      <c r="PJL416" s="80"/>
      <c r="PJM416" s="80"/>
      <c r="PJN416" s="80"/>
      <c r="PJO416" s="80"/>
      <c r="PJP416" s="80"/>
      <c r="PJQ416" s="80"/>
      <c r="PJR416" s="80"/>
      <c r="PJS416" s="80"/>
      <c r="PJT416" s="80"/>
      <c r="PJU416" s="80"/>
      <c r="PJV416" s="80"/>
      <c r="PJW416" s="80"/>
      <c r="PJX416" s="80"/>
      <c r="PJY416" s="80"/>
      <c r="PJZ416" s="80"/>
      <c r="PKA416" s="80"/>
      <c r="PKB416" s="80"/>
      <c r="PKC416" s="80"/>
      <c r="PKD416" s="80"/>
      <c r="PKE416" s="80"/>
      <c r="PKF416" s="80"/>
      <c r="PKG416" s="80"/>
      <c r="PKH416" s="80"/>
      <c r="PKI416" s="80"/>
      <c r="PKJ416" s="80"/>
      <c r="PKK416" s="80"/>
      <c r="PKL416" s="80"/>
      <c r="PKM416" s="80"/>
      <c r="PKN416" s="80"/>
      <c r="PKO416" s="80"/>
      <c r="PKP416" s="80"/>
      <c r="PKQ416" s="80"/>
      <c r="PKR416" s="80"/>
      <c r="PKS416" s="80"/>
      <c r="PKT416" s="80"/>
      <c r="PKU416" s="80"/>
      <c r="PKV416" s="80"/>
      <c r="PKW416" s="80"/>
      <c r="PKX416" s="80"/>
      <c r="PKY416" s="80"/>
      <c r="PKZ416" s="80"/>
      <c r="PLA416" s="80"/>
      <c r="PLB416" s="80"/>
      <c r="PLC416" s="80"/>
      <c r="PLD416" s="80"/>
      <c r="PLE416" s="80"/>
      <c r="PLF416" s="80"/>
      <c r="PLG416" s="80"/>
      <c r="PLH416" s="80"/>
      <c r="PLI416" s="80"/>
      <c r="PLJ416" s="80"/>
      <c r="PLK416" s="80"/>
      <c r="PLL416" s="80"/>
      <c r="PLM416" s="80"/>
      <c r="PLN416" s="80"/>
      <c r="PLO416" s="80"/>
      <c r="PLP416" s="80"/>
      <c r="PLQ416" s="80"/>
      <c r="PLR416" s="80"/>
      <c r="PLS416" s="80"/>
      <c r="PLT416" s="80"/>
      <c r="PLU416" s="80"/>
      <c r="PLV416" s="80"/>
      <c r="PLW416" s="80"/>
      <c r="PLX416" s="80"/>
      <c r="PLY416" s="80"/>
      <c r="PLZ416" s="80"/>
      <c r="PMA416" s="80"/>
      <c r="PMB416" s="80"/>
      <c r="PMC416" s="80"/>
      <c r="PMD416" s="80"/>
      <c r="PME416" s="80"/>
      <c r="PMF416" s="80"/>
      <c r="PMG416" s="80"/>
      <c r="PMH416" s="80"/>
      <c r="PMI416" s="80"/>
      <c r="PMJ416" s="80"/>
      <c r="PMK416" s="80"/>
      <c r="PML416" s="80"/>
      <c r="PMM416" s="80"/>
      <c r="PMN416" s="80"/>
      <c r="PMO416" s="80"/>
      <c r="PMP416" s="80"/>
      <c r="PMQ416" s="80"/>
      <c r="PMR416" s="80"/>
      <c r="PMS416" s="80"/>
      <c r="PMT416" s="80"/>
      <c r="PMU416" s="80"/>
      <c r="PMV416" s="80"/>
      <c r="PMW416" s="80"/>
      <c r="PMX416" s="80"/>
      <c r="PMY416" s="80"/>
      <c r="PMZ416" s="80"/>
      <c r="PNA416" s="80"/>
      <c r="PNB416" s="80"/>
      <c r="PNC416" s="80"/>
      <c r="PND416" s="80"/>
      <c r="PNE416" s="80"/>
      <c r="PNF416" s="80"/>
      <c r="PNG416" s="80"/>
      <c r="PNH416" s="80"/>
      <c r="PNI416" s="80"/>
      <c r="PNJ416" s="80"/>
      <c r="PNK416" s="80"/>
      <c r="PNL416" s="80"/>
      <c r="PNM416" s="80"/>
      <c r="PNN416" s="80"/>
      <c r="PNO416" s="80"/>
      <c r="PNP416" s="80"/>
      <c r="PNQ416" s="80"/>
      <c r="PNR416" s="80"/>
      <c r="PNS416" s="80"/>
      <c r="PNT416" s="80"/>
      <c r="PNU416" s="80"/>
      <c r="PNV416" s="80"/>
      <c r="PNW416" s="80"/>
      <c r="PNX416" s="80"/>
      <c r="PNY416" s="80"/>
      <c r="PNZ416" s="80"/>
      <c r="POA416" s="80"/>
      <c r="POB416" s="80"/>
      <c r="POC416" s="80"/>
      <c r="POD416" s="80"/>
      <c r="POE416" s="80"/>
      <c r="POF416" s="80"/>
      <c r="POG416" s="80"/>
      <c r="POH416" s="80"/>
      <c r="POI416" s="80"/>
      <c r="POJ416" s="80"/>
      <c r="POK416" s="80"/>
      <c r="POL416" s="80"/>
      <c r="POM416" s="80"/>
      <c r="PON416" s="80"/>
      <c r="POO416" s="80"/>
      <c r="POP416" s="80"/>
      <c r="POQ416" s="80"/>
      <c r="POR416" s="80"/>
      <c r="POS416" s="80"/>
      <c r="POT416" s="80"/>
      <c r="POU416" s="80"/>
      <c r="POV416" s="80"/>
      <c r="POW416" s="80"/>
      <c r="POX416" s="80"/>
      <c r="POY416" s="80"/>
      <c r="POZ416" s="80"/>
      <c r="PPA416" s="80"/>
      <c r="PPB416" s="80"/>
      <c r="PPC416" s="80"/>
      <c r="PPD416" s="80"/>
      <c r="PPE416" s="80"/>
      <c r="PPF416" s="80"/>
      <c r="PPG416" s="80"/>
      <c r="PPH416" s="80"/>
      <c r="PPI416" s="80"/>
      <c r="PPJ416" s="80"/>
      <c r="PPK416" s="80"/>
      <c r="PPL416" s="80"/>
      <c r="PPM416" s="80"/>
      <c r="PPN416" s="80"/>
      <c r="PPO416" s="80"/>
      <c r="PPP416" s="80"/>
      <c r="PPQ416" s="80"/>
      <c r="PPR416" s="80"/>
      <c r="PPS416" s="80"/>
      <c r="PPT416" s="80"/>
      <c r="PPU416" s="80"/>
      <c r="PPV416" s="80"/>
      <c r="PPW416" s="80"/>
      <c r="PPX416" s="80"/>
      <c r="PPY416" s="80"/>
      <c r="PPZ416" s="80"/>
      <c r="PQA416" s="80"/>
      <c r="PQB416" s="80"/>
      <c r="PQC416" s="80"/>
      <c r="PQD416" s="80"/>
      <c r="PQE416" s="80"/>
      <c r="PQF416" s="80"/>
      <c r="PQG416" s="80"/>
      <c r="PQH416" s="80"/>
      <c r="PQI416" s="80"/>
      <c r="PQJ416" s="80"/>
      <c r="PQK416" s="80"/>
      <c r="PQL416" s="80"/>
      <c r="PQM416" s="80"/>
      <c r="PQN416" s="80"/>
      <c r="PQO416" s="80"/>
      <c r="PQP416" s="80"/>
      <c r="PQQ416" s="80"/>
      <c r="PQR416" s="80"/>
      <c r="PQS416" s="80"/>
      <c r="PQT416" s="80"/>
      <c r="PQU416" s="80"/>
      <c r="PQV416" s="80"/>
      <c r="PQW416" s="80"/>
      <c r="PQX416" s="80"/>
      <c r="PQY416" s="80"/>
      <c r="PQZ416" s="80"/>
      <c r="PRA416" s="80"/>
      <c r="PRB416" s="80"/>
      <c r="PRC416" s="80"/>
      <c r="PRD416" s="80"/>
      <c r="PRE416" s="80"/>
      <c r="PRF416" s="80"/>
      <c r="PRG416" s="80"/>
      <c r="PRH416" s="80"/>
      <c r="PRI416" s="80"/>
      <c r="PRJ416" s="80"/>
      <c r="PRK416" s="80"/>
      <c r="PRL416" s="80"/>
      <c r="PRM416" s="80"/>
      <c r="PRN416" s="80"/>
      <c r="PRO416" s="80"/>
      <c r="PRP416" s="80"/>
      <c r="PRQ416" s="80"/>
      <c r="PRR416" s="80"/>
      <c r="PRS416" s="80"/>
      <c r="PRT416" s="80"/>
      <c r="PRU416" s="80"/>
      <c r="PRV416" s="80"/>
      <c r="PRW416" s="80"/>
      <c r="PRX416" s="80"/>
      <c r="PRY416" s="80"/>
      <c r="PRZ416" s="80"/>
      <c r="PSA416" s="80"/>
      <c r="PSB416" s="80"/>
      <c r="PSC416" s="80"/>
      <c r="PSD416" s="80"/>
      <c r="PSE416" s="80"/>
      <c r="PSF416" s="80"/>
      <c r="PSG416" s="80"/>
      <c r="PSH416" s="80"/>
      <c r="PSI416" s="80"/>
      <c r="PSJ416" s="80"/>
      <c r="PSK416" s="80"/>
      <c r="PSL416" s="80"/>
      <c r="PSM416" s="80"/>
      <c r="PSN416" s="80"/>
      <c r="PSO416" s="80"/>
      <c r="PSP416" s="80"/>
      <c r="PSQ416" s="80"/>
      <c r="PSR416" s="80"/>
      <c r="PSS416" s="80"/>
      <c r="PST416" s="80"/>
      <c r="PSU416" s="80"/>
      <c r="PSV416" s="80"/>
      <c r="PSW416" s="80"/>
      <c r="PSX416" s="80"/>
      <c r="PSY416" s="80"/>
      <c r="PSZ416" s="80"/>
      <c r="PTA416" s="80"/>
      <c r="PTB416" s="80"/>
      <c r="PTC416" s="80"/>
      <c r="PTD416" s="80"/>
      <c r="PTE416" s="80"/>
      <c r="PTF416" s="80"/>
      <c r="PTG416" s="80"/>
      <c r="PTH416" s="80"/>
      <c r="PTI416" s="80"/>
      <c r="PTJ416" s="80"/>
      <c r="PTK416" s="80"/>
      <c r="PTL416" s="80"/>
      <c r="PTM416" s="80"/>
      <c r="PTN416" s="80"/>
      <c r="PTO416" s="80"/>
      <c r="PTP416" s="80"/>
      <c r="PTQ416" s="80"/>
      <c r="PTR416" s="80"/>
      <c r="PTS416" s="80"/>
      <c r="PTT416" s="80"/>
      <c r="PTU416" s="80"/>
      <c r="PTV416" s="80"/>
      <c r="PTW416" s="80"/>
      <c r="PTX416" s="80"/>
      <c r="PTY416" s="80"/>
      <c r="PTZ416" s="80"/>
      <c r="PUA416" s="80"/>
      <c r="PUB416" s="80"/>
      <c r="PUC416" s="80"/>
      <c r="PUD416" s="80"/>
      <c r="PUE416" s="80"/>
      <c r="PUF416" s="80"/>
      <c r="PUG416" s="80"/>
      <c r="PUH416" s="80"/>
      <c r="PUI416" s="80"/>
      <c r="PUJ416" s="80"/>
      <c r="PUK416" s="80"/>
      <c r="PUL416" s="80"/>
      <c r="PUM416" s="80"/>
      <c r="PUN416" s="80"/>
      <c r="PUO416" s="80"/>
      <c r="PUP416" s="80"/>
      <c r="PUQ416" s="80"/>
      <c r="PUR416" s="80"/>
      <c r="PUS416" s="80"/>
      <c r="PUT416" s="80"/>
      <c r="PUU416" s="80"/>
      <c r="PUV416" s="80"/>
      <c r="PUW416" s="80"/>
      <c r="PUX416" s="80"/>
      <c r="PUY416" s="80"/>
      <c r="PUZ416" s="80"/>
      <c r="PVA416" s="80"/>
      <c r="PVB416" s="80"/>
      <c r="PVC416" s="80"/>
      <c r="PVD416" s="80"/>
      <c r="PVE416" s="80"/>
      <c r="PVF416" s="80"/>
      <c r="PVG416" s="80"/>
      <c r="PVH416" s="80"/>
      <c r="PVI416" s="80"/>
      <c r="PVJ416" s="80"/>
      <c r="PVK416" s="80"/>
      <c r="PVL416" s="80"/>
      <c r="PVM416" s="80"/>
      <c r="PVN416" s="80"/>
      <c r="PVO416" s="80"/>
      <c r="PVP416" s="80"/>
      <c r="PVQ416" s="80"/>
      <c r="PVR416" s="80"/>
      <c r="PVS416" s="80"/>
      <c r="PVT416" s="80"/>
      <c r="PVU416" s="80"/>
      <c r="PVV416" s="80"/>
      <c r="PVW416" s="80"/>
      <c r="PVX416" s="80"/>
      <c r="PVY416" s="80"/>
      <c r="PVZ416" s="80"/>
      <c r="PWA416" s="80"/>
      <c r="PWB416" s="80"/>
      <c r="PWC416" s="80"/>
      <c r="PWD416" s="80"/>
      <c r="PWE416" s="80"/>
      <c r="PWF416" s="80"/>
      <c r="PWG416" s="80"/>
      <c r="PWH416" s="80"/>
      <c r="PWI416" s="80"/>
      <c r="PWJ416" s="80"/>
      <c r="PWK416" s="80"/>
      <c r="PWL416" s="80"/>
      <c r="PWM416" s="80"/>
      <c r="PWN416" s="80"/>
      <c r="PWO416" s="80"/>
      <c r="PWP416" s="80"/>
      <c r="PWQ416" s="80"/>
      <c r="PWR416" s="80"/>
      <c r="PWS416" s="80"/>
      <c r="PWT416" s="80"/>
      <c r="PWU416" s="80"/>
      <c r="PWV416" s="80"/>
      <c r="PWW416" s="80"/>
      <c r="PWX416" s="80"/>
      <c r="PWY416" s="80"/>
      <c r="PWZ416" s="80"/>
      <c r="PXA416" s="80"/>
      <c r="PXB416" s="80"/>
      <c r="PXC416" s="80"/>
      <c r="PXD416" s="80"/>
      <c r="PXE416" s="80"/>
      <c r="PXF416" s="80"/>
      <c r="PXG416" s="80"/>
      <c r="PXH416" s="80"/>
      <c r="PXI416" s="80"/>
      <c r="PXJ416" s="80"/>
      <c r="PXK416" s="80"/>
      <c r="PXL416" s="80"/>
      <c r="PXM416" s="80"/>
      <c r="PXN416" s="80"/>
      <c r="PXO416" s="80"/>
      <c r="PXP416" s="80"/>
      <c r="PXQ416" s="80"/>
      <c r="PXR416" s="80"/>
      <c r="PXS416" s="80"/>
      <c r="PXT416" s="80"/>
      <c r="PXU416" s="80"/>
      <c r="PXV416" s="80"/>
      <c r="PXW416" s="80"/>
      <c r="PXX416" s="80"/>
      <c r="PXY416" s="80"/>
      <c r="PXZ416" s="80"/>
      <c r="PYA416" s="80"/>
      <c r="PYB416" s="80"/>
      <c r="PYC416" s="80"/>
      <c r="PYD416" s="80"/>
      <c r="PYE416" s="80"/>
      <c r="PYF416" s="80"/>
      <c r="PYG416" s="80"/>
      <c r="PYH416" s="80"/>
      <c r="PYI416" s="80"/>
      <c r="PYJ416" s="80"/>
      <c r="PYK416" s="80"/>
      <c r="PYL416" s="80"/>
      <c r="PYM416" s="80"/>
      <c r="PYN416" s="80"/>
      <c r="PYO416" s="80"/>
      <c r="PYP416" s="80"/>
      <c r="PYQ416" s="80"/>
      <c r="PYR416" s="80"/>
      <c r="PYS416" s="80"/>
      <c r="PYT416" s="80"/>
      <c r="PYU416" s="80"/>
      <c r="PYV416" s="80"/>
      <c r="PYW416" s="80"/>
      <c r="PYX416" s="80"/>
      <c r="PYY416" s="80"/>
      <c r="PYZ416" s="80"/>
      <c r="PZA416" s="80"/>
      <c r="PZB416" s="80"/>
      <c r="PZC416" s="80"/>
      <c r="PZD416" s="80"/>
      <c r="PZE416" s="80"/>
      <c r="PZF416" s="80"/>
      <c r="PZG416" s="80"/>
      <c r="PZH416" s="80"/>
      <c r="PZI416" s="80"/>
      <c r="PZJ416" s="80"/>
      <c r="PZK416" s="80"/>
      <c r="PZL416" s="80"/>
      <c r="PZM416" s="80"/>
      <c r="PZN416" s="80"/>
      <c r="PZO416" s="80"/>
      <c r="PZP416" s="80"/>
      <c r="PZQ416" s="80"/>
      <c r="PZR416" s="80"/>
      <c r="PZS416" s="80"/>
      <c r="PZT416" s="80"/>
      <c r="PZU416" s="80"/>
      <c r="PZV416" s="80"/>
      <c r="PZW416" s="80"/>
      <c r="PZX416" s="80"/>
      <c r="PZY416" s="80"/>
      <c r="PZZ416" s="80"/>
      <c r="QAA416" s="80"/>
      <c r="QAB416" s="80"/>
      <c r="QAC416" s="80"/>
      <c r="QAD416" s="80"/>
      <c r="QAE416" s="80"/>
      <c r="QAF416" s="80"/>
      <c r="QAG416" s="80"/>
      <c r="QAH416" s="80"/>
      <c r="QAI416" s="80"/>
      <c r="QAJ416" s="80"/>
      <c r="QAK416" s="80"/>
      <c r="QAL416" s="80"/>
      <c r="QAM416" s="80"/>
      <c r="QAN416" s="80"/>
      <c r="QAO416" s="80"/>
      <c r="QAP416" s="80"/>
      <c r="QAQ416" s="80"/>
      <c r="QAR416" s="80"/>
      <c r="QAS416" s="80"/>
      <c r="QAT416" s="80"/>
      <c r="QAU416" s="80"/>
      <c r="QAV416" s="80"/>
      <c r="QAW416" s="80"/>
      <c r="QAX416" s="80"/>
      <c r="QAY416" s="80"/>
      <c r="QAZ416" s="80"/>
      <c r="QBA416" s="80"/>
      <c r="QBB416" s="80"/>
      <c r="QBC416" s="80"/>
      <c r="QBD416" s="80"/>
      <c r="QBE416" s="80"/>
      <c r="QBF416" s="80"/>
      <c r="QBG416" s="80"/>
      <c r="QBH416" s="80"/>
      <c r="QBI416" s="80"/>
      <c r="QBJ416" s="80"/>
      <c r="QBK416" s="80"/>
      <c r="QBL416" s="80"/>
      <c r="QBM416" s="80"/>
      <c r="QBN416" s="80"/>
      <c r="QBO416" s="80"/>
      <c r="QBP416" s="80"/>
      <c r="QBQ416" s="80"/>
      <c r="QBR416" s="80"/>
      <c r="QBS416" s="80"/>
      <c r="QBT416" s="80"/>
      <c r="QBU416" s="80"/>
      <c r="QBV416" s="80"/>
      <c r="QBW416" s="80"/>
      <c r="QBX416" s="80"/>
      <c r="QBY416" s="80"/>
      <c r="QBZ416" s="80"/>
      <c r="QCA416" s="80"/>
      <c r="QCB416" s="80"/>
      <c r="QCC416" s="80"/>
      <c r="QCD416" s="80"/>
      <c r="QCE416" s="80"/>
      <c r="QCF416" s="80"/>
      <c r="QCG416" s="80"/>
      <c r="QCH416" s="80"/>
      <c r="QCI416" s="80"/>
      <c r="QCJ416" s="80"/>
      <c r="QCK416" s="80"/>
      <c r="QCL416" s="80"/>
      <c r="QCM416" s="80"/>
      <c r="QCN416" s="80"/>
      <c r="QCO416" s="80"/>
      <c r="QCP416" s="80"/>
      <c r="QCQ416" s="80"/>
      <c r="QCR416" s="80"/>
      <c r="QCS416" s="80"/>
      <c r="QCT416" s="80"/>
      <c r="QCU416" s="80"/>
      <c r="QCV416" s="80"/>
      <c r="QCW416" s="80"/>
      <c r="QCX416" s="80"/>
      <c r="QCY416" s="80"/>
      <c r="QCZ416" s="80"/>
      <c r="QDA416" s="80"/>
      <c r="QDB416" s="80"/>
      <c r="QDC416" s="80"/>
      <c r="QDD416" s="80"/>
      <c r="QDE416" s="80"/>
      <c r="QDF416" s="80"/>
      <c r="QDG416" s="80"/>
      <c r="QDH416" s="80"/>
      <c r="QDI416" s="80"/>
      <c r="QDJ416" s="80"/>
      <c r="QDK416" s="80"/>
      <c r="QDL416" s="80"/>
      <c r="QDM416" s="80"/>
      <c r="QDN416" s="80"/>
      <c r="QDO416" s="80"/>
      <c r="QDP416" s="80"/>
      <c r="QDQ416" s="80"/>
      <c r="QDR416" s="80"/>
      <c r="QDS416" s="80"/>
      <c r="QDT416" s="80"/>
      <c r="QDU416" s="80"/>
      <c r="QDV416" s="80"/>
      <c r="QDW416" s="80"/>
      <c r="QDX416" s="80"/>
      <c r="QDY416" s="80"/>
      <c r="QDZ416" s="80"/>
      <c r="QEA416" s="80"/>
      <c r="QEB416" s="80"/>
      <c r="QEC416" s="80"/>
      <c r="QED416" s="80"/>
      <c r="QEE416" s="80"/>
      <c r="QEF416" s="80"/>
      <c r="QEG416" s="80"/>
      <c r="QEH416" s="80"/>
      <c r="QEI416" s="80"/>
      <c r="QEJ416" s="80"/>
      <c r="QEK416" s="80"/>
      <c r="QEL416" s="80"/>
      <c r="QEM416" s="80"/>
      <c r="QEN416" s="80"/>
      <c r="QEO416" s="80"/>
      <c r="QEP416" s="80"/>
      <c r="QEQ416" s="80"/>
      <c r="QER416" s="80"/>
      <c r="QES416" s="80"/>
      <c r="QET416" s="80"/>
      <c r="QEU416" s="80"/>
      <c r="QEV416" s="80"/>
      <c r="QEW416" s="80"/>
      <c r="QEX416" s="80"/>
      <c r="QEY416" s="80"/>
      <c r="QEZ416" s="80"/>
      <c r="QFA416" s="80"/>
      <c r="QFB416" s="80"/>
      <c r="QFC416" s="80"/>
      <c r="QFD416" s="80"/>
      <c r="QFE416" s="80"/>
      <c r="QFF416" s="80"/>
      <c r="QFG416" s="80"/>
      <c r="QFH416" s="80"/>
      <c r="QFI416" s="80"/>
      <c r="QFJ416" s="80"/>
      <c r="QFK416" s="80"/>
      <c r="QFL416" s="80"/>
      <c r="QFM416" s="80"/>
      <c r="QFN416" s="80"/>
      <c r="QFO416" s="80"/>
      <c r="QFP416" s="80"/>
      <c r="QFQ416" s="80"/>
      <c r="QFR416" s="80"/>
      <c r="QFS416" s="80"/>
      <c r="QFT416" s="80"/>
      <c r="QFU416" s="80"/>
      <c r="QFV416" s="80"/>
      <c r="QFW416" s="80"/>
      <c r="QFX416" s="80"/>
      <c r="QFY416" s="80"/>
      <c r="QFZ416" s="80"/>
      <c r="QGA416" s="80"/>
      <c r="QGB416" s="80"/>
      <c r="QGC416" s="80"/>
      <c r="QGD416" s="80"/>
      <c r="QGE416" s="80"/>
      <c r="QGF416" s="80"/>
      <c r="QGG416" s="80"/>
      <c r="QGH416" s="80"/>
      <c r="QGI416" s="80"/>
      <c r="QGJ416" s="80"/>
      <c r="QGK416" s="80"/>
      <c r="QGL416" s="80"/>
      <c r="QGM416" s="80"/>
      <c r="QGN416" s="80"/>
      <c r="QGO416" s="80"/>
      <c r="QGP416" s="80"/>
      <c r="QGQ416" s="80"/>
      <c r="QGR416" s="80"/>
      <c r="QGS416" s="80"/>
      <c r="QGT416" s="80"/>
      <c r="QGU416" s="80"/>
      <c r="QGV416" s="80"/>
      <c r="QGW416" s="80"/>
      <c r="QGX416" s="80"/>
      <c r="QGY416" s="80"/>
      <c r="QGZ416" s="80"/>
      <c r="QHA416" s="80"/>
      <c r="QHB416" s="80"/>
      <c r="QHC416" s="80"/>
      <c r="QHD416" s="80"/>
      <c r="QHE416" s="80"/>
      <c r="QHF416" s="80"/>
      <c r="QHG416" s="80"/>
      <c r="QHH416" s="80"/>
      <c r="QHI416" s="80"/>
      <c r="QHJ416" s="80"/>
      <c r="QHK416" s="80"/>
      <c r="QHL416" s="80"/>
      <c r="QHM416" s="80"/>
      <c r="QHN416" s="80"/>
      <c r="QHO416" s="80"/>
      <c r="QHP416" s="80"/>
      <c r="QHQ416" s="80"/>
      <c r="QHR416" s="80"/>
      <c r="QHS416" s="80"/>
      <c r="QHT416" s="80"/>
      <c r="QHU416" s="80"/>
      <c r="QHV416" s="80"/>
      <c r="QHW416" s="80"/>
      <c r="QHX416" s="80"/>
      <c r="QHY416" s="80"/>
      <c r="QHZ416" s="80"/>
      <c r="QIA416" s="80"/>
      <c r="QIB416" s="80"/>
      <c r="QIC416" s="80"/>
      <c r="QID416" s="80"/>
      <c r="QIE416" s="80"/>
      <c r="QIF416" s="80"/>
      <c r="QIG416" s="80"/>
      <c r="QIH416" s="80"/>
      <c r="QII416" s="80"/>
      <c r="QIJ416" s="80"/>
      <c r="QIK416" s="80"/>
      <c r="QIL416" s="80"/>
      <c r="QIM416" s="80"/>
      <c r="QIN416" s="80"/>
      <c r="QIO416" s="80"/>
      <c r="QIP416" s="80"/>
      <c r="QIQ416" s="80"/>
      <c r="QIR416" s="80"/>
      <c r="QIS416" s="80"/>
      <c r="QIT416" s="80"/>
      <c r="QIU416" s="80"/>
      <c r="QIV416" s="80"/>
      <c r="QIW416" s="80"/>
      <c r="QIX416" s="80"/>
      <c r="QIY416" s="80"/>
      <c r="QIZ416" s="80"/>
      <c r="QJA416" s="80"/>
      <c r="QJB416" s="80"/>
      <c r="QJC416" s="80"/>
      <c r="QJD416" s="80"/>
      <c r="QJE416" s="80"/>
      <c r="QJF416" s="80"/>
      <c r="QJG416" s="80"/>
      <c r="QJH416" s="80"/>
      <c r="QJI416" s="80"/>
      <c r="QJJ416" s="80"/>
      <c r="QJK416" s="80"/>
      <c r="QJL416" s="80"/>
      <c r="QJM416" s="80"/>
      <c r="QJN416" s="80"/>
      <c r="QJO416" s="80"/>
      <c r="QJP416" s="80"/>
      <c r="QJQ416" s="80"/>
      <c r="QJR416" s="80"/>
      <c r="QJS416" s="80"/>
      <c r="QJT416" s="80"/>
      <c r="QJU416" s="80"/>
      <c r="QJV416" s="80"/>
      <c r="QJW416" s="80"/>
      <c r="QJX416" s="80"/>
      <c r="QJY416" s="80"/>
      <c r="QJZ416" s="80"/>
      <c r="QKA416" s="80"/>
      <c r="QKB416" s="80"/>
      <c r="QKC416" s="80"/>
      <c r="QKD416" s="80"/>
      <c r="QKE416" s="80"/>
      <c r="QKF416" s="80"/>
      <c r="QKG416" s="80"/>
      <c r="QKH416" s="80"/>
      <c r="QKI416" s="80"/>
      <c r="QKJ416" s="80"/>
      <c r="QKK416" s="80"/>
      <c r="QKL416" s="80"/>
      <c r="QKM416" s="80"/>
      <c r="QKN416" s="80"/>
      <c r="QKO416" s="80"/>
      <c r="QKP416" s="80"/>
      <c r="QKQ416" s="80"/>
      <c r="QKR416" s="80"/>
      <c r="QKS416" s="80"/>
      <c r="QKT416" s="80"/>
      <c r="QKU416" s="80"/>
      <c r="QKV416" s="80"/>
      <c r="QKW416" s="80"/>
      <c r="QKX416" s="80"/>
      <c r="QKY416" s="80"/>
      <c r="QKZ416" s="80"/>
      <c r="QLA416" s="80"/>
      <c r="QLB416" s="80"/>
      <c r="QLC416" s="80"/>
      <c r="QLD416" s="80"/>
      <c r="QLE416" s="80"/>
      <c r="QLF416" s="80"/>
      <c r="QLG416" s="80"/>
      <c r="QLH416" s="80"/>
      <c r="QLI416" s="80"/>
      <c r="QLJ416" s="80"/>
      <c r="QLK416" s="80"/>
      <c r="QLL416" s="80"/>
      <c r="QLM416" s="80"/>
      <c r="QLN416" s="80"/>
      <c r="QLO416" s="80"/>
      <c r="QLP416" s="80"/>
      <c r="QLQ416" s="80"/>
      <c r="QLR416" s="80"/>
      <c r="QLS416" s="80"/>
      <c r="QLT416" s="80"/>
      <c r="QLU416" s="80"/>
      <c r="QLV416" s="80"/>
      <c r="QLW416" s="80"/>
      <c r="QLX416" s="80"/>
      <c r="QLY416" s="80"/>
      <c r="QLZ416" s="80"/>
      <c r="QMA416" s="80"/>
      <c r="QMB416" s="80"/>
      <c r="QMC416" s="80"/>
      <c r="QMD416" s="80"/>
      <c r="QME416" s="80"/>
      <c r="QMF416" s="80"/>
      <c r="QMG416" s="80"/>
      <c r="QMH416" s="80"/>
      <c r="QMI416" s="80"/>
      <c r="QMJ416" s="80"/>
      <c r="QMK416" s="80"/>
      <c r="QML416" s="80"/>
      <c r="QMM416" s="80"/>
      <c r="QMN416" s="80"/>
      <c r="QMO416" s="80"/>
      <c r="QMP416" s="80"/>
      <c r="QMQ416" s="80"/>
      <c r="QMR416" s="80"/>
      <c r="QMS416" s="80"/>
      <c r="QMT416" s="80"/>
      <c r="QMU416" s="80"/>
      <c r="QMV416" s="80"/>
      <c r="QMW416" s="80"/>
      <c r="QMX416" s="80"/>
      <c r="QMY416" s="80"/>
      <c r="QMZ416" s="80"/>
      <c r="QNA416" s="80"/>
      <c r="QNB416" s="80"/>
      <c r="QNC416" s="80"/>
      <c r="QND416" s="80"/>
      <c r="QNE416" s="80"/>
      <c r="QNF416" s="80"/>
      <c r="QNG416" s="80"/>
      <c r="QNH416" s="80"/>
      <c r="QNI416" s="80"/>
      <c r="QNJ416" s="80"/>
      <c r="QNK416" s="80"/>
      <c r="QNL416" s="80"/>
      <c r="QNM416" s="80"/>
      <c r="QNN416" s="80"/>
      <c r="QNO416" s="80"/>
      <c r="QNP416" s="80"/>
      <c r="QNQ416" s="80"/>
      <c r="QNR416" s="80"/>
      <c r="QNS416" s="80"/>
      <c r="QNT416" s="80"/>
      <c r="QNU416" s="80"/>
      <c r="QNV416" s="80"/>
      <c r="QNW416" s="80"/>
      <c r="QNX416" s="80"/>
      <c r="QNY416" s="80"/>
      <c r="QNZ416" s="80"/>
      <c r="QOA416" s="80"/>
      <c r="QOB416" s="80"/>
      <c r="QOC416" s="80"/>
      <c r="QOD416" s="80"/>
      <c r="QOE416" s="80"/>
      <c r="QOF416" s="80"/>
      <c r="QOG416" s="80"/>
      <c r="QOH416" s="80"/>
      <c r="QOI416" s="80"/>
      <c r="QOJ416" s="80"/>
      <c r="QOK416" s="80"/>
      <c r="QOL416" s="80"/>
      <c r="QOM416" s="80"/>
      <c r="QON416" s="80"/>
      <c r="QOO416" s="80"/>
      <c r="QOP416" s="80"/>
      <c r="QOQ416" s="80"/>
      <c r="QOR416" s="80"/>
      <c r="QOS416" s="80"/>
      <c r="QOT416" s="80"/>
      <c r="QOU416" s="80"/>
      <c r="QOV416" s="80"/>
      <c r="QOW416" s="80"/>
      <c r="QOX416" s="80"/>
      <c r="QOY416" s="80"/>
      <c r="QOZ416" s="80"/>
      <c r="QPA416" s="80"/>
      <c r="QPB416" s="80"/>
      <c r="QPC416" s="80"/>
      <c r="QPD416" s="80"/>
      <c r="QPE416" s="80"/>
      <c r="QPF416" s="80"/>
      <c r="QPG416" s="80"/>
      <c r="QPH416" s="80"/>
      <c r="QPI416" s="80"/>
      <c r="QPJ416" s="80"/>
      <c r="QPK416" s="80"/>
      <c r="QPL416" s="80"/>
      <c r="QPM416" s="80"/>
      <c r="QPN416" s="80"/>
      <c r="QPO416" s="80"/>
      <c r="QPP416" s="80"/>
      <c r="QPQ416" s="80"/>
      <c r="QPR416" s="80"/>
      <c r="QPS416" s="80"/>
      <c r="QPT416" s="80"/>
      <c r="QPU416" s="80"/>
      <c r="QPV416" s="80"/>
      <c r="QPW416" s="80"/>
      <c r="QPX416" s="80"/>
      <c r="QPY416" s="80"/>
      <c r="QPZ416" s="80"/>
      <c r="QQA416" s="80"/>
      <c r="QQB416" s="80"/>
      <c r="QQC416" s="80"/>
      <c r="QQD416" s="80"/>
      <c r="QQE416" s="80"/>
      <c r="QQF416" s="80"/>
      <c r="QQG416" s="80"/>
      <c r="QQH416" s="80"/>
      <c r="QQI416" s="80"/>
      <c r="QQJ416" s="80"/>
      <c r="QQK416" s="80"/>
      <c r="QQL416" s="80"/>
      <c r="QQM416" s="80"/>
      <c r="QQN416" s="80"/>
      <c r="QQO416" s="80"/>
      <c r="QQP416" s="80"/>
      <c r="QQQ416" s="80"/>
      <c r="QQR416" s="80"/>
      <c r="QQS416" s="80"/>
      <c r="QQT416" s="80"/>
      <c r="QQU416" s="80"/>
      <c r="QQV416" s="80"/>
      <c r="QQW416" s="80"/>
      <c r="QQX416" s="80"/>
      <c r="QQY416" s="80"/>
      <c r="QQZ416" s="80"/>
      <c r="QRA416" s="80"/>
      <c r="QRB416" s="80"/>
      <c r="QRC416" s="80"/>
      <c r="QRD416" s="80"/>
      <c r="QRE416" s="80"/>
      <c r="QRF416" s="80"/>
      <c r="QRG416" s="80"/>
      <c r="QRH416" s="80"/>
      <c r="QRI416" s="80"/>
      <c r="QRJ416" s="80"/>
      <c r="QRK416" s="80"/>
      <c r="QRL416" s="80"/>
      <c r="QRM416" s="80"/>
      <c r="QRN416" s="80"/>
      <c r="QRO416" s="80"/>
      <c r="QRP416" s="80"/>
      <c r="QRQ416" s="80"/>
      <c r="QRR416" s="80"/>
      <c r="QRS416" s="80"/>
      <c r="QRT416" s="80"/>
      <c r="QRU416" s="80"/>
      <c r="QRV416" s="80"/>
      <c r="QRW416" s="80"/>
      <c r="QRX416" s="80"/>
      <c r="QRY416" s="80"/>
      <c r="QRZ416" s="80"/>
      <c r="QSA416" s="80"/>
      <c r="QSB416" s="80"/>
      <c r="QSC416" s="80"/>
      <c r="QSD416" s="80"/>
      <c r="QSE416" s="80"/>
      <c r="QSF416" s="80"/>
      <c r="QSG416" s="80"/>
      <c r="QSH416" s="80"/>
      <c r="QSI416" s="80"/>
      <c r="QSJ416" s="80"/>
      <c r="QSK416" s="80"/>
      <c r="QSL416" s="80"/>
      <c r="QSM416" s="80"/>
      <c r="QSN416" s="80"/>
      <c r="QSO416" s="80"/>
      <c r="QSP416" s="80"/>
      <c r="QSQ416" s="80"/>
      <c r="QSR416" s="80"/>
      <c r="QSS416" s="80"/>
      <c r="QST416" s="80"/>
      <c r="QSU416" s="80"/>
      <c r="QSV416" s="80"/>
      <c r="QSW416" s="80"/>
      <c r="QSX416" s="80"/>
      <c r="QSY416" s="80"/>
      <c r="QSZ416" s="80"/>
      <c r="QTA416" s="80"/>
      <c r="QTB416" s="80"/>
      <c r="QTC416" s="80"/>
      <c r="QTD416" s="80"/>
      <c r="QTE416" s="80"/>
      <c r="QTF416" s="80"/>
      <c r="QTG416" s="80"/>
      <c r="QTH416" s="80"/>
      <c r="QTI416" s="80"/>
      <c r="QTJ416" s="80"/>
      <c r="QTK416" s="80"/>
      <c r="QTL416" s="80"/>
      <c r="QTM416" s="80"/>
      <c r="QTN416" s="80"/>
      <c r="QTO416" s="80"/>
      <c r="QTP416" s="80"/>
      <c r="QTQ416" s="80"/>
      <c r="QTR416" s="80"/>
      <c r="QTS416" s="80"/>
      <c r="QTT416" s="80"/>
      <c r="QTU416" s="80"/>
      <c r="QTV416" s="80"/>
      <c r="QTW416" s="80"/>
      <c r="QTX416" s="80"/>
      <c r="QTY416" s="80"/>
      <c r="QTZ416" s="80"/>
      <c r="QUA416" s="80"/>
      <c r="QUB416" s="80"/>
      <c r="QUC416" s="80"/>
      <c r="QUD416" s="80"/>
      <c r="QUE416" s="80"/>
      <c r="QUF416" s="80"/>
      <c r="QUG416" s="80"/>
      <c r="QUH416" s="80"/>
      <c r="QUI416" s="80"/>
      <c r="QUJ416" s="80"/>
      <c r="QUK416" s="80"/>
      <c r="QUL416" s="80"/>
      <c r="QUM416" s="80"/>
      <c r="QUN416" s="80"/>
      <c r="QUO416" s="80"/>
      <c r="QUP416" s="80"/>
      <c r="QUQ416" s="80"/>
      <c r="QUR416" s="80"/>
      <c r="QUS416" s="80"/>
      <c r="QUT416" s="80"/>
      <c r="QUU416" s="80"/>
      <c r="QUV416" s="80"/>
      <c r="QUW416" s="80"/>
      <c r="QUX416" s="80"/>
      <c r="QUY416" s="80"/>
      <c r="QUZ416" s="80"/>
      <c r="QVA416" s="80"/>
      <c r="QVB416" s="80"/>
      <c r="QVC416" s="80"/>
      <c r="QVD416" s="80"/>
      <c r="QVE416" s="80"/>
      <c r="QVF416" s="80"/>
      <c r="QVG416" s="80"/>
      <c r="QVH416" s="80"/>
      <c r="QVI416" s="80"/>
      <c r="QVJ416" s="80"/>
      <c r="QVK416" s="80"/>
      <c r="QVL416" s="80"/>
      <c r="QVM416" s="80"/>
      <c r="QVN416" s="80"/>
      <c r="QVO416" s="80"/>
      <c r="QVP416" s="80"/>
      <c r="QVQ416" s="80"/>
      <c r="QVR416" s="80"/>
      <c r="QVS416" s="80"/>
      <c r="QVT416" s="80"/>
      <c r="QVU416" s="80"/>
      <c r="QVV416" s="80"/>
      <c r="QVW416" s="80"/>
      <c r="QVX416" s="80"/>
      <c r="QVY416" s="80"/>
      <c r="QVZ416" s="80"/>
      <c r="QWA416" s="80"/>
      <c r="QWB416" s="80"/>
      <c r="QWC416" s="80"/>
      <c r="QWD416" s="80"/>
      <c r="QWE416" s="80"/>
      <c r="QWF416" s="80"/>
      <c r="QWG416" s="80"/>
      <c r="QWH416" s="80"/>
      <c r="QWI416" s="80"/>
      <c r="QWJ416" s="80"/>
      <c r="QWK416" s="80"/>
      <c r="QWL416" s="80"/>
      <c r="QWM416" s="80"/>
      <c r="QWN416" s="80"/>
      <c r="QWO416" s="80"/>
      <c r="QWP416" s="80"/>
      <c r="QWQ416" s="80"/>
      <c r="QWR416" s="80"/>
      <c r="QWS416" s="80"/>
      <c r="QWT416" s="80"/>
      <c r="QWU416" s="80"/>
      <c r="QWV416" s="80"/>
      <c r="QWW416" s="80"/>
      <c r="QWX416" s="80"/>
      <c r="QWY416" s="80"/>
      <c r="QWZ416" s="80"/>
      <c r="QXA416" s="80"/>
      <c r="QXB416" s="80"/>
      <c r="QXC416" s="80"/>
      <c r="QXD416" s="80"/>
      <c r="QXE416" s="80"/>
      <c r="QXF416" s="80"/>
      <c r="QXG416" s="80"/>
      <c r="QXH416" s="80"/>
      <c r="QXI416" s="80"/>
      <c r="QXJ416" s="80"/>
      <c r="QXK416" s="80"/>
      <c r="QXL416" s="80"/>
      <c r="QXM416" s="80"/>
      <c r="QXN416" s="80"/>
      <c r="QXO416" s="80"/>
      <c r="QXP416" s="80"/>
      <c r="QXQ416" s="80"/>
      <c r="QXR416" s="80"/>
      <c r="QXS416" s="80"/>
      <c r="QXT416" s="80"/>
      <c r="QXU416" s="80"/>
      <c r="QXV416" s="80"/>
      <c r="QXW416" s="80"/>
      <c r="QXX416" s="80"/>
      <c r="QXY416" s="80"/>
      <c r="QXZ416" s="80"/>
      <c r="QYA416" s="80"/>
      <c r="QYB416" s="80"/>
      <c r="QYC416" s="80"/>
      <c r="QYD416" s="80"/>
      <c r="QYE416" s="80"/>
      <c r="QYF416" s="80"/>
      <c r="QYG416" s="80"/>
      <c r="QYH416" s="80"/>
      <c r="QYI416" s="80"/>
      <c r="QYJ416" s="80"/>
      <c r="QYK416" s="80"/>
      <c r="QYL416" s="80"/>
      <c r="QYM416" s="80"/>
      <c r="QYN416" s="80"/>
      <c r="QYO416" s="80"/>
      <c r="QYP416" s="80"/>
      <c r="QYQ416" s="80"/>
      <c r="QYR416" s="80"/>
      <c r="QYS416" s="80"/>
      <c r="QYT416" s="80"/>
      <c r="QYU416" s="80"/>
      <c r="QYV416" s="80"/>
      <c r="QYW416" s="80"/>
      <c r="QYX416" s="80"/>
      <c r="QYY416" s="80"/>
      <c r="QYZ416" s="80"/>
      <c r="QZA416" s="80"/>
      <c r="QZB416" s="80"/>
      <c r="QZC416" s="80"/>
      <c r="QZD416" s="80"/>
      <c r="QZE416" s="80"/>
      <c r="QZF416" s="80"/>
      <c r="QZG416" s="80"/>
      <c r="QZH416" s="80"/>
      <c r="QZI416" s="80"/>
      <c r="QZJ416" s="80"/>
      <c r="QZK416" s="80"/>
      <c r="QZL416" s="80"/>
      <c r="QZM416" s="80"/>
      <c r="QZN416" s="80"/>
      <c r="QZO416" s="80"/>
      <c r="QZP416" s="80"/>
      <c r="QZQ416" s="80"/>
      <c r="QZR416" s="80"/>
      <c r="QZS416" s="80"/>
      <c r="QZT416" s="80"/>
      <c r="QZU416" s="80"/>
      <c r="QZV416" s="80"/>
      <c r="QZW416" s="80"/>
      <c r="QZX416" s="80"/>
      <c r="QZY416" s="80"/>
      <c r="QZZ416" s="80"/>
      <c r="RAA416" s="80"/>
      <c r="RAB416" s="80"/>
      <c r="RAC416" s="80"/>
      <c r="RAD416" s="80"/>
      <c r="RAE416" s="80"/>
      <c r="RAF416" s="80"/>
      <c r="RAG416" s="80"/>
      <c r="RAH416" s="80"/>
      <c r="RAI416" s="80"/>
      <c r="RAJ416" s="80"/>
      <c r="RAK416" s="80"/>
      <c r="RAL416" s="80"/>
      <c r="RAM416" s="80"/>
      <c r="RAN416" s="80"/>
      <c r="RAO416" s="80"/>
      <c r="RAP416" s="80"/>
      <c r="RAQ416" s="80"/>
      <c r="RAR416" s="80"/>
      <c r="RAS416" s="80"/>
      <c r="RAT416" s="80"/>
      <c r="RAU416" s="80"/>
      <c r="RAV416" s="80"/>
      <c r="RAW416" s="80"/>
      <c r="RAX416" s="80"/>
      <c r="RAY416" s="80"/>
      <c r="RAZ416" s="80"/>
      <c r="RBA416" s="80"/>
      <c r="RBB416" s="80"/>
      <c r="RBC416" s="80"/>
      <c r="RBD416" s="80"/>
      <c r="RBE416" s="80"/>
      <c r="RBF416" s="80"/>
      <c r="RBG416" s="80"/>
      <c r="RBH416" s="80"/>
      <c r="RBI416" s="80"/>
      <c r="RBJ416" s="80"/>
      <c r="RBK416" s="80"/>
      <c r="RBL416" s="80"/>
      <c r="RBM416" s="80"/>
      <c r="RBN416" s="80"/>
      <c r="RBO416" s="80"/>
      <c r="RBP416" s="80"/>
      <c r="RBQ416" s="80"/>
      <c r="RBR416" s="80"/>
      <c r="RBS416" s="80"/>
      <c r="RBT416" s="80"/>
      <c r="RBU416" s="80"/>
      <c r="RBV416" s="80"/>
      <c r="RBW416" s="80"/>
      <c r="RBX416" s="80"/>
      <c r="RBY416" s="80"/>
      <c r="RBZ416" s="80"/>
      <c r="RCA416" s="80"/>
      <c r="RCB416" s="80"/>
      <c r="RCC416" s="80"/>
      <c r="RCD416" s="80"/>
      <c r="RCE416" s="80"/>
      <c r="RCF416" s="80"/>
      <c r="RCG416" s="80"/>
      <c r="RCH416" s="80"/>
      <c r="RCI416" s="80"/>
      <c r="RCJ416" s="80"/>
      <c r="RCK416" s="80"/>
      <c r="RCL416" s="80"/>
      <c r="RCM416" s="80"/>
      <c r="RCN416" s="80"/>
      <c r="RCO416" s="80"/>
      <c r="RCP416" s="80"/>
      <c r="RCQ416" s="80"/>
      <c r="RCR416" s="80"/>
      <c r="RCS416" s="80"/>
      <c r="RCT416" s="80"/>
      <c r="RCU416" s="80"/>
      <c r="RCV416" s="80"/>
      <c r="RCW416" s="80"/>
      <c r="RCX416" s="80"/>
      <c r="RCY416" s="80"/>
      <c r="RCZ416" s="80"/>
      <c r="RDA416" s="80"/>
      <c r="RDB416" s="80"/>
      <c r="RDC416" s="80"/>
      <c r="RDD416" s="80"/>
      <c r="RDE416" s="80"/>
      <c r="RDF416" s="80"/>
      <c r="RDG416" s="80"/>
      <c r="RDH416" s="80"/>
      <c r="RDI416" s="80"/>
      <c r="RDJ416" s="80"/>
      <c r="RDK416" s="80"/>
      <c r="RDL416" s="80"/>
      <c r="RDM416" s="80"/>
      <c r="RDN416" s="80"/>
      <c r="RDO416" s="80"/>
      <c r="RDP416" s="80"/>
      <c r="RDQ416" s="80"/>
      <c r="RDR416" s="80"/>
      <c r="RDS416" s="80"/>
      <c r="RDT416" s="80"/>
      <c r="RDU416" s="80"/>
      <c r="RDV416" s="80"/>
      <c r="RDW416" s="80"/>
      <c r="RDX416" s="80"/>
      <c r="RDY416" s="80"/>
      <c r="RDZ416" s="80"/>
      <c r="REA416" s="80"/>
      <c r="REB416" s="80"/>
      <c r="REC416" s="80"/>
      <c r="RED416" s="80"/>
      <c r="REE416" s="80"/>
      <c r="REF416" s="80"/>
      <c r="REG416" s="80"/>
      <c r="REH416" s="80"/>
      <c r="REI416" s="80"/>
      <c r="REJ416" s="80"/>
      <c r="REK416" s="80"/>
      <c r="REL416" s="80"/>
      <c r="REM416" s="80"/>
      <c r="REN416" s="80"/>
      <c r="REO416" s="80"/>
      <c r="REP416" s="80"/>
      <c r="REQ416" s="80"/>
      <c r="RER416" s="80"/>
      <c r="RES416" s="80"/>
      <c r="RET416" s="80"/>
      <c r="REU416" s="80"/>
      <c r="REV416" s="80"/>
      <c r="REW416" s="80"/>
      <c r="REX416" s="80"/>
      <c r="REY416" s="80"/>
      <c r="REZ416" s="80"/>
      <c r="RFA416" s="80"/>
      <c r="RFB416" s="80"/>
      <c r="RFC416" s="80"/>
      <c r="RFD416" s="80"/>
      <c r="RFE416" s="80"/>
      <c r="RFF416" s="80"/>
      <c r="RFG416" s="80"/>
      <c r="RFH416" s="80"/>
      <c r="RFI416" s="80"/>
      <c r="RFJ416" s="80"/>
      <c r="RFK416" s="80"/>
      <c r="RFL416" s="80"/>
      <c r="RFM416" s="80"/>
      <c r="RFN416" s="80"/>
      <c r="RFO416" s="80"/>
      <c r="RFP416" s="80"/>
      <c r="RFQ416" s="80"/>
      <c r="RFR416" s="80"/>
      <c r="RFS416" s="80"/>
      <c r="RFT416" s="80"/>
      <c r="RFU416" s="80"/>
      <c r="RFV416" s="80"/>
      <c r="RFW416" s="80"/>
      <c r="RFX416" s="80"/>
      <c r="RFY416" s="80"/>
      <c r="RFZ416" s="80"/>
      <c r="RGA416" s="80"/>
      <c r="RGB416" s="80"/>
      <c r="RGC416" s="80"/>
      <c r="RGD416" s="80"/>
      <c r="RGE416" s="80"/>
      <c r="RGF416" s="80"/>
      <c r="RGG416" s="80"/>
      <c r="RGH416" s="80"/>
      <c r="RGI416" s="80"/>
      <c r="RGJ416" s="80"/>
      <c r="RGK416" s="80"/>
      <c r="RGL416" s="80"/>
      <c r="RGM416" s="80"/>
      <c r="RGN416" s="80"/>
      <c r="RGO416" s="80"/>
      <c r="RGP416" s="80"/>
      <c r="RGQ416" s="80"/>
      <c r="RGR416" s="80"/>
      <c r="RGS416" s="80"/>
      <c r="RGT416" s="80"/>
      <c r="RGU416" s="80"/>
      <c r="RGV416" s="80"/>
      <c r="RGW416" s="80"/>
      <c r="RGX416" s="80"/>
      <c r="RGY416" s="80"/>
      <c r="RGZ416" s="80"/>
      <c r="RHA416" s="80"/>
      <c r="RHB416" s="80"/>
      <c r="RHC416" s="80"/>
      <c r="RHD416" s="80"/>
      <c r="RHE416" s="80"/>
      <c r="RHF416" s="80"/>
      <c r="RHG416" s="80"/>
      <c r="RHH416" s="80"/>
      <c r="RHI416" s="80"/>
      <c r="RHJ416" s="80"/>
      <c r="RHK416" s="80"/>
      <c r="RHL416" s="80"/>
      <c r="RHM416" s="80"/>
      <c r="RHN416" s="80"/>
      <c r="RHO416" s="80"/>
      <c r="RHP416" s="80"/>
      <c r="RHQ416" s="80"/>
      <c r="RHR416" s="80"/>
      <c r="RHS416" s="80"/>
      <c r="RHT416" s="80"/>
      <c r="RHU416" s="80"/>
      <c r="RHV416" s="80"/>
      <c r="RHW416" s="80"/>
      <c r="RHX416" s="80"/>
      <c r="RHY416" s="80"/>
      <c r="RHZ416" s="80"/>
      <c r="RIA416" s="80"/>
      <c r="RIB416" s="80"/>
      <c r="RIC416" s="80"/>
      <c r="RID416" s="80"/>
      <c r="RIE416" s="80"/>
      <c r="RIF416" s="80"/>
      <c r="RIG416" s="80"/>
      <c r="RIH416" s="80"/>
      <c r="RII416" s="80"/>
      <c r="RIJ416" s="80"/>
      <c r="RIK416" s="80"/>
      <c r="RIL416" s="80"/>
      <c r="RIM416" s="80"/>
      <c r="RIN416" s="80"/>
      <c r="RIO416" s="80"/>
      <c r="RIP416" s="80"/>
      <c r="RIQ416" s="80"/>
      <c r="RIR416" s="80"/>
      <c r="RIS416" s="80"/>
      <c r="RIT416" s="80"/>
      <c r="RIU416" s="80"/>
      <c r="RIV416" s="80"/>
      <c r="RIW416" s="80"/>
      <c r="RIX416" s="80"/>
      <c r="RIY416" s="80"/>
      <c r="RIZ416" s="80"/>
      <c r="RJA416" s="80"/>
      <c r="RJB416" s="80"/>
      <c r="RJC416" s="80"/>
      <c r="RJD416" s="80"/>
      <c r="RJE416" s="80"/>
      <c r="RJF416" s="80"/>
      <c r="RJG416" s="80"/>
      <c r="RJH416" s="80"/>
      <c r="RJI416" s="80"/>
      <c r="RJJ416" s="80"/>
      <c r="RJK416" s="80"/>
      <c r="RJL416" s="80"/>
      <c r="RJM416" s="80"/>
      <c r="RJN416" s="80"/>
      <c r="RJO416" s="80"/>
      <c r="RJP416" s="80"/>
      <c r="RJQ416" s="80"/>
      <c r="RJR416" s="80"/>
      <c r="RJS416" s="80"/>
      <c r="RJT416" s="80"/>
      <c r="RJU416" s="80"/>
      <c r="RJV416" s="80"/>
      <c r="RJW416" s="80"/>
      <c r="RJX416" s="80"/>
      <c r="RJY416" s="80"/>
      <c r="RJZ416" s="80"/>
      <c r="RKA416" s="80"/>
      <c r="RKB416" s="80"/>
      <c r="RKC416" s="80"/>
      <c r="RKD416" s="80"/>
      <c r="RKE416" s="80"/>
      <c r="RKF416" s="80"/>
      <c r="RKG416" s="80"/>
      <c r="RKH416" s="80"/>
      <c r="RKI416" s="80"/>
      <c r="RKJ416" s="80"/>
      <c r="RKK416" s="80"/>
      <c r="RKL416" s="80"/>
      <c r="RKM416" s="80"/>
      <c r="RKN416" s="80"/>
      <c r="RKO416" s="80"/>
      <c r="RKP416" s="80"/>
      <c r="RKQ416" s="80"/>
      <c r="RKR416" s="80"/>
      <c r="RKS416" s="80"/>
      <c r="RKT416" s="80"/>
      <c r="RKU416" s="80"/>
      <c r="RKV416" s="80"/>
      <c r="RKW416" s="80"/>
      <c r="RKX416" s="80"/>
      <c r="RKY416" s="80"/>
      <c r="RKZ416" s="80"/>
      <c r="RLA416" s="80"/>
      <c r="RLB416" s="80"/>
      <c r="RLC416" s="80"/>
      <c r="RLD416" s="80"/>
      <c r="RLE416" s="80"/>
      <c r="RLF416" s="80"/>
      <c r="RLG416" s="80"/>
      <c r="RLH416" s="80"/>
      <c r="RLI416" s="80"/>
      <c r="RLJ416" s="80"/>
      <c r="RLK416" s="80"/>
      <c r="RLL416" s="80"/>
      <c r="RLM416" s="80"/>
      <c r="RLN416" s="80"/>
      <c r="RLO416" s="80"/>
      <c r="RLP416" s="80"/>
      <c r="RLQ416" s="80"/>
      <c r="RLR416" s="80"/>
      <c r="RLS416" s="80"/>
      <c r="RLT416" s="80"/>
      <c r="RLU416" s="80"/>
      <c r="RLV416" s="80"/>
      <c r="RLW416" s="80"/>
      <c r="RLX416" s="80"/>
      <c r="RLY416" s="80"/>
      <c r="RLZ416" s="80"/>
      <c r="RMA416" s="80"/>
      <c r="RMB416" s="80"/>
      <c r="RMC416" s="80"/>
      <c r="RMD416" s="80"/>
      <c r="RME416" s="80"/>
      <c r="RMF416" s="80"/>
      <c r="RMG416" s="80"/>
      <c r="RMH416" s="80"/>
      <c r="RMI416" s="80"/>
      <c r="RMJ416" s="80"/>
      <c r="RMK416" s="80"/>
      <c r="RML416" s="80"/>
      <c r="RMM416" s="80"/>
      <c r="RMN416" s="80"/>
      <c r="RMO416" s="80"/>
      <c r="RMP416" s="80"/>
      <c r="RMQ416" s="80"/>
      <c r="RMR416" s="80"/>
      <c r="RMS416" s="80"/>
      <c r="RMT416" s="80"/>
      <c r="RMU416" s="80"/>
      <c r="RMV416" s="80"/>
      <c r="RMW416" s="80"/>
      <c r="RMX416" s="80"/>
      <c r="RMY416" s="80"/>
      <c r="RMZ416" s="80"/>
      <c r="RNA416" s="80"/>
      <c r="RNB416" s="80"/>
      <c r="RNC416" s="80"/>
      <c r="RND416" s="80"/>
      <c r="RNE416" s="80"/>
      <c r="RNF416" s="80"/>
      <c r="RNG416" s="80"/>
      <c r="RNH416" s="80"/>
      <c r="RNI416" s="80"/>
      <c r="RNJ416" s="80"/>
      <c r="RNK416" s="80"/>
      <c r="RNL416" s="80"/>
      <c r="RNM416" s="80"/>
      <c r="RNN416" s="80"/>
      <c r="RNO416" s="80"/>
      <c r="RNP416" s="80"/>
      <c r="RNQ416" s="80"/>
      <c r="RNR416" s="80"/>
      <c r="RNS416" s="80"/>
      <c r="RNT416" s="80"/>
      <c r="RNU416" s="80"/>
      <c r="RNV416" s="80"/>
      <c r="RNW416" s="80"/>
      <c r="RNX416" s="80"/>
      <c r="RNY416" s="80"/>
      <c r="RNZ416" s="80"/>
      <c r="ROA416" s="80"/>
      <c r="ROB416" s="80"/>
      <c r="ROC416" s="80"/>
      <c r="ROD416" s="80"/>
      <c r="ROE416" s="80"/>
      <c r="ROF416" s="80"/>
      <c r="ROG416" s="80"/>
      <c r="ROH416" s="80"/>
      <c r="ROI416" s="80"/>
      <c r="ROJ416" s="80"/>
      <c r="ROK416" s="80"/>
      <c r="ROL416" s="80"/>
      <c r="ROM416" s="80"/>
      <c r="RON416" s="80"/>
      <c r="ROO416" s="80"/>
      <c r="ROP416" s="80"/>
      <c r="ROQ416" s="80"/>
      <c r="ROR416" s="80"/>
      <c r="ROS416" s="80"/>
      <c r="ROT416" s="80"/>
      <c r="ROU416" s="80"/>
      <c r="ROV416" s="80"/>
      <c r="ROW416" s="80"/>
      <c r="ROX416" s="80"/>
      <c r="ROY416" s="80"/>
      <c r="ROZ416" s="80"/>
      <c r="RPA416" s="80"/>
      <c r="RPB416" s="80"/>
      <c r="RPC416" s="80"/>
      <c r="RPD416" s="80"/>
      <c r="RPE416" s="80"/>
      <c r="RPF416" s="80"/>
      <c r="RPG416" s="80"/>
      <c r="RPH416" s="80"/>
      <c r="RPI416" s="80"/>
      <c r="RPJ416" s="80"/>
      <c r="RPK416" s="80"/>
      <c r="RPL416" s="80"/>
      <c r="RPM416" s="80"/>
      <c r="RPN416" s="80"/>
      <c r="RPO416" s="80"/>
      <c r="RPP416" s="80"/>
      <c r="RPQ416" s="80"/>
      <c r="RPR416" s="80"/>
      <c r="RPS416" s="80"/>
      <c r="RPT416" s="80"/>
      <c r="RPU416" s="80"/>
      <c r="RPV416" s="80"/>
      <c r="RPW416" s="80"/>
      <c r="RPX416" s="80"/>
      <c r="RPY416" s="80"/>
      <c r="RPZ416" s="80"/>
      <c r="RQA416" s="80"/>
      <c r="RQB416" s="80"/>
      <c r="RQC416" s="80"/>
      <c r="RQD416" s="80"/>
      <c r="RQE416" s="80"/>
      <c r="RQF416" s="80"/>
      <c r="RQG416" s="80"/>
      <c r="RQH416" s="80"/>
      <c r="RQI416" s="80"/>
      <c r="RQJ416" s="80"/>
      <c r="RQK416" s="80"/>
      <c r="RQL416" s="80"/>
      <c r="RQM416" s="80"/>
      <c r="RQN416" s="80"/>
      <c r="RQO416" s="80"/>
      <c r="RQP416" s="80"/>
      <c r="RQQ416" s="80"/>
      <c r="RQR416" s="80"/>
      <c r="RQS416" s="80"/>
      <c r="RQT416" s="80"/>
      <c r="RQU416" s="80"/>
      <c r="RQV416" s="80"/>
      <c r="RQW416" s="80"/>
      <c r="RQX416" s="80"/>
      <c r="RQY416" s="80"/>
      <c r="RQZ416" s="80"/>
      <c r="RRA416" s="80"/>
      <c r="RRB416" s="80"/>
      <c r="RRC416" s="80"/>
      <c r="RRD416" s="80"/>
      <c r="RRE416" s="80"/>
      <c r="RRF416" s="80"/>
      <c r="RRG416" s="80"/>
      <c r="RRH416" s="80"/>
      <c r="RRI416" s="80"/>
      <c r="RRJ416" s="80"/>
      <c r="RRK416" s="80"/>
      <c r="RRL416" s="80"/>
      <c r="RRM416" s="80"/>
      <c r="RRN416" s="80"/>
      <c r="RRO416" s="80"/>
      <c r="RRP416" s="80"/>
      <c r="RRQ416" s="80"/>
      <c r="RRR416" s="80"/>
      <c r="RRS416" s="80"/>
      <c r="RRT416" s="80"/>
      <c r="RRU416" s="80"/>
      <c r="RRV416" s="80"/>
      <c r="RRW416" s="80"/>
      <c r="RRX416" s="80"/>
      <c r="RRY416" s="80"/>
      <c r="RRZ416" s="80"/>
      <c r="RSA416" s="80"/>
      <c r="RSB416" s="80"/>
      <c r="RSC416" s="80"/>
      <c r="RSD416" s="80"/>
      <c r="RSE416" s="80"/>
      <c r="RSF416" s="80"/>
      <c r="RSG416" s="80"/>
      <c r="RSH416" s="80"/>
      <c r="RSI416" s="80"/>
      <c r="RSJ416" s="80"/>
      <c r="RSK416" s="80"/>
      <c r="RSL416" s="80"/>
      <c r="RSM416" s="80"/>
      <c r="RSN416" s="80"/>
      <c r="RSO416" s="80"/>
      <c r="RSP416" s="80"/>
      <c r="RSQ416" s="80"/>
      <c r="RSR416" s="80"/>
      <c r="RSS416" s="80"/>
      <c r="RST416" s="80"/>
      <c r="RSU416" s="80"/>
      <c r="RSV416" s="80"/>
      <c r="RSW416" s="80"/>
      <c r="RSX416" s="80"/>
      <c r="RSY416" s="80"/>
      <c r="RSZ416" s="80"/>
      <c r="RTA416" s="80"/>
      <c r="RTB416" s="80"/>
      <c r="RTC416" s="80"/>
      <c r="RTD416" s="80"/>
      <c r="RTE416" s="80"/>
      <c r="RTF416" s="80"/>
      <c r="RTG416" s="80"/>
      <c r="RTH416" s="80"/>
      <c r="RTI416" s="80"/>
      <c r="RTJ416" s="80"/>
      <c r="RTK416" s="80"/>
      <c r="RTL416" s="80"/>
      <c r="RTM416" s="80"/>
      <c r="RTN416" s="80"/>
      <c r="RTO416" s="80"/>
      <c r="RTP416" s="80"/>
      <c r="RTQ416" s="80"/>
      <c r="RTR416" s="80"/>
      <c r="RTS416" s="80"/>
      <c r="RTT416" s="80"/>
      <c r="RTU416" s="80"/>
      <c r="RTV416" s="80"/>
      <c r="RTW416" s="80"/>
      <c r="RTX416" s="80"/>
      <c r="RTY416" s="80"/>
      <c r="RTZ416" s="80"/>
      <c r="RUA416" s="80"/>
      <c r="RUB416" s="80"/>
      <c r="RUC416" s="80"/>
      <c r="RUD416" s="80"/>
      <c r="RUE416" s="80"/>
      <c r="RUF416" s="80"/>
      <c r="RUG416" s="80"/>
      <c r="RUH416" s="80"/>
      <c r="RUI416" s="80"/>
      <c r="RUJ416" s="80"/>
      <c r="RUK416" s="80"/>
      <c r="RUL416" s="80"/>
      <c r="RUM416" s="80"/>
      <c r="RUN416" s="80"/>
      <c r="RUO416" s="80"/>
      <c r="RUP416" s="80"/>
      <c r="RUQ416" s="80"/>
      <c r="RUR416" s="80"/>
      <c r="RUS416" s="80"/>
      <c r="RUT416" s="80"/>
      <c r="RUU416" s="80"/>
      <c r="RUV416" s="80"/>
      <c r="RUW416" s="80"/>
      <c r="RUX416" s="80"/>
      <c r="RUY416" s="80"/>
      <c r="RUZ416" s="80"/>
      <c r="RVA416" s="80"/>
      <c r="RVB416" s="80"/>
      <c r="RVC416" s="80"/>
      <c r="RVD416" s="80"/>
      <c r="RVE416" s="80"/>
      <c r="RVF416" s="80"/>
      <c r="RVG416" s="80"/>
      <c r="RVH416" s="80"/>
      <c r="RVI416" s="80"/>
      <c r="RVJ416" s="80"/>
      <c r="RVK416" s="80"/>
      <c r="RVL416" s="80"/>
      <c r="RVM416" s="80"/>
      <c r="RVN416" s="80"/>
      <c r="RVO416" s="80"/>
      <c r="RVP416" s="80"/>
      <c r="RVQ416" s="80"/>
      <c r="RVR416" s="80"/>
      <c r="RVS416" s="80"/>
      <c r="RVT416" s="80"/>
      <c r="RVU416" s="80"/>
      <c r="RVV416" s="80"/>
      <c r="RVW416" s="80"/>
      <c r="RVX416" s="80"/>
      <c r="RVY416" s="80"/>
      <c r="RVZ416" s="80"/>
      <c r="RWA416" s="80"/>
      <c r="RWB416" s="80"/>
      <c r="RWC416" s="80"/>
      <c r="RWD416" s="80"/>
      <c r="RWE416" s="80"/>
      <c r="RWF416" s="80"/>
      <c r="RWG416" s="80"/>
      <c r="RWH416" s="80"/>
      <c r="RWI416" s="80"/>
      <c r="RWJ416" s="80"/>
      <c r="RWK416" s="80"/>
      <c r="RWL416" s="80"/>
      <c r="RWM416" s="80"/>
      <c r="RWN416" s="80"/>
      <c r="RWO416" s="80"/>
      <c r="RWP416" s="80"/>
      <c r="RWQ416" s="80"/>
      <c r="RWR416" s="80"/>
      <c r="RWS416" s="80"/>
      <c r="RWT416" s="80"/>
      <c r="RWU416" s="80"/>
      <c r="RWV416" s="80"/>
      <c r="RWW416" s="80"/>
      <c r="RWX416" s="80"/>
      <c r="RWY416" s="80"/>
      <c r="RWZ416" s="80"/>
      <c r="RXA416" s="80"/>
      <c r="RXB416" s="80"/>
      <c r="RXC416" s="80"/>
      <c r="RXD416" s="80"/>
      <c r="RXE416" s="80"/>
      <c r="RXF416" s="80"/>
      <c r="RXG416" s="80"/>
      <c r="RXH416" s="80"/>
      <c r="RXI416" s="80"/>
      <c r="RXJ416" s="80"/>
      <c r="RXK416" s="80"/>
      <c r="RXL416" s="80"/>
      <c r="RXM416" s="80"/>
      <c r="RXN416" s="80"/>
      <c r="RXO416" s="80"/>
      <c r="RXP416" s="80"/>
      <c r="RXQ416" s="80"/>
      <c r="RXR416" s="80"/>
      <c r="RXS416" s="80"/>
      <c r="RXT416" s="80"/>
      <c r="RXU416" s="80"/>
      <c r="RXV416" s="80"/>
      <c r="RXW416" s="80"/>
      <c r="RXX416" s="80"/>
      <c r="RXY416" s="80"/>
      <c r="RXZ416" s="80"/>
      <c r="RYA416" s="80"/>
      <c r="RYB416" s="80"/>
      <c r="RYC416" s="80"/>
      <c r="RYD416" s="80"/>
      <c r="RYE416" s="80"/>
      <c r="RYF416" s="80"/>
      <c r="RYG416" s="80"/>
      <c r="RYH416" s="80"/>
      <c r="RYI416" s="80"/>
      <c r="RYJ416" s="80"/>
      <c r="RYK416" s="80"/>
      <c r="RYL416" s="80"/>
      <c r="RYM416" s="80"/>
      <c r="RYN416" s="80"/>
      <c r="RYO416" s="80"/>
      <c r="RYP416" s="80"/>
      <c r="RYQ416" s="80"/>
      <c r="RYR416" s="80"/>
      <c r="RYS416" s="80"/>
      <c r="RYT416" s="80"/>
      <c r="RYU416" s="80"/>
      <c r="RYV416" s="80"/>
      <c r="RYW416" s="80"/>
      <c r="RYX416" s="80"/>
      <c r="RYY416" s="80"/>
      <c r="RYZ416" s="80"/>
      <c r="RZA416" s="80"/>
      <c r="RZB416" s="80"/>
      <c r="RZC416" s="80"/>
      <c r="RZD416" s="80"/>
      <c r="RZE416" s="80"/>
      <c r="RZF416" s="80"/>
      <c r="RZG416" s="80"/>
      <c r="RZH416" s="80"/>
      <c r="RZI416" s="80"/>
      <c r="RZJ416" s="80"/>
      <c r="RZK416" s="80"/>
      <c r="RZL416" s="80"/>
      <c r="RZM416" s="80"/>
      <c r="RZN416" s="80"/>
      <c r="RZO416" s="80"/>
      <c r="RZP416" s="80"/>
      <c r="RZQ416" s="80"/>
      <c r="RZR416" s="80"/>
      <c r="RZS416" s="80"/>
      <c r="RZT416" s="80"/>
      <c r="RZU416" s="80"/>
      <c r="RZV416" s="80"/>
      <c r="RZW416" s="80"/>
      <c r="RZX416" s="80"/>
      <c r="RZY416" s="80"/>
      <c r="RZZ416" s="80"/>
      <c r="SAA416" s="80"/>
      <c r="SAB416" s="80"/>
      <c r="SAC416" s="80"/>
      <c r="SAD416" s="80"/>
      <c r="SAE416" s="80"/>
      <c r="SAF416" s="80"/>
      <c r="SAG416" s="80"/>
      <c r="SAH416" s="80"/>
      <c r="SAI416" s="80"/>
      <c r="SAJ416" s="80"/>
      <c r="SAK416" s="80"/>
      <c r="SAL416" s="80"/>
      <c r="SAM416" s="80"/>
      <c r="SAN416" s="80"/>
      <c r="SAO416" s="80"/>
      <c r="SAP416" s="80"/>
      <c r="SAQ416" s="80"/>
      <c r="SAR416" s="80"/>
      <c r="SAS416" s="80"/>
      <c r="SAT416" s="80"/>
      <c r="SAU416" s="80"/>
      <c r="SAV416" s="80"/>
      <c r="SAW416" s="80"/>
      <c r="SAX416" s="80"/>
      <c r="SAY416" s="80"/>
      <c r="SAZ416" s="80"/>
      <c r="SBA416" s="80"/>
      <c r="SBB416" s="80"/>
      <c r="SBC416" s="80"/>
      <c r="SBD416" s="80"/>
      <c r="SBE416" s="80"/>
      <c r="SBF416" s="80"/>
      <c r="SBG416" s="80"/>
      <c r="SBH416" s="80"/>
      <c r="SBI416" s="80"/>
      <c r="SBJ416" s="80"/>
      <c r="SBK416" s="80"/>
      <c r="SBL416" s="80"/>
      <c r="SBM416" s="80"/>
      <c r="SBN416" s="80"/>
      <c r="SBO416" s="80"/>
      <c r="SBP416" s="80"/>
      <c r="SBQ416" s="80"/>
      <c r="SBR416" s="80"/>
      <c r="SBS416" s="80"/>
      <c r="SBT416" s="80"/>
      <c r="SBU416" s="80"/>
      <c r="SBV416" s="80"/>
      <c r="SBW416" s="80"/>
      <c r="SBX416" s="80"/>
      <c r="SBY416" s="80"/>
      <c r="SBZ416" s="80"/>
      <c r="SCA416" s="80"/>
      <c r="SCB416" s="80"/>
      <c r="SCC416" s="80"/>
      <c r="SCD416" s="80"/>
      <c r="SCE416" s="80"/>
      <c r="SCF416" s="80"/>
      <c r="SCG416" s="80"/>
      <c r="SCH416" s="80"/>
      <c r="SCI416" s="80"/>
      <c r="SCJ416" s="80"/>
      <c r="SCK416" s="80"/>
      <c r="SCL416" s="80"/>
      <c r="SCM416" s="80"/>
      <c r="SCN416" s="80"/>
      <c r="SCO416" s="80"/>
      <c r="SCP416" s="80"/>
      <c r="SCQ416" s="80"/>
      <c r="SCR416" s="80"/>
      <c r="SCS416" s="80"/>
      <c r="SCT416" s="80"/>
      <c r="SCU416" s="80"/>
      <c r="SCV416" s="80"/>
      <c r="SCW416" s="80"/>
      <c r="SCX416" s="80"/>
      <c r="SCY416" s="80"/>
      <c r="SCZ416" s="80"/>
      <c r="SDA416" s="80"/>
      <c r="SDB416" s="80"/>
      <c r="SDC416" s="80"/>
      <c r="SDD416" s="80"/>
      <c r="SDE416" s="80"/>
      <c r="SDF416" s="80"/>
      <c r="SDG416" s="80"/>
      <c r="SDH416" s="80"/>
      <c r="SDI416" s="80"/>
      <c r="SDJ416" s="80"/>
      <c r="SDK416" s="80"/>
      <c r="SDL416" s="80"/>
      <c r="SDM416" s="80"/>
      <c r="SDN416" s="80"/>
      <c r="SDO416" s="80"/>
      <c r="SDP416" s="80"/>
      <c r="SDQ416" s="80"/>
      <c r="SDR416" s="80"/>
      <c r="SDS416" s="80"/>
      <c r="SDT416" s="80"/>
      <c r="SDU416" s="80"/>
      <c r="SDV416" s="80"/>
      <c r="SDW416" s="80"/>
      <c r="SDX416" s="80"/>
      <c r="SDY416" s="80"/>
      <c r="SDZ416" s="80"/>
      <c r="SEA416" s="80"/>
      <c r="SEB416" s="80"/>
      <c r="SEC416" s="80"/>
      <c r="SED416" s="80"/>
      <c r="SEE416" s="80"/>
      <c r="SEF416" s="80"/>
      <c r="SEG416" s="80"/>
      <c r="SEH416" s="80"/>
      <c r="SEI416" s="80"/>
      <c r="SEJ416" s="80"/>
      <c r="SEK416" s="80"/>
      <c r="SEL416" s="80"/>
      <c r="SEM416" s="80"/>
      <c r="SEN416" s="80"/>
      <c r="SEO416" s="80"/>
      <c r="SEP416" s="80"/>
      <c r="SEQ416" s="80"/>
      <c r="SER416" s="80"/>
      <c r="SES416" s="80"/>
      <c r="SET416" s="80"/>
      <c r="SEU416" s="80"/>
      <c r="SEV416" s="80"/>
      <c r="SEW416" s="80"/>
      <c r="SEX416" s="80"/>
      <c r="SEY416" s="80"/>
      <c r="SEZ416" s="80"/>
      <c r="SFA416" s="80"/>
      <c r="SFB416" s="80"/>
      <c r="SFC416" s="80"/>
      <c r="SFD416" s="80"/>
      <c r="SFE416" s="80"/>
      <c r="SFF416" s="80"/>
      <c r="SFG416" s="80"/>
      <c r="SFH416" s="80"/>
      <c r="SFI416" s="80"/>
      <c r="SFJ416" s="80"/>
      <c r="SFK416" s="80"/>
      <c r="SFL416" s="80"/>
      <c r="SFM416" s="80"/>
      <c r="SFN416" s="80"/>
      <c r="SFO416" s="80"/>
      <c r="SFP416" s="80"/>
      <c r="SFQ416" s="80"/>
      <c r="SFR416" s="80"/>
      <c r="SFS416" s="80"/>
      <c r="SFT416" s="80"/>
      <c r="SFU416" s="80"/>
      <c r="SFV416" s="80"/>
      <c r="SFW416" s="80"/>
      <c r="SFX416" s="80"/>
      <c r="SFY416" s="80"/>
      <c r="SFZ416" s="80"/>
      <c r="SGA416" s="80"/>
      <c r="SGB416" s="80"/>
      <c r="SGC416" s="80"/>
      <c r="SGD416" s="80"/>
      <c r="SGE416" s="80"/>
      <c r="SGF416" s="80"/>
      <c r="SGG416" s="80"/>
      <c r="SGH416" s="80"/>
      <c r="SGI416" s="80"/>
      <c r="SGJ416" s="80"/>
      <c r="SGK416" s="80"/>
      <c r="SGL416" s="80"/>
      <c r="SGM416" s="80"/>
      <c r="SGN416" s="80"/>
      <c r="SGO416" s="80"/>
      <c r="SGP416" s="80"/>
      <c r="SGQ416" s="80"/>
      <c r="SGR416" s="80"/>
      <c r="SGS416" s="80"/>
      <c r="SGT416" s="80"/>
      <c r="SGU416" s="80"/>
      <c r="SGV416" s="80"/>
      <c r="SGW416" s="80"/>
      <c r="SGX416" s="80"/>
      <c r="SGY416" s="80"/>
      <c r="SGZ416" s="80"/>
      <c r="SHA416" s="80"/>
      <c r="SHB416" s="80"/>
      <c r="SHC416" s="80"/>
      <c r="SHD416" s="80"/>
      <c r="SHE416" s="80"/>
      <c r="SHF416" s="80"/>
      <c r="SHG416" s="80"/>
      <c r="SHH416" s="80"/>
      <c r="SHI416" s="80"/>
      <c r="SHJ416" s="80"/>
      <c r="SHK416" s="80"/>
      <c r="SHL416" s="80"/>
      <c r="SHM416" s="80"/>
      <c r="SHN416" s="80"/>
      <c r="SHO416" s="80"/>
      <c r="SHP416" s="80"/>
      <c r="SHQ416" s="80"/>
      <c r="SHR416" s="80"/>
      <c r="SHS416" s="80"/>
      <c r="SHT416" s="80"/>
      <c r="SHU416" s="80"/>
      <c r="SHV416" s="80"/>
      <c r="SHW416" s="80"/>
      <c r="SHX416" s="80"/>
      <c r="SHY416" s="80"/>
      <c r="SHZ416" s="80"/>
      <c r="SIA416" s="80"/>
      <c r="SIB416" s="80"/>
      <c r="SIC416" s="80"/>
      <c r="SID416" s="80"/>
      <c r="SIE416" s="80"/>
      <c r="SIF416" s="80"/>
      <c r="SIG416" s="80"/>
      <c r="SIH416" s="80"/>
      <c r="SII416" s="80"/>
      <c r="SIJ416" s="80"/>
      <c r="SIK416" s="80"/>
      <c r="SIL416" s="80"/>
      <c r="SIM416" s="80"/>
      <c r="SIN416" s="80"/>
      <c r="SIO416" s="80"/>
      <c r="SIP416" s="80"/>
      <c r="SIQ416" s="80"/>
      <c r="SIR416" s="80"/>
      <c r="SIS416" s="80"/>
      <c r="SIT416" s="80"/>
      <c r="SIU416" s="80"/>
      <c r="SIV416" s="80"/>
      <c r="SIW416" s="80"/>
      <c r="SIX416" s="80"/>
      <c r="SIY416" s="80"/>
      <c r="SIZ416" s="80"/>
      <c r="SJA416" s="80"/>
      <c r="SJB416" s="80"/>
      <c r="SJC416" s="80"/>
      <c r="SJD416" s="80"/>
      <c r="SJE416" s="80"/>
      <c r="SJF416" s="80"/>
      <c r="SJG416" s="80"/>
      <c r="SJH416" s="80"/>
      <c r="SJI416" s="80"/>
      <c r="SJJ416" s="80"/>
      <c r="SJK416" s="80"/>
      <c r="SJL416" s="80"/>
      <c r="SJM416" s="80"/>
      <c r="SJN416" s="80"/>
      <c r="SJO416" s="80"/>
      <c r="SJP416" s="80"/>
      <c r="SJQ416" s="80"/>
      <c r="SJR416" s="80"/>
      <c r="SJS416" s="80"/>
      <c r="SJT416" s="80"/>
      <c r="SJU416" s="80"/>
      <c r="SJV416" s="80"/>
      <c r="SJW416" s="80"/>
      <c r="SJX416" s="80"/>
      <c r="SJY416" s="80"/>
      <c r="SJZ416" s="80"/>
      <c r="SKA416" s="80"/>
      <c r="SKB416" s="80"/>
      <c r="SKC416" s="80"/>
      <c r="SKD416" s="80"/>
      <c r="SKE416" s="80"/>
      <c r="SKF416" s="80"/>
      <c r="SKG416" s="80"/>
      <c r="SKH416" s="80"/>
      <c r="SKI416" s="80"/>
      <c r="SKJ416" s="80"/>
      <c r="SKK416" s="80"/>
      <c r="SKL416" s="80"/>
      <c r="SKM416" s="80"/>
      <c r="SKN416" s="80"/>
      <c r="SKO416" s="80"/>
      <c r="SKP416" s="80"/>
      <c r="SKQ416" s="80"/>
      <c r="SKR416" s="80"/>
      <c r="SKS416" s="80"/>
      <c r="SKT416" s="80"/>
      <c r="SKU416" s="80"/>
      <c r="SKV416" s="80"/>
      <c r="SKW416" s="80"/>
      <c r="SKX416" s="80"/>
      <c r="SKY416" s="80"/>
      <c r="SKZ416" s="80"/>
      <c r="SLA416" s="80"/>
      <c r="SLB416" s="80"/>
      <c r="SLC416" s="80"/>
      <c r="SLD416" s="80"/>
      <c r="SLE416" s="80"/>
      <c r="SLF416" s="80"/>
      <c r="SLG416" s="80"/>
      <c r="SLH416" s="80"/>
      <c r="SLI416" s="80"/>
      <c r="SLJ416" s="80"/>
      <c r="SLK416" s="80"/>
      <c r="SLL416" s="80"/>
      <c r="SLM416" s="80"/>
      <c r="SLN416" s="80"/>
      <c r="SLO416" s="80"/>
      <c r="SLP416" s="80"/>
      <c r="SLQ416" s="80"/>
      <c r="SLR416" s="80"/>
      <c r="SLS416" s="80"/>
      <c r="SLT416" s="80"/>
      <c r="SLU416" s="80"/>
      <c r="SLV416" s="80"/>
      <c r="SLW416" s="80"/>
      <c r="SLX416" s="80"/>
      <c r="SLY416" s="80"/>
      <c r="SLZ416" s="80"/>
      <c r="SMA416" s="80"/>
      <c r="SMB416" s="80"/>
      <c r="SMC416" s="80"/>
      <c r="SMD416" s="80"/>
      <c r="SME416" s="80"/>
      <c r="SMF416" s="80"/>
      <c r="SMG416" s="80"/>
      <c r="SMH416" s="80"/>
      <c r="SMI416" s="80"/>
      <c r="SMJ416" s="80"/>
      <c r="SMK416" s="80"/>
      <c r="SML416" s="80"/>
      <c r="SMM416" s="80"/>
      <c r="SMN416" s="80"/>
      <c r="SMO416" s="80"/>
      <c r="SMP416" s="80"/>
      <c r="SMQ416" s="80"/>
      <c r="SMR416" s="80"/>
      <c r="SMS416" s="80"/>
      <c r="SMT416" s="80"/>
      <c r="SMU416" s="80"/>
      <c r="SMV416" s="80"/>
      <c r="SMW416" s="80"/>
      <c r="SMX416" s="80"/>
      <c r="SMY416" s="80"/>
      <c r="SMZ416" s="80"/>
      <c r="SNA416" s="80"/>
      <c r="SNB416" s="80"/>
      <c r="SNC416" s="80"/>
      <c r="SND416" s="80"/>
      <c r="SNE416" s="80"/>
      <c r="SNF416" s="80"/>
      <c r="SNG416" s="80"/>
      <c r="SNH416" s="80"/>
      <c r="SNI416" s="80"/>
      <c r="SNJ416" s="80"/>
      <c r="SNK416" s="80"/>
      <c r="SNL416" s="80"/>
      <c r="SNM416" s="80"/>
      <c r="SNN416" s="80"/>
      <c r="SNO416" s="80"/>
      <c r="SNP416" s="80"/>
      <c r="SNQ416" s="80"/>
      <c r="SNR416" s="80"/>
      <c r="SNS416" s="80"/>
      <c r="SNT416" s="80"/>
      <c r="SNU416" s="80"/>
      <c r="SNV416" s="80"/>
      <c r="SNW416" s="80"/>
      <c r="SNX416" s="80"/>
      <c r="SNY416" s="80"/>
      <c r="SNZ416" s="80"/>
      <c r="SOA416" s="80"/>
      <c r="SOB416" s="80"/>
      <c r="SOC416" s="80"/>
      <c r="SOD416" s="80"/>
      <c r="SOE416" s="80"/>
      <c r="SOF416" s="80"/>
      <c r="SOG416" s="80"/>
      <c r="SOH416" s="80"/>
      <c r="SOI416" s="80"/>
      <c r="SOJ416" s="80"/>
      <c r="SOK416" s="80"/>
      <c r="SOL416" s="80"/>
      <c r="SOM416" s="80"/>
      <c r="SON416" s="80"/>
      <c r="SOO416" s="80"/>
      <c r="SOP416" s="80"/>
      <c r="SOQ416" s="80"/>
      <c r="SOR416" s="80"/>
      <c r="SOS416" s="80"/>
      <c r="SOT416" s="80"/>
      <c r="SOU416" s="80"/>
      <c r="SOV416" s="80"/>
      <c r="SOW416" s="80"/>
      <c r="SOX416" s="80"/>
      <c r="SOY416" s="80"/>
      <c r="SOZ416" s="80"/>
      <c r="SPA416" s="80"/>
      <c r="SPB416" s="80"/>
      <c r="SPC416" s="80"/>
      <c r="SPD416" s="80"/>
      <c r="SPE416" s="80"/>
      <c r="SPF416" s="80"/>
      <c r="SPG416" s="80"/>
      <c r="SPH416" s="80"/>
      <c r="SPI416" s="80"/>
      <c r="SPJ416" s="80"/>
      <c r="SPK416" s="80"/>
      <c r="SPL416" s="80"/>
      <c r="SPM416" s="80"/>
      <c r="SPN416" s="80"/>
      <c r="SPO416" s="80"/>
      <c r="SPP416" s="80"/>
      <c r="SPQ416" s="80"/>
      <c r="SPR416" s="80"/>
      <c r="SPS416" s="80"/>
      <c r="SPT416" s="80"/>
      <c r="SPU416" s="80"/>
      <c r="SPV416" s="80"/>
      <c r="SPW416" s="80"/>
      <c r="SPX416" s="80"/>
      <c r="SPY416" s="80"/>
      <c r="SPZ416" s="80"/>
      <c r="SQA416" s="80"/>
      <c r="SQB416" s="80"/>
      <c r="SQC416" s="80"/>
      <c r="SQD416" s="80"/>
      <c r="SQE416" s="80"/>
      <c r="SQF416" s="80"/>
      <c r="SQG416" s="80"/>
      <c r="SQH416" s="80"/>
      <c r="SQI416" s="80"/>
      <c r="SQJ416" s="80"/>
      <c r="SQK416" s="80"/>
      <c r="SQL416" s="80"/>
      <c r="SQM416" s="80"/>
      <c r="SQN416" s="80"/>
      <c r="SQO416" s="80"/>
      <c r="SQP416" s="80"/>
      <c r="SQQ416" s="80"/>
      <c r="SQR416" s="80"/>
      <c r="SQS416" s="80"/>
      <c r="SQT416" s="80"/>
      <c r="SQU416" s="80"/>
      <c r="SQV416" s="80"/>
      <c r="SQW416" s="80"/>
      <c r="SQX416" s="80"/>
      <c r="SQY416" s="80"/>
      <c r="SQZ416" s="80"/>
      <c r="SRA416" s="80"/>
      <c r="SRB416" s="80"/>
      <c r="SRC416" s="80"/>
      <c r="SRD416" s="80"/>
      <c r="SRE416" s="80"/>
      <c r="SRF416" s="80"/>
      <c r="SRG416" s="80"/>
      <c r="SRH416" s="80"/>
      <c r="SRI416" s="80"/>
      <c r="SRJ416" s="80"/>
      <c r="SRK416" s="80"/>
      <c r="SRL416" s="80"/>
      <c r="SRM416" s="80"/>
      <c r="SRN416" s="80"/>
      <c r="SRO416" s="80"/>
      <c r="SRP416" s="80"/>
      <c r="SRQ416" s="80"/>
      <c r="SRR416" s="80"/>
      <c r="SRS416" s="80"/>
      <c r="SRT416" s="80"/>
      <c r="SRU416" s="80"/>
      <c r="SRV416" s="80"/>
      <c r="SRW416" s="80"/>
      <c r="SRX416" s="80"/>
      <c r="SRY416" s="80"/>
      <c r="SRZ416" s="80"/>
      <c r="SSA416" s="80"/>
      <c r="SSB416" s="80"/>
      <c r="SSC416" s="80"/>
      <c r="SSD416" s="80"/>
      <c r="SSE416" s="80"/>
      <c r="SSF416" s="80"/>
      <c r="SSG416" s="80"/>
      <c r="SSH416" s="80"/>
      <c r="SSI416" s="80"/>
      <c r="SSJ416" s="80"/>
      <c r="SSK416" s="80"/>
      <c r="SSL416" s="80"/>
      <c r="SSM416" s="80"/>
      <c r="SSN416" s="80"/>
      <c r="SSO416" s="80"/>
      <c r="SSP416" s="80"/>
      <c r="SSQ416" s="80"/>
      <c r="SSR416" s="80"/>
      <c r="SSS416" s="80"/>
      <c r="SST416" s="80"/>
      <c r="SSU416" s="80"/>
      <c r="SSV416" s="80"/>
      <c r="SSW416" s="80"/>
      <c r="SSX416" s="80"/>
      <c r="SSY416" s="80"/>
      <c r="SSZ416" s="80"/>
      <c r="STA416" s="80"/>
      <c r="STB416" s="80"/>
      <c r="STC416" s="80"/>
      <c r="STD416" s="80"/>
      <c r="STE416" s="80"/>
      <c r="STF416" s="80"/>
      <c r="STG416" s="80"/>
      <c r="STH416" s="80"/>
      <c r="STI416" s="80"/>
      <c r="STJ416" s="80"/>
      <c r="STK416" s="80"/>
      <c r="STL416" s="80"/>
      <c r="STM416" s="80"/>
      <c r="STN416" s="80"/>
      <c r="STO416" s="80"/>
      <c r="STP416" s="80"/>
      <c r="STQ416" s="80"/>
      <c r="STR416" s="80"/>
      <c r="STS416" s="80"/>
      <c r="STT416" s="80"/>
      <c r="STU416" s="80"/>
      <c r="STV416" s="80"/>
      <c r="STW416" s="80"/>
      <c r="STX416" s="80"/>
      <c r="STY416" s="80"/>
      <c r="STZ416" s="80"/>
      <c r="SUA416" s="80"/>
      <c r="SUB416" s="80"/>
      <c r="SUC416" s="80"/>
      <c r="SUD416" s="80"/>
      <c r="SUE416" s="80"/>
      <c r="SUF416" s="80"/>
      <c r="SUG416" s="80"/>
      <c r="SUH416" s="80"/>
      <c r="SUI416" s="80"/>
      <c r="SUJ416" s="80"/>
      <c r="SUK416" s="80"/>
      <c r="SUL416" s="80"/>
      <c r="SUM416" s="80"/>
      <c r="SUN416" s="80"/>
      <c r="SUO416" s="80"/>
      <c r="SUP416" s="80"/>
      <c r="SUQ416" s="80"/>
      <c r="SUR416" s="80"/>
      <c r="SUS416" s="80"/>
      <c r="SUT416" s="80"/>
      <c r="SUU416" s="80"/>
      <c r="SUV416" s="80"/>
      <c r="SUW416" s="80"/>
      <c r="SUX416" s="80"/>
      <c r="SUY416" s="80"/>
      <c r="SUZ416" s="80"/>
      <c r="SVA416" s="80"/>
      <c r="SVB416" s="80"/>
      <c r="SVC416" s="80"/>
      <c r="SVD416" s="80"/>
      <c r="SVE416" s="80"/>
      <c r="SVF416" s="80"/>
      <c r="SVG416" s="80"/>
      <c r="SVH416" s="80"/>
      <c r="SVI416" s="80"/>
      <c r="SVJ416" s="80"/>
      <c r="SVK416" s="80"/>
      <c r="SVL416" s="80"/>
      <c r="SVM416" s="80"/>
      <c r="SVN416" s="80"/>
      <c r="SVO416" s="80"/>
      <c r="SVP416" s="80"/>
      <c r="SVQ416" s="80"/>
      <c r="SVR416" s="80"/>
      <c r="SVS416" s="80"/>
      <c r="SVT416" s="80"/>
      <c r="SVU416" s="80"/>
      <c r="SVV416" s="80"/>
      <c r="SVW416" s="80"/>
      <c r="SVX416" s="80"/>
      <c r="SVY416" s="80"/>
      <c r="SVZ416" s="80"/>
      <c r="SWA416" s="80"/>
      <c r="SWB416" s="80"/>
      <c r="SWC416" s="80"/>
      <c r="SWD416" s="80"/>
      <c r="SWE416" s="80"/>
      <c r="SWF416" s="80"/>
      <c r="SWG416" s="80"/>
      <c r="SWH416" s="80"/>
      <c r="SWI416" s="80"/>
      <c r="SWJ416" s="80"/>
      <c r="SWK416" s="80"/>
      <c r="SWL416" s="80"/>
      <c r="SWM416" s="80"/>
      <c r="SWN416" s="80"/>
      <c r="SWO416" s="80"/>
      <c r="SWP416" s="80"/>
      <c r="SWQ416" s="80"/>
      <c r="SWR416" s="80"/>
      <c r="SWS416" s="80"/>
      <c r="SWT416" s="80"/>
      <c r="SWU416" s="80"/>
      <c r="SWV416" s="80"/>
      <c r="SWW416" s="80"/>
      <c r="SWX416" s="80"/>
      <c r="SWY416" s="80"/>
      <c r="SWZ416" s="80"/>
      <c r="SXA416" s="80"/>
      <c r="SXB416" s="80"/>
      <c r="SXC416" s="80"/>
      <c r="SXD416" s="80"/>
      <c r="SXE416" s="80"/>
      <c r="SXF416" s="80"/>
      <c r="SXG416" s="80"/>
      <c r="SXH416" s="80"/>
      <c r="SXI416" s="80"/>
      <c r="SXJ416" s="80"/>
      <c r="SXK416" s="80"/>
      <c r="SXL416" s="80"/>
      <c r="SXM416" s="80"/>
      <c r="SXN416" s="80"/>
      <c r="SXO416" s="80"/>
      <c r="SXP416" s="80"/>
      <c r="SXQ416" s="80"/>
      <c r="SXR416" s="80"/>
      <c r="SXS416" s="80"/>
      <c r="SXT416" s="80"/>
      <c r="SXU416" s="80"/>
      <c r="SXV416" s="80"/>
      <c r="SXW416" s="80"/>
      <c r="SXX416" s="80"/>
      <c r="SXY416" s="80"/>
      <c r="SXZ416" s="80"/>
      <c r="SYA416" s="80"/>
      <c r="SYB416" s="80"/>
      <c r="SYC416" s="80"/>
      <c r="SYD416" s="80"/>
      <c r="SYE416" s="80"/>
      <c r="SYF416" s="80"/>
      <c r="SYG416" s="80"/>
      <c r="SYH416" s="80"/>
      <c r="SYI416" s="80"/>
      <c r="SYJ416" s="80"/>
      <c r="SYK416" s="80"/>
      <c r="SYL416" s="80"/>
      <c r="SYM416" s="80"/>
      <c r="SYN416" s="80"/>
      <c r="SYO416" s="80"/>
      <c r="SYP416" s="80"/>
      <c r="SYQ416" s="80"/>
      <c r="SYR416" s="80"/>
      <c r="SYS416" s="80"/>
      <c r="SYT416" s="80"/>
      <c r="SYU416" s="80"/>
      <c r="SYV416" s="80"/>
      <c r="SYW416" s="80"/>
      <c r="SYX416" s="80"/>
      <c r="SYY416" s="80"/>
      <c r="SYZ416" s="80"/>
      <c r="SZA416" s="80"/>
      <c r="SZB416" s="80"/>
      <c r="SZC416" s="80"/>
      <c r="SZD416" s="80"/>
      <c r="SZE416" s="80"/>
      <c r="SZF416" s="80"/>
      <c r="SZG416" s="80"/>
      <c r="SZH416" s="80"/>
      <c r="SZI416" s="80"/>
      <c r="SZJ416" s="80"/>
      <c r="SZK416" s="80"/>
      <c r="SZL416" s="80"/>
      <c r="SZM416" s="80"/>
      <c r="SZN416" s="80"/>
      <c r="SZO416" s="80"/>
      <c r="SZP416" s="80"/>
      <c r="SZQ416" s="80"/>
      <c r="SZR416" s="80"/>
      <c r="SZS416" s="80"/>
      <c r="SZT416" s="80"/>
      <c r="SZU416" s="80"/>
      <c r="SZV416" s="80"/>
      <c r="SZW416" s="80"/>
      <c r="SZX416" s="80"/>
      <c r="SZY416" s="80"/>
      <c r="SZZ416" s="80"/>
      <c r="TAA416" s="80"/>
      <c r="TAB416" s="80"/>
      <c r="TAC416" s="80"/>
      <c r="TAD416" s="80"/>
      <c r="TAE416" s="80"/>
      <c r="TAF416" s="80"/>
      <c r="TAG416" s="80"/>
      <c r="TAH416" s="80"/>
      <c r="TAI416" s="80"/>
      <c r="TAJ416" s="80"/>
      <c r="TAK416" s="80"/>
      <c r="TAL416" s="80"/>
      <c r="TAM416" s="80"/>
      <c r="TAN416" s="80"/>
      <c r="TAO416" s="80"/>
      <c r="TAP416" s="80"/>
      <c r="TAQ416" s="80"/>
      <c r="TAR416" s="80"/>
      <c r="TAS416" s="80"/>
      <c r="TAT416" s="80"/>
      <c r="TAU416" s="80"/>
      <c r="TAV416" s="80"/>
      <c r="TAW416" s="80"/>
      <c r="TAX416" s="80"/>
      <c r="TAY416" s="80"/>
      <c r="TAZ416" s="80"/>
      <c r="TBA416" s="80"/>
      <c r="TBB416" s="80"/>
      <c r="TBC416" s="80"/>
      <c r="TBD416" s="80"/>
      <c r="TBE416" s="80"/>
      <c r="TBF416" s="80"/>
      <c r="TBG416" s="80"/>
      <c r="TBH416" s="80"/>
      <c r="TBI416" s="80"/>
      <c r="TBJ416" s="80"/>
      <c r="TBK416" s="80"/>
      <c r="TBL416" s="80"/>
      <c r="TBM416" s="80"/>
      <c r="TBN416" s="80"/>
      <c r="TBO416" s="80"/>
      <c r="TBP416" s="80"/>
      <c r="TBQ416" s="80"/>
      <c r="TBR416" s="80"/>
      <c r="TBS416" s="80"/>
      <c r="TBT416" s="80"/>
      <c r="TBU416" s="80"/>
      <c r="TBV416" s="80"/>
      <c r="TBW416" s="80"/>
      <c r="TBX416" s="80"/>
      <c r="TBY416" s="80"/>
      <c r="TBZ416" s="80"/>
      <c r="TCA416" s="80"/>
      <c r="TCB416" s="80"/>
      <c r="TCC416" s="80"/>
      <c r="TCD416" s="80"/>
      <c r="TCE416" s="80"/>
      <c r="TCF416" s="80"/>
      <c r="TCG416" s="80"/>
      <c r="TCH416" s="80"/>
      <c r="TCI416" s="80"/>
      <c r="TCJ416" s="80"/>
      <c r="TCK416" s="80"/>
      <c r="TCL416" s="80"/>
      <c r="TCM416" s="80"/>
      <c r="TCN416" s="80"/>
      <c r="TCO416" s="80"/>
      <c r="TCP416" s="80"/>
      <c r="TCQ416" s="80"/>
      <c r="TCR416" s="80"/>
      <c r="TCS416" s="80"/>
      <c r="TCT416" s="80"/>
      <c r="TCU416" s="80"/>
      <c r="TCV416" s="80"/>
      <c r="TCW416" s="80"/>
      <c r="TCX416" s="80"/>
      <c r="TCY416" s="80"/>
      <c r="TCZ416" s="80"/>
      <c r="TDA416" s="80"/>
      <c r="TDB416" s="80"/>
      <c r="TDC416" s="80"/>
      <c r="TDD416" s="80"/>
      <c r="TDE416" s="80"/>
      <c r="TDF416" s="80"/>
      <c r="TDG416" s="80"/>
      <c r="TDH416" s="80"/>
      <c r="TDI416" s="80"/>
      <c r="TDJ416" s="80"/>
      <c r="TDK416" s="80"/>
      <c r="TDL416" s="80"/>
      <c r="TDM416" s="80"/>
      <c r="TDN416" s="80"/>
      <c r="TDO416" s="80"/>
      <c r="TDP416" s="80"/>
      <c r="TDQ416" s="80"/>
      <c r="TDR416" s="80"/>
      <c r="TDS416" s="80"/>
      <c r="TDT416" s="80"/>
      <c r="TDU416" s="80"/>
      <c r="TDV416" s="80"/>
      <c r="TDW416" s="80"/>
      <c r="TDX416" s="80"/>
      <c r="TDY416" s="80"/>
      <c r="TDZ416" s="80"/>
      <c r="TEA416" s="80"/>
      <c r="TEB416" s="80"/>
      <c r="TEC416" s="80"/>
      <c r="TED416" s="80"/>
      <c r="TEE416" s="80"/>
      <c r="TEF416" s="80"/>
      <c r="TEG416" s="80"/>
      <c r="TEH416" s="80"/>
      <c r="TEI416" s="80"/>
      <c r="TEJ416" s="80"/>
      <c r="TEK416" s="80"/>
      <c r="TEL416" s="80"/>
      <c r="TEM416" s="80"/>
      <c r="TEN416" s="80"/>
      <c r="TEO416" s="80"/>
      <c r="TEP416" s="80"/>
      <c r="TEQ416" s="80"/>
      <c r="TER416" s="80"/>
      <c r="TES416" s="80"/>
      <c r="TET416" s="80"/>
      <c r="TEU416" s="80"/>
      <c r="TEV416" s="80"/>
      <c r="TEW416" s="80"/>
      <c r="TEX416" s="80"/>
      <c r="TEY416" s="80"/>
      <c r="TEZ416" s="80"/>
      <c r="TFA416" s="80"/>
      <c r="TFB416" s="80"/>
      <c r="TFC416" s="80"/>
      <c r="TFD416" s="80"/>
      <c r="TFE416" s="80"/>
      <c r="TFF416" s="80"/>
      <c r="TFG416" s="80"/>
      <c r="TFH416" s="80"/>
      <c r="TFI416" s="80"/>
      <c r="TFJ416" s="80"/>
      <c r="TFK416" s="80"/>
      <c r="TFL416" s="80"/>
      <c r="TFM416" s="80"/>
      <c r="TFN416" s="80"/>
      <c r="TFO416" s="80"/>
      <c r="TFP416" s="80"/>
      <c r="TFQ416" s="80"/>
      <c r="TFR416" s="80"/>
      <c r="TFS416" s="80"/>
      <c r="TFT416" s="80"/>
      <c r="TFU416" s="80"/>
      <c r="TFV416" s="80"/>
      <c r="TFW416" s="80"/>
      <c r="TFX416" s="80"/>
      <c r="TFY416" s="80"/>
      <c r="TFZ416" s="80"/>
      <c r="TGA416" s="80"/>
      <c r="TGB416" s="80"/>
      <c r="TGC416" s="80"/>
      <c r="TGD416" s="80"/>
      <c r="TGE416" s="80"/>
      <c r="TGF416" s="80"/>
      <c r="TGG416" s="80"/>
      <c r="TGH416" s="80"/>
      <c r="TGI416" s="80"/>
      <c r="TGJ416" s="80"/>
      <c r="TGK416" s="80"/>
      <c r="TGL416" s="80"/>
      <c r="TGM416" s="80"/>
      <c r="TGN416" s="80"/>
      <c r="TGO416" s="80"/>
      <c r="TGP416" s="80"/>
      <c r="TGQ416" s="80"/>
      <c r="TGR416" s="80"/>
      <c r="TGS416" s="80"/>
      <c r="TGT416" s="80"/>
      <c r="TGU416" s="80"/>
      <c r="TGV416" s="80"/>
      <c r="TGW416" s="80"/>
      <c r="TGX416" s="80"/>
      <c r="TGY416" s="80"/>
      <c r="TGZ416" s="80"/>
      <c r="THA416" s="80"/>
      <c r="THB416" s="80"/>
      <c r="THC416" s="80"/>
      <c r="THD416" s="80"/>
      <c r="THE416" s="80"/>
      <c r="THF416" s="80"/>
      <c r="THG416" s="80"/>
      <c r="THH416" s="80"/>
      <c r="THI416" s="80"/>
      <c r="THJ416" s="80"/>
      <c r="THK416" s="80"/>
      <c r="THL416" s="80"/>
      <c r="THM416" s="80"/>
      <c r="THN416" s="80"/>
      <c r="THO416" s="80"/>
      <c r="THP416" s="80"/>
      <c r="THQ416" s="80"/>
      <c r="THR416" s="80"/>
      <c r="THS416" s="80"/>
      <c r="THT416" s="80"/>
      <c r="THU416" s="80"/>
      <c r="THV416" s="80"/>
      <c r="THW416" s="80"/>
      <c r="THX416" s="80"/>
      <c r="THY416" s="80"/>
      <c r="THZ416" s="80"/>
      <c r="TIA416" s="80"/>
      <c r="TIB416" s="80"/>
      <c r="TIC416" s="80"/>
      <c r="TID416" s="80"/>
      <c r="TIE416" s="80"/>
      <c r="TIF416" s="80"/>
      <c r="TIG416" s="80"/>
      <c r="TIH416" s="80"/>
      <c r="TII416" s="80"/>
      <c r="TIJ416" s="80"/>
      <c r="TIK416" s="80"/>
      <c r="TIL416" s="80"/>
      <c r="TIM416" s="80"/>
      <c r="TIN416" s="80"/>
      <c r="TIO416" s="80"/>
      <c r="TIP416" s="80"/>
      <c r="TIQ416" s="80"/>
      <c r="TIR416" s="80"/>
      <c r="TIS416" s="80"/>
      <c r="TIT416" s="80"/>
      <c r="TIU416" s="80"/>
      <c r="TIV416" s="80"/>
      <c r="TIW416" s="80"/>
      <c r="TIX416" s="80"/>
      <c r="TIY416" s="80"/>
      <c r="TIZ416" s="80"/>
      <c r="TJA416" s="80"/>
      <c r="TJB416" s="80"/>
      <c r="TJC416" s="80"/>
      <c r="TJD416" s="80"/>
      <c r="TJE416" s="80"/>
      <c r="TJF416" s="80"/>
      <c r="TJG416" s="80"/>
      <c r="TJH416" s="80"/>
      <c r="TJI416" s="80"/>
      <c r="TJJ416" s="80"/>
      <c r="TJK416" s="80"/>
      <c r="TJL416" s="80"/>
      <c r="TJM416" s="80"/>
      <c r="TJN416" s="80"/>
      <c r="TJO416" s="80"/>
      <c r="TJP416" s="80"/>
      <c r="TJQ416" s="80"/>
      <c r="TJR416" s="80"/>
      <c r="TJS416" s="80"/>
      <c r="TJT416" s="80"/>
      <c r="TJU416" s="80"/>
      <c r="TJV416" s="80"/>
      <c r="TJW416" s="80"/>
      <c r="TJX416" s="80"/>
      <c r="TJY416" s="80"/>
      <c r="TJZ416" s="80"/>
      <c r="TKA416" s="80"/>
      <c r="TKB416" s="80"/>
      <c r="TKC416" s="80"/>
      <c r="TKD416" s="80"/>
      <c r="TKE416" s="80"/>
      <c r="TKF416" s="80"/>
      <c r="TKG416" s="80"/>
      <c r="TKH416" s="80"/>
      <c r="TKI416" s="80"/>
      <c r="TKJ416" s="80"/>
      <c r="TKK416" s="80"/>
      <c r="TKL416" s="80"/>
      <c r="TKM416" s="80"/>
      <c r="TKN416" s="80"/>
      <c r="TKO416" s="80"/>
      <c r="TKP416" s="80"/>
      <c r="TKQ416" s="80"/>
      <c r="TKR416" s="80"/>
      <c r="TKS416" s="80"/>
      <c r="TKT416" s="80"/>
      <c r="TKU416" s="80"/>
      <c r="TKV416" s="80"/>
      <c r="TKW416" s="80"/>
      <c r="TKX416" s="80"/>
      <c r="TKY416" s="80"/>
      <c r="TKZ416" s="80"/>
      <c r="TLA416" s="80"/>
      <c r="TLB416" s="80"/>
      <c r="TLC416" s="80"/>
      <c r="TLD416" s="80"/>
      <c r="TLE416" s="80"/>
      <c r="TLF416" s="80"/>
      <c r="TLG416" s="80"/>
      <c r="TLH416" s="80"/>
      <c r="TLI416" s="80"/>
      <c r="TLJ416" s="80"/>
      <c r="TLK416" s="80"/>
      <c r="TLL416" s="80"/>
      <c r="TLM416" s="80"/>
      <c r="TLN416" s="80"/>
      <c r="TLO416" s="80"/>
      <c r="TLP416" s="80"/>
      <c r="TLQ416" s="80"/>
      <c r="TLR416" s="80"/>
      <c r="TLS416" s="80"/>
      <c r="TLT416" s="80"/>
      <c r="TLU416" s="80"/>
      <c r="TLV416" s="80"/>
      <c r="TLW416" s="80"/>
      <c r="TLX416" s="80"/>
      <c r="TLY416" s="80"/>
      <c r="TLZ416" s="80"/>
      <c r="TMA416" s="80"/>
      <c r="TMB416" s="80"/>
      <c r="TMC416" s="80"/>
      <c r="TMD416" s="80"/>
      <c r="TME416" s="80"/>
      <c r="TMF416" s="80"/>
      <c r="TMG416" s="80"/>
      <c r="TMH416" s="80"/>
      <c r="TMI416" s="80"/>
      <c r="TMJ416" s="80"/>
      <c r="TMK416" s="80"/>
      <c r="TML416" s="80"/>
      <c r="TMM416" s="80"/>
      <c r="TMN416" s="80"/>
      <c r="TMO416" s="80"/>
      <c r="TMP416" s="80"/>
      <c r="TMQ416" s="80"/>
      <c r="TMR416" s="80"/>
      <c r="TMS416" s="80"/>
      <c r="TMT416" s="80"/>
      <c r="TMU416" s="80"/>
      <c r="TMV416" s="80"/>
      <c r="TMW416" s="80"/>
      <c r="TMX416" s="80"/>
      <c r="TMY416" s="80"/>
      <c r="TMZ416" s="80"/>
      <c r="TNA416" s="80"/>
      <c r="TNB416" s="80"/>
      <c r="TNC416" s="80"/>
      <c r="TND416" s="80"/>
      <c r="TNE416" s="80"/>
      <c r="TNF416" s="80"/>
      <c r="TNG416" s="80"/>
      <c r="TNH416" s="80"/>
      <c r="TNI416" s="80"/>
      <c r="TNJ416" s="80"/>
      <c r="TNK416" s="80"/>
      <c r="TNL416" s="80"/>
      <c r="TNM416" s="80"/>
      <c r="TNN416" s="80"/>
      <c r="TNO416" s="80"/>
      <c r="TNP416" s="80"/>
      <c r="TNQ416" s="80"/>
      <c r="TNR416" s="80"/>
      <c r="TNS416" s="80"/>
      <c r="TNT416" s="80"/>
      <c r="TNU416" s="80"/>
      <c r="TNV416" s="80"/>
      <c r="TNW416" s="80"/>
      <c r="TNX416" s="80"/>
      <c r="TNY416" s="80"/>
      <c r="TNZ416" s="80"/>
      <c r="TOA416" s="80"/>
      <c r="TOB416" s="80"/>
      <c r="TOC416" s="80"/>
      <c r="TOD416" s="80"/>
      <c r="TOE416" s="80"/>
      <c r="TOF416" s="80"/>
      <c r="TOG416" s="80"/>
      <c r="TOH416" s="80"/>
      <c r="TOI416" s="80"/>
      <c r="TOJ416" s="80"/>
      <c r="TOK416" s="80"/>
      <c r="TOL416" s="80"/>
      <c r="TOM416" s="80"/>
      <c r="TON416" s="80"/>
      <c r="TOO416" s="80"/>
      <c r="TOP416" s="80"/>
      <c r="TOQ416" s="80"/>
      <c r="TOR416" s="80"/>
      <c r="TOS416" s="80"/>
      <c r="TOT416" s="80"/>
      <c r="TOU416" s="80"/>
      <c r="TOV416" s="80"/>
      <c r="TOW416" s="80"/>
      <c r="TOX416" s="80"/>
      <c r="TOY416" s="80"/>
      <c r="TOZ416" s="80"/>
      <c r="TPA416" s="80"/>
      <c r="TPB416" s="80"/>
      <c r="TPC416" s="80"/>
      <c r="TPD416" s="80"/>
      <c r="TPE416" s="80"/>
      <c r="TPF416" s="80"/>
      <c r="TPG416" s="80"/>
      <c r="TPH416" s="80"/>
      <c r="TPI416" s="80"/>
      <c r="TPJ416" s="80"/>
      <c r="TPK416" s="80"/>
      <c r="TPL416" s="80"/>
      <c r="TPM416" s="80"/>
      <c r="TPN416" s="80"/>
      <c r="TPO416" s="80"/>
      <c r="TPP416" s="80"/>
      <c r="TPQ416" s="80"/>
      <c r="TPR416" s="80"/>
      <c r="TPS416" s="80"/>
      <c r="TPT416" s="80"/>
      <c r="TPU416" s="80"/>
      <c r="TPV416" s="80"/>
      <c r="TPW416" s="80"/>
      <c r="TPX416" s="80"/>
      <c r="TPY416" s="80"/>
      <c r="TPZ416" s="80"/>
      <c r="TQA416" s="80"/>
      <c r="TQB416" s="80"/>
      <c r="TQC416" s="80"/>
      <c r="TQD416" s="80"/>
      <c r="TQE416" s="80"/>
      <c r="TQF416" s="80"/>
      <c r="TQG416" s="80"/>
      <c r="TQH416" s="80"/>
      <c r="TQI416" s="80"/>
      <c r="TQJ416" s="80"/>
      <c r="TQK416" s="80"/>
      <c r="TQL416" s="80"/>
      <c r="TQM416" s="80"/>
      <c r="TQN416" s="80"/>
      <c r="TQO416" s="80"/>
      <c r="TQP416" s="80"/>
      <c r="TQQ416" s="80"/>
      <c r="TQR416" s="80"/>
      <c r="TQS416" s="80"/>
      <c r="TQT416" s="80"/>
      <c r="TQU416" s="80"/>
      <c r="TQV416" s="80"/>
      <c r="TQW416" s="80"/>
      <c r="TQX416" s="80"/>
      <c r="TQY416" s="80"/>
      <c r="TQZ416" s="80"/>
      <c r="TRA416" s="80"/>
      <c r="TRB416" s="80"/>
      <c r="TRC416" s="80"/>
      <c r="TRD416" s="80"/>
      <c r="TRE416" s="80"/>
      <c r="TRF416" s="80"/>
      <c r="TRG416" s="80"/>
      <c r="TRH416" s="80"/>
      <c r="TRI416" s="80"/>
      <c r="TRJ416" s="80"/>
      <c r="TRK416" s="80"/>
      <c r="TRL416" s="80"/>
      <c r="TRM416" s="80"/>
      <c r="TRN416" s="80"/>
      <c r="TRO416" s="80"/>
      <c r="TRP416" s="80"/>
      <c r="TRQ416" s="80"/>
      <c r="TRR416" s="80"/>
      <c r="TRS416" s="80"/>
      <c r="TRT416" s="80"/>
      <c r="TRU416" s="80"/>
      <c r="TRV416" s="80"/>
      <c r="TRW416" s="80"/>
      <c r="TRX416" s="80"/>
      <c r="TRY416" s="80"/>
      <c r="TRZ416" s="80"/>
      <c r="TSA416" s="80"/>
      <c r="TSB416" s="80"/>
      <c r="TSC416" s="80"/>
      <c r="TSD416" s="80"/>
      <c r="TSE416" s="80"/>
      <c r="TSF416" s="80"/>
      <c r="TSG416" s="80"/>
      <c r="TSH416" s="80"/>
      <c r="TSI416" s="80"/>
      <c r="TSJ416" s="80"/>
      <c r="TSK416" s="80"/>
      <c r="TSL416" s="80"/>
      <c r="TSM416" s="80"/>
      <c r="TSN416" s="80"/>
      <c r="TSO416" s="80"/>
      <c r="TSP416" s="80"/>
      <c r="TSQ416" s="80"/>
      <c r="TSR416" s="80"/>
      <c r="TSS416" s="80"/>
      <c r="TST416" s="80"/>
      <c r="TSU416" s="80"/>
      <c r="TSV416" s="80"/>
      <c r="TSW416" s="80"/>
      <c r="TSX416" s="80"/>
      <c r="TSY416" s="80"/>
      <c r="TSZ416" s="80"/>
      <c r="TTA416" s="80"/>
      <c r="TTB416" s="80"/>
      <c r="TTC416" s="80"/>
      <c r="TTD416" s="80"/>
      <c r="TTE416" s="80"/>
      <c r="TTF416" s="80"/>
      <c r="TTG416" s="80"/>
      <c r="TTH416" s="80"/>
      <c r="TTI416" s="80"/>
      <c r="TTJ416" s="80"/>
      <c r="TTK416" s="80"/>
      <c r="TTL416" s="80"/>
      <c r="TTM416" s="80"/>
      <c r="TTN416" s="80"/>
      <c r="TTO416" s="80"/>
      <c r="TTP416" s="80"/>
      <c r="TTQ416" s="80"/>
      <c r="TTR416" s="80"/>
      <c r="TTS416" s="80"/>
      <c r="TTT416" s="80"/>
      <c r="TTU416" s="80"/>
      <c r="TTV416" s="80"/>
      <c r="TTW416" s="80"/>
      <c r="TTX416" s="80"/>
      <c r="TTY416" s="80"/>
      <c r="TTZ416" s="80"/>
      <c r="TUA416" s="80"/>
      <c r="TUB416" s="80"/>
      <c r="TUC416" s="80"/>
      <c r="TUD416" s="80"/>
      <c r="TUE416" s="80"/>
      <c r="TUF416" s="80"/>
      <c r="TUG416" s="80"/>
      <c r="TUH416" s="80"/>
      <c r="TUI416" s="80"/>
      <c r="TUJ416" s="80"/>
      <c r="TUK416" s="80"/>
      <c r="TUL416" s="80"/>
      <c r="TUM416" s="80"/>
      <c r="TUN416" s="80"/>
      <c r="TUO416" s="80"/>
      <c r="TUP416" s="80"/>
      <c r="TUQ416" s="80"/>
      <c r="TUR416" s="80"/>
      <c r="TUS416" s="80"/>
      <c r="TUT416" s="80"/>
      <c r="TUU416" s="80"/>
      <c r="TUV416" s="80"/>
      <c r="TUW416" s="80"/>
      <c r="TUX416" s="80"/>
      <c r="TUY416" s="80"/>
      <c r="TUZ416" s="80"/>
      <c r="TVA416" s="80"/>
      <c r="TVB416" s="80"/>
      <c r="TVC416" s="80"/>
      <c r="TVD416" s="80"/>
      <c r="TVE416" s="80"/>
      <c r="TVF416" s="80"/>
      <c r="TVG416" s="80"/>
      <c r="TVH416" s="80"/>
      <c r="TVI416" s="80"/>
      <c r="TVJ416" s="80"/>
      <c r="TVK416" s="80"/>
      <c r="TVL416" s="80"/>
      <c r="TVM416" s="80"/>
      <c r="TVN416" s="80"/>
      <c r="TVO416" s="80"/>
      <c r="TVP416" s="80"/>
      <c r="TVQ416" s="80"/>
      <c r="TVR416" s="80"/>
      <c r="TVS416" s="80"/>
      <c r="TVT416" s="80"/>
      <c r="TVU416" s="80"/>
      <c r="TVV416" s="80"/>
      <c r="TVW416" s="80"/>
      <c r="TVX416" s="80"/>
      <c r="TVY416" s="80"/>
      <c r="TVZ416" s="80"/>
      <c r="TWA416" s="80"/>
      <c r="TWB416" s="80"/>
      <c r="TWC416" s="80"/>
      <c r="TWD416" s="80"/>
      <c r="TWE416" s="80"/>
      <c r="TWF416" s="80"/>
      <c r="TWG416" s="80"/>
      <c r="TWH416" s="80"/>
      <c r="TWI416" s="80"/>
      <c r="TWJ416" s="80"/>
      <c r="TWK416" s="80"/>
      <c r="TWL416" s="80"/>
      <c r="TWM416" s="80"/>
      <c r="TWN416" s="80"/>
      <c r="TWO416" s="80"/>
      <c r="TWP416" s="80"/>
      <c r="TWQ416" s="80"/>
      <c r="TWR416" s="80"/>
      <c r="TWS416" s="80"/>
      <c r="TWT416" s="80"/>
      <c r="TWU416" s="80"/>
      <c r="TWV416" s="80"/>
      <c r="TWW416" s="80"/>
      <c r="TWX416" s="80"/>
      <c r="TWY416" s="80"/>
      <c r="TWZ416" s="80"/>
      <c r="TXA416" s="80"/>
      <c r="TXB416" s="80"/>
      <c r="TXC416" s="80"/>
      <c r="TXD416" s="80"/>
      <c r="TXE416" s="80"/>
      <c r="TXF416" s="80"/>
      <c r="TXG416" s="80"/>
      <c r="TXH416" s="80"/>
      <c r="TXI416" s="80"/>
      <c r="TXJ416" s="80"/>
      <c r="TXK416" s="80"/>
      <c r="TXL416" s="80"/>
      <c r="TXM416" s="80"/>
      <c r="TXN416" s="80"/>
      <c r="TXO416" s="80"/>
      <c r="TXP416" s="80"/>
      <c r="TXQ416" s="80"/>
      <c r="TXR416" s="80"/>
      <c r="TXS416" s="80"/>
      <c r="TXT416" s="80"/>
      <c r="TXU416" s="80"/>
      <c r="TXV416" s="80"/>
      <c r="TXW416" s="80"/>
      <c r="TXX416" s="80"/>
      <c r="TXY416" s="80"/>
      <c r="TXZ416" s="80"/>
      <c r="TYA416" s="80"/>
      <c r="TYB416" s="80"/>
      <c r="TYC416" s="80"/>
      <c r="TYD416" s="80"/>
      <c r="TYE416" s="80"/>
      <c r="TYF416" s="80"/>
      <c r="TYG416" s="80"/>
      <c r="TYH416" s="80"/>
      <c r="TYI416" s="80"/>
      <c r="TYJ416" s="80"/>
      <c r="TYK416" s="80"/>
      <c r="TYL416" s="80"/>
      <c r="TYM416" s="80"/>
      <c r="TYN416" s="80"/>
      <c r="TYO416" s="80"/>
      <c r="TYP416" s="80"/>
      <c r="TYQ416" s="80"/>
      <c r="TYR416" s="80"/>
      <c r="TYS416" s="80"/>
      <c r="TYT416" s="80"/>
      <c r="TYU416" s="80"/>
      <c r="TYV416" s="80"/>
      <c r="TYW416" s="80"/>
      <c r="TYX416" s="80"/>
      <c r="TYY416" s="80"/>
      <c r="TYZ416" s="80"/>
      <c r="TZA416" s="80"/>
      <c r="TZB416" s="80"/>
      <c r="TZC416" s="80"/>
      <c r="TZD416" s="80"/>
      <c r="TZE416" s="80"/>
      <c r="TZF416" s="80"/>
      <c r="TZG416" s="80"/>
      <c r="TZH416" s="80"/>
      <c r="TZI416" s="80"/>
      <c r="TZJ416" s="80"/>
      <c r="TZK416" s="80"/>
      <c r="TZL416" s="80"/>
      <c r="TZM416" s="80"/>
      <c r="TZN416" s="80"/>
      <c r="TZO416" s="80"/>
      <c r="TZP416" s="80"/>
      <c r="TZQ416" s="80"/>
      <c r="TZR416" s="80"/>
      <c r="TZS416" s="80"/>
      <c r="TZT416" s="80"/>
      <c r="TZU416" s="80"/>
      <c r="TZV416" s="80"/>
      <c r="TZW416" s="80"/>
      <c r="TZX416" s="80"/>
      <c r="TZY416" s="80"/>
      <c r="TZZ416" s="80"/>
      <c r="UAA416" s="80"/>
      <c r="UAB416" s="80"/>
      <c r="UAC416" s="80"/>
      <c r="UAD416" s="80"/>
      <c r="UAE416" s="80"/>
      <c r="UAF416" s="80"/>
      <c r="UAG416" s="80"/>
      <c r="UAH416" s="80"/>
      <c r="UAI416" s="80"/>
      <c r="UAJ416" s="80"/>
      <c r="UAK416" s="80"/>
      <c r="UAL416" s="80"/>
      <c r="UAM416" s="80"/>
      <c r="UAN416" s="80"/>
      <c r="UAO416" s="80"/>
      <c r="UAP416" s="80"/>
      <c r="UAQ416" s="80"/>
      <c r="UAR416" s="80"/>
      <c r="UAS416" s="80"/>
      <c r="UAT416" s="80"/>
      <c r="UAU416" s="80"/>
      <c r="UAV416" s="80"/>
      <c r="UAW416" s="80"/>
      <c r="UAX416" s="80"/>
      <c r="UAY416" s="80"/>
      <c r="UAZ416" s="80"/>
      <c r="UBA416" s="80"/>
      <c r="UBB416" s="80"/>
      <c r="UBC416" s="80"/>
      <c r="UBD416" s="80"/>
      <c r="UBE416" s="80"/>
      <c r="UBF416" s="80"/>
      <c r="UBG416" s="80"/>
      <c r="UBH416" s="80"/>
      <c r="UBI416" s="80"/>
      <c r="UBJ416" s="80"/>
      <c r="UBK416" s="80"/>
      <c r="UBL416" s="80"/>
      <c r="UBM416" s="80"/>
      <c r="UBN416" s="80"/>
      <c r="UBO416" s="80"/>
      <c r="UBP416" s="80"/>
      <c r="UBQ416" s="80"/>
      <c r="UBR416" s="80"/>
      <c r="UBS416" s="80"/>
      <c r="UBT416" s="80"/>
      <c r="UBU416" s="80"/>
      <c r="UBV416" s="80"/>
      <c r="UBW416" s="80"/>
      <c r="UBX416" s="80"/>
      <c r="UBY416" s="80"/>
      <c r="UBZ416" s="80"/>
      <c r="UCA416" s="80"/>
      <c r="UCB416" s="80"/>
      <c r="UCC416" s="80"/>
      <c r="UCD416" s="80"/>
      <c r="UCE416" s="80"/>
      <c r="UCF416" s="80"/>
      <c r="UCG416" s="80"/>
      <c r="UCH416" s="80"/>
      <c r="UCI416" s="80"/>
      <c r="UCJ416" s="80"/>
      <c r="UCK416" s="80"/>
      <c r="UCL416" s="80"/>
      <c r="UCM416" s="80"/>
      <c r="UCN416" s="80"/>
      <c r="UCO416" s="80"/>
      <c r="UCP416" s="80"/>
      <c r="UCQ416" s="80"/>
      <c r="UCR416" s="80"/>
      <c r="UCS416" s="80"/>
      <c r="UCT416" s="80"/>
      <c r="UCU416" s="80"/>
      <c r="UCV416" s="80"/>
      <c r="UCW416" s="80"/>
      <c r="UCX416" s="80"/>
      <c r="UCY416" s="80"/>
      <c r="UCZ416" s="80"/>
      <c r="UDA416" s="80"/>
      <c r="UDB416" s="80"/>
      <c r="UDC416" s="80"/>
      <c r="UDD416" s="80"/>
      <c r="UDE416" s="80"/>
      <c r="UDF416" s="80"/>
      <c r="UDG416" s="80"/>
      <c r="UDH416" s="80"/>
      <c r="UDI416" s="80"/>
      <c r="UDJ416" s="80"/>
      <c r="UDK416" s="80"/>
      <c r="UDL416" s="80"/>
      <c r="UDM416" s="80"/>
      <c r="UDN416" s="80"/>
      <c r="UDO416" s="80"/>
      <c r="UDP416" s="80"/>
      <c r="UDQ416" s="80"/>
      <c r="UDR416" s="80"/>
      <c r="UDS416" s="80"/>
      <c r="UDT416" s="80"/>
      <c r="UDU416" s="80"/>
      <c r="UDV416" s="80"/>
      <c r="UDW416" s="80"/>
      <c r="UDX416" s="80"/>
      <c r="UDY416" s="80"/>
      <c r="UDZ416" s="80"/>
      <c r="UEA416" s="80"/>
      <c r="UEB416" s="80"/>
      <c r="UEC416" s="80"/>
      <c r="UED416" s="80"/>
      <c r="UEE416" s="80"/>
      <c r="UEF416" s="80"/>
      <c r="UEG416" s="80"/>
      <c r="UEH416" s="80"/>
      <c r="UEI416" s="80"/>
      <c r="UEJ416" s="80"/>
      <c r="UEK416" s="80"/>
      <c r="UEL416" s="80"/>
      <c r="UEM416" s="80"/>
      <c r="UEN416" s="80"/>
      <c r="UEO416" s="80"/>
      <c r="UEP416" s="80"/>
      <c r="UEQ416" s="80"/>
      <c r="UER416" s="80"/>
      <c r="UES416" s="80"/>
      <c r="UET416" s="80"/>
      <c r="UEU416" s="80"/>
      <c r="UEV416" s="80"/>
      <c r="UEW416" s="80"/>
      <c r="UEX416" s="80"/>
      <c r="UEY416" s="80"/>
      <c r="UEZ416" s="80"/>
      <c r="UFA416" s="80"/>
      <c r="UFB416" s="80"/>
      <c r="UFC416" s="80"/>
      <c r="UFD416" s="80"/>
      <c r="UFE416" s="80"/>
      <c r="UFF416" s="80"/>
      <c r="UFG416" s="80"/>
      <c r="UFH416" s="80"/>
      <c r="UFI416" s="80"/>
      <c r="UFJ416" s="80"/>
      <c r="UFK416" s="80"/>
      <c r="UFL416" s="80"/>
      <c r="UFM416" s="80"/>
      <c r="UFN416" s="80"/>
      <c r="UFO416" s="80"/>
      <c r="UFP416" s="80"/>
      <c r="UFQ416" s="80"/>
      <c r="UFR416" s="80"/>
      <c r="UFS416" s="80"/>
      <c r="UFT416" s="80"/>
      <c r="UFU416" s="80"/>
      <c r="UFV416" s="80"/>
      <c r="UFW416" s="80"/>
      <c r="UFX416" s="80"/>
      <c r="UFY416" s="80"/>
      <c r="UFZ416" s="80"/>
      <c r="UGA416" s="80"/>
      <c r="UGB416" s="80"/>
      <c r="UGC416" s="80"/>
      <c r="UGD416" s="80"/>
      <c r="UGE416" s="80"/>
      <c r="UGF416" s="80"/>
      <c r="UGG416" s="80"/>
      <c r="UGH416" s="80"/>
      <c r="UGI416" s="80"/>
      <c r="UGJ416" s="80"/>
      <c r="UGK416" s="80"/>
      <c r="UGL416" s="80"/>
      <c r="UGM416" s="80"/>
      <c r="UGN416" s="80"/>
      <c r="UGO416" s="80"/>
      <c r="UGP416" s="80"/>
      <c r="UGQ416" s="80"/>
      <c r="UGR416" s="80"/>
      <c r="UGS416" s="80"/>
      <c r="UGT416" s="80"/>
      <c r="UGU416" s="80"/>
      <c r="UGV416" s="80"/>
      <c r="UGW416" s="80"/>
      <c r="UGX416" s="80"/>
      <c r="UGY416" s="80"/>
      <c r="UGZ416" s="80"/>
      <c r="UHA416" s="80"/>
      <c r="UHB416" s="80"/>
      <c r="UHC416" s="80"/>
      <c r="UHD416" s="80"/>
      <c r="UHE416" s="80"/>
      <c r="UHF416" s="80"/>
      <c r="UHG416" s="80"/>
      <c r="UHH416" s="80"/>
      <c r="UHI416" s="80"/>
      <c r="UHJ416" s="80"/>
      <c r="UHK416" s="80"/>
      <c r="UHL416" s="80"/>
      <c r="UHM416" s="80"/>
      <c r="UHN416" s="80"/>
      <c r="UHO416" s="80"/>
      <c r="UHP416" s="80"/>
      <c r="UHQ416" s="80"/>
      <c r="UHR416" s="80"/>
      <c r="UHS416" s="80"/>
      <c r="UHT416" s="80"/>
      <c r="UHU416" s="80"/>
      <c r="UHV416" s="80"/>
      <c r="UHW416" s="80"/>
      <c r="UHX416" s="80"/>
      <c r="UHY416" s="80"/>
      <c r="UHZ416" s="80"/>
      <c r="UIA416" s="80"/>
      <c r="UIB416" s="80"/>
      <c r="UIC416" s="80"/>
      <c r="UID416" s="80"/>
      <c r="UIE416" s="80"/>
      <c r="UIF416" s="80"/>
      <c r="UIG416" s="80"/>
      <c r="UIH416" s="80"/>
      <c r="UII416" s="80"/>
      <c r="UIJ416" s="80"/>
      <c r="UIK416" s="80"/>
      <c r="UIL416" s="80"/>
      <c r="UIM416" s="80"/>
      <c r="UIN416" s="80"/>
      <c r="UIO416" s="80"/>
      <c r="UIP416" s="80"/>
      <c r="UIQ416" s="80"/>
      <c r="UIR416" s="80"/>
      <c r="UIS416" s="80"/>
      <c r="UIT416" s="80"/>
      <c r="UIU416" s="80"/>
      <c r="UIV416" s="80"/>
      <c r="UIW416" s="80"/>
      <c r="UIX416" s="80"/>
      <c r="UIY416" s="80"/>
      <c r="UIZ416" s="80"/>
      <c r="UJA416" s="80"/>
      <c r="UJB416" s="80"/>
      <c r="UJC416" s="80"/>
      <c r="UJD416" s="80"/>
      <c r="UJE416" s="80"/>
      <c r="UJF416" s="80"/>
      <c r="UJG416" s="80"/>
      <c r="UJH416" s="80"/>
      <c r="UJI416" s="80"/>
      <c r="UJJ416" s="80"/>
      <c r="UJK416" s="80"/>
      <c r="UJL416" s="80"/>
      <c r="UJM416" s="80"/>
      <c r="UJN416" s="80"/>
      <c r="UJO416" s="80"/>
      <c r="UJP416" s="80"/>
      <c r="UJQ416" s="80"/>
      <c r="UJR416" s="80"/>
      <c r="UJS416" s="80"/>
      <c r="UJT416" s="80"/>
      <c r="UJU416" s="80"/>
      <c r="UJV416" s="80"/>
      <c r="UJW416" s="80"/>
      <c r="UJX416" s="80"/>
      <c r="UJY416" s="80"/>
      <c r="UJZ416" s="80"/>
      <c r="UKA416" s="80"/>
      <c r="UKB416" s="80"/>
      <c r="UKC416" s="80"/>
      <c r="UKD416" s="80"/>
      <c r="UKE416" s="80"/>
      <c r="UKF416" s="80"/>
      <c r="UKG416" s="80"/>
      <c r="UKH416" s="80"/>
      <c r="UKI416" s="80"/>
      <c r="UKJ416" s="80"/>
      <c r="UKK416" s="80"/>
      <c r="UKL416" s="80"/>
      <c r="UKM416" s="80"/>
      <c r="UKN416" s="80"/>
      <c r="UKO416" s="80"/>
      <c r="UKP416" s="80"/>
      <c r="UKQ416" s="80"/>
      <c r="UKR416" s="80"/>
      <c r="UKS416" s="80"/>
      <c r="UKT416" s="80"/>
      <c r="UKU416" s="80"/>
      <c r="UKV416" s="80"/>
      <c r="UKW416" s="80"/>
      <c r="UKX416" s="80"/>
      <c r="UKY416" s="80"/>
      <c r="UKZ416" s="80"/>
      <c r="ULA416" s="80"/>
      <c r="ULB416" s="80"/>
      <c r="ULC416" s="80"/>
      <c r="ULD416" s="80"/>
      <c r="ULE416" s="80"/>
      <c r="ULF416" s="80"/>
      <c r="ULG416" s="80"/>
      <c r="ULH416" s="80"/>
      <c r="ULI416" s="80"/>
      <c r="ULJ416" s="80"/>
      <c r="ULK416" s="80"/>
      <c r="ULL416" s="80"/>
      <c r="ULM416" s="80"/>
      <c r="ULN416" s="80"/>
      <c r="ULO416" s="80"/>
      <c r="ULP416" s="80"/>
      <c r="ULQ416" s="80"/>
      <c r="ULR416" s="80"/>
      <c r="ULS416" s="80"/>
      <c r="ULT416" s="80"/>
      <c r="ULU416" s="80"/>
      <c r="ULV416" s="80"/>
      <c r="ULW416" s="80"/>
      <c r="ULX416" s="80"/>
      <c r="ULY416" s="80"/>
      <c r="ULZ416" s="80"/>
      <c r="UMA416" s="80"/>
      <c r="UMB416" s="80"/>
      <c r="UMC416" s="80"/>
      <c r="UMD416" s="80"/>
      <c r="UME416" s="80"/>
      <c r="UMF416" s="80"/>
      <c r="UMG416" s="80"/>
      <c r="UMH416" s="80"/>
      <c r="UMI416" s="80"/>
      <c r="UMJ416" s="80"/>
      <c r="UMK416" s="80"/>
      <c r="UML416" s="80"/>
      <c r="UMM416" s="80"/>
      <c r="UMN416" s="80"/>
      <c r="UMO416" s="80"/>
      <c r="UMP416" s="80"/>
      <c r="UMQ416" s="80"/>
      <c r="UMR416" s="80"/>
      <c r="UMS416" s="80"/>
      <c r="UMT416" s="80"/>
      <c r="UMU416" s="80"/>
      <c r="UMV416" s="80"/>
      <c r="UMW416" s="80"/>
      <c r="UMX416" s="80"/>
      <c r="UMY416" s="80"/>
      <c r="UMZ416" s="80"/>
      <c r="UNA416" s="80"/>
      <c r="UNB416" s="80"/>
      <c r="UNC416" s="80"/>
      <c r="UND416" s="80"/>
      <c r="UNE416" s="80"/>
      <c r="UNF416" s="80"/>
      <c r="UNG416" s="80"/>
      <c r="UNH416" s="80"/>
      <c r="UNI416" s="80"/>
      <c r="UNJ416" s="80"/>
      <c r="UNK416" s="80"/>
      <c r="UNL416" s="80"/>
      <c r="UNM416" s="80"/>
      <c r="UNN416" s="80"/>
      <c r="UNO416" s="80"/>
      <c r="UNP416" s="80"/>
      <c r="UNQ416" s="80"/>
      <c r="UNR416" s="80"/>
      <c r="UNS416" s="80"/>
      <c r="UNT416" s="80"/>
      <c r="UNU416" s="80"/>
      <c r="UNV416" s="80"/>
      <c r="UNW416" s="80"/>
      <c r="UNX416" s="80"/>
      <c r="UNY416" s="80"/>
      <c r="UNZ416" s="80"/>
      <c r="UOA416" s="80"/>
      <c r="UOB416" s="80"/>
      <c r="UOC416" s="80"/>
      <c r="UOD416" s="80"/>
      <c r="UOE416" s="80"/>
      <c r="UOF416" s="80"/>
      <c r="UOG416" s="80"/>
      <c r="UOH416" s="80"/>
      <c r="UOI416" s="80"/>
      <c r="UOJ416" s="80"/>
      <c r="UOK416" s="80"/>
      <c r="UOL416" s="80"/>
      <c r="UOM416" s="80"/>
      <c r="UON416" s="80"/>
      <c r="UOO416" s="80"/>
      <c r="UOP416" s="80"/>
      <c r="UOQ416" s="80"/>
      <c r="UOR416" s="80"/>
      <c r="UOS416" s="80"/>
      <c r="UOT416" s="80"/>
      <c r="UOU416" s="80"/>
      <c r="UOV416" s="80"/>
      <c r="UOW416" s="80"/>
      <c r="UOX416" s="80"/>
      <c r="UOY416" s="80"/>
      <c r="UOZ416" s="80"/>
      <c r="UPA416" s="80"/>
      <c r="UPB416" s="80"/>
      <c r="UPC416" s="80"/>
      <c r="UPD416" s="80"/>
      <c r="UPE416" s="80"/>
      <c r="UPF416" s="80"/>
      <c r="UPG416" s="80"/>
      <c r="UPH416" s="80"/>
      <c r="UPI416" s="80"/>
      <c r="UPJ416" s="80"/>
      <c r="UPK416" s="80"/>
      <c r="UPL416" s="80"/>
      <c r="UPM416" s="80"/>
      <c r="UPN416" s="80"/>
      <c r="UPO416" s="80"/>
      <c r="UPP416" s="80"/>
      <c r="UPQ416" s="80"/>
      <c r="UPR416" s="80"/>
      <c r="UPS416" s="80"/>
      <c r="UPT416" s="80"/>
      <c r="UPU416" s="80"/>
      <c r="UPV416" s="80"/>
      <c r="UPW416" s="80"/>
      <c r="UPX416" s="80"/>
      <c r="UPY416" s="80"/>
      <c r="UPZ416" s="80"/>
      <c r="UQA416" s="80"/>
      <c r="UQB416" s="80"/>
      <c r="UQC416" s="80"/>
      <c r="UQD416" s="80"/>
      <c r="UQE416" s="80"/>
      <c r="UQF416" s="80"/>
      <c r="UQG416" s="80"/>
      <c r="UQH416" s="80"/>
      <c r="UQI416" s="80"/>
      <c r="UQJ416" s="80"/>
      <c r="UQK416" s="80"/>
      <c r="UQL416" s="80"/>
      <c r="UQM416" s="80"/>
      <c r="UQN416" s="80"/>
      <c r="UQO416" s="80"/>
      <c r="UQP416" s="80"/>
      <c r="UQQ416" s="80"/>
      <c r="UQR416" s="80"/>
      <c r="UQS416" s="80"/>
      <c r="UQT416" s="80"/>
      <c r="UQU416" s="80"/>
      <c r="UQV416" s="80"/>
      <c r="UQW416" s="80"/>
      <c r="UQX416" s="80"/>
      <c r="UQY416" s="80"/>
      <c r="UQZ416" s="80"/>
      <c r="URA416" s="80"/>
      <c r="URB416" s="80"/>
      <c r="URC416" s="80"/>
      <c r="URD416" s="80"/>
      <c r="URE416" s="80"/>
      <c r="URF416" s="80"/>
      <c r="URG416" s="80"/>
      <c r="URH416" s="80"/>
      <c r="URI416" s="80"/>
      <c r="URJ416" s="80"/>
      <c r="URK416" s="80"/>
      <c r="URL416" s="80"/>
      <c r="URM416" s="80"/>
      <c r="URN416" s="80"/>
      <c r="URO416" s="80"/>
      <c r="URP416" s="80"/>
      <c r="URQ416" s="80"/>
      <c r="URR416" s="80"/>
      <c r="URS416" s="80"/>
      <c r="URT416" s="80"/>
      <c r="URU416" s="80"/>
      <c r="URV416" s="80"/>
      <c r="URW416" s="80"/>
      <c r="URX416" s="80"/>
      <c r="URY416" s="80"/>
      <c r="URZ416" s="80"/>
      <c r="USA416" s="80"/>
      <c r="USB416" s="80"/>
      <c r="USC416" s="80"/>
      <c r="USD416" s="80"/>
      <c r="USE416" s="80"/>
      <c r="USF416" s="80"/>
      <c r="USG416" s="80"/>
      <c r="USH416" s="80"/>
      <c r="USI416" s="80"/>
      <c r="USJ416" s="80"/>
      <c r="USK416" s="80"/>
      <c r="USL416" s="80"/>
      <c r="USM416" s="80"/>
      <c r="USN416" s="80"/>
      <c r="USO416" s="80"/>
      <c r="USP416" s="80"/>
      <c r="USQ416" s="80"/>
      <c r="USR416" s="80"/>
      <c r="USS416" s="80"/>
      <c r="UST416" s="80"/>
      <c r="USU416" s="80"/>
      <c r="USV416" s="80"/>
      <c r="USW416" s="80"/>
      <c r="USX416" s="80"/>
      <c r="USY416" s="80"/>
      <c r="USZ416" s="80"/>
      <c r="UTA416" s="80"/>
      <c r="UTB416" s="80"/>
      <c r="UTC416" s="80"/>
      <c r="UTD416" s="80"/>
      <c r="UTE416" s="80"/>
      <c r="UTF416" s="80"/>
      <c r="UTG416" s="80"/>
      <c r="UTH416" s="80"/>
      <c r="UTI416" s="80"/>
      <c r="UTJ416" s="80"/>
      <c r="UTK416" s="80"/>
      <c r="UTL416" s="80"/>
      <c r="UTM416" s="80"/>
      <c r="UTN416" s="80"/>
      <c r="UTO416" s="80"/>
      <c r="UTP416" s="80"/>
      <c r="UTQ416" s="80"/>
      <c r="UTR416" s="80"/>
      <c r="UTS416" s="80"/>
      <c r="UTT416" s="80"/>
      <c r="UTU416" s="80"/>
      <c r="UTV416" s="80"/>
      <c r="UTW416" s="80"/>
      <c r="UTX416" s="80"/>
      <c r="UTY416" s="80"/>
      <c r="UTZ416" s="80"/>
      <c r="UUA416" s="80"/>
      <c r="UUB416" s="80"/>
      <c r="UUC416" s="80"/>
      <c r="UUD416" s="80"/>
      <c r="UUE416" s="80"/>
      <c r="UUF416" s="80"/>
      <c r="UUG416" s="80"/>
      <c r="UUH416" s="80"/>
      <c r="UUI416" s="80"/>
      <c r="UUJ416" s="80"/>
      <c r="UUK416" s="80"/>
      <c r="UUL416" s="80"/>
      <c r="UUM416" s="80"/>
      <c r="UUN416" s="80"/>
      <c r="UUO416" s="80"/>
      <c r="UUP416" s="80"/>
      <c r="UUQ416" s="80"/>
      <c r="UUR416" s="80"/>
      <c r="UUS416" s="80"/>
      <c r="UUT416" s="80"/>
      <c r="UUU416" s="80"/>
      <c r="UUV416" s="80"/>
      <c r="UUW416" s="80"/>
      <c r="UUX416" s="80"/>
      <c r="UUY416" s="80"/>
      <c r="UUZ416" s="80"/>
      <c r="UVA416" s="80"/>
      <c r="UVB416" s="80"/>
      <c r="UVC416" s="80"/>
      <c r="UVD416" s="80"/>
      <c r="UVE416" s="80"/>
      <c r="UVF416" s="80"/>
      <c r="UVG416" s="80"/>
      <c r="UVH416" s="80"/>
      <c r="UVI416" s="80"/>
      <c r="UVJ416" s="80"/>
      <c r="UVK416" s="80"/>
      <c r="UVL416" s="80"/>
      <c r="UVM416" s="80"/>
      <c r="UVN416" s="80"/>
      <c r="UVO416" s="80"/>
      <c r="UVP416" s="80"/>
      <c r="UVQ416" s="80"/>
      <c r="UVR416" s="80"/>
      <c r="UVS416" s="80"/>
      <c r="UVT416" s="80"/>
      <c r="UVU416" s="80"/>
      <c r="UVV416" s="80"/>
      <c r="UVW416" s="80"/>
      <c r="UVX416" s="80"/>
      <c r="UVY416" s="80"/>
      <c r="UVZ416" s="80"/>
      <c r="UWA416" s="80"/>
      <c r="UWB416" s="80"/>
      <c r="UWC416" s="80"/>
      <c r="UWD416" s="80"/>
      <c r="UWE416" s="80"/>
      <c r="UWF416" s="80"/>
      <c r="UWG416" s="80"/>
      <c r="UWH416" s="80"/>
      <c r="UWI416" s="80"/>
      <c r="UWJ416" s="80"/>
      <c r="UWK416" s="80"/>
      <c r="UWL416" s="80"/>
      <c r="UWM416" s="80"/>
      <c r="UWN416" s="80"/>
      <c r="UWO416" s="80"/>
      <c r="UWP416" s="80"/>
      <c r="UWQ416" s="80"/>
      <c r="UWR416" s="80"/>
      <c r="UWS416" s="80"/>
      <c r="UWT416" s="80"/>
      <c r="UWU416" s="80"/>
      <c r="UWV416" s="80"/>
      <c r="UWW416" s="80"/>
      <c r="UWX416" s="80"/>
      <c r="UWY416" s="80"/>
      <c r="UWZ416" s="80"/>
      <c r="UXA416" s="80"/>
      <c r="UXB416" s="80"/>
      <c r="UXC416" s="80"/>
      <c r="UXD416" s="80"/>
      <c r="UXE416" s="80"/>
      <c r="UXF416" s="80"/>
      <c r="UXG416" s="80"/>
      <c r="UXH416" s="80"/>
      <c r="UXI416" s="80"/>
      <c r="UXJ416" s="80"/>
      <c r="UXK416" s="80"/>
      <c r="UXL416" s="80"/>
      <c r="UXM416" s="80"/>
      <c r="UXN416" s="80"/>
      <c r="UXO416" s="80"/>
      <c r="UXP416" s="80"/>
      <c r="UXQ416" s="80"/>
      <c r="UXR416" s="80"/>
      <c r="UXS416" s="80"/>
      <c r="UXT416" s="80"/>
      <c r="UXU416" s="80"/>
      <c r="UXV416" s="80"/>
      <c r="UXW416" s="80"/>
      <c r="UXX416" s="80"/>
      <c r="UXY416" s="80"/>
      <c r="UXZ416" s="80"/>
      <c r="UYA416" s="80"/>
      <c r="UYB416" s="80"/>
      <c r="UYC416" s="80"/>
      <c r="UYD416" s="80"/>
      <c r="UYE416" s="80"/>
      <c r="UYF416" s="80"/>
      <c r="UYG416" s="80"/>
      <c r="UYH416" s="80"/>
      <c r="UYI416" s="80"/>
      <c r="UYJ416" s="80"/>
      <c r="UYK416" s="80"/>
      <c r="UYL416" s="80"/>
      <c r="UYM416" s="80"/>
      <c r="UYN416" s="80"/>
      <c r="UYO416" s="80"/>
      <c r="UYP416" s="80"/>
      <c r="UYQ416" s="80"/>
      <c r="UYR416" s="80"/>
      <c r="UYS416" s="80"/>
      <c r="UYT416" s="80"/>
      <c r="UYU416" s="80"/>
      <c r="UYV416" s="80"/>
      <c r="UYW416" s="80"/>
      <c r="UYX416" s="80"/>
      <c r="UYY416" s="80"/>
      <c r="UYZ416" s="80"/>
      <c r="UZA416" s="80"/>
      <c r="UZB416" s="80"/>
      <c r="UZC416" s="80"/>
      <c r="UZD416" s="80"/>
      <c r="UZE416" s="80"/>
      <c r="UZF416" s="80"/>
      <c r="UZG416" s="80"/>
      <c r="UZH416" s="80"/>
      <c r="UZI416" s="80"/>
      <c r="UZJ416" s="80"/>
      <c r="UZK416" s="80"/>
      <c r="UZL416" s="80"/>
      <c r="UZM416" s="80"/>
      <c r="UZN416" s="80"/>
      <c r="UZO416" s="80"/>
      <c r="UZP416" s="80"/>
      <c r="UZQ416" s="80"/>
      <c r="UZR416" s="80"/>
      <c r="UZS416" s="80"/>
      <c r="UZT416" s="80"/>
      <c r="UZU416" s="80"/>
      <c r="UZV416" s="80"/>
      <c r="UZW416" s="80"/>
      <c r="UZX416" s="80"/>
      <c r="UZY416" s="80"/>
      <c r="UZZ416" s="80"/>
      <c r="VAA416" s="80"/>
      <c r="VAB416" s="80"/>
      <c r="VAC416" s="80"/>
      <c r="VAD416" s="80"/>
      <c r="VAE416" s="80"/>
      <c r="VAF416" s="80"/>
      <c r="VAG416" s="80"/>
      <c r="VAH416" s="80"/>
      <c r="VAI416" s="80"/>
      <c r="VAJ416" s="80"/>
      <c r="VAK416" s="80"/>
      <c r="VAL416" s="80"/>
      <c r="VAM416" s="80"/>
      <c r="VAN416" s="80"/>
      <c r="VAO416" s="80"/>
      <c r="VAP416" s="80"/>
      <c r="VAQ416" s="80"/>
      <c r="VAR416" s="80"/>
      <c r="VAS416" s="80"/>
      <c r="VAT416" s="80"/>
      <c r="VAU416" s="80"/>
      <c r="VAV416" s="80"/>
      <c r="VAW416" s="80"/>
      <c r="VAX416" s="80"/>
      <c r="VAY416" s="80"/>
      <c r="VAZ416" s="80"/>
      <c r="VBA416" s="80"/>
      <c r="VBB416" s="80"/>
      <c r="VBC416" s="80"/>
      <c r="VBD416" s="80"/>
      <c r="VBE416" s="80"/>
      <c r="VBF416" s="80"/>
      <c r="VBG416" s="80"/>
      <c r="VBH416" s="80"/>
      <c r="VBI416" s="80"/>
      <c r="VBJ416" s="80"/>
      <c r="VBK416" s="80"/>
      <c r="VBL416" s="80"/>
      <c r="VBM416" s="80"/>
      <c r="VBN416" s="80"/>
      <c r="VBO416" s="80"/>
      <c r="VBP416" s="80"/>
      <c r="VBQ416" s="80"/>
      <c r="VBR416" s="80"/>
      <c r="VBS416" s="80"/>
      <c r="VBT416" s="80"/>
      <c r="VBU416" s="80"/>
      <c r="VBV416" s="80"/>
      <c r="VBW416" s="80"/>
      <c r="VBX416" s="80"/>
      <c r="VBY416" s="80"/>
      <c r="VBZ416" s="80"/>
      <c r="VCA416" s="80"/>
      <c r="VCB416" s="80"/>
      <c r="VCC416" s="80"/>
      <c r="VCD416" s="80"/>
      <c r="VCE416" s="80"/>
      <c r="VCF416" s="80"/>
      <c r="VCG416" s="80"/>
      <c r="VCH416" s="80"/>
      <c r="VCI416" s="80"/>
      <c r="VCJ416" s="80"/>
      <c r="VCK416" s="80"/>
      <c r="VCL416" s="80"/>
      <c r="VCM416" s="80"/>
      <c r="VCN416" s="80"/>
      <c r="VCO416" s="80"/>
      <c r="VCP416" s="80"/>
      <c r="VCQ416" s="80"/>
      <c r="VCR416" s="80"/>
      <c r="VCS416" s="80"/>
      <c r="VCT416" s="80"/>
      <c r="VCU416" s="80"/>
      <c r="VCV416" s="80"/>
      <c r="VCW416" s="80"/>
      <c r="VCX416" s="80"/>
      <c r="VCY416" s="80"/>
      <c r="VCZ416" s="80"/>
      <c r="VDA416" s="80"/>
      <c r="VDB416" s="80"/>
      <c r="VDC416" s="80"/>
      <c r="VDD416" s="80"/>
      <c r="VDE416" s="80"/>
      <c r="VDF416" s="80"/>
      <c r="VDG416" s="80"/>
      <c r="VDH416" s="80"/>
      <c r="VDI416" s="80"/>
      <c r="VDJ416" s="80"/>
      <c r="VDK416" s="80"/>
      <c r="VDL416" s="80"/>
      <c r="VDM416" s="80"/>
      <c r="VDN416" s="80"/>
      <c r="VDO416" s="80"/>
      <c r="VDP416" s="80"/>
      <c r="VDQ416" s="80"/>
      <c r="VDR416" s="80"/>
      <c r="VDS416" s="80"/>
      <c r="VDT416" s="80"/>
      <c r="VDU416" s="80"/>
      <c r="VDV416" s="80"/>
      <c r="VDW416" s="80"/>
      <c r="VDX416" s="80"/>
      <c r="VDY416" s="80"/>
      <c r="VDZ416" s="80"/>
      <c r="VEA416" s="80"/>
      <c r="VEB416" s="80"/>
      <c r="VEC416" s="80"/>
      <c r="VED416" s="80"/>
      <c r="VEE416" s="80"/>
      <c r="VEF416" s="80"/>
      <c r="VEG416" s="80"/>
      <c r="VEH416" s="80"/>
      <c r="VEI416" s="80"/>
      <c r="VEJ416" s="80"/>
      <c r="VEK416" s="80"/>
      <c r="VEL416" s="80"/>
      <c r="VEM416" s="80"/>
      <c r="VEN416" s="80"/>
      <c r="VEO416" s="80"/>
      <c r="VEP416" s="80"/>
      <c r="VEQ416" s="80"/>
      <c r="VER416" s="80"/>
      <c r="VES416" s="80"/>
      <c r="VET416" s="80"/>
      <c r="VEU416" s="80"/>
      <c r="VEV416" s="80"/>
      <c r="VEW416" s="80"/>
      <c r="VEX416" s="80"/>
      <c r="VEY416" s="80"/>
      <c r="VEZ416" s="80"/>
      <c r="VFA416" s="80"/>
      <c r="VFB416" s="80"/>
      <c r="VFC416" s="80"/>
      <c r="VFD416" s="80"/>
      <c r="VFE416" s="80"/>
      <c r="VFF416" s="80"/>
      <c r="VFG416" s="80"/>
      <c r="VFH416" s="80"/>
      <c r="VFI416" s="80"/>
      <c r="VFJ416" s="80"/>
      <c r="VFK416" s="80"/>
      <c r="VFL416" s="80"/>
      <c r="VFM416" s="80"/>
      <c r="VFN416" s="80"/>
      <c r="VFO416" s="80"/>
      <c r="VFP416" s="80"/>
      <c r="VFQ416" s="80"/>
      <c r="VFR416" s="80"/>
      <c r="VFS416" s="80"/>
      <c r="VFT416" s="80"/>
      <c r="VFU416" s="80"/>
      <c r="VFV416" s="80"/>
      <c r="VFW416" s="80"/>
      <c r="VFX416" s="80"/>
      <c r="VFY416" s="80"/>
      <c r="VFZ416" s="80"/>
      <c r="VGA416" s="80"/>
      <c r="VGB416" s="80"/>
      <c r="VGC416" s="80"/>
      <c r="VGD416" s="80"/>
      <c r="VGE416" s="80"/>
      <c r="VGF416" s="80"/>
      <c r="VGG416" s="80"/>
      <c r="VGH416" s="80"/>
      <c r="VGI416" s="80"/>
      <c r="VGJ416" s="80"/>
      <c r="VGK416" s="80"/>
      <c r="VGL416" s="80"/>
      <c r="VGM416" s="80"/>
      <c r="VGN416" s="80"/>
      <c r="VGO416" s="80"/>
      <c r="VGP416" s="80"/>
      <c r="VGQ416" s="80"/>
      <c r="VGR416" s="80"/>
      <c r="VGS416" s="80"/>
      <c r="VGT416" s="80"/>
      <c r="VGU416" s="80"/>
      <c r="VGV416" s="80"/>
      <c r="VGW416" s="80"/>
      <c r="VGX416" s="80"/>
      <c r="VGY416" s="80"/>
      <c r="VGZ416" s="80"/>
      <c r="VHA416" s="80"/>
      <c r="VHB416" s="80"/>
      <c r="VHC416" s="80"/>
      <c r="VHD416" s="80"/>
      <c r="VHE416" s="80"/>
      <c r="VHF416" s="80"/>
      <c r="VHG416" s="80"/>
      <c r="VHH416" s="80"/>
      <c r="VHI416" s="80"/>
      <c r="VHJ416" s="80"/>
      <c r="VHK416" s="80"/>
      <c r="VHL416" s="80"/>
      <c r="VHM416" s="80"/>
      <c r="VHN416" s="80"/>
      <c r="VHO416" s="80"/>
      <c r="VHP416" s="80"/>
      <c r="VHQ416" s="80"/>
      <c r="VHR416" s="80"/>
      <c r="VHS416" s="80"/>
      <c r="VHT416" s="80"/>
      <c r="VHU416" s="80"/>
      <c r="VHV416" s="80"/>
      <c r="VHW416" s="80"/>
      <c r="VHX416" s="80"/>
      <c r="VHY416" s="80"/>
      <c r="VHZ416" s="80"/>
      <c r="VIA416" s="80"/>
      <c r="VIB416" s="80"/>
      <c r="VIC416" s="80"/>
      <c r="VID416" s="80"/>
      <c r="VIE416" s="80"/>
      <c r="VIF416" s="80"/>
      <c r="VIG416" s="80"/>
      <c r="VIH416" s="80"/>
      <c r="VII416" s="80"/>
      <c r="VIJ416" s="80"/>
      <c r="VIK416" s="80"/>
      <c r="VIL416" s="80"/>
      <c r="VIM416" s="80"/>
      <c r="VIN416" s="80"/>
      <c r="VIO416" s="80"/>
      <c r="VIP416" s="80"/>
      <c r="VIQ416" s="80"/>
      <c r="VIR416" s="80"/>
      <c r="VIS416" s="80"/>
      <c r="VIT416" s="80"/>
      <c r="VIU416" s="80"/>
      <c r="VIV416" s="80"/>
      <c r="VIW416" s="80"/>
      <c r="VIX416" s="80"/>
      <c r="VIY416" s="80"/>
      <c r="VIZ416" s="80"/>
      <c r="VJA416" s="80"/>
      <c r="VJB416" s="80"/>
      <c r="VJC416" s="80"/>
      <c r="VJD416" s="80"/>
      <c r="VJE416" s="80"/>
      <c r="VJF416" s="80"/>
      <c r="VJG416" s="80"/>
      <c r="VJH416" s="80"/>
      <c r="VJI416" s="80"/>
      <c r="VJJ416" s="80"/>
      <c r="VJK416" s="80"/>
      <c r="VJL416" s="80"/>
      <c r="VJM416" s="80"/>
      <c r="VJN416" s="80"/>
      <c r="VJO416" s="80"/>
      <c r="VJP416" s="80"/>
      <c r="VJQ416" s="80"/>
      <c r="VJR416" s="80"/>
      <c r="VJS416" s="80"/>
      <c r="VJT416" s="80"/>
      <c r="VJU416" s="80"/>
      <c r="VJV416" s="80"/>
      <c r="VJW416" s="80"/>
      <c r="VJX416" s="80"/>
      <c r="VJY416" s="80"/>
      <c r="VJZ416" s="80"/>
      <c r="VKA416" s="80"/>
      <c r="VKB416" s="80"/>
      <c r="VKC416" s="80"/>
      <c r="VKD416" s="80"/>
      <c r="VKE416" s="80"/>
      <c r="VKF416" s="80"/>
      <c r="VKG416" s="80"/>
      <c r="VKH416" s="80"/>
      <c r="VKI416" s="80"/>
      <c r="VKJ416" s="80"/>
      <c r="VKK416" s="80"/>
      <c r="VKL416" s="80"/>
      <c r="VKM416" s="80"/>
      <c r="VKN416" s="80"/>
      <c r="VKO416" s="80"/>
      <c r="VKP416" s="80"/>
      <c r="VKQ416" s="80"/>
      <c r="VKR416" s="80"/>
      <c r="VKS416" s="80"/>
      <c r="VKT416" s="80"/>
      <c r="VKU416" s="80"/>
      <c r="VKV416" s="80"/>
      <c r="VKW416" s="80"/>
      <c r="VKX416" s="80"/>
      <c r="VKY416" s="80"/>
      <c r="VKZ416" s="80"/>
      <c r="VLA416" s="80"/>
      <c r="VLB416" s="80"/>
      <c r="VLC416" s="80"/>
      <c r="VLD416" s="80"/>
      <c r="VLE416" s="80"/>
      <c r="VLF416" s="80"/>
      <c r="VLG416" s="80"/>
      <c r="VLH416" s="80"/>
      <c r="VLI416" s="80"/>
      <c r="VLJ416" s="80"/>
      <c r="VLK416" s="80"/>
      <c r="VLL416" s="80"/>
      <c r="VLM416" s="80"/>
      <c r="VLN416" s="80"/>
      <c r="VLO416" s="80"/>
      <c r="VLP416" s="80"/>
      <c r="VLQ416" s="80"/>
      <c r="VLR416" s="80"/>
      <c r="VLS416" s="80"/>
      <c r="VLT416" s="80"/>
      <c r="VLU416" s="80"/>
      <c r="VLV416" s="80"/>
      <c r="VLW416" s="80"/>
      <c r="VLX416" s="80"/>
      <c r="VLY416" s="80"/>
      <c r="VLZ416" s="80"/>
      <c r="VMA416" s="80"/>
      <c r="VMB416" s="80"/>
      <c r="VMC416" s="80"/>
      <c r="VMD416" s="80"/>
      <c r="VME416" s="80"/>
      <c r="VMF416" s="80"/>
      <c r="VMG416" s="80"/>
      <c r="VMH416" s="80"/>
      <c r="VMI416" s="80"/>
      <c r="VMJ416" s="80"/>
      <c r="VMK416" s="80"/>
      <c r="VML416" s="80"/>
      <c r="VMM416" s="80"/>
      <c r="VMN416" s="80"/>
      <c r="VMO416" s="80"/>
      <c r="VMP416" s="80"/>
      <c r="VMQ416" s="80"/>
      <c r="VMR416" s="80"/>
      <c r="VMS416" s="80"/>
      <c r="VMT416" s="80"/>
      <c r="VMU416" s="80"/>
      <c r="VMV416" s="80"/>
      <c r="VMW416" s="80"/>
      <c r="VMX416" s="80"/>
      <c r="VMY416" s="80"/>
      <c r="VMZ416" s="80"/>
      <c r="VNA416" s="80"/>
      <c r="VNB416" s="80"/>
      <c r="VNC416" s="80"/>
      <c r="VND416" s="80"/>
      <c r="VNE416" s="80"/>
      <c r="VNF416" s="80"/>
      <c r="VNG416" s="80"/>
      <c r="VNH416" s="80"/>
      <c r="VNI416" s="80"/>
      <c r="VNJ416" s="80"/>
      <c r="VNK416" s="80"/>
      <c r="VNL416" s="80"/>
      <c r="VNM416" s="80"/>
      <c r="VNN416" s="80"/>
      <c r="VNO416" s="80"/>
      <c r="VNP416" s="80"/>
      <c r="VNQ416" s="80"/>
      <c r="VNR416" s="80"/>
      <c r="VNS416" s="80"/>
      <c r="VNT416" s="80"/>
      <c r="VNU416" s="80"/>
      <c r="VNV416" s="80"/>
      <c r="VNW416" s="80"/>
      <c r="VNX416" s="80"/>
      <c r="VNY416" s="80"/>
      <c r="VNZ416" s="80"/>
      <c r="VOA416" s="80"/>
      <c r="VOB416" s="80"/>
      <c r="VOC416" s="80"/>
      <c r="VOD416" s="80"/>
      <c r="VOE416" s="80"/>
      <c r="VOF416" s="80"/>
      <c r="VOG416" s="80"/>
      <c r="VOH416" s="80"/>
      <c r="VOI416" s="80"/>
      <c r="VOJ416" s="80"/>
      <c r="VOK416" s="80"/>
      <c r="VOL416" s="80"/>
      <c r="VOM416" s="80"/>
      <c r="VON416" s="80"/>
      <c r="VOO416" s="80"/>
      <c r="VOP416" s="80"/>
      <c r="VOQ416" s="80"/>
      <c r="VOR416" s="80"/>
      <c r="VOS416" s="80"/>
      <c r="VOT416" s="80"/>
      <c r="VOU416" s="80"/>
      <c r="VOV416" s="80"/>
      <c r="VOW416" s="80"/>
      <c r="VOX416" s="80"/>
      <c r="VOY416" s="80"/>
      <c r="VOZ416" s="80"/>
      <c r="VPA416" s="80"/>
      <c r="VPB416" s="80"/>
      <c r="VPC416" s="80"/>
      <c r="VPD416" s="80"/>
      <c r="VPE416" s="80"/>
      <c r="VPF416" s="80"/>
      <c r="VPG416" s="80"/>
      <c r="VPH416" s="80"/>
      <c r="VPI416" s="80"/>
      <c r="VPJ416" s="80"/>
      <c r="VPK416" s="80"/>
      <c r="VPL416" s="80"/>
      <c r="VPM416" s="80"/>
      <c r="VPN416" s="80"/>
      <c r="VPO416" s="80"/>
      <c r="VPP416" s="80"/>
      <c r="VPQ416" s="80"/>
      <c r="VPR416" s="80"/>
      <c r="VPS416" s="80"/>
      <c r="VPT416" s="80"/>
      <c r="VPU416" s="80"/>
      <c r="VPV416" s="80"/>
      <c r="VPW416" s="80"/>
      <c r="VPX416" s="80"/>
      <c r="VPY416" s="80"/>
      <c r="VPZ416" s="80"/>
      <c r="VQA416" s="80"/>
      <c r="VQB416" s="80"/>
      <c r="VQC416" s="80"/>
      <c r="VQD416" s="80"/>
      <c r="VQE416" s="80"/>
      <c r="VQF416" s="80"/>
      <c r="VQG416" s="80"/>
      <c r="VQH416" s="80"/>
      <c r="VQI416" s="80"/>
      <c r="VQJ416" s="80"/>
      <c r="VQK416" s="80"/>
      <c r="VQL416" s="80"/>
      <c r="VQM416" s="80"/>
      <c r="VQN416" s="80"/>
      <c r="VQO416" s="80"/>
      <c r="VQP416" s="80"/>
      <c r="VQQ416" s="80"/>
      <c r="VQR416" s="80"/>
      <c r="VQS416" s="80"/>
      <c r="VQT416" s="80"/>
      <c r="VQU416" s="80"/>
      <c r="VQV416" s="80"/>
      <c r="VQW416" s="80"/>
      <c r="VQX416" s="80"/>
      <c r="VQY416" s="80"/>
      <c r="VQZ416" s="80"/>
      <c r="VRA416" s="80"/>
      <c r="VRB416" s="80"/>
      <c r="VRC416" s="80"/>
      <c r="VRD416" s="80"/>
      <c r="VRE416" s="80"/>
      <c r="VRF416" s="80"/>
      <c r="VRG416" s="80"/>
      <c r="VRH416" s="80"/>
      <c r="VRI416" s="80"/>
      <c r="VRJ416" s="80"/>
      <c r="VRK416" s="80"/>
      <c r="VRL416" s="80"/>
      <c r="VRM416" s="80"/>
      <c r="VRN416" s="80"/>
      <c r="VRO416" s="80"/>
      <c r="VRP416" s="80"/>
      <c r="VRQ416" s="80"/>
      <c r="VRR416" s="80"/>
      <c r="VRS416" s="80"/>
      <c r="VRT416" s="80"/>
      <c r="VRU416" s="80"/>
      <c r="VRV416" s="80"/>
      <c r="VRW416" s="80"/>
      <c r="VRX416" s="80"/>
      <c r="VRY416" s="80"/>
      <c r="VRZ416" s="80"/>
      <c r="VSA416" s="80"/>
      <c r="VSB416" s="80"/>
      <c r="VSC416" s="80"/>
      <c r="VSD416" s="80"/>
      <c r="VSE416" s="80"/>
      <c r="VSF416" s="80"/>
      <c r="VSG416" s="80"/>
      <c r="VSH416" s="80"/>
      <c r="VSI416" s="80"/>
      <c r="VSJ416" s="80"/>
      <c r="VSK416" s="80"/>
      <c r="VSL416" s="80"/>
      <c r="VSM416" s="80"/>
      <c r="VSN416" s="80"/>
      <c r="VSO416" s="80"/>
      <c r="VSP416" s="80"/>
      <c r="VSQ416" s="80"/>
      <c r="VSR416" s="80"/>
      <c r="VSS416" s="80"/>
      <c r="VST416" s="80"/>
      <c r="VSU416" s="80"/>
      <c r="VSV416" s="80"/>
      <c r="VSW416" s="80"/>
      <c r="VSX416" s="80"/>
      <c r="VSY416" s="80"/>
      <c r="VSZ416" s="80"/>
      <c r="VTA416" s="80"/>
      <c r="VTB416" s="80"/>
      <c r="VTC416" s="80"/>
      <c r="VTD416" s="80"/>
      <c r="VTE416" s="80"/>
      <c r="VTF416" s="80"/>
      <c r="VTG416" s="80"/>
      <c r="VTH416" s="80"/>
      <c r="VTI416" s="80"/>
      <c r="VTJ416" s="80"/>
      <c r="VTK416" s="80"/>
      <c r="VTL416" s="80"/>
      <c r="VTM416" s="80"/>
      <c r="VTN416" s="80"/>
      <c r="VTO416" s="80"/>
      <c r="VTP416" s="80"/>
      <c r="VTQ416" s="80"/>
      <c r="VTR416" s="80"/>
      <c r="VTS416" s="80"/>
      <c r="VTT416" s="80"/>
      <c r="VTU416" s="80"/>
      <c r="VTV416" s="80"/>
      <c r="VTW416" s="80"/>
      <c r="VTX416" s="80"/>
      <c r="VTY416" s="80"/>
      <c r="VTZ416" s="80"/>
      <c r="VUA416" s="80"/>
      <c r="VUB416" s="80"/>
      <c r="VUC416" s="80"/>
      <c r="VUD416" s="80"/>
      <c r="VUE416" s="80"/>
      <c r="VUF416" s="80"/>
      <c r="VUG416" s="80"/>
      <c r="VUH416" s="80"/>
      <c r="VUI416" s="80"/>
      <c r="VUJ416" s="80"/>
      <c r="VUK416" s="80"/>
      <c r="VUL416" s="80"/>
      <c r="VUM416" s="80"/>
      <c r="VUN416" s="80"/>
      <c r="VUO416" s="80"/>
      <c r="VUP416" s="80"/>
      <c r="VUQ416" s="80"/>
      <c r="VUR416" s="80"/>
      <c r="VUS416" s="80"/>
      <c r="VUT416" s="80"/>
      <c r="VUU416" s="80"/>
      <c r="VUV416" s="80"/>
      <c r="VUW416" s="80"/>
      <c r="VUX416" s="80"/>
      <c r="VUY416" s="80"/>
      <c r="VUZ416" s="80"/>
      <c r="VVA416" s="80"/>
      <c r="VVB416" s="80"/>
      <c r="VVC416" s="80"/>
      <c r="VVD416" s="80"/>
      <c r="VVE416" s="80"/>
      <c r="VVF416" s="80"/>
      <c r="VVG416" s="80"/>
      <c r="VVH416" s="80"/>
      <c r="VVI416" s="80"/>
      <c r="VVJ416" s="80"/>
      <c r="VVK416" s="80"/>
      <c r="VVL416" s="80"/>
      <c r="VVM416" s="80"/>
      <c r="VVN416" s="80"/>
      <c r="VVO416" s="80"/>
      <c r="VVP416" s="80"/>
      <c r="VVQ416" s="80"/>
      <c r="VVR416" s="80"/>
      <c r="VVS416" s="80"/>
      <c r="VVT416" s="80"/>
      <c r="VVU416" s="80"/>
      <c r="VVV416" s="80"/>
      <c r="VVW416" s="80"/>
      <c r="VVX416" s="80"/>
      <c r="VVY416" s="80"/>
      <c r="VVZ416" s="80"/>
      <c r="VWA416" s="80"/>
      <c r="VWB416" s="80"/>
      <c r="VWC416" s="80"/>
      <c r="VWD416" s="80"/>
      <c r="VWE416" s="80"/>
      <c r="VWF416" s="80"/>
      <c r="VWG416" s="80"/>
      <c r="VWH416" s="80"/>
      <c r="VWI416" s="80"/>
      <c r="VWJ416" s="80"/>
      <c r="VWK416" s="80"/>
      <c r="VWL416" s="80"/>
      <c r="VWM416" s="80"/>
      <c r="VWN416" s="80"/>
      <c r="VWO416" s="80"/>
      <c r="VWP416" s="80"/>
      <c r="VWQ416" s="80"/>
      <c r="VWR416" s="80"/>
      <c r="VWS416" s="80"/>
      <c r="VWT416" s="80"/>
      <c r="VWU416" s="80"/>
      <c r="VWV416" s="80"/>
      <c r="VWW416" s="80"/>
      <c r="VWX416" s="80"/>
      <c r="VWY416" s="80"/>
      <c r="VWZ416" s="80"/>
      <c r="VXA416" s="80"/>
      <c r="VXB416" s="80"/>
      <c r="VXC416" s="80"/>
      <c r="VXD416" s="80"/>
      <c r="VXE416" s="80"/>
      <c r="VXF416" s="80"/>
      <c r="VXG416" s="80"/>
      <c r="VXH416" s="80"/>
      <c r="VXI416" s="80"/>
      <c r="VXJ416" s="80"/>
      <c r="VXK416" s="80"/>
      <c r="VXL416" s="80"/>
      <c r="VXM416" s="80"/>
      <c r="VXN416" s="80"/>
      <c r="VXO416" s="80"/>
      <c r="VXP416" s="80"/>
      <c r="VXQ416" s="80"/>
      <c r="VXR416" s="80"/>
      <c r="VXS416" s="80"/>
      <c r="VXT416" s="80"/>
      <c r="VXU416" s="80"/>
      <c r="VXV416" s="80"/>
      <c r="VXW416" s="80"/>
      <c r="VXX416" s="80"/>
      <c r="VXY416" s="80"/>
      <c r="VXZ416" s="80"/>
      <c r="VYA416" s="80"/>
      <c r="VYB416" s="80"/>
      <c r="VYC416" s="80"/>
      <c r="VYD416" s="80"/>
      <c r="VYE416" s="80"/>
      <c r="VYF416" s="80"/>
      <c r="VYG416" s="80"/>
      <c r="VYH416" s="80"/>
      <c r="VYI416" s="80"/>
      <c r="VYJ416" s="80"/>
      <c r="VYK416" s="80"/>
      <c r="VYL416" s="80"/>
      <c r="VYM416" s="80"/>
      <c r="VYN416" s="80"/>
      <c r="VYO416" s="80"/>
      <c r="VYP416" s="80"/>
      <c r="VYQ416" s="80"/>
      <c r="VYR416" s="80"/>
      <c r="VYS416" s="80"/>
      <c r="VYT416" s="80"/>
      <c r="VYU416" s="80"/>
      <c r="VYV416" s="80"/>
      <c r="VYW416" s="80"/>
      <c r="VYX416" s="80"/>
      <c r="VYY416" s="80"/>
      <c r="VYZ416" s="80"/>
      <c r="VZA416" s="80"/>
      <c r="VZB416" s="80"/>
      <c r="VZC416" s="80"/>
      <c r="VZD416" s="80"/>
      <c r="VZE416" s="80"/>
      <c r="VZF416" s="80"/>
      <c r="VZG416" s="80"/>
      <c r="VZH416" s="80"/>
      <c r="VZI416" s="80"/>
      <c r="VZJ416" s="80"/>
      <c r="VZK416" s="80"/>
      <c r="VZL416" s="80"/>
      <c r="VZM416" s="80"/>
      <c r="VZN416" s="80"/>
      <c r="VZO416" s="80"/>
      <c r="VZP416" s="80"/>
      <c r="VZQ416" s="80"/>
      <c r="VZR416" s="80"/>
      <c r="VZS416" s="80"/>
      <c r="VZT416" s="80"/>
      <c r="VZU416" s="80"/>
      <c r="VZV416" s="80"/>
      <c r="VZW416" s="80"/>
      <c r="VZX416" s="80"/>
      <c r="VZY416" s="80"/>
      <c r="VZZ416" s="80"/>
      <c r="WAA416" s="80"/>
      <c r="WAB416" s="80"/>
      <c r="WAC416" s="80"/>
      <c r="WAD416" s="80"/>
      <c r="WAE416" s="80"/>
      <c r="WAF416" s="80"/>
      <c r="WAG416" s="80"/>
      <c r="WAH416" s="80"/>
      <c r="WAI416" s="80"/>
      <c r="WAJ416" s="80"/>
      <c r="WAK416" s="80"/>
      <c r="WAL416" s="80"/>
      <c r="WAM416" s="80"/>
      <c r="WAN416" s="80"/>
      <c r="WAO416" s="80"/>
      <c r="WAP416" s="80"/>
      <c r="WAQ416" s="80"/>
      <c r="WAR416" s="80"/>
      <c r="WAS416" s="80"/>
      <c r="WAT416" s="80"/>
      <c r="WAU416" s="80"/>
      <c r="WAV416" s="80"/>
      <c r="WAW416" s="80"/>
      <c r="WAX416" s="80"/>
      <c r="WAY416" s="80"/>
      <c r="WAZ416" s="80"/>
      <c r="WBA416" s="80"/>
      <c r="WBB416" s="80"/>
      <c r="WBC416" s="80"/>
      <c r="WBD416" s="80"/>
      <c r="WBE416" s="80"/>
      <c r="WBF416" s="80"/>
      <c r="WBG416" s="80"/>
      <c r="WBH416" s="80"/>
      <c r="WBI416" s="80"/>
      <c r="WBJ416" s="80"/>
      <c r="WBK416" s="80"/>
      <c r="WBL416" s="80"/>
      <c r="WBM416" s="80"/>
      <c r="WBN416" s="80"/>
      <c r="WBO416" s="80"/>
      <c r="WBP416" s="80"/>
      <c r="WBQ416" s="80"/>
      <c r="WBR416" s="80"/>
      <c r="WBS416" s="80"/>
      <c r="WBT416" s="80"/>
      <c r="WBU416" s="80"/>
      <c r="WBV416" s="80"/>
      <c r="WBW416" s="80"/>
      <c r="WBX416" s="80"/>
      <c r="WBY416" s="80"/>
      <c r="WBZ416" s="80"/>
      <c r="WCA416" s="80"/>
      <c r="WCB416" s="80"/>
      <c r="WCC416" s="80"/>
      <c r="WCD416" s="80"/>
      <c r="WCE416" s="80"/>
      <c r="WCF416" s="80"/>
      <c r="WCG416" s="80"/>
      <c r="WCH416" s="80"/>
      <c r="WCI416" s="80"/>
      <c r="WCJ416" s="80"/>
      <c r="WCK416" s="80"/>
      <c r="WCL416" s="80"/>
      <c r="WCM416" s="80"/>
      <c r="WCN416" s="80"/>
      <c r="WCO416" s="80"/>
      <c r="WCP416" s="80"/>
      <c r="WCQ416" s="80"/>
      <c r="WCR416" s="80"/>
      <c r="WCS416" s="80"/>
      <c r="WCT416" s="80"/>
      <c r="WCU416" s="80"/>
      <c r="WCV416" s="80"/>
      <c r="WCW416" s="80"/>
      <c r="WCX416" s="80"/>
      <c r="WCY416" s="80"/>
      <c r="WCZ416" s="80"/>
      <c r="WDA416" s="80"/>
      <c r="WDB416" s="80"/>
      <c r="WDC416" s="80"/>
      <c r="WDD416" s="80"/>
      <c r="WDE416" s="80"/>
      <c r="WDF416" s="80"/>
      <c r="WDG416" s="80"/>
      <c r="WDH416" s="80"/>
      <c r="WDI416" s="80"/>
      <c r="WDJ416" s="80"/>
      <c r="WDK416" s="80"/>
      <c r="WDL416" s="80"/>
      <c r="WDM416" s="80"/>
      <c r="WDN416" s="80"/>
      <c r="WDO416" s="80"/>
      <c r="WDP416" s="80"/>
      <c r="WDQ416" s="80"/>
      <c r="WDR416" s="80"/>
      <c r="WDS416" s="80"/>
      <c r="WDT416" s="80"/>
      <c r="WDU416" s="80"/>
      <c r="WDV416" s="80"/>
      <c r="WDW416" s="80"/>
      <c r="WDX416" s="80"/>
      <c r="WDY416" s="80"/>
      <c r="WDZ416" s="80"/>
      <c r="WEA416" s="80"/>
      <c r="WEB416" s="80"/>
      <c r="WEC416" s="80"/>
      <c r="WED416" s="80"/>
      <c r="WEE416" s="80"/>
      <c r="WEF416" s="80"/>
      <c r="WEG416" s="80"/>
      <c r="WEH416" s="80"/>
      <c r="WEI416" s="80"/>
      <c r="WEJ416" s="80"/>
      <c r="WEK416" s="80"/>
      <c r="WEL416" s="80"/>
      <c r="WEM416" s="80"/>
      <c r="WEN416" s="80"/>
      <c r="WEO416" s="80"/>
      <c r="WEP416" s="80"/>
      <c r="WEQ416" s="80"/>
      <c r="WER416" s="80"/>
      <c r="WES416" s="80"/>
      <c r="WET416" s="80"/>
      <c r="WEU416" s="80"/>
      <c r="WEV416" s="80"/>
      <c r="WEW416" s="80"/>
      <c r="WEX416" s="80"/>
      <c r="WEY416" s="80"/>
      <c r="WEZ416" s="80"/>
      <c r="WFA416" s="80"/>
      <c r="WFB416" s="80"/>
      <c r="WFC416" s="80"/>
      <c r="WFD416" s="80"/>
      <c r="WFE416" s="80"/>
      <c r="WFF416" s="80"/>
      <c r="WFG416" s="80"/>
      <c r="WFH416" s="80"/>
      <c r="WFI416" s="80"/>
      <c r="WFJ416" s="80"/>
      <c r="WFK416" s="80"/>
      <c r="WFL416" s="80"/>
      <c r="WFM416" s="80"/>
      <c r="WFN416" s="80"/>
      <c r="WFO416" s="80"/>
      <c r="WFP416" s="80"/>
      <c r="WFQ416" s="80"/>
      <c r="WFR416" s="80"/>
      <c r="WFS416" s="80"/>
      <c r="WFT416" s="80"/>
      <c r="WFU416" s="80"/>
      <c r="WFV416" s="80"/>
      <c r="WFW416" s="80"/>
      <c r="WFX416" s="80"/>
      <c r="WFY416" s="80"/>
      <c r="WFZ416" s="80"/>
      <c r="WGA416" s="80"/>
      <c r="WGB416" s="80"/>
      <c r="WGC416" s="80"/>
      <c r="WGD416" s="80"/>
      <c r="WGE416" s="80"/>
      <c r="WGF416" s="80"/>
      <c r="WGG416" s="80"/>
      <c r="WGH416" s="80"/>
      <c r="WGI416" s="80"/>
      <c r="WGJ416" s="80"/>
      <c r="WGK416" s="80"/>
      <c r="WGL416" s="80"/>
      <c r="WGM416" s="80"/>
      <c r="WGN416" s="80"/>
      <c r="WGO416" s="80"/>
      <c r="WGP416" s="80"/>
      <c r="WGQ416" s="80"/>
      <c r="WGR416" s="80"/>
      <c r="WGS416" s="80"/>
      <c r="WGT416" s="80"/>
      <c r="WGU416" s="80"/>
      <c r="WGV416" s="80"/>
      <c r="WGW416" s="80"/>
      <c r="WGX416" s="80"/>
      <c r="WGY416" s="80"/>
      <c r="WGZ416" s="80"/>
      <c r="WHA416" s="80"/>
      <c r="WHB416" s="80"/>
      <c r="WHC416" s="80"/>
      <c r="WHD416" s="80"/>
      <c r="WHE416" s="80"/>
      <c r="WHF416" s="80"/>
      <c r="WHG416" s="80"/>
      <c r="WHH416" s="80"/>
      <c r="WHI416" s="80"/>
      <c r="WHJ416" s="80"/>
      <c r="WHK416" s="80"/>
      <c r="WHL416" s="80"/>
      <c r="WHM416" s="80"/>
      <c r="WHN416" s="80"/>
      <c r="WHO416" s="80"/>
      <c r="WHP416" s="80"/>
      <c r="WHQ416" s="80"/>
      <c r="WHR416" s="80"/>
      <c r="WHS416" s="80"/>
      <c r="WHT416" s="80"/>
      <c r="WHU416" s="80"/>
      <c r="WHV416" s="80"/>
      <c r="WHW416" s="80"/>
      <c r="WHX416" s="80"/>
      <c r="WHY416" s="80"/>
      <c r="WHZ416" s="80"/>
      <c r="WIA416" s="80"/>
      <c r="WIB416" s="80"/>
      <c r="WIC416" s="80"/>
      <c r="WID416" s="80"/>
      <c r="WIE416" s="80"/>
      <c r="WIF416" s="80"/>
      <c r="WIG416" s="80"/>
      <c r="WIH416" s="80"/>
      <c r="WII416" s="80"/>
      <c r="WIJ416" s="80"/>
      <c r="WIK416" s="80"/>
      <c r="WIL416" s="80"/>
      <c r="WIM416" s="80"/>
      <c r="WIN416" s="80"/>
      <c r="WIO416" s="80"/>
      <c r="WIP416" s="80"/>
      <c r="WIQ416" s="80"/>
      <c r="WIR416" s="80"/>
      <c r="WIS416" s="80"/>
      <c r="WIT416" s="80"/>
      <c r="WIU416" s="80"/>
      <c r="WIV416" s="80"/>
      <c r="WIW416" s="80"/>
      <c r="WIX416" s="80"/>
      <c r="WIY416" s="80"/>
      <c r="WIZ416" s="80"/>
      <c r="WJA416" s="80"/>
      <c r="WJB416" s="80"/>
      <c r="WJC416" s="80"/>
      <c r="WJD416" s="80"/>
      <c r="WJE416" s="80"/>
      <c r="WJF416" s="80"/>
      <c r="WJG416" s="80"/>
      <c r="WJH416" s="80"/>
      <c r="WJI416" s="80"/>
      <c r="WJJ416" s="80"/>
      <c r="WJK416" s="80"/>
      <c r="WJL416" s="80"/>
      <c r="WJM416" s="80"/>
      <c r="WJN416" s="80"/>
      <c r="WJO416" s="80"/>
      <c r="WJP416" s="80"/>
      <c r="WJQ416" s="80"/>
      <c r="WJR416" s="80"/>
      <c r="WJS416" s="80"/>
      <c r="WJT416" s="80"/>
      <c r="WJU416" s="80"/>
      <c r="WJV416" s="80"/>
      <c r="WJW416" s="80"/>
      <c r="WJX416" s="80"/>
      <c r="WJY416" s="80"/>
      <c r="WJZ416" s="80"/>
      <c r="WKA416" s="80"/>
      <c r="WKB416" s="80"/>
      <c r="WKC416" s="80"/>
      <c r="WKD416" s="80"/>
      <c r="WKE416" s="80"/>
      <c r="WKF416" s="80"/>
      <c r="WKG416" s="80"/>
      <c r="WKH416" s="80"/>
      <c r="WKI416" s="80"/>
      <c r="WKJ416" s="80"/>
      <c r="WKK416" s="80"/>
      <c r="WKL416" s="80"/>
      <c r="WKM416" s="80"/>
      <c r="WKN416" s="80"/>
      <c r="WKO416" s="80"/>
      <c r="WKP416" s="80"/>
      <c r="WKQ416" s="80"/>
      <c r="WKR416" s="80"/>
      <c r="WKS416" s="80"/>
      <c r="WKT416" s="80"/>
      <c r="WKU416" s="80"/>
      <c r="WKV416" s="80"/>
      <c r="WKW416" s="80"/>
      <c r="WKX416" s="80"/>
      <c r="WKY416" s="80"/>
      <c r="WKZ416" s="80"/>
      <c r="WLA416" s="80"/>
      <c r="WLB416" s="80"/>
      <c r="WLC416" s="80"/>
      <c r="WLD416" s="80"/>
      <c r="WLE416" s="80"/>
      <c r="WLF416" s="80"/>
      <c r="WLG416" s="80"/>
      <c r="WLH416" s="80"/>
      <c r="WLI416" s="80"/>
      <c r="WLJ416" s="80"/>
      <c r="WLK416" s="80"/>
      <c r="WLL416" s="80"/>
      <c r="WLM416" s="80"/>
      <c r="WLN416" s="80"/>
      <c r="WLO416" s="80"/>
      <c r="WLP416" s="80"/>
      <c r="WLQ416" s="80"/>
      <c r="WLR416" s="80"/>
      <c r="WLS416" s="80"/>
      <c r="WLT416" s="80"/>
      <c r="WLU416" s="80"/>
      <c r="WLV416" s="80"/>
      <c r="WLW416" s="80"/>
      <c r="WLX416" s="80"/>
      <c r="WLY416" s="80"/>
      <c r="WLZ416" s="80"/>
      <c r="WMA416" s="80"/>
      <c r="WMB416" s="80"/>
      <c r="WMC416" s="80"/>
      <c r="WMD416" s="80"/>
      <c r="WME416" s="80"/>
      <c r="WMF416" s="80"/>
      <c r="WMG416" s="80"/>
      <c r="WMH416" s="80"/>
      <c r="WMI416" s="80"/>
      <c r="WMJ416" s="80"/>
      <c r="WMK416" s="80"/>
      <c r="WML416" s="80"/>
      <c r="WMM416" s="80"/>
      <c r="WMN416" s="80"/>
      <c r="WMO416" s="80"/>
      <c r="WMP416" s="80"/>
      <c r="WMQ416" s="80"/>
      <c r="WMR416" s="80"/>
      <c r="WMS416" s="80"/>
      <c r="WMT416" s="80"/>
      <c r="WMU416" s="80"/>
      <c r="WMV416" s="80"/>
      <c r="WMW416" s="80"/>
      <c r="WMX416" s="80"/>
      <c r="WMY416" s="80"/>
      <c r="WMZ416" s="80"/>
      <c r="WNA416" s="80"/>
      <c r="WNB416" s="80"/>
      <c r="WNC416" s="80"/>
      <c r="WND416" s="80"/>
      <c r="WNE416" s="80"/>
      <c r="WNF416" s="80"/>
      <c r="WNG416" s="80"/>
      <c r="WNH416" s="80"/>
      <c r="WNI416" s="80"/>
      <c r="WNJ416" s="80"/>
      <c r="WNK416" s="80"/>
      <c r="WNL416" s="80"/>
      <c r="WNM416" s="80"/>
      <c r="WNN416" s="80"/>
      <c r="WNO416" s="80"/>
      <c r="WNP416" s="80"/>
      <c r="WNQ416" s="80"/>
      <c r="WNR416" s="80"/>
      <c r="WNS416" s="80"/>
      <c r="WNT416" s="80"/>
      <c r="WNU416" s="80"/>
      <c r="WNV416" s="80"/>
      <c r="WNW416" s="80"/>
      <c r="WNX416" s="80"/>
      <c r="WNY416" s="80"/>
      <c r="WNZ416" s="80"/>
      <c r="WOA416" s="80"/>
      <c r="WOB416" s="80"/>
      <c r="WOC416" s="80"/>
      <c r="WOD416" s="80"/>
      <c r="WOE416" s="80"/>
      <c r="WOF416" s="80"/>
      <c r="WOG416" s="80"/>
      <c r="WOH416" s="80"/>
      <c r="WOI416" s="80"/>
      <c r="WOJ416" s="80"/>
      <c r="WOK416" s="80"/>
      <c r="WOL416" s="80"/>
      <c r="WOM416" s="80"/>
      <c r="WON416" s="80"/>
      <c r="WOO416" s="80"/>
      <c r="WOP416" s="80"/>
      <c r="WOQ416" s="80"/>
      <c r="WOR416" s="80"/>
      <c r="WOS416" s="80"/>
      <c r="WOT416" s="80"/>
      <c r="WOU416" s="80"/>
      <c r="WOV416" s="80"/>
      <c r="WOW416" s="80"/>
      <c r="WOX416" s="80"/>
      <c r="WOY416" s="80"/>
      <c r="WOZ416" s="80"/>
      <c r="WPA416" s="80"/>
      <c r="WPB416" s="80"/>
      <c r="WPC416" s="80"/>
      <c r="WPD416" s="80"/>
      <c r="WPE416" s="80"/>
      <c r="WPF416" s="80"/>
      <c r="WPG416" s="80"/>
      <c r="WPH416" s="80"/>
      <c r="WPI416" s="80"/>
      <c r="WPJ416" s="80"/>
      <c r="WPK416" s="80"/>
      <c r="WPL416" s="80"/>
      <c r="WPM416" s="80"/>
      <c r="WPN416" s="80"/>
      <c r="WPO416" s="80"/>
      <c r="WPP416" s="80"/>
      <c r="WPQ416" s="80"/>
      <c r="WPR416" s="80"/>
      <c r="WPS416" s="80"/>
      <c r="WPT416" s="80"/>
      <c r="WPU416" s="80"/>
      <c r="WPV416" s="80"/>
      <c r="WPW416" s="80"/>
      <c r="WPX416" s="80"/>
      <c r="WPY416" s="80"/>
      <c r="WPZ416" s="80"/>
      <c r="WQA416" s="80"/>
      <c r="WQB416" s="80"/>
      <c r="WQC416" s="80"/>
      <c r="WQD416" s="80"/>
      <c r="WQE416" s="80"/>
      <c r="WQF416" s="80"/>
      <c r="WQG416" s="80"/>
      <c r="WQH416" s="80"/>
      <c r="WQI416" s="80"/>
      <c r="WQJ416" s="80"/>
      <c r="WQK416" s="80"/>
      <c r="WQL416" s="80"/>
      <c r="WQM416" s="80"/>
      <c r="WQN416" s="80"/>
      <c r="WQO416" s="80"/>
      <c r="WQP416" s="80"/>
      <c r="WQQ416" s="80"/>
      <c r="WQR416" s="80"/>
      <c r="WQS416" s="80"/>
      <c r="WQT416" s="80"/>
      <c r="WQU416" s="80"/>
      <c r="WQV416" s="80"/>
      <c r="WQW416" s="80"/>
      <c r="WQX416" s="80"/>
      <c r="WQY416" s="80"/>
      <c r="WQZ416" s="80"/>
      <c r="WRA416" s="80"/>
      <c r="WRB416" s="80"/>
      <c r="WRC416" s="80"/>
      <c r="WRD416" s="80"/>
      <c r="WRE416" s="80"/>
      <c r="WRF416" s="80"/>
      <c r="WRG416" s="80"/>
      <c r="WRH416" s="80"/>
      <c r="WRI416" s="80"/>
      <c r="WRJ416" s="80"/>
      <c r="WRK416" s="80"/>
      <c r="WRL416" s="80"/>
      <c r="WRM416" s="80"/>
      <c r="WRN416" s="80"/>
      <c r="WRO416" s="80"/>
      <c r="WRP416" s="80"/>
      <c r="WRQ416" s="80"/>
      <c r="WRR416" s="80"/>
      <c r="WRS416" s="80"/>
      <c r="WRT416" s="80"/>
      <c r="WRU416" s="80"/>
      <c r="WRV416" s="80"/>
      <c r="WRW416" s="80"/>
      <c r="WRX416" s="80"/>
      <c r="WRY416" s="80"/>
      <c r="WRZ416" s="80"/>
      <c r="WSA416" s="80"/>
      <c r="WSB416" s="80"/>
      <c r="WSC416" s="80"/>
      <c r="WSD416" s="80"/>
      <c r="WSE416" s="80"/>
      <c r="WSF416" s="80"/>
      <c r="WSG416" s="80"/>
      <c r="WSH416" s="80"/>
      <c r="WSI416" s="80"/>
      <c r="WSJ416" s="80"/>
      <c r="WSK416" s="80"/>
      <c r="WSL416" s="80"/>
      <c r="WSM416" s="80"/>
      <c r="WSN416" s="80"/>
      <c r="WSO416" s="80"/>
      <c r="WSP416" s="80"/>
      <c r="WSQ416" s="80"/>
      <c r="WSR416" s="80"/>
      <c r="WSS416" s="80"/>
      <c r="WST416" s="80"/>
      <c r="WSU416" s="80"/>
      <c r="WSV416" s="80"/>
      <c r="WSW416" s="80"/>
      <c r="WSX416" s="80"/>
      <c r="WSY416" s="80"/>
      <c r="WSZ416" s="80"/>
      <c r="WTA416" s="80"/>
      <c r="WTB416" s="80"/>
      <c r="WTC416" s="80"/>
      <c r="WTD416" s="80"/>
      <c r="WTE416" s="80"/>
      <c r="WTF416" s="80"/>
      <c r="WTG416" s="80"/>
      <c r="WTH416" s="80"/>
      <c r="WTI416" s="80"/>
      <c r="WTJ416" s="80"/>
      <c r="WTK416" s="80"/>
      <c r="WTL416" s="80"/>
      <c r="WTM416" s="80"/>
      <c r="WTN416" s="80"/>
      <c r="WTO416" s="80"/>
      <c r="WTP416" s="80"/>
      <c r="WTQ416" s="80"/>
      <c r="WTR416" s="80"/>
      <c r="WTS416" s="80"/>
      <c r="WTT416" s="80"/>
      <c r="WTU416" s="80"/>
      <c r="WTV416" s="80"/>
      <c r="WTW416" s="80"/>
      <c r="WTX416" s="80"/>
      <c r="WTY416" s="80"/>
      <c r="WTZ416" s="80"/>
      <c r="WUA416" s="80"/>
      <c r="WUB416" s="80"/>
      <c r="WUC416" s="80"/>
      <c r="WUD416" s="80"/>
      <c r="WUE416" s="80"/>
      <c r="WUF416" s="80"/>
      <c r="WUG416" s="80"/>
      <c r="WUH416" s="80"/>
      <c r="WUI416" s="80"/>
      <c r="WUJ416" s="80"/>
      <c r="WUK416" s="80"/>
      <c r="WUL416" s="80"/>
      <c r="WUM416" s="80"/>
      <c r="WUN416" s="80"/>
      <c r="WUO416" s="80"/>
      <c r="WUP416" s="80"/>
      <c r="WUQ416" s="80"/>
      <c r="WUR416" s="80"/>
      <c r="WUS416" s="80"/>
      <c r="WUT416" s="80"/>
      <c r="WUU416" s="80"/>
      <c r="WUV416" s="80"/>
      <c r="WUW416" s="80"/>
      <c r="WUX416" s="80"/>
      <c r="WUY416" s="80"/>
      <c r="WUZ416" s="80"/>
      <c r="WVA416" s="80"/>
      <c r="WVB416" s="80"/>
      <c r="WVC416" s="80"/>
      <c r="WVD416" s="80"/>
      <c r="WVE416" s="80"/>
      <c r="WVF416" s="80"/>
      <c r="WVG416" s="80"/>
      <c r="WVH416" s="80"/>
      <c r="WVI416" s="80"/>
      <c r="WVJ416" s="80"/>
      <c r="WVK416" s="80"/>
      <c r="WVL416" s="80"/>
      <c r="WVM416" s="80"/>
      <c r="WVN416" s="80"/>
      <c r="WVO416" s="80"/>
      <c r="WVP416" s="80"/>
      <c r="WVQ416" s="80"/>
      <c r="WVR416" s="80"/>
      <c r="WVS416" s="80"/>
      <c r="WVT416" s="80"/>
      <c r="WVU416" s="80"/>
      <c r="WVV416" s="80"/>
      <c r="WVW416" s="80"/>
      <c r="WVX416" s="80"/>
      <c r="WVY416" s="80"/>
      <c r="WVZ416" s="80"/>
      <c r="WWA416" s="80"/>
      <c r="WWB416" s="80"/>
      <c r="WWC416" s="80"/>
      <c r="WWD416" s="80"/>
      <c r="WWE416" s="80"/>
      <c r="WWF416" s="80"/>
      <c r="WWG416" s="80"/>
      <c r="WWH416" s="80"/>
      <c r="WWI416" s="80"/>
      <c r="WWJ416" s="80"/>
      <c r="WWK416" s="80"/>
      <c r="WWL416" s="80"/>
      <c r="WWM416" s="80"/>
      <c r="WWN416" s="80"/>
      <c r="WWO416" s="80"/>
      <c r="WWP416" s="80"/>
      <c r="WWQ416" s="80"/>
      <c r="WWR416" s="80"/>
      <c r="WWS416" s="80"/>
      <c r="WWT416" s="80"/>
      <c r="WWU416" s="80"/>
      <c r="WWV416" s="80"/>
      <c r="WWW416" s="80"/>
      <c r="WWX416" s="80"/>
      <c r="WWY416" s="80"/>
      <c r="WWZ416" s="80"/>
      <c r="WXA416" s="80"/>
      <c r="WXB416" s="80"/>
      <c r="WXC416" s="80"/>
      <c r="WXD416" s="80"/>
      <c r="WXE416" s="80"/>
      <c r="WXF416" s="80"/>
      <c r="WXG416" s="80"/>
      <c r="WXH416" s="80"/>
      <c r="WXI416" s="80"/>
      <c r="WXJ416" s="80"/>
      <c r="WXK416" s="80"/>
      <c r="WXL416" s="80"/>
      <c r="WXM416" s="80"/>
      <c r="WXN416" s="80"/>
      <c r="WXO416" s="80"/>
      <c r="WXP416" s="80"/>
      <c r="WXQ416" s="80"/>
      <c r="WXR416" s="80"/>
      <c r="WXS416" s="80"/>
      <c r="WXT416" s="80"/>
      <c r="WXU416" s="80"/>
      <c r="WXV416" s="80"/>
      <c r="WXW416" s="80"/>
      <c r="WXX416" s="80"/>
      <c r="WXY416" s="80"/>
      <c r="WXZ416" s="80"/>
      <c r="WYA416" s="80"/>
      <c r="WYB416" s="80"/>
      <c r="WYC416" s="80"/>
      <c r="WYD416" s="80"/>
      <c r="WYE416" s="80"/>
      <c r="WYF416" s="80"/>
      <c r="WYG416" s="80"/>
      <c r="WYH416" s="80"/>
      <c r="WYI416" s="80"/>
      <c r="WYJ416" s="80"/>
      <c r="WYK416" s="80"/>
      <c r="WYL416" s="80"/>
      <c r="WYM416" s="80"/>
      <c r="WYN416" s="80"/>
      <c r="WYO416" s="80"/>
      <c r="WYP416" s="80"/>
      <c r="WYQ416" s="80"/>
      <c r="WYR416" s="80"/>
      <c r="WYS416" s="80"/>
      <c r="WYT416" s="80"/>
      <c r="WYU416" s="80"/>
      <c r="WYV416" s="80"/>
      <c r="WYW416" s="80"/>
      <c r="WYX416" s="80"/>
      <c r="WYY416" s="80"/>
      <c r="WYZ416" s="80"/>
      <c r="WZA416" s="80"/>
      <c r="WZB416" s="80"/>
      <c r="WZC416" s="80"/>
      <c r="WZD416" s="80"/>
      <c r="WZE416" s="80"/>
      <c r="WZF416" s="80"/>
      <c r="WZG416" s="80"/>
      <c r="WZH416" s="80"/>
      <c r="WZI416" s="80"/>
      <c r="WZJ416" s="80"/>
      <c r="WZK416" s="80"/>
      <c r="WZL416" s="80"/>
      <c r="WZM416" s="80"/>
      <c r="WZN416" s="80"/>
      <c r="WZO416" s="80"/>
      <c r="WZP416" s="80"/>
      <c r="WZQ416" s="80"/>
      <c r="WZR416" s="80"/>
      <c r="WZS416" s="80"/>
      <c r="WZT416" s="80"/>
      <c r="WZU416" s="80"/>
      <c r="WZV416" s="80"/>
      <c r="WZW416" s="80"/>
      <c r="WZX416" s="80"/>
      <c r="WZY416" s="80"/>
      <c r="WZZ416" s="80"/>
      <c r="XAA416" s="80"/>
      <c r="XAB416" s="80"/>
      <c r="XAC416" s="80"/>
      <c r="XAD416" s="80"/>
      <c r="XAE416" s="80"/>
      <c r="XAF416" s="80"/>
      <c r="XAG416" s="80"/>
      <c r="XAH416" s="80"/>
      <c r="XAI416" s="80"/>
      <c r="XAJ416" s="80"/>
      <c r="XAK416" s="80"/>
      <c r="XAL416" s="80"/>
      <c r="XAM416" s="80"/>
      <c r="XAN416" s="80"/>
      <c r="XAO416" s="80"/>
      <c r="XAP416" s="80"/>
      <c r="XAQ416" s="80"/>
      <c r="XAR416" s="80"/>
      <c r="XAS416" s="80"/>
      <c r="XAT416" s="80"/>
      <c r="XAU416" s="80"/>
      <c r="XAV416" s="80"/>
      <c r="XAW416" s="80"/>
      <c r="XAX416" s="80"/>
      <c r="XAY416" s="80"/>
      <c r="XAZ416" s="80"/>
      <c r="XBA416" s="80"/>
      <c r="XBB416" s="80"/>
      <c r="XBC416" s="80"/>
      <c r="XBD416" s="80"/>
      <c r="XBE416" s="80"/>
      <c r="XBF416" s="80"/>
      <c r="XBG416" s="80"/>
      <c r="XBH416" s="80"/>
      <c r="XBI416" s="80"/>
      <c r="XBJ416" s="80"/>
      <c r="XBK416" s="80"/>
      <c r="XBL416" s="80"/>
      <c r="XBM416" s="80"/>
      <c r="XBN416" s="80"/>
      <c r="XBO416" s="80"/>
      <c r="XBP416" s="80"/>
      <c r="XBQ416" s="80"/>
      <c r="XBR416" s="80"/>
      <c r="XBS416" s="80"/>
      <c r="XBT416" s="80"/>
      <c r="XBU416" s="3"/>
      <c r="XBV416" s="3"/>
      <c r="XBW416" s="3"/>
      <c r="XBX416" s="3"/>
      <c r="XBY416" s="3"/>
      <c r="XBZ416" s="3"/>
      <c r="XCA416" s="3"/>
      <c r="XCB416" s="3"/>
      <c r="XCC416" s="3"/>
      <c r="XCD416" s="3"/>
      <c r="XCE416" s="3"/>
      <c r="XCF416" s="3"/>
      <c r="XCG416" s="3"/>
      <c r="XCH416" s="3"/>
      <c r="XCI416" s="3"/>
      <c r="XCJ416" s="3"/>
      <c r="XCK416" s="3"/>
      <c r="XCL416" s="3"/>
      <c r="XCM416" s="3"/>
      <c r="XCN416" s="3"/>
      <c r="XCO416" s="3"/>
      <c r="XCP416" s="3"/>
      <c r="XCQ416" s="3"/>
      <c r="XCR416" s="3"/>
      <c r="XCS416" s="3"/>
      <c r="XCT416" s="3"/>
      <c r="XCU416" s="3"/>
      <c r="XCV416" s="3"/>
      <c r="XCW416" s="3"/>
      <c r="XCX416" s="3"/>
      <c r="XCY416" s="3"/>
      <c r="XCZ416" s="3"/>
      <c r="XDA416" s="3"/>
      <c r="XDB416" s="3"/>
      <c r="XDC416" s="3"/>
      <c r="XDD416" s="3"/>
      <c r="XDE416" s="3"/>
      <c r="XDF416" s="3"/>
      <c r="XDG416" s="3"/>
      <c r="XDH416" s="3"/>
      <c r="XDI416" s="3"/>
      <c r="XDJ416" s="3"/>
      <c r="XDK416" s="3"/>
      <c r="XDL416" s="3"/>
      <c r="XDM416" s="3"/>
      <c r="XDN416" s="3"/>
      <c r="XDO416" s="3"/>
      <c r="XDP416" s="3"/>
      <c r="XDQ416" s="3"/>
      <c r="XDR416" s="3"/>
      <c r="XDS416" s="3"/>
      <c r="XDT416" s="3"/>
      <c r="XDU416" s="3"/>
    </row>
    <row r="417" customHeight="1" spans="1:1024 1025:16349">
      <c r="B417" s="54"/>
      <c r="C417" s="55"/>
      <c r="D417" s="55"/>
      <c r="E417" s="54"/>
      <c r="F417" s="156"/>
      <c r="G417" s="68">
        <v>0</v>
      </c>
      <c r="H417" s="25">
        <f t="shared" si="29"/>
        <v>0</v>
      </c>
    </row>
    <row r="418" s="4" customFormat="1" customHeight="1" spans="1:1024 1025:16349">
      <c r="A418" s="81"/>
      <c r="B418" s="58" t="s">
        <v>823</v>
      </c>
      <c r="C418" s="59" t="s">
        <v>824</v>
      </c>
      <c r="D418" s="60" t="s">
        <v>825</v>
      </c>
      <c r="E418" s="61"/>
      <c r="F418" s="157"/>
      <c r="G418" s="68">
        <v>0</v>
      </c>
      <c r="H418" s="25">
        <f t="shared" si="29"/>
        <v>0</v>
      </c>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c r="CG418" s="2"/>
      <c r="CH418" s="2"/>
      <c r="CI418" s="2"/>
      <c r="CJ418" s="2"/>
      <c r="CK418" s="2"/>
      <c r="CL418" s="2"/>
      <c r="CM418" s="2"/>
      <c r="CN418" s="2"/>
      <c r="CO418" s="2"/>
      <c r="CP418" s="2"/>
      <c r="CQ418" s="2"/>
      <c r="CR418" s="2"/>
      <c r="CS418" s="2"/>
      <c r="CT418" s="2"/>
      <c r="CU418" s="2"/>
      <c r="CV418" s="2"/>
      <c r="CW418" s="2"/>
      <c r="CX418" s="2"/>
      <c r="CY418" s="2"/>
      <c r="CZ418" s="2"/>
      <c r="DA418" s="2"/>
      <c r="DB418" s="2"/>
      <c r="DC418" s="2"/>
      <c r="DD418" s="2"/>
      <c r="DE418" s="2"/>
      <c r="DF418" s="2"/>
      <c r="DG418" s="2"/>
      <c r="DH418" s="2"/>
      <c r="DI418" s="2"/>
      <c r="DJ418" s="2"/>
      <c r="DK418" s="2"/>
      <c r="DL418" s="2"/>
      <c r="DM418" s="2"/>
      <c r="DN418" s="2"/>
      <c r="DO418" s="2"/>
      <c r="DP418" s="2"/>
      <c r="DQ418" s="2"/>
      <c r="DR418" s="2"/>
      <c r="DS418" s="2"/>
      <c r="DT418" s="2"/>
      <c r="DU418" s="2"/>
      <c r="DV418" s="2"/>
      <c r="DW418" s="2"/>
      <c r="DX418" s="2"/>
      <c r="DY418" s="2"/>
      <c r="DZ418" s="2"/>
      <c r="EA418" s="2"/>
      <c r="EB418" s="2"/>
      <c r="EC418" s="2"/>
      <c r="ED418" s="2"/>
      <c r="EE418" s="2"/>
      <c r="EF418" s="2"/>
      <c r="EG418" s="2"/>
      <c r="EH418" s="2"/>
      <c r="EI418" s="2"/>
      <c r="EJ418" s="2"/>
      <c r="EK418" s="2"/>
      <c r="EL418" s="2"/>
      <c r="EM418" s="2"/>
      <c r="EN418" s="2"/>
      <c r="EO418" s="2"/>
      <c r="EP418" s="2"/>
      <c r="EQ418" s="2"/>
      <c r="ER418" s="2"/>
      <c r="ES418" s="2"/>
      <c r="ET418" s="2"/>
      <c r="EU418" s="2"/>
      <c r="EV418" s="2"/>
      <c r="EW418" s="2"/>
      <c r="EX418" s="2"/>
      <c r="EY418" s="2"/>
      <c r="EZ418" s="2"/>
      <c r="FA418" s="2"/>
      <c r="FB418" s="2"/>
      <c r="FC418" s="2"/>
      <c r="FD418" s="2"/>
      <c r="FE418" s="2"/>
      <c r="FF418" s="2"/>
      <c r="FG418" s="2"/>
      <c r="FH418" s="2"/>
      <c r="FI418" s="2"/>
      <c r="FJ418" s="2"/>
      <c r="FK418" s="2"/>
      <c r="FL418" s="2"/>
      <c r="FM418" s="2"/>
      <c r="FN418" s="2"/>
      <c r="FO418" s="2"/>
      <c r="FP418" s="2"/>
      <c r="FQ418" s="2"/>
      <c r="FR418" s="2"/>
      <c r="FS418" s="2"/>
      <c r="FT418" s="2"/>
      <c r="FU418" s="2"/>
      <c r="FV418" s="2"/>
      <c r="FW418" s="2"/>
      <c r="FX418" s="2"/>
      <c r="FY418" s="2"/>
      <c r="FZ418" s="2"/>
      <c r="GA418" s="2"/>
      <c r="GB418" s="2"/>
      <c r="GC418" s="2"/>
      <c r="GD418" s="2"/>
      <c r="GE418" s="2"/>
      <c r="GF418" s="2"/>
      <c r="GG418" s="2"/>
      <c r="GH418" s="2"/>
      <c r="GI418" s="2"/>
      <c r="GJ418" s="2"/>
      <c r="GK418" s="2"/>
      <c r="GL418" s="2"/>
      <c r="GM418" s="2"/>
      <c r="GN418" s="2"/>
      <c r="GO418" s="2"/>
      <c r="GP418" s="2"/>
      <c r="GQ418" s="2"/>
      <c r="GR418" s="2"/>
      <c r="GS418" s="2"/>
      <c r="GT418" s="2"/>
      <c r="GU418" s="2"/>
      <c r="GV418" s="2"/>
      <c r="GW418" s="2"/>
      <c r="GX418" s="2"/>
      <c r="GY418" s="2"/>
      <c r="GZ418" s="2"/>
      <c r="HA418" s="2"/>
      <c r="HB418" s="2"/>
      <c r="HC418" s="2"/>
      <c r="HD418" s="2"/>
      <c r="HE418" s="2"/>
      <c r="HF418" s="2"/>
      <c r="HG418" s="2"/>
      <c r="HH418" s="2"/>
      <c r="HI418" s="2"/>
      <c r="HJ418" s="2"/>
      <c r="HK418" s="2"/>
      <c r="HL418" s="2"/>
      <c r="HM418" s="2"/>
      <c r="HN418" s="2"/>
      <c r="HO418" s="2"/>
      <c r="HP418" s="2"/>
      <c r="HQ418" s="2"/>
      <c r="HR418" s="2"/>
      <c r="HS418" s="2"/>
      <c r="HT418" s="2"/>
      <c r="HU418" s="2"/>
      <c r="HV418" s="2"/>
      <c r="HW418" s="2"/>
      <c r="HX418" s="2"/>
      <c r="HY418" s="2"/>
      <c r="HZ418" s="2"/>
      <c r="IA418" s="2"/>
      <c r="IB418" s="2"/>
      <c r="IC418" s="2"/>
      <c r="ID418" s="2"/>
      <c r="IE418" s="2"/>
      <c r="IF418" s="2"/>
      <c r="IG418" s="2"/>
      <c r="IH418" s="2"/>
      <c r="II418" s="2"/>
      <c r="IJ418" s="2"/>
      <c r="IK418" s="2"/>
      <c r="IL418" s="2"/>
      <c r="IM418" s="2"/>
      <c r="IN418" s="2"/>
      <c r="IO418" s="2"/>
      <c r="IP418" s="2"/>
      <c r="IQ418" s="2"/>
      <c r="IR418" s="2"/>
      <c r="IS418" s="2"/>
      <c r="IT418" s="2"/>
      <c r="IU418" s="2"/>
      <c r="IV418" s="2"/>
      <c r="IW418" s="2"/>
      <c r="IX418" s="2"/>
      <c r="IY418" s="2"/>
      <c r="IZ418" s="2"/>
      <c r="JA418" s="2"/>
      <c r="JB418" s="2"/>
      <c r="JC418" s="2"/>
      <c r="JD418" s="2"/>
      <c r="JE418" s="2"/>
      <c r="JF418" s="2"/>
      <c r="JG418" s="2"/>
      <c r="JH418" s="2"/>
      <c r="JI418" s="2"/>
      <c r="JJ418" s="2"/>
      <c r="JK418" s="2"/>
      <c r="JL418" s="2"/>
      <c r="JM418" s="2"/>
      <c r="JN418" s="2"/>
      <c r="JO418" s="2"/>
      <c r="JP418" s="2"/>
      <c r="JQ418" s="2"/>
      <c r="JR418" s="2"/>
      <c r="JS418" s="2"/>
      <c r="JT418" s="2"/>
      <c r="JU418" s="2"/>
      <c r="JV418" s="2"/>
      <c r="JW418" s="2"/>
      <c r="JX418" s="2"/>
      <c r="JY418" s="2"/>
      <c r="JZ418" s="2"/>
      <c r="KA418" s="2"/>
      <c r="KB418" s="2"/>
      <c r="KC418" s="2"/>
      <c r="KD418" s="2"/>
      <c r="KE418" s="2"/>
      <c r="KF418" s="2"/>
      <c r="KG418" s="2"/>
      <c r="KH418" s="2"/>
      <c r="KI418" s="2"/>
      <c r="KJ418" s="2"/>
      <c r="KK418" s="2"/>
      <c r="KL418" s="2"/>
      <c r="KM418" s="2"/>
      <c r="KN418" s="2"/>
      <c r="KO418" s="2"/>
      <c r="KP418" s="2"/>
      <c r="KQ418" s="2"/>
      <c r="KR418" s="2"/>
      <c r="KS418" s="2"/>
      <c r="KT418" s="2"/>
      <c r="KU418" s="2"/>
      <c r="KV418" s="2"/>
      <c r="KW418" s="2"/>
      <c r="KX418" s="2"/>
      <c r="KY418" s="2"/>
      <c r="KZ418" s="2"/>
      <c r="LA418" s="2"/>
      <c r="LB418" s="2"/>
      <c r="LC418" s="2"/>
      <c r="LD418" s="2"/>
      <c r="LE418" s="2"/>
      <c r="LF418" s="2"/>
      <c r="LG418" s="2"/>
      <c r="LH418" s="2"/>
      <c r="LI418" s="2"/>
      <c r="LJ418" s="2"/>
      <c r="LK418" s="2"/>
      <c r="LL418" s="2"/>
      <c r="LM418" s="2"/>
      <c r="LN418" s="2"/>
      <c r="LO418" s="2"/>
      <c r="LP418" s="2"/>
      <c r="LQ418" s="2"/>
      <c r="LR418" s="2"/>
      <c r="LS418" s="2"/>
      <c r="LT418" s="2"/>
      <c r="LU418" s="2"/>
      <c r="LV418" s="2"/>
      <c r="LW418" s="2"/>
      <c r="LX418" s="2"/>
      <c r="LY418" s="2"/>
      <c r="LZ418" s="2"/>
      <c r="MA418" s="2"/>
      <c r="MB418" s="2"/>
      <c r="MC418" s="2"/>
      <c r="MD418" s="2"/>
      <c r="ME418" s="2"/>
      <c r="MF418" s="2"/>
      <c r="MG418" s="2"/>
      <c r="MH418" s="2"/>
      <c r="MI418" s="2"/>
      <c r="MJ418" s="2"/>
      <c r="MK418" s="2"/>
      <c r="ML418" s="2"/>
      <c r="MM418" s="2"/>
      <c r="MN418" s="2"/>
      <c r="MO418" s="2"/>
      <c r="MP418" s="2"/>
      <c r="MQ418" s="2"/>
      <c r="MR418" s="2"/>
      <c r="MS418" s="2"/>
      <c r="MT418" s="2"/>
      <c r="MU418" s="2"/>
      <c r="MV418" s="2"/>
      <c r="MW418" s="2"/>
      <c r="MX418" s="2"/>
      <c r="MY418" s="2"/>
      <c r="MZ418" s="2"/>
      <c r="NA418" s="2"/>
      <c r="NB418" s="2"/>
      <c r="NC418" s="2"/>
      <c r="ND418" s="2"/>
      <c r="NE418" s="2"/>
      <c r="NF418" s="2"/>
      <c r="NG418" s="2"/>
      <c r="NH418" s="2"/>
      <c r="NI418" s="2"/>
      <c r="NJ418" s="2"/>
      <c r="NK418" s="2"/>
      <c r="NL418" s="2"/>
      <c r="NM418" s="2"/>
      <c r="NN418" s="2"/>
      <c r="NO418" s="2"/>
      <c r="NP418" s="2"/>
      <c r="NQ418" s="2"/>
      <c r="NR418" s="2"/>
      <c r="NS418" s="2"/>
      <c r="NT418" s="2"/>
      <c r="NU418" s="2"/>
      <c r="NV418" s="2"/>
      <c r="NW418" s="2"/>
      <c r="NX418" s="2"/>
      <c r="NY418" s="2"/>
      <c r="NZ418" s="2"/>
      <c r="OA418" s="2"/>
      <c r="OB418" s="2"/>
      <c r="OC418" s="2"/>
      <c r="OD418" s="2"/>
      <c r="OE418" s="2"/>
      <c r="OF418" s="2"/>
      <c r="OG418" s="2"/>
      <c r="OH418" s="2"/>
      <c r="OI418" s="2"/>
      <c r="OJ418" s="2"/>
      <c r="OK418" s="2"/>
      <c r="OL418" s="2"/>
      <c r="OM418" s="2"/>
      <c r="ON418" s="2"/>
      <c r="OO418" s="2"/>
      <c r="OP418" s="2"/>
      <c r="OQ418" s="2"/>
      <c r="OR418" s="2"/>
      <c r="OS418" s="2"/>
      <c r="OT418" s="2"/>
      <c r="OU418" s="2"/>
      <c r="OV418" s="2"/>
      <c r="OW418" s="2"/>
      <c r="OX418" s="2"/>
      <c r="OY418" s="2"/>
      <c r="OZ418" s="2"/>
      <c r="PA418" s="2"/>
      <c r="PB418" s="2"/>
      <c r="PC418" s="2"/>
      <c r="PD418" s="2"/>
      <c r="PE418" s="2"/>
      <c r="PF418" s="2"/>
      <c r="PG418" s="2"/>
      <c r="PH418" s="2"/>
      <c r="PI418" s="2"/>
      <c r="PJ418" s="2"/>
      <c r="PK418" s="2"/>
      <c r="PL418" s="2"/>
      <c r="PM418" s="2"/>
      <c r="PN418" s="2"/>
      <c r="PO418" s="2"/>
      <c r="PP418" s="2"/>
      <c r="PQ418" s="2"/>
      <c r="PR418" s="2"/>
      <c r="PS418" s="2"/>
      <c r="PT418" s="2"/>
      <c r="PU418" s="2"/>
      <c r="PV418" s="2"/>
      <c r="PW418" s="2"/>
      <c r="PX418" s="2"/>
      <c r="PY418" s="2"/>
      <c r="PZ418" s="2"/>
      <c r="QA418" s="2"/>
      <c r="QB418" s="2"/>
      <c r="QC418" s="2"/>
      <c r="QD418" s="2"/>
      <c r="QE418" s="2"/>
      <c r="QF418" s="2"/>
      <c r="QG418" s="2"/>
      <c r="QH418" s="2"/>
      <c r="QI418" s="2"/>
      <c r="QJ418" s="2"/>
      <c r="QK418" s="2"/>
      <c r="QL418" s="2"/>
      <c r="QM418" s="2"/>
      <c r="QN418" s="2"/>
      <c r="QO418" s="2"/>
      <c r="QP418" s="2"/>
      <c r="QQ418" s="2"/>
      <c r="QR418" s="2"/>
      <c r="QS418" s="2"/>
      <c r="QT418" s="2"/>
      <c r="QU418" s="2"/>
      <c r="QV418" s="2"/>
      <c r="QW418" s="2"/>
      <c r="QX418" s="2"/>
      <c r="QY418" s="2"/>
      <c r="QZ418" s="2"/>
      <c r="RA418" s="2"/>
      <c r="RB418" s="2"/>
      <c r="RC418" s="2"/>
      <c r="RD418" s="2"/>
      <c r="RE418" s="2"/>
      <c r="RF418" s="2"/>
      <c r="RG418" s="2"/>
      <c r="RH418" s="2"/>
      <c r="RI418" s="2"/>
      <c r="RJ418" s="2"/>
      <c r="RK418" s="2"/>
      <c r="RL418" s="2"/>
      <c r="RM418" s="2"/>
      <c r="RN418" s="2"/>
      <c r="RO418" s="2"/>
      <c r="RP418" s="2"/>
      <c r="RQ418" s="2"/>
      <c r="RR418" s="2"/>
      <c r="RS418" s="2"/>
      <c r="RT418" s="2"/>
      <c r="RU418" s="2"/>
      <c r="RV418" s="2"/>
      <c r="RW418" s="2"/>
      <c r="RX418" s="2"/>
      <c r="RY418" s="2"/>
      <c r="RZ418" s="2"/>
      <c r="SA418" s="2"/>
      <c r="SB418" s="2"/>
      <c r="SC418" s="2"/>
      <c r="SD418" s="2"/>
      <c r="SE418" s="2"/>
      <c r="SF418" s="2"/>
      <c r="SG418" s="2"/>
      <c r="SH418" s="2"/>
      <c r="SI418" s="2"/>
      <c r="SJ418" s="2"/>
      <c r="SK418" s="2"/>
      <c r="SL418" s="2"/>
      <c r="SM418" s="2"/>
      <c r="SN418" s="2"/>
      <c r="SO418" s="2"/>
      <c r="SP418" s="2"/>
      <c r="SQ418" s="2"/>
      <c r="SR418" s="2"/>
      <c r="SS418" s="2"/>
      <c r="ST418" s="2"/>
      <c r="SU418" s="2"/>
      <c r="SV418" s="2"/>
      <c r="SW418" s="2"/>
      <c r="SX418" s="2"/>
      <c r="SY418" s="2"/>
      <c r="SZ418" s="2"/>
      <c r="TA418" s="2"/>
      <c r="TB418" s="2"/>
      <c r="TC418" s="2"/>
      <c r="TD418" s="2"/>
      <c r="TE418" s="2"/>
      <c r="TF418" s="2"/>
      <c r="TG418" s="2"/>
      <c r="TH418" s="2"/>
      <c r="TI418" s="2"/>
      <c r="TJ418" s="2"/>
      <c r="TK418" s="2"/>
      <c r="TL418" s="2"/>
      <c r="TM418" s="2"/>
      <c r="TN418" s="2"/>
      <c r="TO418" s="2"/>
      <c r="TP418" s="2"/>
      <c r="TQ418" s="2"/>
      <c r="TR418" s="2"/>
      <c r="TS418" s="2"/>
      <c r="TT418" s="2"/>
      <c r="TU418" s="2"/>
      <c r="TV418" s="2"/>
      <c r="TW418" s="2"/>
      <c r="TX418" s="2"/>
      <c r="TY418" s="2"/>
      <c r="TZ418" s="2"/>
      <c r="UA418" s="2"/>
      <c r="UB418" s="2"/>
      <c r="UC418" s="2"/>
      <c r="UD418" s="2"/>
      <c r="UE418" s="2"/>
      <c r="UF418" s="2"/>
      <c r="UG418" s="2"/>
      <c r="UH418" s="2"/>
      <c r="UI418" s="2"/>
      <c r="UJ418" s="2"/>
      <c r="UK418" s="2"/>
      <c r="UL418" s="2"/>
      <c r="UM418" s="2"/>
      <c r="UN418" s="2"/>
      <c r="UO418" s="2"/>
      <c r="UP418" s="2"/>
      <c r="UQ418" s="2"/>
      <c r="UR418" s="2"/>
      <c r="US418" s="2"/>
      <c r="UT418" s="2"/>
      <c r="UU418" s="2"/>
      <c r="UV418" s="2"/>
      <c r="UW418" s="2"/>
      <c r="UX418" s="2"/>
      <c r="UY418" s="2"/>
      <c r="UZ418" s="2"/>
      <c r="VA418" s="2"/>
      <c r="VB418" s="2"/>
      <c r="VC418" s="2"/>
      <c r="VD418" s="2"/>
      <c r="VE418" s="2"/>
      <c r="VF418" s="2"/>
      <c r="VG418" s="2"/>
      <c r="VH418" s="2"/>
      <c r="VI418" s="2"/>
      <c r="VJ418" s="2"/>
      <c r="VK418" s="2"/>
      <c r="VL418" s="2"/>
      <c r="VM418" s="2"/>
      <c r="VN418" s="2"/>
      <c r="VO418" s="2"/>
      <c r="VP418" s="2"/>
      <c r="VQ418" s="2"/>
      <c r="VR418" s="2"/>
      <c r="VS418" s="2"/>
      <c r="VT418" s="2"/>
      <c r="VU418" s="2"/>
      <c r="VV418" s="2"/>
      <c r="VW418" s="2"/>
      <c r="VX418" s="2"/>
      <c r="VY418" s="2"/>
      <c r="VZ418" s="2"/>
      <c r="WA418" s="2"/>
      <c r="WB418" s="2"/>
      <c r="WC418" s="2"/>
      <c r="WD418" s="2"/>
      <c r="WE418" s="2"/>
      <c r="WF418" s="2"/>
      <c r="WG418" s="2"/>
      <c r="WH418" s="2"/>
      <c r="WI418" s="2"/>
      <c r="WJ418" s="2"/>
      <c r="WK418" s="2"/>
      <c r="WL418" s="2"/>
      <c r="WM418" s="2"/>
      <c r="WN418" s="2"/>
      <c r="WO418" s="2"/>
      <c r="WP418" s="2"/>
      <c r="WQ418" s="2"/>
      <c r="WR418" s="2"/>
      <c r="WS418" s="2"/>
      <c r="WT418" s="2"/>
      <c r="WU418" s="2"/>
      <c r="WV418" s="2"/>
      <c r="WW418" s="2"/>
      <c r="WX418" s="2"/>
      <c r="WY418" s="2"/>
      <c r="WZ418" s="2"/>
      <c r="XA418" s="2"/>
      <c r="XB418" s="2"/>
      <c r="XC418" s="2"/>
      <c r="XD418" s="2"/>
      <c r="XE418" s="2"/>
      <c r="XF418" s="2"/>
      <c r="XG418" s="2"/>
      <c r="XH418" s="2"/>
      <c r="XI418" s="2"/>
      <c r="XJ418" s="2"/>
      <c r="XK418" s="2"/>
      <c r="XL418" s="2"/>
      <c r="XM418" s="2"/>
      <c r="XN418" s="2"/>
      <c r="XO418" s="2"/>
      <c r="XP418" s="2"/>
      <c r="XQ418" s="2"/>
      <c r="XR418" s="2"/>
      <c r="XS418" s="2"/>
      <c r="XT418" s="2"/>
      <c r="XU418" s="2"/>
      <c r="XV418" s="2"/>
      <c r="XW418" s="2"/>
      <c r="XX418" s="2"/>
      <c r="XY418" s="2"/>
      <c r="XZ418" s="2"/>
      <c r="YA418" s="2"/>
      <c r="YB418" s="2"/>
      <c r="YC418" s="2"/>
      <c r="YD418" s="2"/>
      <c r="YE418" s="2"/>
      <c r="YF418" s="2"/>
      <c r="YG418" s="2"/>
      <c r="YH418" s="2"/>
      <c r="YI418" s="2"/>
      <c r="YJ418" s="2"/>
      <c r="YK418" s="2"/>
      <c r="YL418" s="2"/>
      <c r="YM418" s="2"/>
      <c r="YN418" s="2"/>
      <c r="YO418" s="2"/>
      <c r="YP418" s="2"/>
      <c r="YQ418" s="2"/>
      <c r="YR418" s="2"/>
      <c r="YS418" s="2"/>
      <c r="YT418" s="2"/>
      <c r="YU418" s="2"/>
      <c r="YV418" s="2"/>
      <c r="YW418" s="2"/>
      <c r="YX418" s="2"/>
      <c r="YY418" s="2"/>
      <c r="YZ418" s="2"/>
      <c r="ZA418" s="2"/>
      <c r="ZB418" s="2"/>
      <c r="ZC418" s="2"/>
      <c r="ZD418" s="2"/>
      <c r="ZE418" s="2"/>
      <c r="ZF418" s="2"/>
      <c r="ZG418" s="2"/>
      <c r="ZH418" s="2"/>
      <c r="ZI418" s="2"/>
      <c r="ZJ418" s="2"/>
      <c r="ZK418" s="2"/>
      <c r="ZL418" s="2"/>
      <c r="ZM418" s="2"/>
      <c r="ZN418" s="2"/>
      <c r="ZO418" s="2"/>
      <c r="ZP418" s="2"/>
      <c r="ZQ418" s="2"/>
      <c r="ZR418" s="2"/>
      <c r="ZS418" s="2"/>
      <c r="ZT418" s="2"/>
      <c r="ZU418" s="2"/>
      <c r="ZV418" s="2"/>
      <c r="ZW418" s="2"/>
      <c r="ZX418" s="2"/>
      <c r="ZY418" s="2"/>
      <c r="ZZ418" s="2"/>
      <c r="AAA418" s="2"/>
      <c r="AAB418" s="2"/>
      <c r="AAC418" s="2"/>
      <c r="AAD418" s="2"/>
      <c r="AAE418" s="2"/>
      <c r="AAF418" s="2"/>
      <c r="AAG418" s="2"/>
      <c r="AAH418" s="2"/>
      <c r="AAI418" s="2"/>
      <c r="AAJ418" s="2"/>
      <c r="AAK418" s="2"/>
      <c r="AAL418" s="2"/>
      <c r="AAM418" s="2"/>
      <c r="AAN418" s="2"/>
      <c r="AAO418" s="2"/>
      <c r="AAP418" s="2"/>
      <c r="AAQ418" s="2"/>
      <c r="AAR418" s="2"/>
      <c r="AAS418" s="2"/>
      <c r="AAT418" s="2"/>
      <c r="AAU418" s="2"/>
      <c r="AAV418" s="2"/>
      <c r="AAW418" s="2"/>
      <c r="AAX418" s="2"/>
      <c r="AAY418" s="2"/>
      <c r="AAZ418" s="2"/>
      <c r="ABA418" s="2"/>
      <c r="ABB418" s="2"/>
      <c r="ABC418" s="2"/>
      <c r="ABD418" s="2"/>
      <c r="ABE418" s="2"/>
      <c r="ABF418" s="2"/>
      <c r="ABG418" s="2"/>
      <c r="ABH418" s="2"/>
      <c r="ABI418" s="2"/>
      <c r="ABJ418" s="2"/>
      <c r="ABK418" s="2"/>
      <c r="ABL418" s="2"/>
      <c r="ABM418" s="2"/>
      <c r="ABN418" s="2"/>
      <c r="ABO418" s="2"/>
      <c r="ABP418" s="2"/>
      <c r="ABQ418" s="2"/>
      <c r="ABR418" s="2"/>
      <c r="ABS418" s="2"/>
      <c r="ABT418" s="2"/>
      <c r="ABU418" s="2"/>
      <c r="ABV418" s="2"/>
      <c r="ABW418" s="2"/>
      <c r="ABX418" s="2"/>
      <c r="ABY418" s="2"/>
      <c r="ABZ418" s="2"/>
      <c r="ACA418" s="2"/>
      <c r="ACB418" s="2"/>
      <c r="ACC418" s="2"/>
      <c r="ACD418" s="2"/>
      <c r="ACE418" s="2"/>
      <c r="ACF418" s="2"/>
      <c r="ACG418" s="2"/>
      <c r="ACH418" s="2"/>
      <c r="ACI418" s="2"/>
      <c r="ACJ418" s="2"/>
      <c r="ACK418" s="2"/>
      <c r="ACL418" s="2"/>
      <c r="ACM418" s="2"/>
      <c r="ACN418" s="2"/>
      <c r="ACO418" s="2"/>
      <c r="ACP418" s="2"/>
      <c r="ACQ418" s="2"/>
      <c r="ACR418" s="2"/>
      <c r="ACS418" s="2"/>
      <c r="ACT418" s="2"/>
      <c r="ACU418" s="2"/>
      <c r="ACV418" s="2"/>
      <c r="ACW418" s="2"/>
      <c r="ACX418" s="2"/>
      <c r="ACY418" s="2"/>
      <c r="ACZ418" s="2"/>
      <c r="ADA418" s="2"/>
      <c r="ADB418" s="2"/>
      <c r="ADC418" s="2"/>
      <c r="ADD418" s="2"/>
      <c r="ADE418" s="2"/>
      <c r="ADF418" s="2"/>
      <c r="ADG418" s="2"/>
      <c r="ADH418" s="2"/>
      <c r="ADI418" s="2"/>
      <c r="ADJ418" s="2"/>
      <c r="ADK418" s="2"/>
      <c r="ADL418" s="2"/>
      <c r="ADM418" s="2"/>
      <c r="ADN418" s="2"/>
      <c r="ADO418" s="2"/>
      <c r="ADP418" s="2"/>
      <c r="ADQ418" s="2"/>
      <c r="ADR418" s="2"/>
      <c r="ADS418" s="2"/>
      <c r="ADT418" s="2"/>
      <c r="ADU418" s="2"/>
      <c r="ADV418" s="2"/>
      <c r="ADW418" s="2"/>
      <c r="ADX418" s="2"/>
      <c r="ADY418" s="2"/>
      <c r="ADZ418" s="2"/>
      <c r="AEA418" s="2"/>
      <c r="AEB418" s="2"/>
      <c r="AEC418" s="2"/>
      <c r="AED418" s="2"/>
      <c r="AEE418" s="2"/>
      <c r="AEF418" s="2"/>
      <c r="AEG418" s="2"/>
      <c r="AEH418" s="2"/>
      <c r="AEI418" s="2"/>
      <c r="AEJ418" s="2"/>
      <c r="AEK418" s="2"/>
      <c r="AEL418" s="2"/>
      <c r="AEM418" s="2"/>
      <c r="AEN418" s="2"/>
      <c r="AEO418" s="2"/>
      <c r="AEP418" s="2"/>
      <c r="AEQ418" s="2"/>
      <c r="AER418" s="2"/>
      <c r="AES418" s="2"/>
      <c r="AET418" s="2"/>
      <c r="AEU418" s="2"/>
      <c r="AEV418" s="2"/>
      <c r="AEW418" s="2"/>
      <c r="AEX418" s="2"/>
      <c r="AEY418" s="2"/>
      <c r="AEZ418" s="2"/>
      <c r="AFA418" s="2"/>
      <c r="AFB418" s="2"/>
      <c r="AFC418" s="2"/>
      <c r="AFD418" s="2"/>
      <c r="AFE418" s="2"/>
      <c r="AFF418" s="2"/>
      <c r="AFG418" s="2"/>
      <c r="AFH418" s="2"/>
      <c r="AFI418" s="2"/>
      <c r="AFJ418" s="2"/>
      <c r="AFK418" s="2"/>
      <c r="AFL418" s="2"/>
      <c r="AFM418" s="2"/>
      <c r="AFN418" s="2"/>
      <c r="AFO418" s="2"/>
      <c r="AFP418" s="2"/>
      <c r="AFQ418" s="2"/>
      <c r="AFR418" s="2"/>
      <c r="AFS418" s="2"/>
      <c r="AFT418" s="2"/>
      <c r="AFU418" s="2"/>
      <c r="AFV418" s="2"/>
      <c r="AFW418" s="2"/>
      <c r="AFX418" s="2"/>
      <c r="AFY418" s="2"/>
      <c r="AFZ418" s="2"/>
      <c r="AGA418" s="2"/>
      <c r="AGB418" s="2"/>
      <c r="AGC418" s="2"/>
      <c r="AGD418" s="2"/>
      <c r="AGE418" s="2"/>
      <c r="AGF418" s="2"/>
      <c r="AGG418" s="2"/>
      <c r="AGH418" s="2"/>
      <c r="AGI418" s="2"/>
      <c r="AGJ418" s="2"/>
      <c r="AGK418" s="2"/>
      <c r="AGL418" s="2"/>
      <c r="AGM418" s="2"/>
      <c r="AGN418" s="2"/>
      <c r="AGO418" s="2"/>
      <c r="AGP418" s="2"/>
      <c r="AGQ418" s="2"/>
      <c r="AGR418" s="2"/>
      <c r="AGS418" s="2"/>
      <c r="AGT418" s="2"/>
      <c r="AGU418" s="2"/>
      <c r="AGV418" s="2"/>
      <c r="AGW418" s="2"/>
      <c r="AGX418" s="2"/>
      <c r="AGY418" s="2"/>
      <c r="AGZ418" s="2"/>
      <c r="AHA418" s="2"/>
      <c r="AHB418" s="2"/>
      <c r="AHC418" s="2"/>
      <c r="AHD418" s="2"/>
      <c r="AHE418" s="2"/>
      <c r="AHF418" s="2"/>
      <c r="AHG418" s="2"/>
      <c r="AHH418" s="2"/>
      <c r="AHI418" s="2"/>
      <c r="AHJ418" s="2"/>
      <c r="AHK418" s="2"/>
      <c r="AHL418" s="2"/>
      <c r="AHM418" s="2"/>
      <c r="AHN418" s="2"/>
      <c r="AHO418" s="2"/>
      <c r="AHP418" s="2"/>
      <c r="AHQ418" s="2"/>
      <c r="AHR418" s="2"/>
      <c r="AHS418" s="2"/>
      <c r="AHT418" s="2"/>
      <c r="AHU418" s="2"/>
      <c r="AHV418" s="2"/>
      <c r="AHW418" s="2"/>
      <c r="AHX418" s="2"/>
      <c r="AHY418" s="2"/>
      <c r="AHZ418" s="2"/>
      <c r="AIA418" s="2"/>
      <c r="AIB418" s="2"/>
      <c r="AIC418" s="2"/>
      <c r="AID418" s="2"/>
      <c r="AIE418" s="2"/>
      <c r="AIF418" s="2"/>
      <c r="AIG418" s="2"/>
      <c r="AIH418" s="2"/>
      <c r="AII418" s="2"/>
      <c r="AIJ418" s="2"/>
      <c r="AIK418" s="2"/>
      <c r="AIL418" s="2"/>
      <c r="AIM418" s="2"/>
      <c r="AIN418" s="2"/>
      <c r="AIO418" s="2"/>
      <c r="AIP418" s="2"/>
      <c r="AIQ418" s="2"/>
      <c r="AIR418" s="2"/>
      <c r="AIS418" s="2"/>
      <c r="AIT418" s="2"/>
      <c r="AIU418" s="2"/>
      <c r="AIV418" s="2"/>
      <c r="AIW418" s="2"/>
      <c r="AIX418" s="2"/>
      <c r="AIY418" s="2"/>
      <c r="AIZ418" s="2"/>
      <c r="AJA418" s="2"/>
      <c r="AJB418" s="2"/>
      <c r="AJC418" s="2"/>
      <c r="AJD418" s="2"/>
      <c r="AJE418" s="2"/>
      <c r="AJF418" s="2"/>
      <c r="AJG418" s="2"/>
      <c r="AJH418" s="2"/>
      <c r="AJI418" s="2"/>
      <c r="AJJ418" s="2"/>
      <c r="AJK418" s="2"/>
      <c r="AJL418" s="2"/>
      <c r="AJM418" s="2"/>
      <c r="AJN418" s="2"/>
      <c r="AJO418" s="2"/>
      <c r="AJP418" s="2"/>
      <c r="AJQ418" s="2"/>
      <c r="AJR418" s="2"/>
      <c r="AJS418" s="2"/>
      <c r="AJT418" s="2"/>
      <c r="AJU418" s="2"/>
      <c r="AJV418" s="2"/>
      <c r="AJW418" s="2"/>
      <c r="AJX418" s="2"/>
      <c r="AJY418" s="2"/>
      <c r="AJZ418" s="2"/>
      <c r="AKA418" s="2"/>
      <c r="AKB418" s="2"/>
      <c r="AKC418" s="2"/>
      <c r="AKD418" s="2"/>
      <c r="AKE418" s="2"/>
      <c r="AKF418" s="2"/>
      <c r="AKG418" s="2"/>
      <c r="AKH418" s="2"/>
      <c r="AKI418" s="2"/>
      <c r="AKJ418" s="2"/>
      <c r="AKK418" s="2"/>
      <c r="AKL418" s="2"/>
      <c r="AKM418" s="2"/>
      <c r="AKN418" s="2"/>
      <c r="AKO418" s="2"/>
      <c r="AKP418" s="2"/>
      <c r="AKQ418" s="2"/>
      <c r="AKR418" s="2"/>
      <c r="AKS418" s="2"/>
      <c r="AKT418" s="2"/>
      <c r="AKU418" s="2"/>
      <c r="AKV418" s="2"/>
      <c r="AKW418" s="2"/>
      <c r="AKX418" s="2"/>
      <c r="AKY418" s="2"/>
      <c r="AKZ418" s="2"/>
      <c r="ALA418" s="2"/>
      <c r="ALB418" s="2"/>
      <c r="ALC418" s="2"/>
      <c r="ALD418" s="2"/>
      <c r="ALE418" s="2"/>
      <c r="ALF418" s="2"/>
      <c r="ALG418" s="2"/>
      <c r="ALH418" s="2"/>
      <c r="ALI418" s="2"/>
      <c r="ALJ418" s="2"/>
      <c r="ALK418" s="2"/>
      <c r="ALL418" s="2"/>
      <c r="ALM418" s="2"/>
      <c r="ALN418" s="2"/>
      <c r="ALO418" s="2"/>
      <c r="ALP418" s="2"/>
      <c r="ALQ418" s="2"/>
      <c r="ALR418" s="2"/>
      <c r="ALS418" s="2"/>
      <c r="ALT418" s="2"/>
      <c r="ALU418" s="2"/>
      <c r="ALV418" s="2"/>
      <c r="ALW418" s="2"/>
      <c r="ALX418" s="2"/>
      <c r="ALY418" s="2"/>
      <c r="ALZ418" s="2"/>
      <c r="AMA418" s="2"/>
      <c r="AMB418" s="2"/>
      <c r="AMC418" s="2"/>
      <c r="AMD418" s="2"/>
      <c r="AME418" s="2"/>
      <c r="AMF418" s="2"/>
      <c r="AMG418" s="2"/>
      <c r="AMH418" s="2"/>
      <c r="AMI418" s="2"/>
      <c r="AMJ418" s="2"/>
      <c r="AMK418" s="2"/>
      <c r="AML418" s="2"/>
      <c r="AMM418" s="2"/>
      <c r="AMN418" s="2"/>
      <c r="AMO418" s="2"/>
      <c r="AMP418" s="2"/>
      <c r="AMQ418" s="2"/>
      <c r="AMR418" s="2"/>
      <c r="AMS418" s="2"/>
      <c r="AMT418" s="2"/>
      <c r="AMU418" s="2"/>
      <c r="AMV418" s="2"/>
      <c r="AMW418" s="2"/>
      <c r="AMX418" s="2"/>
      <c r="AMY418" s="2"/>
      <c r="AMZ418" s="2"/>
      <c r="ANA418" s="2"/>
      <c r="ANB418" s="2"/>
      <c r="ANC418" s="2"/>
      <c r="AND418" s="2"/>
      <c r="ANE418" s="2"/>
      <c r="ANF418" s="2"/>
      <c r="ANG418" s="2"/>
      <c r="ANH418" s="2"/>
      <c r="ANI418" s="2"/>
      <c r="ANJ418" s="2"/>
      <c r="ANK418" s="2"/>
      <c r="ANL418" s="2"/>
      <c r="ANM418" s="2"/>
      <c r="ANN418" s="2"/>
      <c r="ANO418" s="2"/>
      <c r="ANP418" s="2"/>
      <c r="ANQ418" s="2"/>
      <c r="ANR418" s="2"/>
      <c r="ANS418" s="2"/>
      <c r="ANT418" s="2"/>
      <c r="ANU418" s="2"/>
      <c r="ANV418" s="2"/>
      <c r="ANW418" s="2"/>
      <c r="ANX418" s="2"/>
      <c r="ANY418" s="2"/>
      <c r="ANZ418" s="2"/>
      <c r="AOA418" s="2"/>
      <c r="AOB418" s="2"/>
      <c r="AOC418" s="2"/>
      <c r="AOD418" s="2"/>
      <c r="AOE418" s="2"/>
      <c r="AOF418" s="2"/>
      <c r="AOG418" s="2"/>
      <c r="AOH418" s="2"/>
      <c r="AOI418" s="2"/>
      <c r="AOJ418" s="2"/>
      <c r="AOK418" s="2"/>
      <c r="AOL418" s="2"/>
      <c r="AOM418" s="2"/>
      <c r="AON418" s="2"/>
      <c r="AOO418" s="2"/>
      <c r="AOP418" s="2"/>
      <c r="AOQ418" s="2"/>
      <c r="AOR418" s="2"/>
      <c r="AOS418" s="2"/>
      <c r="AOT418" s="2"/>
      <c r="AOU418" s="2"/>
      <c r="AOV418" s="2"/>
      <c r="AOW418" s="2"/>
      <c r="AOX418" s="2"/>
      <c r="AOY418" s="2"/>
      <c r="AOZ418" s="2"/>
      <c r="APA418" s="2"/>
      <c r="APB418" s="2"/>
      <c r="APC418" s="2"/>
      <c r="APD418" s="2"/>
      <c r="APE418" s="2"/>
      <c r="APF418" s="2"/>
      <c r="APG418" s="2"/>
      <c r="APH418" s="2"/>
      <c r="API418" s="2"/>
      <c r="APJ418" s="2"/>
      <c r="APK418" s="2"/>
      <c r="APL418" s="2"/>
      <c r="APM418" s="2"/>
      <c r="APN418" s="2"/>
      <c r="APO418" s="2"/>
      <c r="APP418" s="2"/>
      <c r="APQ418" s="2"/>
      <c r="APR418" s="2"/>
      <c r="APS418" s="2"/>
      <c r="APT418" s="2"/>
      <c r="APU418" s="2"/>
      <c r="APV418" s="2"/>
      <c r="APW418" s="2"/>
      <c r="APX418" s="2"/>
      <c r="APY418" s="2"/>
      <c r="APZ418" s="2"/>
      <c r="AQA418" s="2"/>
      <c r="AQB418" s="2"/>
      <c r="AQC418" s="2"/>
      <c r="AQD418" s="2"/>
      <c r="AQE418" s="2"/>
      <c r="AQF418" s="2"/>
      <c r="AQG418" s="2"/>
      <c r="AQH418" s="2"/>
      <c r="AQI418" s="2"/>
      <c r="AQJ418" s="2"/>
      <c r="AQK418" s="2"/>
      <c r="AQL418" s="2"/>
      <c r="AQM418" s="2"/>
      <c r="AQN418" s="2"/>
      <c r="AQO418" s="2"/>
      <c r="AQP418" s="2"/>
      <c r="AQQ418" s="2"/>
      <c r="AQR418" s="2"/>
      <c r="AQS418" s="2"/>
      <c r="AQT418" s="2"/>
      <c r="AQU418" s="2"/>
      <c r="AQV418" s="2"/>
      <c r="AQW418" s="2"/>
      <c r="AQX418" s="2"/>
      <c r="AQY418" s="2"/>
      <c r="AQZ418" s="2"/>
      <c r="ARA418" s="2"/>
      <c r="ARB418" s="2"/>
      <c r="ARC418" s="2"/>
      <c r="ARD418" s="2"/>
      <c r="ARE418" s="2"/>
      <c r="ARF418" s="2"/>
      <c r="ARG418" s="2"/>
      <c r="ARH418" s="2"/>
      <c r="ARI418" s="2"/>
      <c r="ARJ418" s="2"/>
      <c r="ARK418" s="2"/>
      <c r="ARL418" s="2"/>
      <c r="ARM418" s="2"/>
      <c r="ARN418" s="2"/>
      <c r="ARO418" s="2"/>
      <c r="ARP418" s="2"/>
      <c r="ARQ418" s="2"/>
      <c r="ARR418" s="2"/>
      <c r="ARS418" s="2"/>
      <c r="ART418" s="2"/>
      <c r="ARU418" s="2"/>
      <c r="ARV418" s="2"/>
      <c r="ARW418" s="2"/>
      <c r="ARX418" s="2"/>
      <c r="ARY418" s="2"/>
      <c r="ARZ418" s="2"/>
      <c r="ASA418" s="2"/>
      <c r="ASB418" s="2"/>
      <c r="ASC418" s="2"/>
      <c r="ASD418" s="2"/>
      <c r="ASE418" s="2"/>
      <c r="ASF418" s="2"/>
      <c r="ASG418" s="2"/>
      <c r="ASH418" s="2"/>
      <c r="ASI418" s="2"/>
      <c r="ASJ418" s="2"/>
      <c r="ASK418" s="2"/>
      <c r="ASL418" s="2"/>
      <c r="ASM418" s="2"/>
      <c r="ASN418" s="2"/>
      <c r="ASO418" s="2"/>
      <c r="ASP418" s="2"/>
      <c r="ASQ418" s="2"/>
      <c r="ASR418" s="2"/>
      <c r="ASS418" s="2"/>
      <c r="AST418" s="2"/>
      <c r="ASU418" s="2"/>
      <c r="ASV418" s="2"/>
      <c r="ASW418" s="2"/>
      <c r="ASX418" s="2"/>
      <c r="ASY418" s="2"/>
      <c r="ASZ418" s="2"/>
      <c r="ATA418" s="2"/>
      <c r="ATB418" s="2"/>
      <c r="ATC418" s="2"/>
      <c r="ATD418" s="2"/>
      <c r="ATE418" s="2"/>
      <c r="ATF418" s="2"/>
      <c r="ATG418" s="2"/>
      <c r="ATH418" s="2"/>
      <c r="ATI418" s="2"/>
      <c r="ATJ418" s="2"/>
      <c r="ATK418" s="2"/>
      <c r="ATL418" s="2"/>
      <c r="ATM418" s="2"/>
      <c r="ATN418" s="2"/>
      <c r="ATO418" s="2"/>
      <c r="ATP418" s="2"/>
      <c r="ATQ418" s="2"/>
      <c r="ATR418" s="2"/>
      <c r="ATS418" s="2"/>
      <c r="ATT418" s="2"/>
      <c r="ATU418" s="2"/>
      <c r="ATV418" s="2"/>
      <c r="ATW418" s="2"/>
      <c r="ATX418" s="2"/>
      <c r="ATY418" s="2"/>
      <c r="ATZ418" s="2"/>
      <c r="AUA418" s="2"/>
      <c r="AUB418" s="2"/>
      <c r="AUC418" s="2"/>
      <c r="AUD418" s="2"/>
      <c r="AUE418" s="2"/>
      <c r="AUF418" s="2"/>
      <c r="AUG418" s="2"/>
      <c r="AUH418" s="2"/>
      <c r="AUI418" s="2"/>
      <c r="AUJ418" s="2"/>
      <c r="AUK418" s="2"/>
      <c r="AUL418" s="2"/>
      <c r="AUM418" s="2"/>
      <c r="AUN418" s="2"/>
      <c r="AUO418" s="2"/>
      <c r="AUP418" s="2"/>
      <c r="AUQ418" s="2"/>
      <c r="AUR418" s="2"/>
      <c r="AUS418" s="2"/>
      <c r="AUT418" s="2"/>
      <c r="AUU418" s="2"/>
      <c r="AUV418" s="2"/>
      <c r="AUW418" s="2"/>
      <c r="AUX418" s="2"/>
      <c r="AUY418" s="2"/>
      <c r="AUZ418" s="2"/>
      <c r="AVA418" s="2"/>
      <c r="AVB418" s="2"/>
      <c r="AVC418" s="2"/>
      <c r="AVD418" s="2"/>
      <c r="AVE418" s="2"/>
      <c r="AVF418" s="2"/>
      <c r="AVG418" s="2"/>
      <c r="AVH418" s="2"/>
      <c r="AVI418" s="2"/>
      <c r="AVJ418" s="2"/>
      <c r="AVK418" s="2"/>
      <c r="AVL418" s="2"/>
      <c r="AVM418" s="2"/>
      <c r="AVN418" s="2"/>
      <c r="AVO418" s="2"/>
      <c r="AVP418" s="2"/>
      <c r="AVQ418" s="2"/>
      <c r="AVR418" s="2"/>
      <c r="AVS418" s="2"/>
      <c r="AVT418" s="2"/>
      <c r="AVU418" s="2"/>
      <c r="AVV418" s="2"/>
      <c r="AVW418" s="2"/>
      <c r="AVX418" s="2"/>
      <c r="AVY418" s="2"/>
      <c r="AVZ418" s="2"/>
      <c r="AWA418" s="2"/>
      <c r="AWB418" s="2"/>
      <c r="AWC418" s="2"/>
      <c r="AWD418" s="2"/>
      <c r="AWE418" s="2"/>
      <c r="AWF418" s="2"/>
      <c r="AWG418" s="2"/>
      <c r="AWH418" s="2"/>
      <c r="AWI418" s="2"/>
      <c r="AWJ418" s="2"/>
      <c r="AWK418" s="2"/>
      <c r="AWL418" s="2"/>
      <c r="AWM418" s="2"/>
      <c r="AWN418" s="2"/>
      <c r="AWO418" s="2"/>
      <c r="AWP418" s="2"/>
      <c r="AWQ418" s="2"/>
      <c r="AWR418" s="2"/>
      <c r="AWS418" s="2"/>
      <c r="AWT418" s="2"/>
      <c r="AWU418" s="2"/>
      <c r="AWV418" s="2"/>
      <c r="AWW418" s="2"/>
      <c r="AWX418" s="2"/>
      <c r="AWY418" s="2"/>
      <c r="AWZ418" s="2"/>
      <c r="AXA418" s="2"/>
      <c r="AXB418" s="2"/>
      <c r="AXC418" s="2"/>
      <c r="AXD418" s="2"/>
      <c r="AXE418" s="2"/>
      <c r="AXF418" s="2"/>
      <c r="AXG418" s="2"/>
      <c r="AXH418" s="2"/>
      <c r="AXI418" s="2"/>
      <c r="AXJ418" s="2"/>
      <c r="AXK418" s="2"/>
      <c r="AXL418" s="2"/>
      <c r="AXM418" s="2"/>
      <c r="AXN418" s="2"/>
      <c r="AXO418" s="2"/>
      <c r="AXP418" s="2"/>
      <c r="AXQ418" s="2"/>
      <c r="AXR418" s="2"/>
      <c r="AXS418" s="2"/>
      <c r="AXT418" s="2"/>
      <c r="AXU418" s="2"/>
      <c r="AXV418" s="2"/>
      <c r="AXW418" s="2"/>
      <c r="AXX418" s="2"/>
      <c r="AXY418" s="2"/>
      <c r="AXZ418" s="2"/>
      <c r="AYA418" s="2"/>
      <c r="AYB418" s="2"/>
      <c r="AYC418" s="2"/>
      <c r="AYD418" s="2"/>
      <c r="AYE418" s="2"/>
      <c r="AYF418" s="2"/>
      <c r="AYG418" s="2"/>
      <c r="AYH418" s="2"/>
      <c r="AYI418" s="2"/>
      <c r="AYJ418" s="2"/>
      <c r="AYK418" s="2"/>
      <c r="AYL418" s="2"/>
      <c r="AYM418" s="2"/>
      <c r="AYN418" s="2"/>
      <c r="AYO418" s="2"/>
      <c r="AYP418" s="2"/>
      <c r="AYQ418" s="2"/>
      <c r="AYR418" s="2"/>
      <c r="AYS418" s="2"/>
      <c r="AYT418" s="2"/>
      <c r="AYU418" s="2"/>
      <c r="AYV418" s="2"/>
      <c r="AYW418" s="2"/>
      <c r="AYX418" s="2"/>
      <c r="AYY418" s="2"/>
      <c r="AYZ418" s="2"/>
      <c r="AZA418" s="2"/>
      <c r="AZB418" s="2"/>
      <c r="AZC418" s="2"/>
      <c r="AZD418" s="2"/>
      <c r="AZE418" s="2"/>
      <c r="AZF418" s="2"/>
      <c r="AZG418" s="2"/>
      <c r="AZH418" s="2"/>
      <c r="AZI418" s="2"/>
      <c r="AZJ418" s="2"/>
      <c r="AZK418" s="2"/>
      <c r="AZL418" s="2"/>
      <c r="AZM418" s="2"/>
      <c r="AZN418" s="2"/>
      <c r="AZO418" s="2"/>
      <c r="AZP418" s="2"/>
      <c r="AZQ418" s="2"/>
      <c r="AZR418" s="2"/>
      <c r="AZS418" s="2"/>
      <c r="AZT418" s="2"/>
      <c r="AZU418" s="2"/>
      <c r="AZV418" s="2"/>
      <c r="AZW418" s="2"/>
      <c r="AZX418" s="2"/>
      <c r="AZY418" s="2"/>
      <c r="AZZ418" s="2"/>
      <c r="BAA418" s="2"/>
      <c r="BAB418" s="2"/>
      <c r="BAC418" s="2"/>
      <c r="BAD418" s="2"/>
      <c r="BAE418" s="2"/>
      <c r="BAF418" s="2"/>
      <c r="BAG418" s="2"/>
      <c r="BAH418" s="2"/>
      <c r="BAI418" s="2"/>
      <c r="BAJ418" s="2"/>
      <c r="BAK418" s="2"/>
      <c r="BAL418" s="2"/>
      <c r="BAM418" s="2"/>
      <c r="BAN418" s="2"/>
      <c r="BAO418" s="2"/>
      <c r="BAP418" s="2"/>
      <c r="BAQ418" s="2"/>
      <c r="BAR418" s="2"/>
      <c r="BAS418" s="2"/>
      <c r="BAT418" s="2"/>
      <c r="BAU418" s="2"/>
      <c r="BAV418" s="2"/>
      <c r="BAW418" s="2"/>
      <c r="BAX418" s="2"/>
      <c r="BAY418" s="2"/>
      <c r="BAZ418" s="2"/>
      <c r="BBA418" s="2"/>
      <c r="BBB418" s="2"/>
      <c r="BBC418" s="2"/>
      <c r="BBD418" s="2"/>
      <c r="BBE418" s="2"/>
      <c r="BBF418" s="2"/>
      <c r="BBG418" s="2"/>
      <c r="BBH418" s="2"/>
      <c r="BBI418" s="2"/>
      <c r="BBJ418" s="2"/>
      <c r="BBK418" s="2"/>
      <c r="BBL418" s="2"/>
      <c r="BBM418" s="2"/>
      <c r="BBN418" s="2"/>
      <c r="BBO418" s="2"/>
      <c r="BBP418" s="2"/>
      <c r="BBQ418" s="2"/>
      <c r="BBR418" s="2"/>
      <c r="BBS418" s="2"/>
      <c r="BBT418" s="2"/>
      <c r="BBU418" s="2"/>
      <c r="BBV418" s="2"/>
      <c r="BBW418" s="2"/>
      <c r="BBX418" s="2"/>
      <c r="BBY418" s="2"/>
      <c r="BBZ418" s="2"/>
      <c r="BCA418" s="2"/>
      <c r="BCB418" s="2"/>
      <c r="BCC418" s="2"/>
      <c r="BCD418" s="2"/>
      <c r="BCE418" s="2"/>
      <c r="BCF418" s="2"/>
      <c r="BCG418" s="2"/>
      <c r="BCH418" s="2"/>
      <c r="BCI418" s="2"/>
      <c r="BCJ418" s="2"/>
      <c r="BCK418" s="2"/>
      <c r="BCL418" s="2"/>
      <c r="BCM418" s="2"/>
      <c r="BCN418" s="2"/>
      <c r="BCO418" s="2"/>
      <c r="BCP418" s="2"/>
      <c r="BCQ418" s="2"/>
      <c r="BCR418" s="2"/>
      <c r="BCS418" s="2"/>
      <c r="BCT418" s="2"/>
      <c r="BCU418" s="2"/>
      <c r="BCV418" s="2"/>
      <c r="BCW418" s="2"/>
      <c r="BCX418" s="2"/>
      <c r="BCY418" s="2"/>
      <c r="BCZ418" s="2"/>
      <c r="BDA418" s="2"/>
      <c r="BDB418" s="2"/>
      <c r="BDC418" s="2"/>
      <c r="BDD418" s="2"/>
      <c r="BDE418" s="2"/>
      <c r="BDF418" s="2"/>
      <c r="BDG418" s="2"/>
      <c r="BDH418" s="2"/>
      <c r="BDI418" s="2"/>
      <c r="BDJ418" s="2"/>
      <c r="BDK418" s="2"/>
      <c r="BDL418" s="2"/>
      <c r="BDM418" s="2"/>
      <c r="BDN418" s="2"/>
      <c r="BDO418" s="2"/>
      <c r="BDP418" s="2"/>
      <c r="BDQ418" s="2"/>
      <c r="BDR418" s="2"/>
      <c r="BDS418" s="2"/>
      <c r="BDT418" s="2"/>
      <c r="BDU418" s="2"/>
      <c r="BDV418" s="2"/>
      <c r="BDW418" s="2"/>
      <c r="BDX418" s="2"/>
      <c r="BDY418" s="2"/>
      <c r="BDZ418" s="2"/>
      <c r="BEA418" s="2"/>
      <c r="BEB418" s="2"/>
      <c r="BEC418" s="2"/>
      <c r="BED418" s="2"/>
      <c r="BEE418" s="2"/>
      <c r="BEF418" s="2"/>
      <c r="BEG418" s="2"/>
      <c r="BEH418" s="2"/>
      <c r="BEI418" s="2"/>
      <c r="BEJ418" s="2"/>
      <c r="BEK418" s="2"/>
      <c r="BEL418" s="2"/>
      <c r="BEM418" s="2"/>
      <c r="BEN418" s="2"/>
      <c r="BEO418" s="2"/>
      <c r="BEP418" s="2"/>
      <c r="BEQ418" s="2"/>
      <c r="BER418" s="2"/>
      <c r="BES418" s="2"/>
      <c r="BET418" s="2"/>
      <c r="BEU418" s="2"/>
      <c r="BEV418" s="2"/>
      <c r="BEW418" s="2"/>
      <c r="BEX418" s="2"/>
      <c r="BEY418" s="2"/>
      <c r="BEZ418" s="2"/>
      <c r="BFA418" s="2"/>
      <c r="BFB418" s="2"/>
      <c r="BFC418" s="2"/>
      <c r="BFD418" s="2"/>
      <c r="BFE418" s="2"/>
      <c r="BFF418" s="2"/>
      <c r="BFG418" s="2"/>
      <c r="BFH418" s="2"/>
      <c r="BFI418" s="2"/>
      <c r="BFJ418" s="2"/>
      <c r="BFK418" s="2"/>
      <c r="BFL418" s="2"/>
      <c r="BFM418" s="2"/>
      <c r="BFN418" s="2"/>
      <c r="BFO418" s="2"/>
      <c r="BFP418" s="2"/>
      <c r="BFQ418" s="2"/>
      <c r="BFR418" s="2"/>
      <c r="BFS418" s="2"/>
      <c r="BFT418" s="2"/>
      <c r="BFU418" s="2"/>
      <c r="BFV418" s="2"/>
      <c r="BFW418" s="2"/>
      <c r="BFX418" s="2"/>
      <c r="BFY418" s="2"/>
      <c r="BFZ418" s="2"/>
      <c r="BGA418" s="2"/>
      <c r="BGB418" s="2"/>
      <c r="BGC418" s="2"/>
      <c r="BGD418" s="2"/>
      <c r="BGE418" s="2"/>
      <c r="BGF418" s="2"/>
      <c r="BGG418" s="2"/>
      <c r="BGH418" s="2"/>
      <c r="BGI418" s="2"/>
      <c r="BGJ418" s="2"/>
      <c r="BGK418" s="2"/>
      <c r="BGL418" s="2"/>
      <c r="BGM418" s="2"/>
      <c r="BGN418" s="2"/>
      <c r="BGO418" s="2"/>
      <c r="BGP418" s="2"/>
      <c r="BGQ418" s="2"/>
      <c r="BGR418" s="2"/>
      <c r="BGS418" s="2"/>
      <c r="BGT418" s="2"/>
      <c r="BGU418" s="2"/>
      <c r="BGV418" s="2"/>
      <c r="BGW418" s="2"/>
      <c r="BGX418" s="2"/>
      <c r="BGY418" s="2"/>
      <c r="BGZ418" s="2"/>
      <c r="BHA418" s="2"/>
      <c r="BHB418" s="2"/>
      <c r="BHC418" s="2"/>
      <c r="BHD418" s="2"/>
      <c r="BHE418" s="2"/>
      <c r="BHF418" s="2"/>
      <c r="BHG418" s="2"/>
      <c r="BHH418" s="2"/>
      <c r="BHI418" s="2"/>
      <c r="BHJ418" s="2"/>
      <c r="BHK418" s="2"/>
      <c r="BHL418" s="2"/>
      <c r="BHM418" s="2"/>
      <c r="BHN418" s="2"/>
      <c r="BHO418" s="2"/>
      <c r="BHP418" s="2"/>
      <c r="BHQ418" s="2"/>
      <c r="BHR418" s="2"/>
      <c r="BHS418" s="2"/>
      <c r="BHT418" s="2"/>
      <c r="BHU418" s="2"/>
      <c r="BHV418" s="2"/>
      <c r="BHW418" s="2"/>
      <c r="BHX418" s="2"/>
      <c r="BHY418" s="2"/>
      <c r="BHZ418" s="2"/>
      <c r="BIA418" s="2"/>
      <c r="BIB418" s="2"/>
      <c r="BIC418" s="2"/>
      <c r="BID418" s="2"/>
      <c r="BIE418" s="2"/>
      <c r="BIF418" s="2"/>
      <c r="BIG418" s="2"/>
      <c r="BIH418" s="2"/>
      <c r="BII418" s="2"/>
      <c r="BIJ418" s="2"/>
      <c r="BIK418" s="2"/>
      <c r="BIL418" s="2"/>
      <c r="BIM418" s="2"/>
      <c r="BIN418" s="2"/>
      <c r="BIO418" s="2"/>
      <c r="BIP418" s="2"/>
      <c r="BIQ418" s="2"/>
      <c r="BIR418" s="2"/>
      <c r="BIS418" s="2"/>
      <c r="BIT418" s="2"/>
      <c r="BIU418" s="2"/>
      <c r="BIV418" s="2"/>
      <c r="BIW418" s="2"/>
      <c r="BIX418" s="2"/>
      <c r="BIY418" s="2"/>
      <c r="BIZ418" s="2"/>
      <c r="BJA418" s="2"/>
      <c r="BJB418" s="2"/>
      <c r="BJC418" s="2"/>
      <c r="BJD418" s="2"/>
      <c r="BJE418" s="2"/>
      <c r="BJF418" s="2"/>
      <c r="BJG418" s="2"/>
      <c r="BJH418" s="2"/>
      <c r="BJI418" s="2"/>
      <c r="BJJ418" s="2"/>
      <c r="BJK418" s="2"/>
      <c r="BJL418" s="2"/>
      <c r="BJM418" s="2"/>
      <c r="BJN418" s="2"/>
      <c r="BJO418" s="2"/>
      <c r="BJP418" s="2"/>
      <c r="BJQ418" s="2"/>
      <c r="BJR418" s="2"/>
      <c r="BJS418" s="2"/>
      <c r="BJT418" s="2"/>
      <c r="BJU418" s="2"/>
      <c r="BJV418" s="2"/>
      <c r="BJW418" s="2"/>
      <c r="BJX418" s="2"/>
      <c r="BJY418" s="2"/>
      <c r="BJZ418" s="2"/>
      <c r="BKA418" s="2"/>
      <c r="BKB418" s="2"/>
      <c r="BKC418" s="2"/>
      <c r="BKD418" s="2"/>
      <c r="BKE418" s="2"/>
      <c r="BKF418" s="2"/>
      <c r="BKG418" s="2"/>
      <c r="BKH418" s="2"/>
      <c r="BKI418" s="2"/>
      <c r="BKJ418" s="2"/>
      <c r="BKK418" s="2"/>
      <c r="BKL418" s="2"/>
      <c r="BKM418" s="2"/>
      <c r="BKN418" s="2"/>
      <c r="BKO418" s="2"/>
      <c r="BKP418" s="2"/>
      <c r="BKQ418" s="2"/>
      <c r="BKR418" s="2"/>
      <c r="BKS418" s="2"/>
      <c r="BKT418" s="2"/>
      <c r="BKU418" s="2"/>
      <c r="BKV418" s="2"/>
      <c r="BKW418" s="2"/>
      <c r="BKX418" s="2"/>
      <c r="BKY418" s="2"/>
      <c r="BKZ418" s="2"/>
      <c r="BLA418" s="2"/>
      <c r="BLB418" s="2"/>
      <c r="BLC418" s="2"/>
      <c r="BLD418" s="2"/>
      <c r="BLE418" s="2"/>
      <c r="BLF418" s="2"/>
      <c r="BLG418" s="2"/>
      <c r="BLH418" s="2"/>
      <c r="BLI418" s="2"/>
      <c r="BLJ418" s="2"/>
      <c r="BLK418" s="2"/>
      <c r="BLL418" s="2"/>
      <c r="BLM418" s="2"/>
      <c r="BLN418" s="2"/>
      <c r="BLO418" s="2"/>
      <c r="BLP418" s="2"/>
      <c r="BLQ418" s="2"/>
      <c r="BLR418" s="2"/>
      <c r="BLS418" s="2"/>
      <c r="BLT418" s="2"/>
      <c r="BLU418" s="2"/>
      <c r="BLV418" s="2"/>
      <c r="BLW418" s="2"/>
      <c r="BLX418" s="2"/>
      <c r="BLY418" s="2"/>
      <c r="BLZ418" s="2"/>
      <c r="BMA418" s="2"/>
      <c r="BMB418" s="2"/>
      <c r="BMC418" s="2"/>
      <c r="BMD418" s="2"/>
      <c r="BME418" s="2"/>
      <c r="BMF418" s="2"/>
      <c r="BMG418" s="2"/>
      <c r="BMH418" s="2"/>
      <c r="BMI418" s="2"/>
      <c r="BMJ418" s="2"/>
      <c r="BMK418" s="2"/>
      <c r="BML418" s="2"/>
      <c r="BMM418" s="2"/>
      <c r="BMN418" s="2"/>
      <c r="BMO418" s="2"/>
      <c r="BMP418" s="2"/>
      <c r="BMQ418" s="2"/>
      <c r="BMR418" s="2"/>
      <c r="BMS418" s="2"/>
      <c r="BMT418" s="2"/>
      <c r="BMU418" s="2"/>
      <c r="BMV418" s="2"/>
      <c r="BMW418" s="2"/>
      <c r="BMX418" s="2"/>
      <c r="BMY418" s="2"/>
      <c r="BMZ418" s="2"/>
      <c r="BNA418" s="2"/>
      <c r="BNB418" s="2"/>
      <c r="BNC418" s="2"/>
      <c r="BND418" s="2"/>
      <c r="BNE418" s="2"/>
      <c r="BNF418" s="2"/>
      <c r="BNG418" s="2"/>
      <c r="BNH418" s="2"/>
      <c r="BNI418" s="2"/>
      <c r="BNJ418" s="2"/>
      <c r="BNK418" s="2"/>
      <c r="BNL418" s="2"/>
      <c r="BNM418" s="2"/>
      <c r="BNN418" s="2"/>
      <c r="BNO418" s="2"/>
      <c r="BNP418" s="2"/>
      <c r="BNQ418" s="2"/>
      <c r="BNR418" s="2"/>
      <c r="BNS418" s="2"/>
      <c r="BNT418" s="2"/>
      <c r="BNU418" s="2"/>
      <c r="BNV418" s="2"/>
      <c r="BNW418" s="2"/>
      <c r="BNX418" s="2"/>
      <c r="BNY418" s="2"/>
      <c r="BNZ418" s="2"/>
      <c r="BOA418" s="2"/>
      <c r="BOB418" s="2"/>
      <c r="BOC418" s="2"/>
      <c r="BOD418" s="2"/>
      <c r="BOE418" s="2"/>
      <c r="BOF418" s="2"/>
      <c r="BOG418" s="2"/>
      <c r="BOH418" s="2"/>
      <c r="BOI418" s="2"/>
      <c r="BOJ418" s="2"/>
      <c r="BOK418" s="2"/>
      <c r="BOL418" s="2"/>
      <c r="BOM418" s="2"/>
      <c r="BON418" s="2"/>
      <c r="BOO418" s="2"/>
      <c r="BOP418" s="2"/>
      <c r="BOQ418" s="2"/>
      <c r="BOR418" s="2"/>
      <c r="BOS418" s="2"/>
      <c r="BOT418" s="2"/>
      <c r="BOU418" s="2"/>
      <c r="BOV418" s="2"/>
      <c r="BOW418" s="2"/>
      <c r="BOX418" s="2"/>
      <c r="BOY418" s="2"/>
      <c r="BOZ418" s="2"/>
      <c r="BPA418" s="2"/>
      <c r="BPB418" s="2"/>
      <c r="BPC418" s="2"/>
      <c r="BPD418" s="2"/>
      <c r="BPE418" s="2"/>
      <c r="BPF418" s="2"/>
      <c r="BPG418" s="2"/>
      <c r="BPH418" s="2"/>
      <c r="BPI418" s="2"/>
      <c r="BPJ418" s="2"/>
      <c r="BPK418" s="2"/>
      <c r="BPL418" s="2"/>
      <c r="BPM418" s="2"/>
      <c r="BPN418" s="2"/>
      <c r="BPO418" s="2"/>
      <c r="BPP418" s="2"/>
      <c r="BPQ418" s="2"/>
      <c r="BPR418" s="2"/>
      <c r="BPS418" s="2"/>
      <c r="BPT418" s="2"/>
      <c r="BPU418" s="2"/>
      <c r="BPV418" s="2"/>
      <c r="BPW418" s="2"/>
      <c r="BPX418" s="2"/>
      <c r="BPY418" s="2"/>
      <c r="BPZ418" s="2"/>
      <c r="BQA418" s="2"/>
      <c r="BQB418" s="2"/>
      <c r="BQC418" s="2"/>
      <c r="BQD418" s="2"/>
      <c r="BQE418" s="2"/>
      <c r="BQF418" s="2"/>
      <c r="BQG418" s="2"/>
      <c r="BQH418" s="2"/>
      <c r="BQI418" s="2"/>
      <c r="BQJ418" s="2"/>
      <c r="BQK418" s="2"/>
      <c r="BQL418" s="2"/>
      <c r="BQM418" s="2"/>
      <c r="BQN418" s="2"/>
      <c r="BQO418" s="2"/>
      <c r="BQP418" s="2"/>
      <c r="BQQ418" s="2"/>
      <c r="BQR418" s="2"/>
      <c r="BQS418" s="2"/>
      <c r="BQT418" s="2"/>
      <c r="BQU418" s="2"/>
      <c r="BQV418" s="2"/>
      <c r="BQW418" s="2"/>
      <c r="BQX418" s="2"/>
      <c r="BQY418" s="2"/>
      <c r="BQZ418" s="2"/>
      <c r="BRA418" s="2"/>
      <c r="BRB418" s="2"/>
      <c r="BRC418" s="2"/>
      <c r="BRD418" s="2"/>
      <c r="BRE418" s="2"/>
      <c r="BRF418" s="2"/>
      <c r="BRG418" s="2"/>
      <c r="BRH418" s="2"/>
      <c r="BRI418" s="2"/>
      <c r="BRJ418" s="2"/>
      <c r="BRK418" s="2"/>
      <c r="BRL418" s="2"/>
      <c r="BRM418" s="2"/>
      <c r="BRN418" s="2"/>
      <c r="BRO418" s="2"/>
      <c r="BRP418" s="2"/>
      <c r="BRQ418" s="2"/>
      <c r="BRR418" s="2"/>
      <c r="BRS418" s="2"/>
      <c r="BRT418" s="2"/>
      <c r="BRU418" s="2"/>
      <c r="BRV418" s="2"/>
      <c r="BRW418" s="2"/>
      <c r="BRX418" s="2"/>
      <c r="BRY418" s="2"/>
      <c r="BRZ418" s="2"/>
      <c r="BSA418" s="2"/>
      <c r="BSB418" s="2"/>
      <c r="BSC418" s="2"/>
      <c r="BSD418" s="2"/>
      <c r="BSE418" s="2"/>
      <c r="BSF418" s="2"/>
      <c r="BSG418" s="2"/>
      <c r="BSH418" s="2"/>
      <c r="BSI418" s="2"/>
      <c r="BSJ418" s="2"/>
      <c r="BSK418" s="2"/>
      <c r="BSL418" s="2"/>
      <c r="BSM418" s="2"/>
      <c r="BSN418" s="2"/>
      <c r="BSO418" s="2"/>
      <c r="BSP418" s="2"/>
      <c r="BSQ418" s="2"/>
      <c r="BSR418" s="2"/>
      <c r="BSS418" s="2"/>
      <c r="BST418" s="2"/>
      <c r="BSU418" s="2"/>
      <c r="BSV418" s="2"/>
      <c r="BSW418" s="2"/>
      <c r="BSX418" s="2"/>
      <c r="BSY418" s="2"/>
      <c r="BSZ418" s="2"/>
      <c r="BTA418" s="2"/>
      <c r="BTB418" s="2"/>
      <c r="BTC418" s="2"/>
      <c r="BTD418" s="2"/>
      <c r="BTE418" s="2"/>
      <c r="BTF418" s="2"/>
      <c r="BTG418" s="2"/>
      <c r="BTH418" s="2"/>
      <c r="BTI418" s="2"/>
      <c r="BTJ418" s="2"/>
      <c r="BTK418" s="2"/>
      <c r="BTL418" s="2"/>
      <c r="BTM418" s="2"/>
      <c r="BTN418" s="2"/>
      <c r="BTO418" s="2"/>
      <c r="BTP418" s="2"/>
      <c r="BTQ418" s="2"/>
      <c r="BTR418" s="2"/>
      <c r="BTS418" s="2"/>
      <c r="BTT418" s="2"/>
      <c r="BTU418" s="2"/>
      <c r="BTV418" s="2"/>
      <c r="BTW418" s="2"/>
      <c r="BTX418" s="2"/>
      <c r="BTY418" s="2"/>
      <c r="BTZ418" s="2"/>
      <c r="BUA418" s="2"/>
      <c r="BUB418" s="2"/>
      <c r="BUC418" s="2"/>
      <c r="BUD418" s="2"/>
      <c r="BUE418" s="2"/>
      <c r="BUF418" s="2"/>
      <c r="BUG418" s="2"/>
      <c r="BUH418" s="2"/>
      <c r="BUI418" s="2"/>
      <c r="BUJ418" s="2"/>
      <c r="BUK418" s="2"/>
      <c r="BUL418" s="2"/>
      <c r="BUM418" s="2"/>
      <c r="BUN418" s="2"/>
      <c r="BUO418" s="2"/>
      <c r="BUP418" s="2"/>
      <c r="BUQ418" s="2"/>
      <c r="BUR418" s="2"/>
      <c r="BUS418" s="2"/>
      <c r="BUT418" s="2"/>
      <c r="BUU418" s="2"/>
      <c r="BUV418" s="2"/>
      <c r="BUW418" s="2"/>
      <c r="BUX418" s="2"/>
      <c r="BUY418" s="2"/>
      <c r="BUZ418" s="2"/>
      <c r="BVA418" s="2"/>
      <c r="BVB418" s="2"/>
      <c r="BVC418" s="2"/>
      <c r="BVD418" s="2"/>
      <c r="BVE418" s="2"/>
      <c r="BVF418" s="2"/>
      <c r="BVG418" s="2"/>
      <c r="BVH418" s="2"/>
      <c r="BVI418" s="2"/>
      <c r="BVJ418" s="2"/>
      <c r="BVK418" s="2"/>
      <c r="BVL418" s="2"/>
      <c r="BVM418" s="2"/>
      <c r="BVN418" s="2"/>
      <c r="BVO418" s="2"/>
      <c r="BVP418" s="2"/>
      <c r="BVQ418" s="2"/>
      <c r="BVR418" s="2"/>
      <c r="BVS418" s="2"/>
      <c r="BVT418" s="2"/>
      <c r="BVU418" s="2"/>
      <c r="BVV418" s="2"/>
      <c r="BVW418" s="2"/>
      <c r="BVX418" s="2"/>
      <c r="BVY418" s="2"/>
      <c r="BVZ418" s="2"/>
      <c r="BWA418" s="2"/>
      <c r="BWB418" s="2"/>
      <c r="BWC418" s="2"/>
      <c r="BWD418" s="2"/>
      <c r="BWE418" s="2"/>
      <c r="BWF418" s="2"/>
      <c r="BWG418" s="2"/>
      <c r="BWH418" s="2"/>
      <c r="BWI418" s="2"/>
      <c r="BWJ418" s="2"/>
      <c r="BWK418" s="2"/>
      <c r="BWL418" s="2"/>
      <c r="BWM418" s="2"/>
      <c r="BWN418" s="2"/>
      <c r="BWO418" s="2"/>
      <c r="BWP418" s="2"/>
      <c r="BWQ418" s="2"/>
      <c r="BWR418" s="2"/>
      <c r="BWS418" s="2"/>
      <c r="BWT418" s="2"/>
      <c r="BWU418" s="2"/>
      <c r="BWV418" s="2"/>
      <c r="BWW418" s="2"/>
      <c r="BWX418" s="2"/>
      <c r="BWY418" s="2"/>
      <c r="BWZ418" s="2"/>
      <c r="BXA418" s="2"/>
      <c r="BXB418" s="2"/>
      <c r="BXC418" s="2"/>
      <c r="BXD418" s="2"/>
      <c r="BXE418" s="2"/>
      <c r="BXF418" s="2"/>
      <c r="BXG418" s="2"/>
      <c r="BXH418" s="2"/>
      <c r="BXI418" s="2"/>
      <c r="BXJ418" s="2"/>
      <c r="BXK418" s="2"/>
      <c r="BXL418" s="2"/>
      <c r="BXM418" s="2"/>
      <c r="BXN418" s="2"/>
      <c r="BXO418" s="2"/>
      <c r="BXP418" s="2"/>
      <c r="BXQ418" s="2"/>
      <c r="BXR418" s="2"/>
      <c r="BXS418" s="2"/>
      <c r="BXT418" s="2"/>
      <c r="BXU418" s="2"/>
      <c r="BXV418" s="2"/>
      <c r="BXW418" s="2"/>
      <c r="BXX418" s="2"/>
      <c r="BXY418" s="2"/>
      <c r="BXZ418" s="2"/>
      <c r="BYA418" s="2"/>
      <c r="BYB418" s="2"/>
      <c r="BYC418" s="2"/>
      <c r="BYD418" s="2"/>
      <c r="BYE418" s="2"/>
      <c r="BYF418" s="2"/>
      <c r="BYG418" s="2"/>
      <c r="BYH418" s="2"/>
      <c r="BYI418" s="2"/>
      <c r="BYJ418" s="2"/>
      <c r="BYK418" s="2"/>
      <c r="BYL418" s="2"/>
      <c r="BYM418" s="2"/>
      <c r="BYN418" s="2"/>
      <c r="BYO418" s="2"/>
      <c r="BYP418" s="2"/>
      <c r="BYQ418" s="2"/>
      <c r="BYR418" s="2"/>
      <c r="BYS418" s="2"/>
      <c r="BYT418" s="2"/>
      <c r="BYU418" s="2"/>
      <c r="BYV418" s="2"/>
      <c r="BYW418" s="2"/>
      <c r="BYX418" s="2"/>
      <c r="BYY418" s="2"/>
      <c r="BYZ418" s="2"/>
      <c r="BZA418" s="2"/>
      <c r="BZB418" s="2"/>
      <c r="BZC418" s="2"/>
      <c r="BZD418" s="2"/>
      <c r="BZE418" s="2"/>
      <c r="BZF418" s="2"/>
      <c r="BZG418" s="2"/>
      <c r="BZH418" s="2"/>
      <c r="BZI418" s="2"/>
      <c r="BZJ418" s="2"/>
      <c r="BZK418" s="2"/>
      <c r="BZL418" s="2"/>
      <c r="BZM418" s="2"/>
      <c r="BZN418" s="2"/>
      <c r="BZO418" s="2"/>
      <c r="BZP418" s="2"/>
      <c r="BZQ418" s="2"/>
      <c r="BZR418" s="2"/>
      <c r="BZS418" s="2"/>
      <c r="BZT418" s="2"/>
      <c r="BZU418" s="2"/>
      <c r="BZV418" s="2"/>
      <c r="BZW418" s="2"/>
      <c r="BZX418" s="2"/>
      <c r="BZY418" s="2"/>
      <c r="BZZ418" s="2"/>
      <c r="CAA418" s="2"/>
      <c r="CAB418" s="2"/>
      <c r="CAC418" s="2"/>
      <c r="CAD418" s="2"/>
      <c r="CAE418" s="2"/>
      <c r="CAF418" s="2"/>
      <c r="CAG418" s="2"/>
      <c r="CAH418" s="2"/>
      <c r="CAI418" s="2"/>
      <c r="CAJ418" s="2"/>
      <c r="CAK418" s="2"/>
      <c r="CAL418" s="2"/>
      <c r="CAM418" s="2"/>
      <c r="CAN418" s="2"/>
      <c r="CAO418" s="2"/>
      <c r="CAP418" s="2"/>
      <c r="CAQ418" s="2"/>
      <c r="CAR418" s="2"/>
      <c r="CAS418" s="2"/>
      <c r="CAT418" s="2"/>
      <c r="CAU418" s="2"/>
      <c r="CAV418" s="2"/>
      <c r="CAW418" s="2"/>
      <c r="CAX418" s="2"/>
      <c r="CAY418" s="2"/>
      <c r="CAZ418" s="2"/>
      <c r="CBA418" s="2"/>
      <c r="CBB418" s="2"/>
      <c r="CBC418" s="2"/>
      <c r="CBD418" s="2"/>
      <c r="CBE418" s="2"/>
      <c r="CBF418" s="2"/>
      <c r="CBG418" s="2"/>
      <c r="CBH418" s="2"/>
      <c r="CBI418" s="2"/>
      <c r="CBJ418" s="2"/>
      <c r="CBK418" s="2"/>
      <c r="CBL418" s="2"/>
      <c r="CBM418" s="2"/>
      <c r="CBN418" s="2"/>
      <c r="CBO418" s="2"/>
      <c r="CBP418" s="2"/>
      <c r="CBQ418" s="2"/>
      <c r="CBR418" s="2"/>
      <c r="CBS418" s="2"/>
      <c r="CBT418" s="2"/>
      <c r="CBU418" s="2"/>
      <c r="CBV418" s="2"/>
      <c r="CBW418" s="2"/>
      <c r="CBX418" s="2"/>
      <c r="CBY418" s="2"/>
      <c r="CBZ418" s="2"/>
      <c r="CCA418" s="2"/>
      <c r="CCB418" s="2"/>
      <c r="CCC418" s="2"/>
      <c r="CCD418" s="2"/>
      <c r="CCE418" s="2"/>
      <c r="CCF418" s="2"/>
      <c r="CCG418" s="2"/>
      <c r="CCH418" s="2"/>
      <c r="CCI418" s="2"/>
      <c r="CCJ418" s="2"/>
      <c r="CCK418" s="2"/>
      <c r="CCL418" s="2"/>
      <c r="CCM418" s="2"/>
      <c r="CCN418" s="2"/>
      <c r="CCO418" s="2"/>
      <c r="CCP418" s="2"/>
      <c r="CCQ418" s="2"/>
      <c r="CCR418" s="2"/>
      <c r="CCS418" s="2"/>
      <c r="CCT418" s="2"/>
      <c r="CCU418" s="2"/>
      <c r="CCV418" s="2"/>
      <c r="CCW418" s="2"/>
      <c r="CCX418" s="2"/>
      <c r="CCY418" s="2"/>
      <c r="CCZ418" s="2"/>
      <c r="CDA418" s="2"/>
      <c r="CDB418" s="2"/>
      <c r="CDC418" s="2"/>
      <c r="CDD418" s="2"/>
      <c r="CDE418" s="2"/>
      <c r="CDF418" s="2"/>
      <c r="CDG418" s="2"/>
      <c r="CDH418" s="2"/>
      <c r="CDI418" s="2"/>
      <c r="CDJ418" s="2"/>
      <c r="CDK418" s="2"/>
      <c r="CDL418" s="2"/>
      <c r="CDM418" s="2"/>
      <c r="CDN418" s="2"/>
      <c r="CDO418" s="2"/>
      <c r="CDP418" s="2"/>
      <c r="CDQ418" s="2"/>
      <c r="CDR418" s="2"/>
      <c r="CDS418" s="2"/>
      <c r="CDT418" s="2"/>
      <c r="CDU418" s="2"/>
      <c r="CDV418" s="2"/>
      <c r="CDW418" s="2"/>
      <c r="CDX418" s="2"/>
      <c r="CDY418" s="2"/>
      <c r="CDZ418" s="2"/>
      <c r="CEA418" s="2"/>
      <c r="CEB418" s="2"/>
      <c r="CEC418" s="2"/>
      <c r="CED418" s="2"/>
      <c r="CEE418" s="2"/>
      <c r="CEF418" s="2"/>
      <c r="CEG418" s="2"/>
      <c r="CEH418" s="2"/>
      <c r="CEI418" s="2"/>
      <c r="CEJ418" s="2"/>
      <c r="CEK418" s="2"/>
      <c r="CEL418" s="2"/>
      <c r="CEM418" s="2"/>
      <c r="CEN418" s="2"/>
      <c r="CEO418" s="2"/>
      <c r="CEP418" s="2"/>
      <c r="CEQ418" s="2"/>
      <c r="CER418" s="2"/>
      <c r="CES418" s="2"/>
      <c r="CET418" s="2"/>
      <c r="CEU418" s="2"/>
      <c r="CEV418" s="2"/>
      <c r="CEW418" s="2"/>
      <c r="CEX418" s="2"/>
      <c r="CEY418" s="2"/>
      <c r="CEZ418" s="2"/>
      <c r="CFA418" s="2"/>
      <c r="CFB418" s="2"/>
      <c r="CFC418" s="2"/>
      <c r="CFD418" s="2"/>
      <c r="CFE418" s="2"/>
      <c r="CFF418" s="2"/>
      <c r="CFG418" s="2"/>
      <c r="CFH418" s="2"/>
      <c r="CFI418" s="2"/>
      <c r="CFJ418" s="2"/>
      <c r="CFK418" s="2"/>
      <c r="CFL418" s="2"/>
      <c r="CFM418" s="2"/>
      <c r="CFN418" s="2"/>
      <c r="CFO418" s="2"/>
      <c r="CFP418" s="2"/>
      <c r="CFQ418" s="2"/>
      <c r="CFR418" s="2"/>
      <c r="CFS418" s="2"/>
      <c r="CFT418" s="2"/>
      <c r="CFU418" s="2"/>
      <c r="CFV418" s="2"/>
      <c r="CFW418" s="2"/>
      <c r="CFX418" s="2"/>
      <c r="CFY418" s="2"/>
      <c r="CFZ418" s="2"/>
      <c r="CGA418" s="2"/>
      <c r="CGB418" s="2"/>
      <c r="CGC418" s="2"/>
      <c r="CGD418" s="2"/>
      <c r="CGE418" s="2"/>
      <c r="CGF418" s="2"/>
      <c r="CGG418" s="2"/>
      <c r="CGH418" s="2"/>
      <c r="CGI418" s="2"/>
      <c r="CGJ418" s="2"/>
      <c r="CGK418" s="2"/>
      <c r="CGL418" s="2"/>
      <c r="CGM418" s="2"/>
      <c r="CGN418" s="2"/>
      <c r="CGO418" s="2"/>
      <c r="CGP418" s="2"/>
      <c r="CGQ418" s="2"/>
      <c r="CGR418" s="2"/>
      <c r="CGS418" s="2"/>
      <c r="CGT418" s="2"/>
      <c r="CGU418" s="2"/>
      <c r="CGV418" s="2"/>
      <c r="CGW418" s="2"/>
      <c r="CGX418" s="2"/>
      <c r="CGY418" s="2"/>
      <c r="CGZ418" s="2"/>
      <c r="CHA418" s="2"/>
      <c r="CHB418" s="2"/>
      <c r="CHC418" s="2"/>
      <c r="CHD418" s="2"/>
      <c r="CHE418" s="2"/>
      <c r="CHF418" s="2"/>
      <c r="CHG418" s="2"/>
      <c r="CHH418" s="2"/>
      <c r="CHI418" s="2"/>
      <c r="CHJ418" s="2"/>
      <c r="CHK418" s="2"/>
      <c r="CHL418" s="2"/>
      <c r="CHM418" s="2"/>
      <c r="CHN418" s="2"/>
      <c r="CHO418" s="2"/>
      <c r="CHP418" s="2"/>
      <c r="CHQ418" s="2"/>
      <c r="CHR418" s="2"/>
      <c r="CHS418" s="2"/>
      <c r="CHT418" s="2"/>
      <c r="CHU418" s="2"/>
      <c r="CHV418" s="2"/>
      <c r="CHW418" s="2"/>
      <c r="CHX418" s="2"/>
      <c r="CHY418" s="2"/>
      <c r="CHZ418" s="2"/>
      <c r="CIA418" s="2"/>
      <c r="CIB418" s="2"/>
      <c r="CIC418" s="2"/>
      <c r="CID418" s="2"/>
      <c r="CIE418" s="2"/>
      <c r="CIF418" s="2"/>
      <c r="CIG418" s="2"/>
      <c r="CIH418" s="2"/>
      <c r="CII418" s="2"/>
      <c r="CIJ418" s="2"/>
      <c r="CIK418" s="2"/>
      <c r="CIL418" s="2"/>
      <c r="CIM418" s="2"/>
      <c r="CIN418" s="2"/>
      <c r="CIO418" s="2"/>
      <c r="CIP418" s="2"/>
      <c r="CIQ418" s="2"/>
      <c r="CIR418" s="2"/>
      <c r="CIS418" s="2"/>
      <c r="CIT418" s="2"/>
      <c r="CIU418" s="2"/>
      <c r="CIV418" s="2"/>
      <c r="CIW418" s="2"/>
      <c r="CIX418" s="2"/>
      <c r="CIY418" s="2"/>
      <c r="CIZ418" s="2"/>
      <c r="CJA418" s="2"/>
      <c r="CJB418" s="2"/>
      <c r="CJC418" s="2"/>
      <c r="CJD418" s="2"/>
      <c r="CJE418" s="2"/>
      <c r="CJF418" s="2"/>
      <c r="CJG418" s="2"/>
      <c r="CJH418" s="2"/>
      <c r="CJI418" s="2"/>
      <c r="CJJ418" s="2"/>
      <c r="CJK418" s="2"/>
      <c r="CJL418" s="2"/>
      <c r="CJM418" s="2"/>
      <c r="CJN418" s="2"/>
      <c r="CJO418" s="2"/>
      <c r="CJP418" s="2"/>
      <c r="CJQ418" s="2"/>
      <c r="CJR418" s="2"/>
      <c r="CJS418" s="2"/>
      <c r="CJT418" s="2"/>
      <c r="CJU418" s="2"/>
      <c r="CJV418" s="2"/>
      <c r="CJW418" s="2"/>
      <c r="CJX418" s="2"/>
      <c r="CJY418" s="2"/>
      <c r="CJZ418" s="2"/>
      <c r="CKA418" s="2"/>
      <c r="CKB418" s="2"/>
      <c r="CKC418" s="2"/>
      <c r="CKD418" s="2"/>
      <c r="CKE418" s="2"/>
      <c r="CKF418" s="2"/>
      <c r="CKG418" s="2"/>
      <c r="CKH418" s="2"/>
      <c r="CKI418" s="2"/>
      <c r="CKJ418" s="2"/>
      <c r="CKK418" s="2"/>
      <c r="CKL418" s="2"/>
      <c r="CKM418" s="2"/>
      <c r="CKN418" s="2"/>
      <c r="CKO418" s="2"/>
      <c r="CKP418" s="2"/>
      <c r="CKQ418" s="2"/>
      <c r="CKR418" s="2"/>
      <c r="CKS418" s="2"/>
      <c r="CKT418" s="2"/>
      <c r="CKU418" s="2"/>
      <c r="CKV418" s="2"/>
      <c r="CKW418" s="2"/>
      <c r="CKX418" s="2"/>
      <c r="CKY418" s="2"/>
      <c r="CKZ418" s="2"/>
      <c r="CLA418" s="2"/>
      <c r="CLB418" s="2"/>
      <c r="CLC418" s="2"/>
      <c r="CLD418" s="2"/>
      <c r="CLE418" s="2"/>
      <c r="CLF418" s="2"/>
      <c r="CLG418" s="2"/>
      <c r="CLH418" s="2"/>
      <c r="CLI418" s="2"/>
      <c r="CLJ418" s="2"/>
      <c r="CLK418" s="2"/>
      <c r="CLL418" s="2"/>
      <c r="CLM418" s="2"/>
      <c r="CLN418" s="2"/>
      <c r="CLO418" s="2"/>
      <c r="CLP418" s="2"/>
      <c r="CLQ418" s="2"/>
      <c r="CLR418" s="2"/>
      <c r="CLS418" s="2"/>
      <c r="CLT418" s="2"/>
      <c r="CLU418" s="2"/>
      <c r="CLV418" s="2"/>
      <c r="CLW418" s="2"/>
      <c r="CLX418" s="2"/>
      <c r="CLY418" s="2"/>
      <c r="CLZ418" s="2"/>
      <c r="CMA418" s="2"/>
      <c r="CMB418" s="2"/>
      <c r="CMC418" s="2"/>
      <c r="CMD418" s="2"/>
      <c r="CME418" s="2"/>
      <c r="CMF418" s="2"/>
      <c r="CMG418" s="2"/>
      <c r="CMH418" s="2"/>
      <c r="CMI418" s="2"/>
      <c r="CMJ418" s="2"/>
      <c r="CMK418" s="2"/>
      <c r="CML418" s="2"/>
      <c r="CMM418" s="2"/>
      <c r="CMN418" s="2"/>
      <c r="CMO418" s="2"/>
      <c r="CMP418" s="2"/>
      <c r="CMQ418" s="2"/>
      <c r="CMR418" s="2"/>
      <c r="CMS418" s="2"/>
      <c r="CMT418" s="2"/>
      <c r="CMU418" s="2"/>
      <c r="CMV418" s="2"/>
      <c r="CMW418" s="2"/>
      <c r="CMX418" s="2"/>
      <c r="CMY418" s="2"/>
      <c r="CMZ418" s="2"/>
      <c r="CNA418" s="2"/>
      <c r="CNB418" s="2"/>
      <c r="CNC418" s="2"/>
      <c r="CND418" s="2"/>
      <c r="CNE418" s="2"/>
      <c r="CNF418" s="2"/>
      <c r="CNG418" s="2"/>
      <c r="CNH418" s="2"/>
      <c r="CNI418" s="2"/>
      <c r="CNJ418" s="2"/>
      <c r="CNK418" s="2"/>
      <c r="CNL418" s="2"/>
      <c r="CNM418" s="2"/>
      <c r="CNN418" s="2"/>
      <c r="CNO418" s="2"/>
      <c r="CNP418" s="2"/>
      <c r="CNQ418" s="2"/>
      <c r="CNR418" s="2"/>
      <c r="CNS418" s="2"/>
      <c r="CNT418" s="2"/>
      <c r="CNU418" s="2"/>
      <c r="CNV418" s="2"/>
      <c r="CNW418" s="2"/>
      <c r="CNX418" s="2"/>
      <c r="CNY418" s="2"/>
      <c r="CNZ418" s="2"/>
      <c r="COA418" s="2"/>
      <c r="COB418" s="2"/>
      <c r="COC418" s="2"/>
      <c r="COD418" s="2"/>
      <c r="COE418" s="2"/>
      <c r="COF418" s="2"/>
      <c r="COG418" s="2"/>
      <c r="COH418" s="2"/>
      <c r="COI418" s="2"/>
      <c r="COJ418" s="2"/>
      <c r="COK418" s="2"/>
      <c r="COL418" s="2"/>
      <c r="COM418" s="2"/>
      <c r="CON418" s="2"/>
      <c r="COO418" s="2"/>
      <c r="COP418" s="2"/>
      <c r="COQ418" s="2"/>
      <c r="COR418" s="2"/>
      <c r="COS418" s="2"/>
      <c r="COT418" s="2"/>
      <c r="COU418" s="2"/>
      <c r="COV418" s="2"/>
      <c r="COW418" s="2"/>
      <c r="COX418" s="2"/>
      <c r="COY418" s="2"/>
      <c r="COZ418" s="2"/>
      <c r="CPA418" s="2"/>
      <c r="CPB418" s="2"/>
      <c r="CPC418" s="2"/>
      <c r="CPD418" s="2"/>
      <c r="CPE418" s="2"/>
      <c r="CPF418" s="2"/>
      <c r="CPG418" s="2"/>
      <c r="CPH418" s="2"/>
      <c r="CPI418" s="2"/>
      <c r="CPJ418" s="2"/>
      <c r="CPK418" s="2"/>
      <c r="CPL418" s="2"/>
      <c r="CPM418" s="2"/>
      <c r="CPN418" s="2"/>
      <c r="CPO418" s="2"/>
      <c r="CPP418" s="2"/>
      <c r="CPQ418" s="2"/>
      <c r="CPR418" s="2"/>
      <c r="CPS418" s="2"/>
      <c r="CPT418" s="2"/>
      <c r="CPU418" s="2"/>
      <c r="CPV418" s="2"/>
      <c r="CPW418" s="2"/>
      <c r="CPX418" s="2"/>
      <c r="CPY418" s="2"/>
      <c r="CPZ418" s="2"/>
      <c r="CQA418" s="2"/>
      <c r="CQB418" s="2"/>
      <c r="CQC418" s="2"/>
      <c r="CQD418" s="2"/>
      <c r="CQE418" s="2"/>
      <c r="CQF418" s="2"/>
      <c r="CQG418" s="2"/>
      <c r="CQH418" s="2"/>
      <c r="CQI418" s="2"/>
      <c r="CQJ418" s="2"/>
      <c r="CQK418" s="2"/>
      <c r="CQL418" s="2"/>
      <c r="CQM418" s="2"/>
      <c r="CQN418" s="2"/>
      <c r="CQO418" s="2"/>
      <c r="CQP418" s="2"/>
      <c r="CQQ418" s="2"/>
      <c r="CQR418" s="2"/>
      <c r="CQS418" s="2"/>
      <c r="CQT418" s="2"/>
      <c r="CQU418" s="2"/>
      <c r="CQV418" s="2"/>
      <c r="CQW418" s="2"/>
      <c r="CQX418" s="2"/>
      <c r="CQY418" s="2"/>
      <c r="CQZ418" s="2"/>
      <c r="CRA418" s="2"/>
      <c r="CRB418" s="2"/>
      <c r="CRC418" s="2"/>
      <c r="CRD418" s="2"/>
      <c r="CRE418" s="2"/>
      <c r="CRF418" s="2"/>
      <c r="CRG418" s="2"/>
      <c r="CRH418" s="2"/>
      <c r="CRI418" s="2"/>
      <c r="CRJ418" s="2"/>
      <c r="CRK418" s="2"/>
      <c r="CRL418" s="2"/>
      <c r="CRM418" s="2"/>
      <c r="CRN418" s="2"/>
      <c r="CRO418" s="2"/>
      <c r="CRP418" s="2"/>
      <c r="CRQ418" s="2"/>
      <c r="CRR418" s="2"/>
      <c r="CRS418" s="2"/>
      <c r="CRT418" s="2"/>
      <c r="CRU418" s="2"/>
      <c r="CRV418" s="2"/>
      <c r="CRW418" s="2"/>
      <c r="CRX418" s="2"/>
      <c r="CRY418" s="2"/>
      <c r="CRZ418" s="2"/>
      <c r="CSA418" s="2"/>
      <c r="CSB418" s="2"/>
      <c r="CSC418" s="2"/>
      <c r="CSD418" s="2"/>
      <c r="CSE418" s="2"/>
      <c r="CSF418" s="2"/>
      <c r="CSG418" s="2"/>
      <c r="CSH418" s="2"/>
      <c r="CSI418" s="2"/>
      <c r="CSJ418" s="2"/>
      <c r="CSK418" s="2"/>
      <c r="CSL418" s="2"/>
      <c r="CSM418" s="2"/>
      <c r="CSN418" s="2"/>
      <c r="CSO418" s="2"/>
      <c r="CSP418" s="2"/>
      <c r="CSQ418" s="2"/>
      <c r="CSR418" s="2"/>
      <c r="CSS418" s="2"/>
      <c r="CST418" s="2"/>
      <c r="CSU418" s="2"/>
      <c r="CSV418" s="2"/>
      <c r="CSW418" s="2"/>
      <c r="CSX418" s="2"/>
      <c r="CSY418" s="2"/>
      <c r="CSZ418" s="2"/>
      <c r="CTA418" s="2"/>
      <c r="CTB418" s="2"/>
      <c r="CTC418" s="2"/>
      <c r="CTD418" s="2"/>
      <c r="CTE418" s="2"/>
      <c r="CTF418" s="2"/>
      <c r="CTG418" s="2"/>
      <c r="CTH418" s="2"/>
      <c r="CTI418" s="2"/>
      <c r="CTJ418" s="2"/>
      <c r="CTK418" s="2"/>
      <c r="CTL418" s="2"/>
      <c r="CTM418" s="2"/>
      <c r="CTN418" s="2"/>
      <c r="CTO418" s="2"/>
      <c r="CTP418" s="2"/>
      <c r="CTQ418" s="2"/>
      <c r="CTR418" s="2"/>
      <c r="CTS418" s="2"/>
      <c r="CTT418" s="2"/>
      <c r="CTU418" s="2"/>
      <c r="CTV418" s="2"/>
      <c r="CTW418" s="2"/>
      <c r="CTX418" s="2"/>
      <c r="CTY418" s="2"/>
      <c r="CTZ418" s="2"/>
      <c r="CUA418" s="2"/>
      <c r="CUB418" s="2"/>
      <c r="CUC418" s="2"/>
      <c r="CUD418" s="2"/>
      <c r="CUE418" s="2"/>
      <c r="CUF418" s="2"/>
      <c r="CUG418" s="2"/>
      <c r="CUH418" s="2"/>
      <c r="CUI418" s="2"/>
      <c r="CUJ418" s="2"/>
      <c r="CUK418" s="2"/>
      <c r="CUL418" s="2"/>
      <c r="CUM418" s="2"/>
      <c r="CUN418" s="2"/>
      <c r="CUO418" s="2"/>
      <c r="CUP418" s="2"/>
      <c r="CUQ418" s="2"/>
      <c r="CUR418" s="2"/>
      <c r="CUS418" s="2"/>
      <c r="CUT418" s="2"/>
      <c r="CUU418" s="2"/>
      <c r="CUV418" s="2"/>
      <c r="CUW418" s="2"/>
      <c r="CUX418" s="2"/>
      <c r="CUY418" s="2"/>
      <c r="CUZ418" s="2"/>
      <c r="CVA418" s="2"/>
      <c r="CVB418" s="2"/>
      <c r="CVC418" s="2"/>
      <c r="CVD418" s="2"/>
      <c r="CVE418" s="2"/>
      <c r="CVF418" s="2"/>
      <c r="CVG418" s="2"/>
      <c r="CVH418" s="2"/>
      <c r="CVI418" s="2"/>
      <c r="CVJ418" s="2"/>
      <c r="CVK418" s="2"/>
      <c r="CVL418" s="2"/>
      <c r="CVM418" s="2"/>
      <c r="CVN418" s="2"/>
      <c r="CVO418" s="2"/>
      <c r="CVP418" s="2"/>
      <c r="CVQ418" s="2"/>
      <c r="CVR418" s="2"/>
      <c r="CVS418" s="2"/>
      <c r="CVT418" s="2"/>
      <c r="CVU418" s="2"/>
      <c r="CVV418" s="2"/>
      <c r="CVW418" s="2"/>
      <c r="CVX418" s="2"/>
      <c r="CVY418" s="2"/>
      <c r="CVZ418" s="2"/>
      <c r="CWA418" s="2"/>
      <c r="CWB418" s="2"/>
      <c r="CWC418" s="2"/>
      <c r="CWD418" s="2"/>
      <c r="CWE418" s="2"/>
      <c r="CWF418" s="2"/>
      <c r="CWG418" s="2"/>
      <c r="CWH418" s="2"/>
      <c r="CWI418" s="2"/>
      <c r="CWJ418" s="2"/>
      <c r="CWK418" s="2"/>
      <c r="CWL418" s="2"/>
      <c r="CWM418" s="2"/>
      <c r="CWN418" s="2"/>
      <c r="CWO418" s="2"/>
      <c r="CWP418" s="2"/>
      <c r="CWQ418" s="2"/>
      <c r="CWR418" s="2"/>
      <c r="CWS418" s="2"/>
      <c r="CWT418" s="2"/>
      <c r="CWU418" s="2"/>
      <c r="CWV418" s="2"/>
      <c r="CWW418" s="2"/>
      <c r="CWX418" s="2"/>
      <c r="CWY418" s="2"/>
      <c r="CWZ418" s="2"/>
      <c r="CXA418" s="2"/>
      <c r="CXB418" s="2"/>
      <c r="CXC418" s="2"/>
      <c r="CXD418" s="2"/>
      <c r="CXE418" s="2"/>
      <c r="CXF418" s="2"/>
      <c r="CXG418" s="2"/>
      <c r="CXH418" s="2"/>
      <c r="CXI418" s="2"/>
      <c r="CXJ418" s="2"/>
      <c r="CXK418" s="2"/>
      <c r="CXL418" s="2"/>
      <c r="CXM418" s="2"/>
      <c r="CXN418" s="2"/>
      <c r="CXO418" s="2"/>
      <c r="CXP418" s="2"/>
      <c r="CXQ418" s="2"/>
      <c r="CXR418" s="2"/>
      <c r="CXS418" s="2"/>
      <c r="CXT418" s="2"/>
      <c r="CXU418" s="2"/>
      <c r="CXV418" s="2"/>
      <c r="CXW418" s="2"/>
      <c r="CXX418" s="2"/>
      <c r="CXY418" s="2"/>
      <c r="CXZ418" s="2"/>
      <c r="CYA418" s="2"/>
      <c r="CYB418" s="2"/>
      <c r="CYC418" s="2"/>
      <c r="CYD418" s="2"/>
      <c r="CYE418" s="2"/>
      <c r="CYF418" s="2"/>
      <c r="CYG418" s="2"/>
      <c r="CYH418" s="2"/>
      <c r="CYI418" s="2"/>
      <c r="CYJ418" s="2"/>
      <c r="CYK418" s="2"/>
      <c r="CYL418" s="2"/>
      <c r="CYM418" s="2"/>
      <c r="CYN418" s="2"/>
      <c r="CYO418" s="2"/>
      <c r="CYP418" s="2"/>
      <c r="CYQ418" s="2"/>
      <c r="CYR418" s="2"/>
      <c r="CYS418" s="2"/>
      <c r="CYT418" s="2"/>
      <c r="CYU418" s="2"/>
      <c r="CYV418" s="2"/>
      <c r="CYW418" s="2"/>
      <c r="CYX418" s="2"/>
      <c r="CYY418" s="2"/>
      <c r="CYZ418" s="2"/>
      <c r="CZA418" s="2"/>
      <c r="CZB418" s="2"/>
      <c r="CZC418" s="2"/>
      <c r="CZD418" s="2"/>
      <c r="CZE418" s="2"/>
      <c r="CZF418" s="2"/>
      <c r="CZG418" s="2"/>
      <c r="CZH418" s="2"/>
      <c r="CZI418" s="2"/>
      <c r="CZJ418" s="2"/>
      <c r="CZK418" s="2"/>
      <c r="CZL418" s="2"/>
      <c r="CZM418" s="2"/>
      <c r="CZN418" s="2"/>
      <c r="CZO418" s="2"/>
      <c r="CZP418" s="2"/>
      <c r="CZQ418" s="2"/>
      <c r="CZR418" s="2"/>
      <c r="CZS418" s="2"/>
      <c r="CZT418" s="2"/>
      <c r="CZU418" s="2"/>
      <c r="CZV418" s="2"/>
      <c r="CZW418" s="2"/>
      <c r="CZX418" s="2"/>
      <c r="CZY418" s="2"/>
      <c r="CZZ418" s="2"/>
      <c r="DAA418" s="2"/>
      <c r="DAB418" s="2"/>
      <c r="DAC418" s="2"/>
      <c r="DAD418" s="2"/>
      <c r="DAE418" s="2"/>
      <c r="DAF418" s="2"/>
      <c r="DAG418" s="2"/>
      <c r="DAH418" s="2"/>
      <c r="DAI418" s="2"/>
      <c r="DAJ418" s="2"/>
      <c r="DAK418" s="2"/>
      <c r="DAL418" s="2"/>
      <c r="DAM418" s="2"/>
      <c r="DAN418" s="2"/>
      <c r="DAO418" s="2"/>
      <c r="DAP418" s="2"/>
      <c r="DAQ418" s="2"/>
      <c r="DAR418" s="2"/>
      <c r="DAS418" s="2"/>
      <c r="DAT418" s="2"/>
      <c r="DAU418" s="2"/>
      <c r="DAV418" s="2"/>
      <c r="DAW418" s="2"/>
      <c r="DAX418" s="2"/>
      <c r="DAY418" s="2"/>
      <c r="DAZ418" s="2"/>
      <c r="DBA418" s="2"/>
      <c r="DBB418" s="2"/>
      <c r="DBC418" s="2"/>
      <c r="DBD418" s="2"/>
      <c r="DBE418" s="2"/>
      <c r="DBF418" s="2"/>
      <c r="DBG418" s="2"/>
      <c r="DBH418" s="2"/>
      <c r="DBI418" s="2"/>
      <c r="DBJ418" s="2"/>
      <c r="DBK418" s="2"/>
      <c r="DBL418" s="2"/>
      <c r="DBM418" s="2"/>
      <c r="DBN418" s="2"/>
      <c r="DBO418" s="2"/>
      <c r="DBP418" s="2"/>
      <c r="DBQ418" s="2"/>
      <c r="DBR418" s="2"/>
      <c r="DBS418" s="2"/>
      <c r="DBT418" s="2"/>
      <c r="DBU418" s="2"/>
      <c r="DBV418" s="2"/>
      <c r="DBW418" s="2"/>
      <c r="DBX418" s="2"/>
      <c r="DBY418" s="2"/>
      <c r="DBZ418" s="2"/>
      <c r="DCA418" s="2"/>
      <c r="DCB418" s="2"/>
      <c r="DCC418" s="2"/>
      <c r="DCD418" s="2"/>
      <c r="DCE418" s="2"/>
      <c r="DCF418" s="2"/>
      <c r="DCG418" s="2"/>
      <c r="DCH418" s="2"/>
      <c r="DCI418" s="2"/>
      <c r="DCJ418" s="2"/>
      <c r="DCK418" s="2"/>
      <c r="DCL418" s="2"/>
      <c r="DCM418" s="2"/>
      <c r="DCN418" s="2"/>
      <c r="DCO418" s="2"/>
      <c r="DCP418" s="2"/>
      <c r="DCQ418" s="2"/>
      <c r="DCR418" s="2"/>
      <c r="DCS418" s="2"/>
      <c r="DCT418" s="2"/>
      <c r="DCU418" s="2"/>
      <c r="DCV418" s="2"/>
      <c r="DCW418" s="2"/>
      <c r="DCX418" s="2"/>
      <c r="DCY418" s="2"/>
      <c r="DCZ418" s="2"/>
      <c r="DDA418" s="2"/>
      <c r="DDB418" s="2"/>
      <c r="DDC418" s="2"/>
      <c r="DDD418" s="2"/>
      <c r="DDE418" s="2"/>
      <c r="DDF418" s="2"/>
      <c r="DDG418" s="2"/>
      <c r="DDH418" s="2"/>
      <c r="DDI418" s="2"/>
      <c r="DDJ418" s="2"/>
      <c r="DDK418" s="2"/>
      <c r="DDL418" s="2"/>
      <c r="DDM418" s="2"/>
      <c r="DDN418" s="2"/>
      <c r="DDO418" s="2"/>
      <c r="DDP418" s="2"/>
      <c r="DDQ418" s="2"/>
      <c r="DDR418" s="2"/>
      <c r="DDS418" s="2"/>
      <c r="DDT418" s="2"/>
      <c r="DDU418" s="2"/>
      <c r="DDV418" s="2"/>
      <c r="DDW418" s="2"/>
      <c r="DDX418" s="2"/>
      <c r="DDY418" s="2"/>
      <c r="DDZ418" s="2"/>
      <c r="DEA418" s="2"/>
      <c r="DEB418" s="2"/>
      <c r="DEC418" s="2"/>
      <c r="DED418" s="2"/>
      <c r="DEE418" s="2"/>
      <c r="DEF418" s="2"/>
      <c r="DEG418" s="2"/>
      <c r="DEH418" s="2"/>
      <c r="DEI418" s="2"/>
      <c r="DEJ418" s="2"/>
      <c r="DEK418" s="2"/>
      <c r="DEL418" s="2"/>
      <c r="DEM418" s="2"/>
      <c r="DEN418" s="2"/>
      <c r="DEO418" s="2"/>
      <c r="DEP418" s="2"/>
      <c r="DEQ418" s="2"/>
      <c r="DER418" s="2"/>
      <c r="DES418" s="2"/>
      <c r="DET418" s="2"/>
      <c r="DEU418" s="2"/>
      <c r="DEV418" s="2"/>
      <c r="DEW418" s="2"/>
      <c r="DEX418" s="2"/>
      <c r="DEY418" s="2"/>
      <c r="DEZ418" s="2"/>
      <c r="DFA418" s="2"/>
      <c r="DFB418" s="2"/>
      <c r="DFC418" s="2"/>
      <c r="DFD418" s="2"/>
      <c r="DFE418" s="2"/>
      <c r="DFF418" s="2"/>
      <c r="DFG418" s="2"/>
      <c r="DFH418" s="2"/>
      <c r="DFI418" s="2"/>
      <c r="DFJ418" s="2"/>
      <c r="DFK418" s="2"/>
      <c r="DFL418" s="2"/>
      <c r="DFM418" s="2"/>
      <c r="DFN418" s="2"/>
      <c r="DFO418" s="2"/>
      <c r="DFP418" s="2"/>
      <c r="DFQ418" s="2"/>
      <c r="DFR418" s="2"/>
      <c r="DFS418" s="2"/>
      <c r="DFT418" s="2"/>
      <c r="DFU418" s="2"/>
      <c r="DFV418" s="2"/>
      <c r="DFW418" s="2"/>
      <c r="DFX418" s="2"/>
      <c r="DFY418" s="2"/>
      <c r="DFZ418" s="2"/>
      <c r="DGA418" s="2"/>
      <c r="DGB418" s="2"/>
      <c r="DGC418" s="2"/>
      <c r="DGD418" s="2"/>
      <c r="DGE418" s="2"/>
      <c r="DGF418" s="2"/>
      <c r="DGG418" s="2"/>
      <c r="DGH418" s="2"/>
      <c r="DGI418" s="2"/>
      <c r="DGJ418" s="2"/>
      <c r="DGK418" s="2"/>
      <c r="DGL418" s="2"/>
      <c r="DGM418" s="2"/>
      <c r="DGN418" s="2"/>
      <c r="DGO418" s="2"/>
      <c r="DGP418" s="2"/>
      <c r="DGQ418" s="2"/>
      <c r="DGR418" s="2"/>
      <c r="DGS418" s="2"/>
      <c r="DGT418" s="2"/>
      <c r="DGU418" s="2"/>
      <c r="DGV418" s="2"/>
      <c r="DGW418" s="2"/>
      <c r="DGX418" s="2"/>
      <c r="DGY418" s="2"/>
      <c r="DGZ418" s="2"/>
      <c r="DHA418" s="2"/>
      <c r="DHB418" s="2"/>
      <c r="DHC418" s="2"/>
      <c r="DHD418" s="2"/>
      <c r="DHE418" s="2"/>
      <c r="DHF418" s="2"/>
      <c r="DHG418" s="2"/>
      <c r="DHH418" s="2"/>
      <c r="DHI418" s="2"/>
      <c r="DHJ418" s="2"/>
      <c r="DHK418" s="2"/>
      <c r="DHL418" s="2"/>
      <c r="DHM418" s="2"/>
      <c r="DHN418" s="2"/>
      <c r="DHO418" s="2"/>
      <c r="DHP418" s="2"/>
      <c r="DHQ418" s="2"/>
      <c r="DHR418" s="2"/>
      <c r="DHS418" s="2"/>
      <c r="DHT418" s="2"/>
      <c r="DHU418" s="2"/>
      <c r="DHV418" s="2"/>
      <c r="DHW418" s="2"/>
      <c r="DHX418" s="2"/>
      <c r="DHY418" s="2"/>
      <c r="DHZ418" s="2"/>
      <c r="DIA418" s="2"/>
      <c r="DIB418" s="2"/>
      <c r="DIC418" s="2"/>
      <c r="DID418" s="2"/>
      <c r="DIE418" s="2"/>
      <c r="DIF418" s="2"/>
      <c r="DIG418" s="2"/>
      <c r="DIH418" s="2"/>
      <c r="DII418" s="2"/>
      <c r="DIJ418" s="2"/>
      <c r="DIK418" s="2"/>
      <c r="DIL418" s="2"/>
      <c r="DIM418" s="2"/>
      <c r="DIN418" s="2"/>
      <c r="DIO418" s="2"/>
      <c r="DIP418" s="2"/>
      <c r="DIQ418" s="2"/>
      <c r="DIR418" s="2"/>
      <c r="DIS418" s="2"/>
      <c r="DIT418" s="2"/>
      <c r="DIU418" s="2"/>
      <c r="DIV418" s="2"/>
      <c r="DIW418" s="2"/>
      <c r="DIX418" s="2"/>
      <c r="DIY418" s="2"/>
      <c r="DIZ418" s="2"/>
      <c r="DJA418" s="2"/>
      <c r="DJB418" s="2"/>
      <c r="DJC418" s="2"/>
      <c r="DJD418" s="2"/>
      <c r="DJE418" s="2"/>
      <c r="DJF418" s="2"/>
      <c r="DJG418" s="2"/>
      <c r="DJH418" s="2"/>
      <c r="DJI418" s="2"/>
      <c r="DJJ418" s="2"/>
      <c r="DJK418" s="2"/>
      <c r="DJL418" s="2"/>
      <c r="DJM418" s="2"/>
      <c r="DJN418" s="2"/>
      <c r="DJO418" s="2"/>
      <c r="DJP418" s="2"/>
      <c r="DJQ418" s="2"/>
      <c r="DJR418" s="2"/>
      <c r="DJS418" s="2"/>
      <c r="DJT418" s="2"/>
      <c r="DJU418" s="2"/>
      <c r="DJV418" s="2"/>
      <c r="DJW418" s="2"/>
      <c r="DJX418" s="2"/>
      <c r="DJY418" s="2"/>
      <c r="DJZ418" s="2"/>
      <c r="DKA418" s="2"/>
      <c r="DKB418" s="2"/>
      <c r="DKC418" s="2"/>
      <c r="DKD418" s="2"/>
      <c r="DKE418" s="2"/>
      <c r="DKF418" s="2"/>
      <c r="DKG418" s="2"/>
      <c r="DKH418" s="2"/>
      <c r="DKI418" s="2"/>
      <c r="DKJ418" s="2"/>
      <c r="DKK418" s="2"/>
      <c r="DKL418" s="2"/>
      <c r="DKM418" s="2"/>
      <c r="DKN418" s="2"/>
      <c r="DKO418" s="2"/>
      <c r="DKP418" s="2"/>
      <c r="DKQ418" s="2"/>
      <c r="DKR418" s="2"/>
      <c r="DKS418" s="2"/>
      <c r="DKT418" s="2"/>
      <c r="DKU418" s="2"/>
      <c r="DKV418" s="2"/>
      <c r="DKW418" s="2"/>
      <c r="DKX418" s="2"/>
      <c r="DKY418" s="2"/>
      <c r="DKZ418" s="2"/>
      <c r="DLA418" s="2"/>
      <c r="DLB418" s="2"/>
      <c r="DLC418" s="2"/>
      <c r="DLD418" s="2"/>
      <c r="DLE418" s="2"/>
      <c r="DLF418" s="2"/>
      <c r="DLG418" s="2"/>
      <c r="DLH418" s="2"/>
      <c r="DLI418" s="2"/>
      <c r="DLJ418" s="2"/>
      <c r="DLK418" s="2"/>
      <c r="DLL418" s="2"/>
      <c r="DLM418" s="2"/>
      <c r="DLN418" s="2"/>
      <c r="DLO418" s="2"/>
      <c r="DLP418" s="2"/>
      <c r="DLQ418" s="2"/>
      <c r="DLR418" s="2"/>
      <c r="DLS418" s="2"/>
      <c r="DLT418" s="2"/>
      <c r="DLU418" s="2"/>
      <c r="DLV418" s="2"/>
      <c r="DLW418" s="2"/>
      <c r="DLX418" s="2"/>
      <c r="DLY418" s="2"/>
      <c r="DLZ418" s="2"/>
      <c r="DMA418" s="2"/>
      <c r="DMB418" s="2"/>
      <c r="DMC418" s="2"/>
      <c r="DMD418" s="2"/>
      <c r="DME418" s="2"/>
      <c r="DMF418" s="2"/>
      <c r="DMG418" s="2"/>
      <c r="DMH418" s="2"/>
      <c r="DMI418" s="2"/>
      <c r="DMJ418" s="2"/>
      <c r="DMK418" s="2"/>
      <c r="DML418" s="2"/>
      <c r="DMM418" s="2"/>
      <c r="DMN418" s="2"/>
      <c r="DMO418" s="2"/>
      <c r="DMP418" s="2"/>
      <c r="DMQ418" s="2"/>
      <c r="DMR418" s="2"/>
      <c r="DMS418" s="2"/>
      <c r="DMT418" s="2"/>
      <c r="DMU418" s="2"/>
      <c r="DMV418" s="2"/>
      <c r="DMW418" s="2"/>
      <c r="DMX418" s="2"/>
      <c r="DMY418" s="2"/>
      <c r="DMZ418" s="2"/>
      <c r="DNA418" s="2"/>
      <c r="DNB418" s="2"/>
      <c r="DNC418" s="2"/>
      <c r="DND418" s="2"/>
      <c r="DNE418" s="2"/>
      <c r="DNF418" s="2"/>
      <c r="DNG418" s="2"/>
      <c r="DNH418" s="2"/>
      <c r="DNI418" s="2"/>
      <c r="DNJ418" s="2"/>
      <c r="DNK418" s="2"/>
      <c r="DNL418" s="2"/>
      <c r="DNM418" s="2"/>
      <c r="DNN418" s="2"/>
      <c r="DNO418" s="2"/>
      <c r="DNP418" s="2"/>
      <c r="DNQ418" s="2"/>
      <c r="DNR418" s="2"/>
      <c r="DNS418" s="2"/>
      <c r="DNT418" s="2"/>
      <c r="DNU418" s="2"/>
      <c r="DNV418" s="2"/>
      <c r="DNW418" s="2"/>
      <c r="DNX418" s="2"/>
      <c r="DNY418" s="2"/>
      <c r="DNZ418" s="2"/>
      <c r="DOA418" s="2"/>
      <c r="DOB418" s="2"/>
      <c r="DOC418" s="2"/>
      <c r="DOD418" s="2"/>
      <c r="DOE418" s="2"/>
      <c r="DOF418" s="2"/>
      <c r="DOG418" s="2"/>
      <c r="DOH418" s="2"/>
      <c r="DOI418" s="2"/>
      <c r="DOJ418" s="2"/>
      <c r="DOK418" s="2"/>
      <c r="DOL418" s="2"/>
      <c r="DOM418" s="2"/>
      <c r="DON418" s="2"/>
      <c r="DOO418" s="2"/>
      <c r="DOP418" s="2"/>
      <c r="DOQ418" s="2"/>
      <c r="DOR418" s="2"/>
      <c r="DOS418" s="2"/>
      <c r="DOT418" s="2"/>
      <c r="DOU418" s="2"/>
      <c r="DOV418" s="2"/>
      <c r="DOW418" s="2"/>
      <c r="DOX418" s="2"/>
      <c r="DOY418" s="2"/>
      <c r="DOZ418" s="2"/>
      <c r="DPA418" s="2"/>
      <c r="DPB418" s="2"/>
      <c r="DPC418" s="2"/>
      <c r="DPD418" s="2"/>
      <c r="DPE418" s="2"/>
      <c r="DPF418" s="2"/>
      <c r="DPG418" s="2"/>
      <c r="DPH418" s="2"/>
      <c r="DPI418" s="2"/>
      <c r="DPJ418" s="2"/>
      <c r="DPK418" s="2"/>
      <c r="DPL418" s="2"/>
      <c r="DPM418" s="2"/>
      <c r="DPN418" s="2"/>
      <c r="DPO418" s="2"/>
      <c r="DPP418" s="2"/>
      <c r="DPQ418" s="2"/>
      <c r="DPR418" s="2"/>
      <c r="DPS418" s="2"/>
      <c r="DPT418" s="2"/>
      <c r="DPU418" s="2"/>
      <c r="DPV418" s="2"/>
      <c r="DPW418" s="2"/>
      <c r="DPX418" s="2"/>
      <c r="DPY418" s="2"/>
      <c r="DPZ418" s="2"/>
      <c r="DQA418" s="2"/>
      <c r="DQB418" s="2"/>
      <c r="DQC418" s="2"/>
      <c r="DQD418" s="2"/>
      <c r="DQE418" s="2"/>
      <c r="DQF418" s="2"/>
      <c r="DQG418" s="2"/>
      <c r="DQH418" s="2"/>
      <c r="DQI418" s="2"/>
      <c r="DQJ418" s="2"/>
      <c r="DQK418" s="2"/>
      <c r="DQL418" s="2"/>
      <c r="DQM418" s="2"/>
      <c r="DQN418" s="2"/>
      <c r="DQO418" s="2"/>
      <c r="DQP418" s="2"/>
      <c r="DQQ418" s="2"/>
      <c r="DQR418" s="2"/>
      <c r="DQS418" s="2"/>
      <c r="DQT418" s="2"/>
      <c r="DQU418" s="2"/>
      <c r="DQV418" s="2"/>
      <c r="DQW418" s="2"/>
      <c r="DQX418" s="2"/>
      <c r="DQY418" s="2"/>
      <c r="DQZ418" s="2"/>
      <c r="DRA418" s="2"/>
      <c r="DRB418" s="2"/>
      <c r="DRC418" s="2"/>
      <c r="DRD418" s="2"/>
      <c r="DRE418" s="2"/>
      <c r="DRF418" s="2"/>
      <c r="DRG418" s="2"/>
      <c r="DRH418" s="2"/>
      <c r="DRI418" s="2"/>
      <c r="DRJ418" s="2"/>
      <c r="DRK418" s="2"/>
      <c r="DRL418" s="2"/>
      <c r="DRM418" s="2"/>
      <c r="DRN418" s="2"/>
      <c r="DRO418" s="2"/>
      <c r="DRP418" s="2"/>
      <c r="DRQ418" s="2"/>
      <c r="DRR418" s="2"/>
      <c r="DRS418" s="2"/>
      <c r="DRT418" s="2"/>
      <c r="DRU418" s="2"/>
      <c r="DRV418" s="2"/>
      <c r="DRW418" s="2"/>
      <c r="DRX418" s="2"/>
      <c r="DRY418" s="2"/>
      <c r="DRZ418" s="2"/>
      <c r="DSA418" s="2"/>
      <c r="DSB418" s="2"/>
      <c r="DSC418" s="2"/>
      <c r="DSD418" s="2"/>
      <c r="DSE418" s="2"/>
      <c r="DSF418" s="2"/>
      <c r="DSG418" s="2"/>
      <c r="DSH418" s="2"/>
      <c r="DSI418" s="2"/>
      <c r="DSJ418" s="2"/>
      <c r="DSK418" s="2"/>
      <c r="DSL418" s="2"/>
      <c r="DSM418" s="2"/>
      <c r="DSN418" s="2"/>
      <c r="DSO418" s="2"/>
      <c r="DSP418" s="2"/>
      <c r="DSQ418" s="2"/>
      <c r="DSR418" s="2"/>
      <c r="DSS418" s="2"/>
      <c r="DST418" s="2"/>
      <c r="DSU418" s="2"/>
      <c r="DSV418" s="2"/>
      <c r="DSW418" s="2"/>
      <c r="DSX418" s="2"/>
      <c r="DSY418" s="2"/>
      <c r="DSZ418" s="2"/>
      <c r="DTA418" s="2"/>
      <c r="DTB418" s="2"/>
      <c r="DTC418" s="2"/>
      <c r="DTD418" s="2"/>
      <c r="DTE418" s="2"/>
      <c r="DTF418" s="2"/>
      <c r="DTG418" s="2"/>
      <c r="DTH418" s="2"/>
      <c r="DTI418" s="2"/>
      <c r="DTJ418" s="2"/>
      <c r="DTK418" s="2"/>
      <c r="DTL418" s="2"/>
      <c r="DTM418" s="2"/>
      <c r="DTN418" s="2"/>
      <c r="DTO418" s="2"/>
      <c r="DTP418" s="2"/>
      <c r="DTQ418" s="2"/>
      <c r="DTR418" s="2"/>
      <c r="DTS418" s="2"/>
      <c r="DTT418" s="2"/>
      <c r="DTU418" s="2"/>
      <c r="DTV418" s="2"/>
      <c r="DTW418" s="2"/>
      <c r="DTX418" s="2"/>
      <c r="DTY418" s="2"/>
      <c r="DTZ418" s="2"/>
      <c r="DUA418" s="2"/>
      <c r="DUB418" s="2"/>
      <c r="DUC418" s="2"/>
      <c r="DUD418" s="2"/>
      <c r="DUE418" s="2"/>
      <c r="DUF418" s="2"/>
      <c r="DUG418" s="2"/>
      <c r="DUH418" s="2"/>
      <c r="DUI418" s="2"/>
      <c r="DUJ418" s="2"/>
      <c r="DUK418" s="2"/>
      <c r="DUL418" s="2"/>
      <c r="DUM418" s="2"/>
      <c r="DUN418" s="2"/>
      <c r="DUO418" s="2"/>
      <c r="DUP418" s="2"/>
      <c r="DUQ418" s="2"/>
      <c r="DUR418" s="2"/>
      <c r="DUS418" s="2"/>
      <c r="DUT418" s="2"/>
      <c r="DUU418" s="2"/>
      <c r="DUV418" s="2"/>
      <c r="DUW418" s="2"/>
      <c r="DUX418" s="2"/>
      <c r="DUY418" s="2"/>
      <c r="DUZ418" s="2"/>
      <c r="DVA418" s="2"/>
      <c r="DVB418" s="2"/>
      <c r="DVC418" s="2"/>
      <c r="DVD418" s="2"/>
      <c r="DVE418" s="2"/>
      <c r="DVF418" s="2"/>
      <c r="DVG418" s="2"/>
      <c r="DVH418" s="2"/>
      <c r="DVI418" s="2"/>
      <c r="DVJ418" s="2"/>
      <c r="DVK418" s="2"/>
      <c r="DVL418" s="2"/>
      <c r="DVM418" s="2"/>
      <c r="DVN418" s="2"/>
      <c r="DVO418" s="2"/>
      <c r="DVP418" s="2"/>
      <c r="DVQ418" s="2"/>
      <c r="DVR418" s="2"/>
      <c r="DVS418" s="2"/>
      <c r="DVT418" s="2"/>
      <c r="DVU418" s="2"/>
      <c r="DVV418" s="2"/>
      <c r="DVW418" s="2"/>
      <c r="DVX418" s="2"/>
      <c r="DVY418" s="2"/>
      <c r="DVZ418" s="2"/>
      <c r="DWA418" s="2"/>
      <c r="DWB418" s="2"/>
      <c r="DWC418" s="2"/>
      <c r="DWD418" s="2"/>
      <c r="DWE418" s="2"/>
      <c r="DWF418" s="2"/>
      <c r="DWG418" s="2"/>
      <c r="DWH418" s="2"/>
      <c r="DWI418" s="2"/>
      <c r="DWJ418" s="2"/>
      <c r="DWK418" s="2"/>
      <c r="DWL418" s="2"/>
      <c r="DWM418" s="2"/>
      <c r="DWN418" s="2"/>
      <c r="DWO418" s="2"/>
      <c r="DWP418" s="2"/>
      <c r="DWQ418" s="2"/>
      <c r="DWR418" s="2"/>
      <c r="DWS418" s="2"/>
      <c r="DWT418" s="2"/>
      <c r="DWU418" s="2"/>
      <c r="DWV418" s="2"/>
      <c r="DWW418" s="2"/>
      <c r="DWX418" s="2"/>
      <c r="DWY418" s="2"/>
      <c r="DWZ418" s="2"/>
      <c r="DXA418" s="2"/>
      <c r="DXB418" s="2"/>
      <c r="DXC418" s="2"/>
      <c r="DXD418" s="2"/>
      <c r="DXE418" s="2"/>
      <c r="DXF418" s="2"/>
      <c r="DXG418" s="2"/>
      <c r="DXH418" s="2"/>
      <c r="DXI418" s="2"/>
      <c r="DXJ418" s="2"/>
      <c r="DXK418" s="2"/>
      <c r="DXL418" s="2"/>
      <c r="DXM418" s="2"/>
      <c r="DXN418" s="2"/>
      <c r="DXO418" s="2"/>
      <c r="DXP418" s="2"/>
      <c r="DXQ418" s="2"/>
      <c r="DXR418" s="2"/>
      <c r="DXS418" s="2"/>
      <c r="DXT418" s="2"/>
      <c r="DXU418" s="2"/>
      <c r="DXV418" s="2"/>
      <c r="DXW418" s="2"/>
      <c r="DXX418" s="2"/>
      <c r="DXY418" s="2"/>
      <c r="DXZ418" s="2"/>
      <c r="DYA418" s="2"/>
      <c r="DYB418" s="2"/>
      <c r="DYC418" s="2"/>
      <c r="DYD418" s="2"/>
      <c r="DYE418" s="2"/>
      <c r="DYF418" s="2"/>
      <c r="DYG418" s="2"/>
      <c r="DYH418" s="2"/>
      <c r="DYI418" s="2"/>
      <c r="DYJ418" s="2"/>
      <c r="DYK418" s="2"/>
      <c r="DYL418" s="2"/>
      <c r="DYM418" s="2"/>
      <c r="DYN418" s="2"/>
      <c r="DYO418" s="2"/>
      <c r="DYP418" s="2"/>
      <c r="DYQ418" s="2"/>
      <c r="DYR418" s="2"/>
      <c r="DYS418" s="2"/>
      <c r="DYT418" s="2"/>
      <c r="DYU418" s="2"/>
      <c r="DYV418" s="2"/>
      <c r="DYW418" s="2"/>
      <c r="DYX418" s="2"/>
      <c r="DYY418" s="2"/>
      <c r="DYZ418" s="2"/>
      <c r="DZA418" s="2"/>
      <c r="DZB418" s="2"/>
      <c r="DZC418" s="2"/>
      <c r="DZD418" s="2"/>
      <c r="DZE418" s="2"/>
      <c r="DZF418" s="2"/>
      <c r="DZG418" s="2"/>
      <c r="DZH418" s="2"/>
      <c r="DZI418" s="2"/>
      <c r="DZJ418" s="2"/>
      <c r="DZK418" s="2"/>
      <c r="DZL418" s="2"/>
      <c r="DZM418" s="2"/>
      <c r="DZN418" s="2"/>
      <c r="DZO418" s="2"/>
      <c r="DZP418" s="2"/>
      <c r="DZQ418" s="2"/>
      <c r="DZR418" s="2"/>
      <c r="DZS418" s="2"/>
      <c r="DZT418" s="2"/>
      <c r="DZU418" s="2"/>
      <c r="DZV418" s="2"/>
      <c r="DZW418" s="2"/>
      <c r="DZX418" s="2"/>
      <c r="DZY418" s="2"/>
      <c r="DZZ418" s="2"/>
      <c r="EAA418" s="2"/>
      <c r="EAB418" s="2"/>
      <c r="EAC418" s="2"/>
      <c r="EAD418" s="2"/>
      <c r="EAE418" s="2"/>
      <c r="EAF418" s="2"/>
      <c r="EAG418" s="2"/>
      <c r="EAH418" s="2"/>
      <c r="EAI418" s="2"/>
      <c r="EAJ418" s="2"/>
      <c r="EAK418" s="2"/>
      <c r="EAL418" s="2"/>
      <c r="EAM418" s="2"/>
      <c r="EAN418" s="2"/>
      <c r="EAO418" s="2"/>
      <c r="EAP418" s="2"/>
      <c r="EAQ418" s="2"/>
      <c r="EAR418" s="2"/>
      <c r="EAS418" s="2"/>
      <c r="EAT418" s="2"/>
      <c r="EAU418" s="2"/>
      <c r="EAV418" s="2"/>
      <c r="EAW418" s="2"/>
      <c r="EAX418" s="2"/>
      <c r="EAY418" s="2"/>
      <c r="EAZ418" s="2"/>
      <c r="EBA418" s="2"/>
      <c r="EBB418" s="2"/>
      <c r="EBC418" s="2"/>
      <c r="EBD418" s="2"/>
      <c r="EBE418" s="2"/>
      <c r="EBF418" s="2"/>
      <c r="EBG418" s="2"/>
      <c r="EBH418" s="2"/>
      <c r="EBI418" s="2"/>
      <c r="EBJ418" s="2"/>
      <c r="EBK418" s="2"/>
      <c r="EBL418" s="2"/>
      <c r="EBM418" s="2"/>
      <c r="EBN418" s="2"/>
      <c r="EBO418" s="2"/>
      <c r="EBP418" s="2"/>
      <c r="EBQ418" s="2"/>
      <c r="EBR418" s="2"/>
      <c r="EBS418" s="2"/>
      <c r="EBT418" s="2"/>
      <c r="EBU418" s="2"/>
      <c r="EBV418" s="2"/>
      <c r="EBW418" s="2"/>
      <c r="EBX418" s="2"/>
      <c r="EBY418" s="2"/>
      <c r="EBZ418" s="2"/>
      <c r="ECA418" s="2"/>
      <c r="ECB418" s="2"/>
      <c r="ECC418" s="2"/>
      <c r="ECD418" s="2"/>
      <c r="ECE418" s="2"/>
      <c r="ECF418" s="2"/>
      <c r="ECG418" s="2"/>
      <c r="ECH418" s="2"/>
      <c r="ECI418" s="2"/>
      <c r="ECJ418" s="2"/>
      <c r="ECK418" s="2"/>
      <c r="ECL418" s="2"/>
      <c r="ECM418" s="2"/>
      <c r="ECN418" s="2"/>
      <c r="ECO418" s="2"/>
      <c r="ECP418" s="2"/>
      <c r="ECQ418" s="2"/>
      <c r="ECR418" s="2"/>
      <c r="ECS418" s="2"/>
      <c r="ECT418" s="2"/>
      <c r="ECU418" s="2"/>
      <c r="ECV418" s="2"/>
      <c r="ECW418" s="2"/>
      <c r="ECX418" s="2"/>
      <c r="ECY418" s="2"/>
      <c r="ECZ418" s="2"/>
      <c r="EDA418" s="2"/>
      <c r="EDB418" s="2"/>
      <c r="EDC418" s="2"/>
      <c r="EDD418" s="2"/>
      <c r="EDE418" s="2"/>
      <c r="EDF418" s="2"/>
      <c r="EDG418" s="2"/>
      <c r="EDH418" s="2"/>
      <c r="EDI418" s="2"/>
      <c r="EDJ418" s="2"/>
      <c r="EDK418" s="2"/>
      <c r="EDL418" s="2"/>
      <c r="EDM418" s="2"/>
      <c r="EDN418" s="2"/>
      <c r="EDO418" s="2"/>
      <c r="EDP418" s="2"/>
      <c r="EDQ418" s="2"/>
      <c r="EDR418" s="2"/>
      <c r="EDS418" s="2"/>
      <c r="EDT418" s="2"/>
      <c r="EDU418" s="2"/>
      <c r="EDV418" s="2"/>
      <c r="EDW418" s="2"/>
      <c r="EDX418" s="2"/>
      <c r="EDY418" s="2"/>
      <c r="EDZ418" s="2"/>
      <c r="EEA418" s="2"/>
      <c r="EEB418" s="2"/>
      <c r="EEC418" s="2"/>
      <c r="EED418" s="2"/>
      <c r="EEE418" s="2"/>
      <c r="EEF418" s="2"/>
      <c r="EEG418" s="2"/>
      <c r="EEH418" s="2"/>
      <c r="EEI418" s="2"/>
      <c r="EEJ418" s="2"/>
      <c r="EEK418" s="2"/>
      <c r="EEL418" s="2"/>
      <c r="EEM418" s="2"/>
      <c r="EEN418" s="2"/>
      <c r="EEO418" s="2"/>
      <c r="EEP418" s="2"/>
      <c r="EEQ418" s="2"/>
      <c r="EER418" s="2"/>
      <c r="EES418" s="2"/>
      <c r="EET418" s="2"/>
      <c r="EEU418" s="2"/>
      <c r="EEV418" s="2"/>
      <c r="EEW418" s="2"/>
      <c r="EEX418" s="2"/>
      <c r="EEY418" s="2"/>
      <c r="EEZ418" s="2"/>
      <c r="EFA418" s="2"/>
      <c r="EFB418" s="2"/>
      <c r="EFC418" s="2"/>
      <c r="EFD418" s="2"/>
      <c r="EFE418" s="2"/>
      <c r="EFF418" s="2"/>
      <c r="EFG418" s="2"/>
      <c r="EFH418" s="2"/>
      <c r="EFI418" s="2"/>
      <c r="EFJ418" s="2"/>
      <c r="EFK418" s="2"/>
      <c r="EFL418" s="2"/>
      <c r="EFM418" s="2"/>
      <c r="EFN418" s="2"/>
      <c r="EFO418" s="2"/>
      <c r="EFP418" s="2"/>
      <c r="EFQ418" s="2"/>
      <c r="EFR418" s="2"/>
      <c r="EFS418" s="2"/>
      <c r="EFT418" s="2"/>
      <c r="EFU418" s="2"/>
      <c r="EFV418" s="2"/>
      <c r="EFW418" s="2"/>
      <c r="EFX418" s="2"/>
      <c r="EFY418" s="2"/>
      <c r="EFZ418" s="2"/>
      <c r="EGA418" s="2"/>
      <c r="EGB418" s="2"/>
      <c r="EGC418" s="2"/>
      <c r="EGD418" s="2"/>
      <c r="EGE418" s="2"/>
      <c r="EGF418" s="2"/>
      <c r="EGG418" s="2"/>
      <c r="EGH418" s="2"/>
      <c r="EGI418" s="2"/>
      <c r="EGJ418" s="2"/>
      <c r="EGK418" s="2"/>
      <c r="EGL418" s="2"/>
      <c r="EGM418" s="2"/>
      <c r="EGN418" s="2"/>
      <c r="EGO418" s="2"/>
      <c r="EGP418" s="2"/>
      <c r="EGQ418" s="2"/>
      <c r="EGR418" s="2"/>
      <c r="EGS418" s="2"/>
      <c r="EGT418" s="2"/>
      <c r="EGU418" s="2"/>
      <c r="EGV418" s="2"/>
      <c r="EGW418" s="2"/>
      <c r="EGX418" s="2"/>
      <c r="EGY418" s="2"/>
      <c r="EGZ418" s="2"/>
      <c r="EHA418" s="2"/>
      <c r="EHB418" s="2"/>
      <c r="EHC418" s="2"/>
      <c r="EHD418" s="2"/>
      <c r="EHE418" s="2"/>
      <c r="EHF418" s="2"/>
      <c r="EHG418" s="2"/>
      <c r="EHH418" s="2"/>
      <c r="EHI418" s="2"/>
      <c r="EHJ418" s="2"/>
      <c r="EHK418" s="2"/>
      <c r="EHL418" s="2"/>
      <c r="EHM418" s="2"/>
      <c r="EHN418" s="2"/>
      <c r="EHO418" s="2"/>
      <c r="EHP418" s="2"/>
      <c r="EHQ418" s="2"/>
      <c r="EHR418" s="2"/>
      <c r="EHS418" s="2"/>
      <c r="EHT418" s="2"/>
      <c r="EHU418" s="2"/>
      <c r="EHV418" s="2"/>
      <c r="EHW418" s="2"/>
      <c r="EHX418" s="2"/>
      <c r="EHY418" s="2"/>
      <c r="EHZ418" s="2"/>
      <c r="EIA418" s="2"/>
      <c r="EIB418" s="2"/>
      <c r="EIC418" s="2"/>
      <c r="EID418" s="2"/>
      <c r="EIE418" s="2"/>
      <c r="EIF418" s="2"/>
      <c r="EIG418" s="2"/>
      <c r="EIH418" s="2"/>
      <c r="EII418" s="2"/>
      <c r="EIJ418" s="2"/>
      <c r="EIK418" s="2"/>
      <c r="EIL418" s="2"/>
      <c r="EIM418" s="2"/>
      <c r="EIN418" s="2"/>
      <c r="EIO418" s="2"/>
      <c r="EIP418" s="2"/>
      <c r="EIQ418" s="2"/>
      <c r="EIR418" s="2"/>
      <c r="EIS418" s="2"/>
      <c r="EIT418" s="2"/>
      <c r="EIU418" s="2"/>
      <c r="EIV418" s="2"/>
      <c r="EIW418" s="2"/>
      <c r="EIX418" s="2"/>
      <c r="EIY418" s="2"/>
      <c r="EIZ418" s="2"/>
      <c r="EJA418" s="2"/>
      <c r="EJB418" s="2"/>
      <c r="EJC418" s="2"/>
      <c r="EJD418" s="2"/>
      <c r="EJE418" s="2"/>
      <c r="EJF418" s="2"/>
      <c r="EJG418" s="2"/>
      <c r="EJH418" s="2"/>
      <c r="EJI418" s="2"/>
      <c r="EJJ418" s="2"/>
      <c r="EJK418" s="2"/>
      <c r="EJL418" s="2"/>
      <c r="EJM418" s="2"/>
      <c r="EJN418" s="2"/>
      <c r="EJO418" s="2"/>
      <c r="EJP418" s="2"/>
      <c r="EJQ418" s="2"/>
      <c r="EJR418" s="2"/>
      <c r="EJS418" s="2"/>
      <c r="EJT418" s="2"/>
      <c r="EJU418" s="2"/>
      <c r="EJV418" s="2"/>
      <c r="EJW418" s="2"/>
      <c r="EJX418" s="2"/>
      <c r="EJY418" s="2"/>
      <c r="EJZ418" s="2"/>
      <c r="EKA418" s="2"/>
      <c r="EKB418" s="2"/>
      <c r="EKC418" s="2"/>
      <c r="EKD418" s="2"/>
      <c r="EKE418" s="2"/>
      <c r="EKF418" s="2"/>
      <c r="EKG418" s="2"/>
      <c r="EKH418" s="2"/>
      <c r="EKI418" s="2"/>
      <c r="EKJ418" s="2"/>
      <c r="EKK418" s="2"/>
      <c r="EKL418" s="2"/>
      <c r="EKM418" s="2"/>
      <c r="EKN418" s="2"/>
      <c r="EKO418" s="2"/>
      <c r="EKP418" s="2"/>
      <c r="EKQ418" s="2"/>
      <c r="EKR418" s="2"/>
      <c r="EKS418" s="2"/>
      <c r="EKT418" s="2"/>
      <c r="EKU418" s="2"/>
      <c r="EKV418" s="2"/>
      <c r="EKW418" s="2"/>
      <c r="EKX418" s="2"/>
      <c r="EKY418" s="2"/>
      <c r="EKZ418" s="2"/>
      <c r="ELA418" s="2"/>
      <c r="ELB418" s="2"/>
      <c r="ELC418" s="2"/>
      <c r="ELD418" s="2"/>
      <c r="ELE418" s="2"/>
      <c r="ELF418" s="2"/>
      <c r="ELG418" s="2"/>
      <c r="ELH418" s="2"/>
      <c r="ELI418" s="2"/>
      <c r="ELJ418" s="2"/>
      <c r="ELK418" s="2"/>
      <c r="ELL418" s="2"/>
      <c r="ELM418" s="2"/>
      <c r="ELN418" s="2"/>
      <c r="ELO418" s="2"/>
      <c r="ELP418" s="2"/>
      <c r="ELQ418" s="2"/>
      <c r="ELR418" s="2"/>
      <c r="ELS418" s="2"/>
      <c r="ELT418" s="2"/>
      <c r="ELU418" s="2"/>
      <c r="ELV418" s="2"/>
      <c r="ELW418" s="2"/>
      <c r="ELX418" s="2"/>
      <c r="ELY418" s="2"/>
      <c r="ELZ418" s="2"/>
      <c r="EMA418" s="2"/>
      <c r="EMB418" s="2"/>
      <c r="EMC418" s="2"/>
      <c r="EMD418" s="2"/>
      <c r="EME418" s="2"/>
      <c r="EMF418" s="2"/>
      <c r="EMG418" s="2"/>
      <c r="EMH418" s="2"/>
      <c r="EMI418" s="2"/>
      <c r="EMJ418" s="2"/>
      <c r="EMK418" s="2"/>
      <c r="EML418" s="2"/>
      <c r="EMM418" s="2"/>
      <c r="EMN418" s="2"/>
      <c r="EMO418" s="2"/>
      <c r="EMP418" s="2"/>
      <c r="EMQ418" s="2"/>
      <c r="EMR418" s="2"/>
      <c r="EMS418" s="2"/>
      <c r="EMT418" s="2"/>
      <c r="EMU418" s="2"/>
      <c r="EMV418" s="2"/>
      <c r="EMW418" s="2"/>
      <c r="EMX418" s="2"/>
      <c r="EMY418" s="2"/>
      <c r="EMZ418" s="2"/>
      <c r="ENA418" s="2"/>
      <c r="ENB418" s="2"/>
      <c r="ENC418" s="2"/>
      <c r="END418" s="2"/>
      <c r="ENE418" s="2"/>
      <c r="ENF418" s="2"/>
      <c r="ENG418" s="2"/>
      <c r="ENH418" s="2"/>
      <c r="ENI418" s="2"/>
      <c r="ENJ418" s="2"/>
      <c r="ENK418" s="2"/>
      <c r="ENL418" s="2"/>
      <c r="ENM418" s="2"/>
      <c r="ENN418" s="2"/>
      <c r="ENO418" s="2"/>
      <c r="ENP418" s="2"/>
      <c r="ENQ418" s="2"/>
      <c r="ENR418" s="2"/>
      <c r="ENS418" s="2"/>
      <c r="ENT418" s="2"/>
      <c r="ENU418" s="2"/>
      <c r="ENV418" s="2"/>
      <c r="ENW418" s="2"/>
      <c r="ENX418" s="2"/>
      <c r="ENY418" s="2"/>
      <c r="ENZ418" s="2"/>
      <c r="EOA418" s="2"/>
      <c r="EOB418" s="2"/>
      <c r="EOC418" s="2"/>
      <c r="EOD418" s="2"/>
      <c r="EOE418" s="2"/>
      <c r="EOF418" s="2"/>
      <c r="EOG418" s="2"/>
      <c r="EOH418" s="2"/>
      <c r="EOI418" s="2"/>
      <c r="EOJ418" s="2"/>
      <c r="EOK418" s="2"/>
      <c r="EOL418" s="2"/>
      <c r="EOM418" s="2"/>
      <c r="EON418" s="2"/>
      <c r="EOO418" s="2"/>
      <c r="EOP418" s="2"/>
      <c r="EOQ418" s="2"/>
      <c r="EOR418" s="2"/>
      <c r="EOS418" s="2"/>
      <c r="EOT418" s="2"/>
      <c r="EOU418" s="2"/>
      <c r="EOV418" s="2"/>
      <c r="EOW418" s="2"/>
      <c r="EOX418" s="2"/>
      <c r="EOY418" s="2"/>
      <c r="EOZ418" s="2"/>
      <c r="EPA418" s="2"/>
      <c r="EPB418" s="2"/>
      <c r="EPC418" s="2"/>
      <c r="EPD418" s="2"/>
      <c r="EPE418" s="2"/>
      <c r="EPF418" s="2"/>
      <c r="EPG418" s="2"/>
      <c r="EPH418" s="2"/>
      <c r="EPI418" s="2"/>
      <c r="EPJ418" s="2"/>
      <c r="EPK418" s="2"/>
      <c r="EPL418" s="2"/>
      <c r="EPM418" s="2"/>
      <c r="EPN418" s="2"/>
      <c r="EPO418" s="2"/>
      <c r="EPP418" s="2"/>
      <c r="EPQ418" s="2"/>
      <c r="EPR418" s="2"/>
      <c r="EPS418" s="2"/>
      <c r="EPT418" s="2"/>
      <c r="EPU418" s="2"/>
      <c r="EPV418" s="2"/>
      <c r="EPW418" s="2"/>
      <c r="EPX418" s="2"/>
      <c r="EPY418" s="2"/>
      <c r="EPZ418" s="2"/>
      <c r="EQA418" s="2"/>
      <c r="EQB418" s="2"/>
      <c r="EQC418" s="2"/>
      <c r="EQD418" s="2"/>
      <c r="EQE418" s="2"/>
      <c r="EQF418" s="2"/>
      <c r="EQG418" s="2"/>
      <c r="EQH418" s="2"/>
      <c r="EQI418" s="2"/>
      <c r="EQJ418" s="2"/>
      <c r="EQK418" s="2"/>
      <c r="EQL418" s="2"/>
      <c r="EQM418" s="2"/>
      <c r="EQN418" s="2"/>
      <c r="EQO418" s="2"/>
      <c r="EQP418" s="2"/>
      <c r="EQQ418" s="2"/>
      <c r="EQR418" s="2"/>
      <c r="EQS418" s="2"/>
      <c r="EQT418" s="2"/>
      <c r="EQU418" s="2"/>
      <c r="EQV418" s="2"/>
      <c r="EQW418" s="2"/>
      <c r="EQX418" s="2"/>
      <c r="EQY418" s="2"/>
      <c r="EQZ418" s="2"/>
      <c r="ERA418" s="2"/>
      <c r="ERB418" s="2"/>
      <c r="ERC418" s="2"/>
      <c r="ERD418" s="2"/>
      <c r="ERE418" s="2"/>
      <c r="ERF418" s="2"/>
      <c r="ERG418" s="2"/>
      <c r="ERH418" s="2"/>
      <c r="ERI418" s="2"/>
      <c r="ERJ418" s="2"/>
      <c r="ERK418" s="2"/>
      <c r="ERL418" s="2"/>
      <c r="ERM418" s="2"/>
      <c r="ERN418" s="2"/>
      <c r="ERO418" s="2"/>
      <c r="ERP418" s="2"/>
      <c r="ERQ418" s="2"/>
      <c r="ERR418" s="2"/>
      <c r="ERS418" s="2"/>
      <c r="ERT418" s="2"/>
      <c r="ERU418" s="2"/>
      <c r="ERV418" s="2"/>
      <c r="ERW418" s="2"/>
      <c r="ERX418" s="2"/>
      <c r="ERY418" s="2"/>
      <c r="ERZ418" s="2"/>
      <c r="ESA418" s="2"/>
      <c r="ESB418" s="2"/>
      <c r="ESC418" s="2"/>
      <c r="ESD418" s="2"/>
      <c r="ESE418" s="2"/>
      <c r="ESF418" s="2"/>
      <c r="ESG418" s="2"/>
      <c r="ESH418" s="2"/>
      <c r="ESI418" s="2"/>
      <c r="ESJ418" s="2"/>
      <c r="ESK418" s="2"/>
      <c r="ESL418" s="2"/>
      <c r="ESM418" s="2"/>
      <c r="ESN418" s="2"/>
      <c r="ESO418" s="2"/>
      <c r="ESP418" s="2"/>
      <c r="ESQ418" s="2"/>
      <c r="ESR418" s="2"/>
      <c r="ESS418" s="2"/>
      <c r="EST418" s="2"/>
      <c r="ESU418" s="2"/>
      <c r="ESV418" s="2"/>
      <c r="ESW418" s="2"/>
      <c r="ESX418" s="2"/>
      <c r="ESY418" s="2"/>
      <c r="ESZ418" s="2"/>
      <c r="ETA418" s="2"/>
      <c r="ETB418" s="2"/>
      <c r="ETC418" s="2"/>
      <c r="ETD418" s="2"/>
      <c r="ETE418" s="2"/>
      <c r="ETF418" s="2"/>
      <c r="ETG418" s="2"/>
      <c r="ETH418" s="2"/>
      <c r="ETI418" s="2"/>
      <c r="ETJ418" s="2"/>
      <c r="ETK418" s="2"/>
      <c r="ETL418" s="2"/>
      <c r="ETM418" s="2"/>
      <c r="ETN418" s="2"/>
      <c r="ETO418" s="2"/>
      <c r="ETP418" s="2"/>
      <c r="ETQ418" s="2"/>
      <c r="ETR418" s="2"/>
      <c r="ETS418" s="2"/>
      <c r="ETT418" s="2"/>
      <c r="ETU418" s="2"/>
      <c r="ETV418" s="2"/>
      <c r="ETW418" s="2"/>
      <c r="ETX418" s="2"/>
      <c r="ETY418" s="2"/>
      <c r="ETZ418" s="2"/>
      <c r="EUA418" s="2"/>
      <c r="EUB418" s="2"/>
      <c r="EUC418" s="2"/>
      <c r="EUD418" s="2"/>
      <c r="EUE418" s="2"/>
      <c r="EUF418" s="2"/>
      <c r="EUG418" s="2"/>
      <c r="EUH418" s="2"/>
      <c r="EUI418" s="2"/>
      <c r="EUJ418" s="2"/>
      <c r="EUK418" s="2"/>
      <c r="EUL418" s="2"/>
      <c r="EUM418" s="2"/>
      <c r="EUN418" s="2"/>
      <c r="EUO418" s="2"/>
      <c r="EUP418" s="2"/>
      <c r="EUQ418" s="2"/>
      <c r="EUR418" s="2"/>
      <c r="EUS418" s="2"/>
      <c r="EUT418" s="2"/>
      <c r="EUU418" s="2"/>
      <c r="EUV418" s="2"/>
      <c r="EUW418" s="2"/>
      <c r="EUX418" s="2"/>
      <c r="EUY418" s="2"/>
      <c r="EUZ418" s="2"/>
      <c r="EVA418" s="2"/>
      <c r="EVB418" s="2"/>
      <c r="EVC418" s="2"/>
      <c r="EVD418" s="2"/>
      <c r="EVE418" s="2"/>
      <c r="EVF418" s="2"/>
      <c r="EVG418" s="2"/>
      <c r="EVH418" s="2"/>
      <c r="EVI418" s="2"/>
      <c r="EVJ418" s="2"/>
      <c r="EVK418" s="2"/>
      <c r="EVL418" s="2"/>
      <c r="EVM418" s="2"/>
      <c r="EVN418" s="2"/>
      <c r="EVO418" s="2"/>
      <c r="EVP418" s="2"/>
      <c r="EVQ418" s="2"/>
      <c r="EVR418" s="2"/>
      <c r="EVS418" s="2"/>
      <c r="EVT418" s="2"/>
      <c r="EVU418" s="2"/>
      <c r="EVV418" s="2"/>
      <c r="EVW418" s="2"/>
      <c r="EVX418" s="2"/>
      <c r="EVY418" s="2"/>
      <c r="EVZ418" s="2"/>
      <c r="EWA418" s="2"/>
      <c r="EWB418" s="2"/>
      <c r="EWC418" s="2"/>
      <c r="EWD418" s="2"/>
      <c r="EWE418" s="2"/>
      <c r="EWF418" s="2"/>
      <c r="EWG418" s="2"/>
      <c r="EWH418" s="2"/>
      <c r="EWI418" s="2"/>
      <c r="EWJ418" s="2"/>
      <c r="EWK418" s="2"/>
      <c r="EWL418" s="2"/>
      <c r="EWM418" s="2"/>
      <c r="EWN418" s="2"/>
      <c r="EWO418" s="2"/>
      <c r="EWP418" s="2"/>
      <c r="EWQ418" s="2"/>
      <c r="EWR418" s="2"/>
      <c r="EWS418" s="2"/>
      <c r="EWT418" s="2"/>
      <c r="EWU418" s="2"/>
      <c r="EWV418" s="2"/>
      <c r="EWW418" s="2"/>
      <c r="EWX418" s="2"/>
      <c r="EWY418" s="2"/>
      <c r="EWZ418" s="2"/>
      <c r="EXA418" s="2"/>
      <c r="EXB418" s="2"/>
      <c r="EXC418" s="2"/>
      <c r="EXD418" s="2"/>
      <c r="EXE418" s="2"/>
      <c r="EXF418" s="2"/>
      <c r="EXG418" s="2"/>
      <c r="EXH418" s="2"/>
      <c r="EXI418" s="2"/>
      <c r="EXJ418" s="2"/>
      <c r="EXK418" s="2"/>
      <c r="EXL418" s="2"/>
      <c r="EXM418" s="2"/>
      <c r="EXN418" s="2"/>
      <c r="EXO418" s="2"/>
      <c r="EXP418" s="2"/>
      <c r="EXQ418" s="2"/>
      <c r="EXR418" s="2"/>
      <c r="EXS418" s="2"/>
      <c r="EXT418" s="2"/>
      <c r="EXU418" s="2"/>
      <c r="EXV418" s="2"/>
      <c r="EXW418" s="2"/>
      <c r="EXX418" s="2"/>
      <c r="EXY418" s="2"/>
      <c r="EXZ418" s="2"/>
      <c r="EYA418" s="2"/>
      <c r="EYB418" s="2"/>
      <c r="EYC418" s="2"/>
      <c r="EYD418" s="2"/>
      <c r="EYE418" s="2"/>
      <c r="EYF418" s="2"/>
      <c r="EYG418" s="2"/>
      <c r="EYH418" s="2"/>
      <c r="EYI418" s="2"/>
      <c r="EYJ418" s="2"/>
      <c r="EYK418" s="2"/>
      <c r="EYL418" s="2"/>
      <c r="EYM418" s="2"/>
      <c r="EYN418" s="2"/>
      <c r="EYO418" s="2"/>
      <c r="EYP418" s="2"/>
      <c r="EYQ418" s="2"/>
      <c r="EYR418" s="2"/>
      <c r="EYS418" s="2"/>
      <c r="EYT418" s="2"/>
      <c r="EYU418" s="2"/>
      <c r="EYV418" s="2"/>
      <c r="EYW418" s="2"/>
      <c r="EYX418" s="2"/>
      <c r="EYY418" s="2"/>
      <c r="EYZ418" s="2"/>
      <c r="EZA418" s="2"/>
      <c r="EZB418" s="2"/>
      <c r="EZC418" s="2"/>
      <c r="EZD418" s="2"/>
      <c r="EZE418" s="2"/>
      <c r="EZF418" s="2"/>
      <c r="EZG418" s="2"/>
      <c r="EZH418" s="2"/>
      <c r="EZI418" s="2"/>
      <c r="EZJ418" s="2"/>
      <c r="EZK418" s="2"/>
      <c r="EZL418" s="2"/>
      <c r="EZM418" s="2"/>
      <c r="EZN418" s="2"/>
      <c r="EZO418" s="2"/>
      <c r="EZP418" s="2"/>
      <c r="EZQ418" s="2"/>
      <c r="EZR418" s="2"/>
      <c r="EZS418" s="2"/>
      <c r="EZT418" s="2"/>
      <c r="EZU418" s="2"/>
      <c r="EZV418" s="2"/>
      <c r="EZW418" s="2"/>
      <c r="EZX418" s="2"/>
      <c r="EZY418" s="2"/>
      <c r="EZZ418" s="2"/>
      <c r="FAA418" s="2"/>
      <c r="FAB418" s="2"/>
      <c r="FAC418" s="2"/>
      <c r="FAD418" s="2"/>
      <c r="FAE418" s="2"/>
      <c r="FAF418" s="2"/>
      <c r="FAG418" s="2"/>
      <c r="FAH418" s="2"/>
      <c r="FAI418" s="2"/>
      <c r="FAJ418" s="2"/>
      <c r="FAK418" s="2"/>
      <c r="FAL418" s="2"/>
      <c r="FAM418" s="2"/>
      <c r="FAN418" s="2"/>
      <c r="FAO418" s="2"/>
      <c r="FAP418" s="2"/>
      <c r="FAQ418" s="2"/>
      <c r="FAR418" s="2"/>
      <c r="FAS418" s="2"/>
      <c r="FAT418" s="2"/>
      <c r="FAU418" s="2"/>
      <c r="FAV418" s="2"/>
      <c r="FAW418" s="2"/>
      <c r="FAX418" s="2"/>
      <c r="FAY418" s="2"/>
      <c r="FAZ418" s="2"/>
      <c r="FBA418" s="2"/>
      <c r="FBB418" s="2"/>
      <c r="FBC418" s="2"/>
      <c r="FBD418" s="2"/>
      <c r="FBE418" s="2"/>
      <c r="FBF418" s="2"/>
      <c r="FBG418" s="2"/>
      <c r="FBH418" s="2"/>
      <c r="FBI418" s="2"/>
      <c r="FBJ418" s="2"/>
      <c r="FBK418" s="2"/>
      <c r="FBL418" s="2"/>
      <c r="FBM418" s="2"/>
      <c r="FBN418" s="2"/>
      <c r="FBO418" s="2"/>
      <c r="FBP418" s="2"/>
      <c r="FBQ418" s="2"/>
      <c r="FBR418" s="2"/>
      <c r="FBS418" s="2"/>
      <c r="FBT418" s="2"/>
      <c r="FBU418" s="2"/>
      <c r="FBV418" s="2"/>
      <c r="FBW418" s="2"/>
      <c r="FBX418" s="2"/>
      <c r="FBY418" s="2"/>
      <c r="FBZ418" s="2"/>
      <c r="FCA418" s="2"/>
      <c r="FCB418" s="2"/>
      <c r="FCC418" s="2"/>
      <c r="FCD418" s="2"/>
      <c r="FCE418" s="2"/>
      <c r="FCF418" s="2"/>
      <c r="FCG418" s="2"/>
      <c r="FCH418" s="2"/>
      <c r="FCI418" s="2"/>
      <c r="FCJ418" s="2"/>
      <c r="FCK418" s="2"/>
      <c r="FCL418" s="2"/>
      <c r="FCM418" s="2"/>
      <c r="FCN418" s="2"/>
      <c r="FCO418" s="2"/>
      <c r="FCP418" s="2"/>
      <c r="FCQ418" s="2"/>
      <c r="FCR418" s="2"/>
      <c r="FCS418" s="2"/>
      <c r="FCT418" s="2"/>
      <c r="FCU418" s="2"/>
      <c r="FCV418" s="2"/>
      <c r="FCW418" s="2"/>
      <c r="FCX418" s="2"/>
      <c r="FCY418" s="2"/>
      <c r="FCZ418" s="2"/>
      <c r="FDA418" s="2"/>
      <c r="FDB418" s="2"/>
      <c r="FDC418" s="2"/>
      <c r="FDD418" s="2"/>
      <c r="FDE418" s="2"/>
      <c r="FDF418" s="2"/>
      <c r="FDG418" s="2"/>
      <c r="FDH418" s="2"/>
      <c r="FDI418" s="2"/>
      <c r="FDJ418" s="2"/>
      <c r="FDK418" s="2"/>
      <c r="FDL418" s="2"/>
      <c r="FDM418" s="2"/>
      <c r="FDN418" s="2"/>
      <c r="FDO418" s="2"/>
      <c r="FDP418" s="2"/>
      <c r="FDQ418" s="2"/>
      <c r="FDR418" s="2"/>
      <c r="FDS418" s="2"/>
      <c r="FDT418" s="2"/>
      <c r="FDU418" s="2"/>
      <c r="FDV418" s="2"/>
      <c r="FDW418" s="2"/>
      <c r="FDX418" s="2"/>
      <c r="FDY418" s="2"/>
      <c r="FDZ418" s="2"/>
      <c r="FEA418" s="2"/>
      <c r="FEB418" s="2"/>
      <c r="FEC418" s="2"/>
      <c r="FED418" s="2"/>
      <c r="FEE418" s="2"/>
      <c r="FEF418" s="2"/>
      <c r="FEG418" s="2"/>
      <c r="FEH418" s="2"/>
      <c r="FEI418" s="2"/>
      <c r="FEJ418" s="2"/>
      <c r="FEK418" s="2"/>
      <c r="FEL418" s="2"/>
      <c r="FEM418" s="2"/>
      <c r="FEN418" s="2"/>
      <c r="FEO418" s="2"/>
      <c r="FEP418" s="2"/>
      <c r="FEQ418" s="2"/>
      <c r="FER418" s="2"/>
      <c r="FES418" s="2"/>
      <c r="FET418" s="2"/>
      <c r="FEU418" s="2"/>
      <c r="FEV418" s="2"/>
      <c r="FEW418" s="2"/>
      <c r="FEX418" s="2"/>
      <c r="FEY418" s="2"/>
      <c r="FEZ418" s="2"/>
      <c r="FFA418" s="2"/>
      <c r="FFB418" s="2"/>
      <c r="FFC418" s="2"/>
      <c r="FFD418" s="2"/>
      <c r="FFE418" s="2"/>
      <c r="FFF418" s="2"/>
      <c r="FFG418" s="2"/>
      <c r="FFH418" s="2"/>
      <c r="FFI418" s="2"/>
      <c r="FFJ418" s="2"/>
      <c r="FFK418" s="2"/>
      <c r="FFL418" s="2"/>
      <c r="FFM418" s="2"/>
      <c r="FFN418" s="2"/>
      <c r="FFO418" s="2"/>
      <c r="FFP418" s="2"/>
      <c r="FFQ418" s="2"/>
      <c r="FFR418" s="2"/>
      <c r="FFS418" s="2"/>
      <c r="FFT418" s="2"/>
      <c r="FFU418" s="2"/>
      <c r="FFV418" s="2"/>
      <c r="FFW418" s="2"/>
      <c r="FFX418" s="2"/>
      <c r="FFY418" s="2"/>
      <c r="FFZ418" s="2"/>
      <c r="FGA418" s="2"/>
      <c r="FGB418" s="2"/>
      <c r="FGC418" s="2"/>
      <c r="FGD418" s="2"/>
      <c r="FGE418" s="2"/>
      <c r="FGF418" s="2"/>
      <c r="FGG418" s="2"/>
      <c r="FGH418" s="2"/>
      <c r="FGI418" s="2"/>
      <c r="FGJ418" s="2"/>
      <c r="FGK418" s="2"/>
      <c r="FGL418" s="2"/>
      <c r="FGM418" s="2"/>
      <c r="FGN418" s="2"/>
      <c r="FGO418" s="2"/>
      <c r="FGP418" s="2"/>
      <c r="FGQ418" s="2"/>
      <c r="FGR418" s="2"/>
      <c r="FGS418" s="2"/>
      <c r="FGT418" s="2"/>
      <c r="FGU418" s="2"/>
      <c r="FGV418" s="2"/>
      <c r="FGW418" s="2"/>
      <c r="FGX418" s="2"/>
      <c r="FGY418" s="2"/>
      <c r="FGZ418" s="2"/>
      <c r="FHA418" s="2"/>
      <c r="FHB418" s="2"/>
      <c r="FHC418" s="2"/>
      <c r="FHD418" s="2"/>
      <c r="FHE418" s="2"/>
      <c r="FHF418" s="2"/>
      <c r="FHG418" s="2"/>
      <c r="FHH418" s="2"/>
      <c r="FHI418" s="2"/>
      <c r="FHJ418" s="2"/>
      <c r="FHK418" s="2"/>
      <c r="FHL418" s="2"/>
      <c r="FHM418" s="2"/>
      <c r="FHN418" s="2"/>
      <c r="FHO418" s="2"/>
      <c r="FHP418" s="2"/>
      <c r="FHQ418" s="2"/>
      <c r="FHR418" s="2"/>
      <c r="FHS418" s="2"/>
      <c r="FHT418" s="2"/>
      <c r="FHU418" s="2"/>
      <c r="FHV418" s="2"/>
      <c r="FHW418" s="2"/>
      <c r="FHX418" s="2"/>
      <c r="FHY418" s="2"/>
      <c r="FHZ418" s="2"/>
      <c r="FIA418" s="2"/>
      <c r="FIB418" s="2"/>
      <c r="FIC418" s="2"/>
      <c r="FID418" s="2"/>
      <c r="FIE418" s="2"/>
      <c r="FIF418" s="2"/>
      <c r="FIG418" s="2"/>
      <c r="FIH418" s="2"/>
      <c r="FII418" s="2"/>
      <c r="FIJ418" s="2"/>
      <c r="FIK418" s="2"/>
      <c r="FIL418" s="2"/>
      <c r="FIM418" s="2"/>
      <c r="FIN418" s="2"/>
      <c r="FIO418" s="2"/>
      <c r="FIP418" s="2"/>
      <c r="FIQ418" s="2"/>
      <c r="FIR418" s="2"/>
      <c r="FIS418" s="2"/>
      <c r="FIT418" s="2"/>
      <c r="FIU418" s="2"/>
      <c r="FIV418" s="2"/>
      <c r="FIW418" s="2"/>
      <c r="FIX418" s="2"/>
      <c r="FIY418" s="2"/>
      <c r="FIZ418" s="2"/>
      <c r="FJA418" s="2"/>
      <c r="FJB418" s="2"/>
      <c r="FJC418" s="2"/>
      <c r="FJD418" s="2"/>
      <c r="FJE418" s="2"/>
      <c r="FJF418" s="2"/>
      <c r="FJG418" s="2"/>
      <c r="FJH418" s="2"/>
      <c r="FJI418" s="2"/>
      <c r="FJJ418" s="2"/>
      <c r="FJK418" s="2"/>
      <c r="FJL418" s="2"/>
      <c r="FJM418" s="2"/>
      <c r="FJN418" s="2"/>
      <c r="FJO418" s="2"/>
      <c r="FJP418" s="2"/>
      <c r="FJQ418" s="2"/>
      <c r="FJR418" s="2"/>
      <c r="FJS418" s="2"/>
      <c r="FJT418" s="2"/>
      <c r="FJU418" s="2"/>
      <c r="FJV418" s="2"/>
      <c r="FJW418" s="2"/>
      <c r="FJX418" s="2"/>
      <c r="FJY418" s="2"/>
      <c r="FJZ418" s="2"/>
      <c r="FKA418" s="2"/>
      <c r="FKB418" s="2"/>
      <c r="FKC418" s="2"/>
      <c r="FKD418" s="2"/>
      <c r="FKE418" s="2"/>
      <c r="FKF418" s="2"/>
      <c r="FKG418" s="2"/>
      <c r="FKH418" s="2"/>
      <c r="FKI418" s="2"/>
      <c r="FKJ418" s="2"/>
      <c r="FKK418" s="2"/>
      <c r="FKL418" s="2"/>
      <c r="FKM418" s="2"/>
      <c r="FKN418" s="2"/>
      <c r="FKO418" s="2"/>
      <c r="FKP418" s="2"/>
      <c r="FKQ418" s="2"/>
      <c r="FKR418" s="2"/>
      <c r="FKS418" s="2"/>
      <c r="FKT418" s="2"/>
      <c r="FKU418" s="2"/>
      <c r="FKV418" s="2"/>
      <c r="FKW418" s="2"/>
      <c r="FKX418" s="2"/>
      <c r="FKY418" s="2"/>
      <c r="FKZ418" s="2"/>
      <c r="FLA418" s="2"/>
      <c r="FLB418" s="2"/>
      <c r="FLC418" s="2"/>
      <c r="FLD418" s="2"/>
      <c r="FLE418" s="2"/>
      <c r="FLF418" s="2"/>
      <c r="FLG418" s="2"/>
      <c r="FLH418" s="2"/>
      <c r="FLI418" s="2"/>
      <c r="FLJ418" s="2"/>
      <c r="FLK418" s="2"/>
      <c r="FLL418" s="2"/>
      <c r="FLM418" s="2"/>
      <c r="FLN418" s="2"/>
      <c r="FLO418" s="2"/>
      <c r="FLP418" s="2"/>
      <c r="FLQ418" s="2"/>
      <c r="FLR418" s="2"/>
      <c r="FLS418" s="2"/>
      <c r="FLT418" s="2"/>
      <c r="FLU418" s="2"/>
      <c r="FLV418" s="2"/>
      <c r="FLW418" s="2"/>
      <c r="FLX418" s="2"/>
      <c r="FLY418" s="2"/>
      <c r="FLZ418" s="2"/>
      <c r="FMA418" s="2"/>
      <c r="FMB418" s="2"/>
      <c r="FMC418" s="2"/>
      <c r="FMD418" s="2"/>
      <c r="FME418" s="2"/>
      <c r="FMF418" s="2"/>
      <c r="FMG418" s="2"/>
      <c r="FMH418" s="2"/>
      <c r="FMI418" s="2"/>
      <c r="FMJ418" s="2"/>
      <c r="FMK418" s="2"/>
      <c r="FML418" s="2"/>
      <c r="FMM418" s="2"/>
      <c r="FMN418" s="2"/>
      <c r="FMO418" s="2"/>
      <c r="FMP418" s="2"/>
      <c r="FMQ418" s="2"/>
      <c r="FMR418" s="2"/>
      <c r="FMS418" s="2"/>
      <c r="FMT418" s="2"/>
      <c r="FMU418" s="2"/>
      <c r="FMV418" s="2"/>
      <c r="FMW418" s="2"/>
      <c r="FMX418" s="2"/>
      <c r="FMY418" s="2"/>
      <c r="FMZ418" s="2"/>
      <c r="FNA418" s="2"/>
      <c r="FNB418" s="2"/>
      <c r="FNC418" s="2"/>
      <c r="FND418" s="2"/>
      <c r="FNE418" s="2"/>
      <c r="FNF418" s="2"/>
      <c r="FNG418" s="2"/>
      <c r="FNH418" s="2"/>
      <c r="FNI418" s="2"/>
      <c r="FNJ418" s="2"/>
      <c r="FNK418" s="2"/>
      <c r="FNL418" s="2"/>
      <c r="FNM418" s="2"/>
      <c r="FNN418" s="2"/>
      <c r="FNO418" s="2"/>
      <c r="FNP418" s="2"/>
      <c r="FNQ418" s="2"/>
      <c r="FNR418" s="2"/>
      <c r="FNS418" s="2"/>
      <c r="FNT418" s="2"/>
      <c r="FNU418" s="2"/>
      <c r="FNV418" s="2"/>
      <c r="FNW418" s="2"/>
      <c r="FNX418" s="2"/>
      <c r="FNY418" s="2"/>
      <c r="FNZ418" s="2"/>
      <c r="FOA418" s="2"/>
      <c r="FOB418" s="2"/>
      <c r="FOC418" s="2"/>
      <c r="FOD418" s="2"/>
      <c r="FOE418" s="2"/>
      <c r="FOF418" s="2"/>
      <c r="FOG418" s="2"/>
      <c r="FOH418" s="2"/>
      <c r="FOI418" s="2"/>
      <c r="FOJ418" s="2"/>
      <c r="FOK418" s="2"/>
      <c r="FOL418" s="2"/>
      <c r="FOM418" s="2"/>
      <c r="FON418" s="2"/>
      <c r="FOO418" s="2"/>
      <c r="FOP418" s="2"/>
      <c r="FOQ418" s="2"/>
      <c r="FOR418" s="2"/>
      <c r="FOS418" s="2"/>
      <c r="FOT418" s="2"/>
      <c r="FOU418" s="2"/>
      <c r="FOV418" s="2"/>
      <c r="FOW418" s="2"/>
      <c r="FOX418" s="2"/>
      <c r="FOY418" s="2"/>
      <c r="FOZ418" s="2"/>
      <c r="FPA418" s="2"/>
      <c r="FPB418" s="2"/>
      <c r="FPC418" s="2"/>
      <c r="FPD418" s="2"/>
      <c r="FPE418" s="2"/>
      <c r="FPF418" s="2"/>
      <c r="FPG418" s="2"/>
      <c r="FPH418" s="2"/>
      <c r="FPI418" s="2"/>
      <c r="FPJ418" s="2"/>
      <c r="FPK418" s="2"/>
      <c r="FPL418" s="2"/>
      <c r="FPM418" s="2"/>
      <c r="FPN418" s="2"/>
      <c r="FPO418" s="2"/>
      <c r="FPP418" s="2"/>
      <c r="FPQ418" s="2"/>
      <c r="FPR418" s="2"/>
      <c r="FPS418" s="2"/>
      <c r="FPT418" s="2"/>
      <c r="FPU418" s="2"/>
      <c r="FPV418" s="2"/>
      <c r="FPW418" s="2"/>
      <c r="FPX418" s="2"/>
      <c r="FPY418" s="2"/>
      <c r="FPZ418" s="2"/>
      <c r="FQA418" s="2"/>
      <c r="FQB418" s="2"/>
      <c r="FQC418" s="2"/>
      <c r="FQD418" s="2"/>
      <c r="FQE418" s="2"/>
      <c r="FQF418" s="2"/>
      <c r="FQG418" s="2"/>
      <c r="FQH418" s="2"/>
      <c r="FQI418" s="2"/>
      <c r="FQJ418" s="2"/>
      <c r="FQK418" s="2"/>
      <c r="FQL418" s="2"/>
      <c r="FQM418" s="2"/>
      <c r="FQN418" s="2"/>
      <c r="FQO418" s="2"/>
      <c r="FQP418" s="2"/>
      <c r="FQQ418" s="2"/>
      <c r="FQR418" s="2"/>
      <c r="FQS418" s="2"/>
      <c r="FQT418" s="2"/>
      <c r="FQU418" s="2"/>
      <c r="FQV418" s="2"/>
      <c r="FQW418" s="2"/>
      <c r="FQX418" s="2"/>
      <c r="FQY418" s="2"/>
      <c r="FQZ418" s="2"/>
      <c r="FRA418" s="2"/>
      <c r="FRB418" s="2"/>
      <c r="FRC418" s="2"/>
      <c r="FRD418" s="2"/>
      <c r="FRE418" s="2"/>
      <c r="FRF418" s="2"/>
      <c r="FRG418" s="2"/>
      <c r="FRH418" s="2"/>
      <c r="FRI418" s="2"/>
      <c r="FRJ418" s="2"/>
      <c r="FRK418" s="2"/>
      <c r="FRL418" s="2"/>
      <c r="FRM418" s="2"/>
      <c r="FRN418" s="2"/>
      <c r="FRO418" s="2"/>
      <c r="FRP418" s="2"/>
      <c r="FRQ418" s="2"/>
      <c r="FRR418" s="2"/>
      <c r="FRS418" s="2"/>
      <c r="FRT418" s="2"/>
      <c r="FRU418" s="2"/>
      <c r="FRV418" s="2"/>
      <c r="FRW418" s="2"/>
      <c r="FRX418" s="2"/>
      <c r="FRY418" s="2"/>
      <c r="FRZ418" s="2"/>
      <c r="FSA418" s="2"/>
      <c r="FSB418" s="2"/>
      <c r="FSC418" s="2"/>
      <c r="FSD418" s="2"/>
      <c r="FSE418" s="2"/>
      <c r="FSF418" s="2"/>
      <c r="FSG418" s="2"/>
      <c r="FSH418" s="2"/>
      <c r="FSI418" s="2"/>
      <c r="FSJ418" s="2"/>
      <c r="FSK418" s="2"/>
      <c r="FSL418" s="2"/>
      <c r="FSM418" s="2"/>
      <c r="FSN418" s="2"/>
      <c r="FSO418" s="2"/>
      <c r="FSP418" s="2"/>
      <c r="FSQ418" s="2"/>
      <c r="FSR418" s="2"/>
      <c r="FSS418" s="2"/>
      <c r="FST418" s="2"/>
      <c r="FSU418" s="2"/>
      <c r="FSV418" s="2"/>
      <c r="FSW418" s="2"/>
      <c r="FSX418" s="2"/>
      <c r="FSY418" s="2"/>
      <c r="FSZ418" s="2"/>
      <c r="FTA418" s="2"/>
      <c r="FTB418" s="2"/>
      <c r="FTC418" s="2"/>
      <c r="FTD418" s="2"/>
      <c r="FTE418" s="2"/>
      <c r="FTF418" s="2"/>
      <c r="FTG418" s="2"/>
      <c r="FTH418" s="2"/>
      <c r="FTI418" s="2"/>
      <c r="FTJ418" s="2"/>
      <c r="FTK418" s="2"/>
      <c r="FTL418" s="2"/>
      <c r="FTM418" s="2"/>
      <c r="FTN418" s="2"/>
      <c r="FTO418" s="2"/>
      <c r="FTP418" s="2"/>
      <c r="FTQ418" s="2"/>
      <c r="FTR418" s="2"/>
      <c r="FTS418" s="2"/>
      <c r="FTT418" s="2"/>
      <c r="FTU418" s="2"/>
      <c r="FTV418" s="2"/>
      <c r="FTW418" s="2"/>
      <c r="FTX418" s="2"/>
      <c r="FTY418" s="2"/>
      <c r="FTZ418" s="2"/>
      <c r="FUA418" s="2"/>
      <c r="FUB418" s="2"/>
      <c r="FUC418" s="2"/>
      <c r="FUD418" s="2"/>
      <c r="FUE418" s="2"/>
      <c r="FUF418" s="2"/>
      <c r="FUG418" s="2"/>
      <c r="FUH418" s="2"/>
      <c r="FUI418" s="2"/>
      <c r="FUJ418" s="2"/>
      <c r="FUK418" s="2"/>
      <c r="FUL418" s="2"/>
      <c r="FUM418" s="2"/>
      <c r="FUN418" s="2"/>
      <c r="FUO418" s="2"/>
      <c r="FUP418" s="2"/>
      <c r="FUQ418" s="2"/>
      <c r="FUR418" s="2"/>
      <c r="FUS418" s="2"/>
      <c r="FUT418" s="2"/>
      <c r="FUU418" s="2"/>
      <c r="FUV418" s="2"/>
      <c r="FUW418" s="2"/>
      <c r="FUX418" s="2"/>
      <c r="FUY418" s="2"/>
      <c r="FUZ418" s="2"/>
      <c r="FVA418" s="2"/>
      <c r="FVB418" s="2"/>
      <c r="FVC418" s="2"/>
      <c r="FVD418" s="2"/>
      <c r="FVE418" s="2"/>
      <c r="FVF418" s="2"/>
      <c r="FVG418" s="2"/>
      <c r="FVH418" s="2"/>
      <c r="FVI418" s="2"/>
      <c r="FVJ418" s="2"/>
      <c r="FVK418" s="2"/>
      <c r="FVL418" s="2"/>
      <c r="FVM418" s="2"/>
      <c r="FVN418" s="2"/>
      <c r="FVO418" s="2"/>
      <c r="FVP418" s="2"/>
      <c r="FVQ418" s="2"/>
      <c r="FVR418" s="2"/>
      <c r="FVS418" s="2"/>
      <c r="FVT418" s="2"/>
      <c r="FVU418" s="2"/>
      <c r="FVV418" s="2"/>
      <c r="FVW418" s="2"/>
      <c r="FVX418" s="2"/>
      <c r="FVY418" s="2"/>
      <c r="FVZ418" s="2"/>
      <c r="FWA418" s="2"/>
      <c r="FWB418" s="2"/>
      <c r="FWC418" s="2"/>
      <c r="FWD418" s="2"/>
      <c r="FWE418" s="2"/>
      <c r="FWF418" s="2"/>
      <c r="FWG418" s="2"/>
      <c r="FWH418" s="2"/>
      <c r="FWI418" s="2"/>
      <c r="FWJ418" s="2"/>
      <c r="FWK418" s="2"/>
      <c r="FWL418" s="2"/>
      <c r="FWM418" s="2"/>
      <c r="FWN418" s="2"/>
      <c r="FWO418" s="2"/>
      <c r="FWP418" s="2"/>
      <c r="FWQ418" s="2"/>
      <c r="FWR418" s="2"/>
      <c r="FWS418" s="2"/>
      <c r="FWT418" s="2"/>
      <c r="FWU418" s="2"/>
      <c r="FWV418" s="2"/>
      <c r="FWW418" s="2"/>
      <c r="FWX418" s="2"/>
      <c r="FWY418" s="2"/>
      <c r="FWZ418" s="2"/>
      <c r="FXA418" s="2"/>
      <c r="FXB418" s="2"/>
      <c r="FXC418" s="2"/>
      <c r="FXD418" s="2"/>
      <c r="FXE418" s="2"/>
      <c r="FXF418" s="2"/>
      <c r="FXG418" s="2"/>
      <c r="FXH418" s="2"/>
      <c r="FXI418" s="2"/>
      <c r="FXJ418" s="2"/>
      <c r="FXK418" s="2"/>
      <c r="FXL418" s="2"/>
      <c r="FXM418" s="2"/>
      <c r="FXN418" s="2"/>
      <c r="FXO418" s="2"/>
      <c r="FXP418" s="2"/>
      <c r="FXQ418" s="2"/>
      <c r="FXR418" s="2"/>
      <c r="FXS418" s="2"/>
      <c r="FXT418" s="2"/>
      <c r="FXU418" s="2"/>
      <c r="FXV418" s="2"/>
      <c r="FXW418" s="2"/>
      <c r="FXX418" s="2"/>
      <c r="FXY418" s="2"/>
      <c r="FXZ418" s="2"/>
      <c r="FYA418" s="2"/>
      <c r="FYB418" s="2"/>
      <c r="FYC418" s="2"/>
      <c r="FYD418" s="2"/>
      <c r="FYE418" s="2"/>
      <c r="FYF418" s="2"/>
      <c r="FYG418" s="2"/>
      <c r="FYH418" s="2"/>
      <c r="FYI418" s="2"/>
      <c r="FYJ418" s="2"/>
      <c r="FYK418" s="2"/>
      <c r="FYL418" s="2"/>
      <c r="FYM418" s="2"/>
      <c r="FYN418" s="2"/>
      <c r="FYO418" s="2"/>
      <c r="FYP418" s="2"/>
      <c r="FYQ418" s="2"/>
      <c r="FYR418" s="2"/>
      <c r="FYS418" s="2"/>
      <c r="FYT418" s="2"/>
      <c r="FYU418" s="2"/>
      <c r="FYV418" s="2"/>
      <c r="FYW418" s="2"/>
      <c r="FYX418" s="2"/>
      <c r="FYY418" s="2"/>
      <c r="FYZ418" s="2"/>
      <c r="FZA418" s="2"/>
      <c r="FZB418" s="2"/>
      <c r="FZC418" s="2"/>
      <c r="FZD418" s="2"/>
      <c r="FZE418" s="2"/>
      <c r="FZF418" s="2"/>
      <c r="FZG418" s="2"/>
      <c r="FZH418" s="2"/>
      <c r="FZI418" s="2"/>
      <c r="FZJ418" s="2"/>
      <c r="FZK418" s="2"/>
      <c r="FZL418" s="2"/>
      <c r="FZM418" s="2"/>
      <c r="FZN418" s="2"/>
      <c r="FZO418" s="2"/>
      <c r="FZP418" s="2"/>
      <c r="FZQ418" s="2"/>
      <c r="FZR418" s="2"/>
      <c r="FZS418" s="2"/>
      <c r="FZT418" s="2"/>
      <c r="FZU418" s="2"/>
      <c r="FZV418" s="2"/>
      <c r="FZW418" s="2"/>
      <c r="FZX418" s="2"/>
      <c r="FZY418" s="2"/>
      <c r="FZZ418" s="2"/>
      <c r="GAA418" s="2"/>
      <c r="GAB418" s="2"/>
      <c r="GAC418" s="2"/>
      <c r="GAD418" s="2"/>
      <c r="GAE418" s="2"/>
      <c r="GAF418" s="2"/>
      <c r="GAG418" s="2"/>
      <c r="GAH418" s="2"/>
      <c r="GAI418" s="2"/>
      <c r="GAJ418" s="2"/>
      <c r="GAK418" s="2"/>
      <c r="GAL418" s="2"/>
      <c r="GAM418" s="2"/>
      <c r="GAN418" s="2"/>
      <c r="GAO418" s="2"/>
      <c r="GAP418" s="2"/>
      <c r="GAQ418" s="2"/>
      <c r="GAR418" s="2"/>
      <c r="GAS418" s="2"/>
      <c r="GAT418" s="2"/>
      <c r="GAU418" s="2"/>
      <c r="GAV418" s="2"/>
      <c r="GAW418" s="2"/>
      <c r="GAX418" s="2"/>
      <c r="GAY418" s="2"/>
      <c r="GAZ418" s="2"/>
      <c r="GBA418" s="2"/>
      <c r="GBB418" s="2"/>
      <c r="GBC418" s="2"/>
      <c r="GBD418" s="2"/>
      <c r="GBE418" s="2"/>
      <c r="GBF418" s="2"/>
      <c r="GBG418" s="2"/>
      <c r="GBH418" s="2"/>
      <c r="GBI418" s="2"/>
      <c r="GBJ418" s="2"/>
      <c r="GBK418" s="2"/>
      <c r="GBL418" s="2"/>
      <c r="GBM418" s="2"/>
      <c r="GBN418" s="2"/>
      <c r="GBO418" s="2"/>
      <c r="GBP418" s="2"/>
      <c r="GBQ418" s="2"/>
      <c r="GBR418" s="2"/>
      <c r="GBS418" s="2"/>
      <c r="GBT418" s="2"/>
      <c r="GBU418" s="2"/>
      <c r="GBV418" s="2"/>
      <c r="GBW418" s="2"/>
      <c r="GBX418" s="2"/>
      <c r="GBY418" s="2"/>
      <c r="GBZ418" s="2"/>
      <c r="GCA418" s="2"/>
      <c r="GCB418" s="2"/>
      <c r="GCC418" s="2"/>
      <c r="GCD418" s="2"/>
      <c r="GCE418" s="2"/>
      <c r="GCF418" s="2"/>
      <c r="GCG418" s="2"/>
      <c r="GCH418" s="2"/>
      <c r="GCI418" s="2"/>
      <c r="GCJ418" s="2"/>
      <c r="GCK418" s="2"/>
      <c r="GCL418" s="2"/>
      <c r="GCM418" s="2"/>
      <c r="GCN418" s="2"/>
      <c r="GCO418" s="2"/>
      <c r="GCP418" s="2"/>
      <c r="GCQ418" s="2"/>
      <c r="GCR418" s="2"/>
      <c r="GCS418" s="2"/>
      <c r="GCT418" s="2"/>
      <c r="GCU418" s="2"/>
      <c r="GCV418" s="2"/>
      <c r="GCW418" s="2"/>
      <c r="GCX418" s="2"/>
      <c r="GCY418" s="2"/>
      <c r="GCZ418" s="2"/>
      <c r="GDA418" s="2"/>
      <c r="GDB418" s="2"/>
      <c r="GDC418" s="2"/>
      <c r="GDD418" s="2"/>
      <c r="GDE418" s="2"/>
      <c r="GDF418" s="2"/>
      <c r="GDG418" s="2"/>
      <c r="GDH418" s="2"/>
      <c r="GDI418" s="2"/>
      <c r="GDJ418" s="2"/>
      <c r="GDK418" s="2"/>
      <c r="GDL418" s="2"/>
      <c r="GDM418" s="2"/>
      <c r="GDN418" s="2"/>
      <c r="GDO418" s="2"/>
      <c r="GDP418" s="2"/>
      <c r="GDQ418" s="2"/>
      <c r="GDR418" s="2"/>
      <c r="GDS418" s="2"/>
      <c r="GDT418" s="2"/>
      <c r="GDU418" s="2"/>
      <c r="GDV418" s="2"/>
      <c r="GDW418" s="2"/>
      <c r="GDX418" s="2"/>
      <c r="GDY418" s="2"/>
      <c r="GDZ418" s="2"/>
      <c r="GEA418" s="2"/>
      <c r="GEB418" s="2"/>
      <c r="GEC418" s="2"/>
      <c r="GED418" s="2"/>
      <c r="GEE418" s="2"/>
      <c r="GEF418" s="2"/>
      <c r="GEG418" s="2"/>
      <c r="GEH418" s="2"/>
      <c r="GEI418" s="2"/>
      <c r="GEJ418" s="2"/>
      <c r="GEK418" s="2"/>
      <c r="GEL418" s="2"/>
      <c r="GEM418" s="2"/>
      <c r="GEN418" s="2"/>
      <c r="GEO418" s="2"/>
      <c r="GEP418" s="2"/>
      <c r="GEQ418" s="2"/>
      <c r="GER418" s="2"/>
      <c r="GES418" s="2"/>
      <c r="GET418" s="2"/>
      <c r="GEU418" s="2"/>
      <c r="GEV418" s="2"/>
      <c r="GEW418" s="2"/>
      <c r="GEX418" s="2"/>
      <c r="GEY418" s="2"/>
      <c r="GEZ418" s="2"/>
      <c r="GFA418" s="2"/>
      <c r="GFB418" s="2"/>
      <c r="GFC418" s="2"/>
      <c r="GFD418" s="2"/>
      <c r="GFE418" s="2"/>
      <c r="GFF418" s="2"/>
      <c r="GFG418" s="2"/>
      <c r="GFH418" s="2"/>
      <c r="GFI418" s="2"/>
      <c r="GFJ418" s="2"/>
      <c r="GFK418" s="2"/>
      <c r="GFL418" s="2"/>
      <c r="GFM418" s="2"/>
      <c r="GFN418" s="2"/>
      <c r="GFO418" s="2"/>
      <c r="GFP418" s="2"/>
      <c r="GFQ418" s="2"/>
      <c r="GFR418" s="2"/>
      <c r="GFS418" s="2"/>
      <c r="GFT418" s="2"/>
      <c r="GFU418" s="2"/>
      <c r="GFV418" s="2"/>
      <c r="GFW418" s="2"/>
      <c r="GFX418" s="2"/>
      <c r="GFY418" s="2"/>
      <c r="GFZ418" s="2"/>
      <c r="GGA418" s="2"/>
      <c r="GGB418" s="2"/>
      <c r="GGC418" s="2"/>
      <c r="GGD418" s="2"/>
      <c r="GGE418" s="2"/>
      <c r="GGF418" s="2"/>
      <c r="GGG418" s="2"/>
      <c r="GGH418" s="2"/>
      <c r="GGI418" s="2"/>
      <c r="GGJ418" s="2"/>
      <c r="GGK418" s="2"/>
      <c r="GGL418" s="2"/>
      <c r="GGM418" s="2"/>
      <c r="GGN418" s="2"/>
      <c r="GGO418" s="2"/>
      <c r="GGP418" s="2"/>
      <c r="GGQ418" s="2"/>
      <c r="GGR418" s="2"/>
      <c r="GGS418" s="2"/>
      <c r="GGT418" s="2"/>
      <c r="GGU418" s="2"/>
      <c r="GGV418" s="2"/>
      <c r="GGW418" s="2"/>
      <c r="GGX418" s="2"/>
      <c r="GGY418" s="2"/>
      <c r="GGZ418" s="2"/>
      <c r="GHA418" s="2"/>
      <c r="GHB418" s="2"/>
      <c r="GHC418" s="2"/>
      <c r="GHD418" s="2"/>
      <c r="GHE418" s="2"/>
      <c r="GHF418" s="2"/>
      <c r="GHG418" s="2"/>
      <c r="GHH418" s="2"/>
      <c r="GHI418" s="2"/>
      <c r="GHJ418" s="2"/>
      <c r="GHK418" s="2"/>
      <c r="GHL418" s="2"/>
      <c r="GHM418" s="2"/>
      <c r="GHN418" s="2"/>
      <c r="GHO418" s="2"/>
      <c r="GHP418" s="2"/>
      <c r="GHQ418" s="2"/>
      <c r="GHR418" s="2"/>
      <c r="GHS418" s="2"/>
      <c r="GHT418" s="2"/>
      <c r="GHU418" s="2"/>
      <c r="GHV418" s="2"/>
      <c r="GHW418" s="2"/>
      <c r="GHX418" s="2"/>
      <c r="GHY418" s="2"/>
      <c r="GHZ418" s="2"/>
      <c r="GIA418" s="2"/>
      <c r="GIB418" s="2"/>
      <c r="GIC418" s="2"/>
      <c r="GID418" s="2"/>
      <c r="GIE418" s="2"/>
      <c r="GIF418" s="2"/>
      <c r="GIG418" s="2"/>
      <c r="GIH418" s="2"/>
      <c r="GII418" s="2"/>
      <c r="GIJ418" s="2"/>
      <c r="GIK418" s="2"/>
      <c r="GIL418" s="2"/>
      <c r="GIM418" s="2"/>
      <c r="GIN418" s="2"/>
      <c r="GIO418" s="2"/>
      <c r="GIP418" s="2"/>
      <c r="GIQ418" s="2"/>
      <c r="GIR418" s="2"/>
      <c r="GIS418" s="2"/>
      <c r="GIT418" s="2"/>
      <c r="GIU418" s="2"/>
      <c r="GIV418" s="2"/>
      <c r="GIW418" s="2"/>
      <c r="GIX418" s="2"/>
      <c r="GIY418" s="2"/>
      <c r="GIZ418" s="2"/>
      <c r="GJA418" s="2"/>
      <c r="GJB418" s="2"/>
      <c r="GJC418" s="2"/>
      <c r="GJD418" s="2"/>
      <c r="GJE418" s="2"/>
      <c r="GJF418" s="2"/>
      <c r="GJG418" s="2"/>
      <c r="GJH418" s="2"/>
      <c r="GJI418" s="2"/>
      <c r="GJJ418" s="2"/>
      <c r="GJK418" s="2"/>
      <c r="GJL418" s="2"/>
      <c r="GJM418" s="2"/>
      <c r="GJN418" s="2"/>
      <c r="GJO418" s="2"/>
      <c r="GJP418" s="2"/>
      <c r="GJQ418" s="2"/>
      <c r="GJR418" s="2"/>
      <c r="GJS418" s="2"/>
      <c r="GJT418" s="2"/>
      <c r="GJU418" s="2"/>
      <c r="GJV418" s="2"/>
      <c r="GJW418" s="2"/>
      <c r="GJX418" s="2"/>
      <c r="GJY418" s="2"/>
      <c r="GJZ418" s="2"/>
      <c r="GKA418" s="2"/>
      <c r="GKB418" s="2"/>
      <c r="GKC418" s="2"/>
      <c r="GKD418" s="2"/>
      <c r="GKE418" s="2"/>
      <c r="GKF418" s="2"/>
      <c r="GKG418" s="2"/>
      <c r="GKH418" s="2"/>
      <c r="GKI418" s="2"/>
      <c r="GKJ418" s="2"/>
      <c r="GKK418" s="2"/>
      <c r="GKL418" s="2"/>
      <c r="GKM418" s="2"/>
      <c r="GKN418" s="2"/>
      <c r="GKO418" s="2"/>
      <c r="GKP418" s="2"/>
      <c r="GKQ418" s="2"/>
      <c r="GKR418" s="2"/>
      <c r="GKS418" s="2"/>
      <c r="GKT418" s="2"/>
      <c r="GKU418" s="2"/>
      <c r="GKV418" s="2"/>
      <c r="GKW418" s="2"/>
      <c r="GKX418" s="2"/>
      <c r="GKY418" s="2"/>
      <c r="GKZ418" s="2"/>
      <c r="GLA418" s="2"/>
      <c r="GLB418" s="2"/>
      <c r="GLC418" s="2"/>
      <c r="GLD418" s="2"/>
      <c r="GLE418" s="2"/>
      <c r="GLF418" s="2"/>
      <c r="GLG418" s="2"/>
      <c r="GLH418" s="2"/>
      <c r="GLI418" s="2"/>
      <c r="GLJ418" s="2"/>
      <c r="GLK418" s="2"/>
      <c r="GLL418" s="2"/>
      <c r="GLM418" s="2"/>
      <c r="GLN418" s="2"/>
      <c r="GLO418" s="2"/>
      <c r="GLP418" s="2"/>
      <c r="GLQ418" s="2"/>
      <c r="GLR418" s="2"/>
      <c r="GLS418" s="2"/>
      <c r="GLT418" s="2"/>
      <c r="GLU418" s="2"/>
      <c r="GLV418" s="2"/>
      <c r="GLW418" s="2"/>
      <c r="GLX418" s="2"/>
      <c r="GLY418" s="2"/>
      <c r="GLZ418" s="2"/>
      <c r="GMA418" s="2"/>
      <c r="GMB418" s="2"/>
      <c r="GMC418" s="2"/>
      <c r="GMD418" s="2"/>
      <c r="GME418" s="2"/>
      <c r="GMF418" s="2"/>
      <c r="GMG418" s="2"/>
      <c r="GMH418" s="2"/>
      <c r="GMI418" s="2"/>
      <c r="GMJ418" s="2"/>
      <c r="GMK418" s="2"/>
      <c r="GML418" s="2"/>
      <c r="GMM418" s="2"/>
      <c r="GMN418" s="2"/>
      <c r="GMO418" s="2"/>
      <c r="GMP418" s="2"/>
      <c r="GMQ418" s="2"/>
      <c r="GMR418" s="2"/>
      <c r="GMS418" s="2"/>
      <c r="GMT418" s="2"/>
      <c r="GMU418" s="2"/>
      <c r="GMV418" s="2"/>
      <c r="GMW418" s="2"/>
      <c r="GMX418" s="2"/>
      <c r="GMY418" s="2"/>
      <c r="GMZ418" s="2"/>
      <c r="GNA418" s="2"/>
      <c r="GNB418" s="2"/>
      <c r="GNC418" s="2"/>
      <c r="GND418" s="2"/>
      <c r="GNE418" s="2"/>
      <c r="GNF418" s="2"/>
      <c r="GNG418" s="2"/>
      <c r="GNH418" s="2"/>
      <c r="GNI418" s="2"/>
      <c r="GNJ418" s="2"/>
      <c r="GNK418" s="2"/>
      <c r="GNL418" s="2"/>
      <c r="GNM418" s="2"/>
      <c r="GNN418" s="2"/>
      <c r="GNO418" s="2"/>
      <c r="GNP418" s="2"/>
      <c r="GNQ418" s="2"/>
      <c r="GNR418" s="2"/>
      <c r="GNS418" s="2"/>
      <c r="GNT418" s="2"/>
      <c r="GNU418" s="2"/>
      <c r="GNV418" s="2"/>
      <c r="GNW418" s="2"/>
      <c r="GNX418" s="2"/>
      <c r="GNY418" s="2"/>
      <c r="GNZ418" s="2"/>
      <c r="GOA418" s="2"/>
      <c r="GOB418" s="2"/>
      <c r="GOC418" s="2"/>
      <c r="GOD418" s="2"/>
      <c r="GOE418" s="2"/>
      <c r="GOF418" s="2"/>
      <c r="GOG418" s="2"/>
      <c r="GOH418" s="2"/>
      <c r="GOI418" s="2"/>
      <c r="GOJ418" s="2"/>
      <c r="GOK418" s="2"/>
      <c r="GOL418" s="2"/>
      <c r="GOM418" s="2"/>
      <c r="GON418" s="2"/>
      <c r="GOO418" s="2"/>
      <c r="GOP418" s="2"/>
      <c r="GOQ418" s="2"/>
      <c r="GOR418" s="2"/>
      <c r="GOS418" s="2"/>
      <c r="GOT418" s="2"/>
      <c r="GOU418" s="2"/>
      <c r="GOV418" s="2"/>
      <c r="GOW418" s="2"/>
      <c r="GOX418" s="2"/>
      <c r="GOY418" s="2"/>
      <c r="GOZ418" s="2"/>
      <c r="GPA418" s="2"/>
      <c r="GPB418" s="2"/>
      <c r="GPC418" s="2"/>
      <c r="GPD418" s="2"/>
      <c r="GPE418" s="2"/>
      <c r="GPF418" s="2"/>
      <c r="GPG418" s="2"/>
      <c r="GPH418" s="2"/>
      <c r="GPI418" s="2"/>
      <c r="GPJ418" s="2"/>
      <c r="GPK418" s="2"/>
      <c r="GPL418" s="2"/>
      <c r="GPM418" s="2"/>
      <c r="GPN418" s="2"/>
      <c r="GPO418" s="2"/>
      <c r="GPP418" s="2"/>
      <c r="GPQ418" s="2"/>
      <c r="GPR418" s="2"/>
      <c r="GPS418" s="2"/>
      <c r="GPT418" s="2"/>
      <c r="GPU418" s="2"/>
      <c r="GPV418" s="2"/>
      <c r="GPW418" s="2"/>
      <c r="GPX418" s="2"/>
      <c r="GPY418" s="2"/>
      <c r="GPZ418" s="2"/>
      <c r="GQA418" s="2"/>
      <c r="GQB418" s="2"/>
      <c r="GQC418" s="2"/>
      <c r="GQD418" s="2"/>
      <c r="GQE418" s="2"/>
      <c r="GQF418" s="2"/>
      <c r="GQG418" s="2"/>
      <c r="GQH418" s="2"/>
      <c r="GQI418" s="2"/>
      <c r="GQJ418" s="2"/>
      <c r="GQK418" s="2"/>
      <c r="GQL418" s="2"/>
      <c r="GQM418" s="2"/>
      <c r="GQN418" s="2"/>
      <c r="GQO418" s="2"/>
      <c r="GQP418" s="2"/>
      <c r="GQQ418" s="2"/>
      <c r="GQR418" s="2"/>
      <c r="GQS418" s="2"/>
      <c r="GQT418" s="2"/>
      <c r="GQU418" s="2"/>
      <c r="GQV418" s="2"/>
      <c r="GQW418" s="2"/>
      <c r="GQX418" s="2"/>
      <c r="GQY418" s="2"/>
      <c r="GQZ418" s="2"/>
      <c r="GRA418" s="2"/>
      <c r="GRB418" s="2"/>
      <c r="GRC418" s="2"/>
      <c r="GRD418" s="2"/>
      <c r="GRE418" s="2"/>
      <c r="GRF418" s="2"/>
      <c r="GRG418" s="2"/>
      <c r="GRH418" s="2"/>
      <c r="GRI418" s="2"/>
      <c r="GRJ418" s="2"/>
      <c r="GRK418" s="2"/>
      <c r="GRL418" s="2"/>
      <c r="GRM418" s="2"/>
      <c r="GRN418" s="2"/>
      <c r="GRO418" s="2"/>
      <c r="GRP418" s="2"/>
      <c r="GRQ418" s="2"/>
      <c r="GRR418" s="2"/>
      <c r="GRS418" s="2"/>
      <c r="GRT418" s="2"/>
      <c r="GRU418" s="2"/>
      <c r="GRV418" s="2"/>
      <c r="GRW418" s="2"/>
      <c r="GRX418" s="2"/>
      <c r="GRY418" s="2"/>
      <c r="GRZ418" s="2"/>
      <c r="GSA418" s="2"/>
      <c r="GSB418" s="2"/>
      <c r="GSC418" s="2"/>
      <c r="GSD418" s="2"/>
      <c r="GSE418" s="2"/>
      <c r="GSF418" s="2"/>
      <c r="GSG418" s="2"/>
      <c r="GSH418" s="2"/>
      <c r="GSI418" s="2"/>
      <c r="GSJ418" s="2"/>
      <c r="GSK418" s="2"/>
      <c r="GSL418" s="2"/>
      <c r="GSM418" s="2"/>
      <c r="GSN418" s="2"/>
      <c r="GSO418" s="2"/>
      <c r="GSP418" s="2"/>
      <c r="GSQ418" s="2"/>
      <c r="GSR418" s="2"/>
      <c r="GSS418" s="2"/>
      <c r="GST418" s="2"/>
      <c r="GSU418" s="2"/>
      <c r="GSV418" s="2"/>
      <c r="GSW418" s="2"/>
      <c r="GSX418" s="2"/>
      <c r="GSY418" s="2"/>
      <c r="GSZ418" s="2"/>
      <c r="GTA418" s="2"/>
      <c r="GTB418" s="2"/>
      <c r="GTC418" s="2"/>
      <c r="GTD418" s="2"/>
      <c r="GTE418" s="2"/>
      <c r="GTF418" s="2"/>
      <c r="GTG418" s="2"/>
      <c r="GTH418" s="2"/>
      <c r="GTI418" s="2"/>
      <c r="GTJ418" s="2"/>
      <c r="GTK418" s="2"/>
      <c r="GTL418" s="2"/>
      <c r="GTM418" s="2"/>
      <c r="GTN418" s="2"/>
      <c r="GTO418" s="2"/>
      <c r="GTP418" s="2"/>
      <c r="GTQ418" s="2"/>
      <c r="GTR418" s="2"/>
      <c r="GTS418" s="2"/>
      <c r="GTT418" s="2"/>
      <c r="GTU418" s="2"/>
      <c r="GTV418" s="2"/>
      <c r="GTW418" s="2"/>
      <c r="GTX418" s="2"/>
      <c r="GTY418" s="2"/>
      <c r="GTZ418" s="2"/>
      <c r="GUA418" s="2"/>
      <c r="GUB418" s="2"/>
      <c r="GUC418" s="2"/>
      <c r="GUD418" s="2"/>
      <c r="GUE418" s="2"/>
      <c r="GUF418" s="2"/>
      <c r="GUG418" s="2"/>
      <c r="GUH418" s="2"/>
      <c r="GUI418" s="2"/>
      <c r="GUJ418" s="2"/>
      <c r="GUK418" s="2"/>
      <c r="GUL418" s="2"/>
      <c r="GUM418" s="2"/>
      <c r="GUN418" s="2"/>
      <c r="GUO418" s="2"/>
      <c r="GUP418" s="2"/>
      <c r="GUQ418" s="2"/>
      <c r="GUR418" s="2"/>
      <c r="GUS418" s="2"/>
      <c r="GUT418" s="2"/>
      <c r="GUU418" s="2"/>
      <c r="GUV418" s="2"/>
      <c r="GUW418" s="2"/>
      <c r="GUX418" s="2"/>
      <c r="GUY418" s="2"/>
      <c r="GUZ418" s="2"/>
      <c r="GVA418" s="2"/>
      <c r="GVB418" s="2"/>
      <c r="GVC418" s="2"/>
      <c r="GVD418" s="2"/>
      <c r="GVE418" s="2"/>
      <c r="GVF418" s="2"/>
      <c r="GVG418" s="2"/>
      <c r="GVH418" s="2"/>
      <c r="GVI418" s="2"/>
      <c r="GVJ418" s="2"/>
      <c r="GVK418" s="2"/>
      <c r="GVL418" s="2"/>
      <c r="GVM418" s="2"/>
      <c r="GVN418" s="2"/>
      <c r="GVO418" s="2"/>
      <c r="GVP418" s="2"/>
      <c r="GVQ418" s="2"/>
      <c r="GVR418" s="2"/>
      <c r="GVS418" s="2"/>
      <c r="GVT418" s="2"/>
      <c r="GVU418" s="2"/>
      <c r="GVV418" s="2"/>
      <c r="GVW418" s="2"/>
      <c r="GVX418" s="2"/>
      <c r="GVY418" s="2"/>
      <c r="GVZ418" s="2"/>
      <c r="GWA418" s="2"/>
      <c r="GWB418" s="2"/>
      <c r="GWC418" s="2"/>
      <c r="GWD418" s="2"/>
      <c r="GWE418" s="2"/>
      <c r="GWF418" s="2"/>
      <c r="GWG418" s="2"/>
      <c r="GWH418" s="2"/>
      <c r="GWI418" s="2"/>
      <c r="GWJ418" s="2"/>
      <c r="GWK418" s="2"/>
      <c r="GWL418" s="2"/>
      <c r="GWM418" s="2"/>
      <c r="GWN418" s="2"/>
      <c r="GWO418" s="2"/>
      <c r="GWP418" s="2"/>
      <c r="GWQ418" s="2"/>
      <c r="GWR418" s="2"/>
      <c r="GWS418" s="2"/>
      <c r="GWT418" s="2"/>
      <c r="GWU418" s="2"/>
      <c r="GWV418" s="2"/>
      <c r="GWW418" s="2"/>
      <c r="GWX418" s="2"/>
      <c r="GWY418" s="2"/>
      <c r="GWZ418" s="2"/>
      <c r="GXA418" s="2"/>
      <c r="GXB418" s="2"/>
      <c r="GXC418" s="2"/>
      <c r="GXD418" s="2"/>
      <c r="GXE418" s="2"/>
      <c r="GXF418" s="2"/>
      <c r="GXG418" s="2"/>
      <c r="GXH418" s="2"/>
      <c r="GXI418" s="2"/>
      <c r="GXJ418" s="2"/>
      <c r="GXK418" s="2"/>
      <c r="GXL418" s="2"/>
      <c r="GXM418" s="2"/>
      <c r="GXN418" s="2"/>
      <c r="GXO418" s="2"/>
      <c r="GXP418" s="2"/>
      <c r="GXQ418" s="2"/>
      <c r="GXR418" s="2"/>
      <c r="GXS418" s="2"/>
      <c r="GXT418" s="2"/>
      <c r="GXU418" s="2"/>
      <c r="GXV418" s="2"/>
      <c r="GXW418" s="2"/>
      <c r="GXX418" s="2"/>
      <c r="GXY418" s="2"/>
      <c r="GXZ418" s="2"/>
      <c r="GYA418" s="2"/>
      <c r="GYB418" s="2"/>
      <c r="GYC418" s="2"/>
      <c r="GYD418" s="2"/>
      <c r="GYE418" s="2"/>
      <c r="GYF418" s="2"/>
      <c r="GYG418" s="2"/>
      <c r="GYH418" s="2"/>
      <c r="GYI418" s="2"/>
      <c r="GYJ418" s="2"/>
      <c r="GYK418" s="2"/>
      <c r="GYL418" s="2"/>
      <c r="GYM418" s="2"/>
      <c r="GYN418" s="2"/>
      <c r="GYO418" s="2"/>
      <c r="GYP418" s="2"/>
      <c r="GYQ418" s="2"/>
      <c r="GYR418" s="2"/>
      <c r="GYS418" s="2"/>
      <c r="GYT418" s="2"/>
      <c r="GYU418" s="2"/>
      <c r="GYV418" s="2"/>
      <c r="GYW418" s="2"/>
      <c r="GYX418" s="2"/>
      <c r="GYY418" s="2"/>
      <c r="GYZ418" s="2"/>
      <c r="GZA418" s="2"/>
      <c r="GZB418" s="2"/>
      <c r="GZC418" s="2"/>
      <c r="GZD418" s="2"/>
      <c r="GZE418" s="2"/>
      <c r="GZF418" s="2"/>
      <c r="GZG418" s="2"/>
      <c r="GZH418" s="2"/>
      <c r="GZI418" s="2"/>
      <c r="GZJ418" s="2"/>
      <c r="GZK418" s="2"/>
      <c r="GZL418" s="2"/>
      <c r="GZM418" s="2"/>
      <c r="GZN418" s="2"/>
      <c r="GZO418" s="2"/>
      <c r="GZP418" s="2"/>
      <c r="GZQ418" s="2"/>
      <c r="GZR418" s="2"/>
      <c r="GZS418" s="2"/>
      <c r="GZT418" s="2"/>
      <c r="GZU418" s="2"/>
      <c r="GZV418" s="2"/>
      <c r="GZW418" s="2"/>
      <c r="GZX418" s="2"/>
      <c r="GZY418" s="2"/>
      <c r="GZZ418" s="2"/>
      <c r="HAA418" s="2"/>
      <c r="HAB418" s="2"/>
      <c r="HAC418" s="2"/>
      <c r="HAD418" s="2"/>
      <c r="HAE418" s="2"/>
      <c r="HAF418" s="2"/>
      <c r="HAG418" s="2"/>
      <c r="HAH418" s="2"/>
      <c r="HAI418" s="2"/>
      <c r="HAJ418" s="2"/>
      <c r="HAK418" s="2"/>
      <c r="HAL418" s="2"/>
      <c r="HAM418" s="2"/>
      <c r="HAN418" s="2"/>
      <c r="HAO418" s="2"/>
      <c r="HAP418" s="2"/>
      <c r="HAQ418" s="2"/>
      <c r="HAR418" s="2"/>
      <c r="HAS418" s="2"/>
      <c r="HAT418" s="2"/>
      <c r="HAU418" s="2"/>
      <c r="HAV418" s="2"/>
      <c r="HAW418" s="2"/>
      <c r="HAX418" s="2"/>
      <c r="HAY418" s="2"/>
      <c r="HAZ418" s="2"/>
      <c r="HBA418" s="2"/>
      <c r="HBB418" s="2"/>
      <c r="HBC418" s="2"/>
      <c r="HBD418" s="2"/>
      <c r="HBE418" s="2"/>
      <c r="HBF418" s="2"/>
      <c r="HBG418" s="2"/>
      <c r="HBH418" s="2"/>
      <c r="HBI418" s="2"/>
      <c r="HBJ418" s="2"/>
      <c r="HBK418" s="2"/>
      <c r="HBL418" s="2"/>
      <c r="HBM418" s="2"/>
      <c r="HBN418" s="2"/>
      <c r="HBO418" s="2"/>
      <c r="HBP418" s="2"/>
      <c r="HBQ418" s="2"/>
      <c r="HBR418" s="2"/>
      <c r="HBS418" s="2"/>
      <c r="HBT418" s="2"/>
      <c r="HBU418" s="2"/>
      <c r="HBV418" s="2"/>
      <c r="HBW418" s="2"/>
      <c r="HBX418" s="2"/>
      <c r="HBY418" s="2"/>
      <c r="HBZ418" s="2"/>
      <c r="HCA418" s="2"/>
      <c r="HCB418" s="2"/>
      <c r="HCC418" s="2"/>
      <c r="HCD418" s="2"/>
      <c r="HCE418" s="2"/>
      <c r="HCF418" s="2"/>
      <c r="HCG418" s="2"/>
      <c r="HCH418" s="2"/>
      <c r="HCI418" s="2"/>
      <c r="HCJ418" s="2"/>
      <c r="HCK418" s="2"/>
      <c r="HCL418" s="2"/>
      <c r="HCM418" s="2"/>
      <c r="HCN418" s="2"/>
      <c r="HCO418" s="2"/>
      <c r="HCP418" s="2"/>
      <c r="HCQ418" s="2"/>
      <c r="HCR418" s="2"/>
      <c r="HCS418" s="2"/>
      <c r="HCT418" s="2"/>
      <c r="HCU418" s="2"/>
      <c r="HCV418" s="2"/>
      <c r="HCW418" s="2"/>
      <c r="HCX418" s="2"/>
      <c r="HCY418" s="2"/>
      <c r="HCZ418" s="2"/>
      <c r="HDA418" s="2"/>
      <c r="HDB418" s="2"/>
      <c r="HDC418" s="2"/>
      <c r="HDD418" s="2"/>
      <c r="HDE418" s="2"/>
      <c r="HDF418" s="2"/>
      <c r="HDG418" s="2"/>
      <c r="HDH418" s="2"/>
      <c r="HDI418" s="2"/>
      <c r="HDJ418" s="2"/>
      <c r="HDK418" s="2"/>
      <c r="HDL418" s="2"/>
      <c r="HDM418" s="2"/>
      <c r="HDN418" s="2"/>
      <c r="HDO418" s="2"/>
      <c r="HDP418" s="2"/>
      <c r="HDQ418" s="2"/>
      <c r="HDR418" s="2"/>
      <c r="HDS418" s="2"/>
      <c r="HDT418" s="2"/>
      <c r="HDU418" s="2"/>
      <c r="HDV418" s="2"/>
      <c r="HDW418" s="2"/>
      <c r="HDX418" s="2"/>
      <c r="HDY418" s="2"/>
      <c r="HDZ418" s="2"/>
      <c r="HEA418" s="2"/>
      <c r="HEB418" s="2"/>
      <c r="HEC418" s="2"/>
      <c r="HED418" s="2"/>
      <c r="HEE418" s="2"/>
      <c r="HEF418" s="2"/>
      <c r="HEG418" s="2"/>
      <c r="HEH418" s="2"/>
      <c r="HEI418" s="2"/>
      <c r="HEJ418" s="2"/>
      <c r="HEK418" s="2"/>
      <c r="HEL418" s="2"/>
      <c r="HEM418" s="2"/>
      <c r="HEN418" s="2"/>
      <c r="HEO418" s="2"/>
      <c r="HEP418" s="2"/>
      <c r="HEQ418" s="2"/>
      <c r="HER418" s="2"/>
      <c r="HES418" s="2"/>
      <c r="HET418" s="2"/>
      <c r="HEU418" s="2"/>
      <c r="HEV418" s="2"/>
      <c r="HEW418" s="2"/>
      <c r="HEX418" s="2"/>
      <c r="HEY418" s="2"/>
      <c r="HEZ418" s="2"/>
      <c r="HFA418" s="2"/>
      <c r="HFB418" s="2"/>
      <c r="HFC418" s="2"/>
      <c r="HFD418" s="2"/>
      <c r="HFE418" s="2"/>
      <c r="HFF418" s="2"/>
      <c r="HFG418" s="2"/>
      <c r="HFH418" s="2"/>
      <c r="HFI418" s="2"/>
      <c r="HFJ418" s="2"/>
      <c r="HFK418" s="2"/>
      <c r="HFL418" s="2"/>
      <c r="HFM418" s="2"/>
      <c r="HFN418" s="2"/>
      <c r="HFO418" s="2"/>
      <c r="HFP418" s="2"/>
      <c r="HFQ418" s="2"/>
      <c r="HFR418" s="2"/>
      <c r="HFS418" s="2"/>
      <c r="HFT418" s="2"/>
      <c r="HFU418" s="2"/>
      <c r="HFV418" s="2"/>
      <c r="HFW418" s="2"/>
      <c r="HFX418" s="2"/>
      <c r="HFY418" s="2"/>
      <c r="HFZ418" s="2"/>
      <c r="HGA418" s="2"/>
      <c r="HGB418" s="2"/>
      <c r="HGC418" s="2"/>
      <c r="HGD418" s="2"/>
      <c r="HGE418" s="2"/>
      <c r="HGF418" s="2"/>
      <c r="HGG418" s="2"/>
      <c r="HGH418" s="2"/>
      <c r="HGI418" s="2"/>
      <c r="HGJ418" s="2"/>
      <c r="HGK418" s="2"/>
      <c r="HGL418" s="2"/>
      <c r="HGM418" s="2"/>
      <c r="HGN418" s="2"/>
      <c r="HGO418" s="2"/>
      <c r="HGP418" s="2"/>
      <c r="HGQ418" s="2"/>
      <c r="HGR418" s="2"/>
      <c r="HGS418" s="2"/>
      <c r="HGT418" s="2"/>
      <c r="HGU418" s="2"/>
      <c r="HGV418" s="2"/>
      <c r="HGW418" s="2"/>
      <c r="HGX418" s="2"/>
      <c r="HGY418" s="2"/>
      <c r="HGZ418" s="2"/>
      <c r="HHA418" s="2"/>
      <c r="HHB418" s="2"/>
      <c r="HHC418" s="2"/>
      <c r="HHD418" s="2"/>
      <c r="HHE418" s="2"/>
      <c r="HHF418" s="2"/>
      <c r="HHG418" s="2"/>
      <c r="HHH418" s="2"/>
      <c r="HHI418" s="2"/>
      <c r="HHJ418" s="2"/>
      <c r="HHK418" s="2"/>
      <c r="HHL418" s="2"/>
      <c r="HHM418" s="2"/>
      <c r="HHN418" s="2"/>
      <c r="HHO418" s="2"/>
      <c r="HHP418" s="2"/>
      <c r="HHQ418" s="2"/>
      <c r="HHR418" s="2"/>
      <c r="HHS418" s="2"/>
      <c r="HHT418" s="2"/>
      <c r="HHU418" s="2"/>
      <c r="HHV418" s="2"/>
      <c r="HHW418" s="2"/>
      <c r="HHX418" s="2"/>
      <c r="HHY418" s="2"/>
      <c r="HHZ418" s="2"/>
      <c r="HIA418" s="2"/>
      <c r="HIB418" s="2"/>
      <c r="HIC418" s="2"/>
      <c r="HID418" s="2"/>
      <c r="HIE418" s="2"/>
      <c r="HIF418" s="2"/>
      <c r="HIG418" s="2"/>
      <c r="HIH418" s="2"/>
      <c r="HII418" s="2"/>
      <c r="HIJ418" s="2"/>
      <c r="HIK418" s="2"/>
      <c r="HIL418" s="2"/>
      <c r="HIM418" s="2"/>
      <c r="HIN418" s="2"/>
      <c r="HIO418" s="2"/>
      <c r="HIP418" s="2"/>
      <c r="HIQ418" s="2"/>
      <c r="HIR418" s="2"/>
      <c r="HIS418" s="2"/>
      <c r="HIT418" s="2"/>
      <c r="HIU418" s="2"/>
      <c r="HIV418" s="2"/>
      <c r="HIW418" s="2"/>
      <c r="HIX418" s="2"/>
      <c r="HIY418" s="2"/>
      <c r="HIZ418" s="2"/>
      <c r="HJA418" s="2"/>
      <c r="HJB418" s="2"/>
      <c r="HJC418" s="2"/>
      <c r="HJD418" s="2"/>
      <c r="HJE418" s="2"/>
      <c r="HJF418" s="2"/>
      <c r="HJG418" s="2"/>
      <c r="HJH418" s="2"/>
      <c r="HJI418" s="2"/>
      <c r="HJJ418" s="2"/>
      <c r="HJK418" s="2"/>
      <c r="HJL418" s="2"/>
      <c r="HJM418" s="2"/>
      <c r="HJN418" s="2"/>
      <c r="HJO418" s="2"/>
      <c r="HJP418" s="2"/>
      <c r="HJQ418" s="2"/>
      <c r="HJR418" s="2"/>
      <c r="HJS418" s="2"/>
      <c r="HJT418" s="2"/>
      <c r="HJU418" s="2"/>
      <c r="HJV418" s="2"/>
      <c r="HJW418" s="2"/>
      <c r="HJX418" s="2"/>
      <c r="HJY418" s="2"/>
      <c r="HJZ418" s="2"/>
      <c r="HKA418" s="2"/>
      <c r="HKB418" s="2"/>
      <c r="HKC418" s="2"/>
      <c r="HKD418" s="2"/>
      <c r="HKE418" s="2"/>
      <c r="HKF418" s="2"/>
      <c r="HKG418" s="2"/>
      <c r="HKH418" s="2"/>
      <c r="HKI418" s="2"/>
      <c r="HKJ418" s="2"/>
      <c r="HKK418" s="2"/>
      <c r="HKL418" s="2"/>
      <c r="HKM418" s="2"/>
      <c r="HKN418" s="2"/>
      <c r="HKO418" s="2"/>
      <c r="HKP418" s="2"/>
      <c r="HKQ418" s="2"/>
      <c r="HKR418" s="2"/>
      <c r="HKS418" s="2"/>
      <c r="HKT418" s="2"/>
      <c r="HKU418" s="2"/>
      <c r="HKV418" s="2"/>
      <c r="HKW418" s="2"/>
      <c r="HKX418" s="2"/>
      <c r="HKY418" s="2"/>
      <c r="HKZ418" s="2"/>
      <c r="HLA418" s="2"/>
      <c r="HLB418" s="2"/>
      <c r="HLC418" s="2"/>
      <c r="HLD418" s="2"/>
      <c r="HLE418" s="2"/>
      <c r="HLF418" s="2"/>
      <c r="HLG418" s="2"/>
      <c r="HLH418" s="2"/>
      <c r="HLI418" s="2"/>
      <c r="HLJ418" s="2"/>
      <c r="HLK418" s="2"/>
      <c r="HLL418" s="2"/>
      <c r="HLM418" s="2"/>
      <c r="HLN418" s="2"/>
      <c r="HLO418" s="2"/>
      <c r="HLP418" s="2"/>
      <c r="HLQ418" s="2"/>
      <c r="HLR418" s="2"/>
      <c r="HLS418" s="2"/>
      <c r="HLT418" s="2"/>
      <c r="HLU418" s="2"/>
      <c r="HLV418" s="2"/>
      <c r="HLW418" s="2"/>
      <c r="HLX418" s="2"/>
      <c r="HLY418" s="2"/>
      <c r="HLZ418" s="2"/>
      <c r="HMA418" s="2"/>
      <c r="HMB418" s="2"/>
      <c r="HMC418" s="2"/>
      <c r="HMD418" s="2"/>
      <c r="HME418" s="2"/>
      <c r="HMF418" s="2"/>
      <c r="HMG418" s="2"/>
      <c r="HMH418" s="2"/>
      <c r="HMI418" s="2"/>
      <c r="HMJ418" s="2"/>
      <c r="HMK418" s="2"/>
      <c r="HML418" s="2"/>
      <c r="HMM418" s="2"/>
      <c r="HMN418" s="2"/>
      <c r="HMO418" s="2"/>
      <c r="HMP418" s="2"/>
      <c r="HMQ418" s="2"/>
      <c r="HMR418" s="2"/>
      <c r="HMS418" s="2"/>
      <c r="HMT418" s="2"/>
      <c r="HMU418" s="2"/>
      <c r="HMV418" s="2"/>
      <c r="HMW418" s="2"/>
      <c r="HMX418" s="2"/>
      <c r="HMY418" s="2"/>
      <c r="HMZ418" s="2"/>
      <c r="HNA418" s="2"/>
      <c r="HNB418" s="2"/>
      <c r="HNC418" s="2"/>
      <c r="HND418" s="2"/>
      <c r="HNE418" s="2"/>
      <c r="HNF418" s="2"/>
      <c r="HNG418" s="2"/>
      <c r="HNH418" s="2"/>
      <c r="HNI418" s="2"/>
      <c r="HNJ418" s="2"/>
      <c r="HNK418" s="2"/>
      <c r="HNL418" s="2"/>
      <c r="HNM418" s="2"/>
      <c r="HNN418" s="2"/>
      <c r="HNO418" s="2"/>
      <c r="HNP418" s="2"/>
      <c r="HNQ418" s="2"/>
      <c r="HNR418" s="2"/>
      <c r="HNS418" s="2"/>
      <c r="HNT418" s="2"/>
      <c r="HNU418" s="2"/>
      <c r="HNV418" s="2"/>
      <c r="HNW418" s="2"/>
      <c r="HNX418" s="2"/>
      <c r="HNY418" s="2"/>
      <c r="HNZ418" s="2"/>
      <c r="HOA418" s="2"/>
      <c r="HOB418" s="2"/>
      <c r="HOC418" s="2"/>
      <c r="HOD418" s="2"/>
      <c r="HOE418" s="2"/>
      <c r="HOF418" s="2"/>
      <c r="HOG418" s="2"/>
      <c r="HOH418" s="2"/>
      <c r="HOI418" s="2"/>
      <c r="HOJ418" s="2"/>
      <c r="HOK418" s="2"/>
      <c r="HOL418" s="2"/>
      <c r="HOM418" s="2"/>
      <c r="HON418" s="2"/>
      <c r="HOO418" s="2"/>
      <c r="HOP418" s="2"/>
      <c r="HOQ418" s="2"/>
      <c r="HOR418" s="2"/>
      <c r="HOS418" s="2"/>
      <c r="HOT418" s="2"/>
      <c r="HOU418" s="2"/>
      <c r="HOV418" s="2"/>
      <c r="HOW418" s="2"/>
      <c r="HOX418" s="2"/>
      <c r="HOY418" s="2"/>
      <c r="HOZ418" s="2"/>
      <c r="HPA418" s="2"/>
      <c r="HPB418" s="2"/>
      <c r="HPC418" s="2"/>
      <c r="HPD418" s="2"/>
      <c r="HPE418" s="2"/>
      <c r="HPF418" s="2"/>
      <c r="HPG418" s="2"/>
      <c r="HPH418" s="2"/>
      <c r="HPI418" s="2"/>
      <c r="HPJ418" s="2"/>
      <c r="HPK418" s="2"/>
      <c r="HPL418" s="2"/>
      <c r="HPM418" s="2"/>
      <c r="HPN418" s="2"/>
      <c r="HPO418" s="2"/>
      <c r="HPP418" s="2"/>
      <c r="HPQ418" s="2"/>
      <c r="HPR418" s="2"/>
      <c r="HPS418" s="2"/>
      <c r="HPT418" s="2"/>
      <c r="HPU418" s="2"/>
      <c r="HPV418" s="2"/>
      <c r="HPW418" s="2"/>
      <c r="HPX418" s="2"/>
      <c r="HPY418" s="2"/>
      <c r="HPZ418" s="2"/>
      <c r="HQA418" s="2"/>
      <c r="HQB418" s="2"/>
      <c r="HQC418" s="2"/>
      <c r="HQD418" s="2"/>
      <c r="HQE418" s="2"/>
      <c r="HQF418" s="2"/>
      <c r="HQG418" s="2"/>
      <c r="HQH418" s="2"/>
      <c r="HQI418" s="2"/>
      <c r="HQJ418" s="2"/>
      <c r="HQK418" s="2"/>
      <c r="HQL418" s="2"/>
      <c r="HQM418" s="2"/>
      <c r="HQN418" s="2"/>
      <c r="HQO418" s="2"/>
      <c r="HQP418" s="2"/>
      <c r="HQQ418" s="2"/>
      <c r="HQR418" s="2"/>
      <c r="HQS418" s="2"/>
      <c r="HQT418" s="2"/>
      <c r="HQU418" s="2"/>
      <c r="HQV418" s="2"/>
      <c r="HQW418" s="2"/>
      <c r="HQX418" s="2"/>
      <c r="HQY418" s="2"/>
      <c r="HQZ418" s="2"/>
      <c r="HRA418" s="2"/>
      <c r="HRB418" s="2"/>
      <c r="HRC418" s="2"/>
      <c r="HRD418" s="2"/>
      <c r="HRE418" s="2"/>
      <c r="HRF418" s="2"/>
      <c r="HRG418" s="2"/>
      <c r="HRH418" s="2"/>
      <c r="HRI418" s="2"/>
      <c r="HRJ418" s="2"/>
      <c r="HRK418" s="2"/>
      <c r="HRL418" s="2"/>
      <c r="HRM418" s="2"/>
      <c r="HRN418" s="2"/>
      <c r="HRO418" s="2"/>
      <c r="HRP418" s="2"/>
      <c r="HRQ418" s="2"/>
      <c r="HRR418" s="2"/>
      <c r="HRS418" s="2"/>
      <c r="HRT418" s="2"/>
      <c r="HRU418" s="2"/>
      <c r="HRV418" s="2"/>
      <c r="HRW418" s="2"/>
      <c r="HRX418" s="2"/>
      <c r="HRY418" s="2"/>
      <c r="HRZ418" s="2"/>
      <c r="HSA418" s="2"/>
      <c r="HSB418" s="2"/>
      <c r="HSC418" s="2"/>
      <c r="HSD418" s="2"/>
      <c r="HSE418" s="2"/>
      <c r="HSF418" s="2"/>
      <c r="HSG418" s="2"/>
      <c r="HSH418" s="2"/>
      <c r="HSI418" s="2"/>
      <c r="HSJ418" s="2"/>
      <c r="HSK418" s="2"/>
      <c r="HSL418" s="2"/>
      <c r="HSM418" s="2"/>
      <c r="HSN418" s="2"/>
      <c r="HSO418" s="2"/>
      <c r="HSP418" s="2"/>
      <c r="HSQ418" s="2"/>
      <c r="HSR418" s="2"/>
      <c r="HSS418" s="2"/>
      <c r="HST418" s="2"/>
      <c r="HSU418" s="2"/>
      <c r="HSV418" s="2"/>
      <c r="HSW418" s="2"/>
      <c r="HSX418" s="2"/>
      <c r="HSY418" s="2"/>
      <c r="HSZ418" s="2"/>
      <c r="HTA418" s="2"/>
      <c r="HTB418" s="2"/>
      <c r="HTC418" s="2"/>
      <c r="HTD418" s="2"/>
      <c r="HTE418" s="2"/>
      <c r="HTF418" s="2"/>
      <c r="HTG418" s="2"/>
      <c r="HTH418" s="2"/>
      <c r="HTI418" s="2"/>
      <c r="HTJ418" s="2"/>
      <c r="HTK418" s="2"/>
      <c r="HTL418" s="2"/>
      <c r="HTM418" s="2"/>
      <c r="HTN418" s="2"/>
      <c r="HTO418" s="2"/>
      <c r="HTP418" s="2"/>
      <c r="HTQ418" s="2"/>
      <c r="HTR418" s="2"/>
      <c r="HTS418" s="2"/>
      <c r="HTT418" s="2"/>
      <c r="HTU418" s="2"/>
      <c r="HTV418" s="2"/>
      <c r="HTW418" s="2"/>
      <c r="HTX418" s="2"/>
      <c r="HTY418" s="2"/>
      <c r="HTZ418" s="2"/>
      <c r="HUA418" s="2"/>
      <c r="HUB418" s="2"/>
      <c r="HUC418" s="2"/>
      <c r="HUD418" s="2"/>
      <c r="HUE418" s="2"/>
      <c r="HUF418" s="2"/>
      <c r="HUG418" s="2"/>
      <c r="HUH418" s="2"/>
      <c r="HUI418" s="2"/>
      <c r="HUJ418" s="2"/>
      <c r="HUK418" s="2"/>
      <c r="HUL418" s="2"/>
      <c r="HUM418" s="2"/>
      <c r="HUN418" s="2"/>
      <c r="HUO418" s="2"/>
      <c r="HUP418" s="2"/>
      <c r="HUQ418" s="2"/>
      <c r="HUR418" s="2"/>
      <c r="HUS418" s="2"/>
      <c r="HUT418" s="2"/>
      <c r="HUU418" s="2"/>
      <c r="HUV418" s="2"/>
      <c r="HUW418" s="2"/>
      <c r="HUX418" s="2"/>
      <c r="HUY418" s="2"/>
      <c r="HUZ418" s="2"/>
      <c r="HVA418" s="2"/>
      <c r="HVB418" s="2"/>
      <c r="HVC418" s="2"/>
      <c r="HVD418" s="2"/>
      <c r="HVE418" s="2"/>
      <c r="HVF418" s="2"/>
      <c r="HVG418" s="2"/>
      <c r="HVH418" s="2"/>
      <c r="HVI418" s="2"/>
      <c r="HVJ418" s="2"/>
      <c r="HVK418" s="2"/>
      <c r="HVL418" s="2"/>
      <c r="HVM418" s="2"/>
      <c r="HVN418" s="2"/>
      <c r="HVO418" s="2"/>
      <c r="HVP418" s="2"/>
      <c r="HVQ418" s="2"/>
      <c r="HVR418" s="2"/>
      <c r="HVS418" s="2"/>
      <c r="HVT418" s="2"/>
      <c r="HVU418" s="2"/>
      <c r="HVV418" s="2"/>
      <c r="HVW418" s="2"/>
      <c r="HVX418" s="2"/>
      <c r="HVY418" s="2"/>
      <c r="HVZ418" s="2"/>
      <c r="HWA418" s="2"/>
      <c r="HWB418" s="2"/>
      <c r="HWC418" s="2"/>
      <c r="HWD418" s="2"/>
      <c r="HWE418" s="2"/>
      <c r="HWF418" s="2"/>
      <c r="HWG418" s="2"/>
      <c r="HWH418" s="2"/>
      <c r="HWI418" s="2"/>
      <c r="HWJ418" s="2"/>
      <c r="HWK418" s="2"/>
      <c r="HWL418" s="2"/>
      <c r="HWM418" s="2"/>
      <c r="HWN418" s="2"/>
      <c r="HWO418" s="2"/>
      <c r="HWP418" s="2"/>
      <c r="HWQ418" s="2"/>
      <c r="HWR418" s="2"/>
      <c r="HWS418" s="2"/>
      <c r="HWT418" s="2"/>
      <c r="HWU418" s="2"/>
      <c r="HWV418" s="2"/>
      <c r="HWW418" s="2"/>
      <c r="HWX418" s="2"/>
      <c r="HWY418" s="2"/>
      <c r="HWZ418" s="2"/>
      <c r="HXA418" s="2"/>
      <c r="HXB418" s="2"/>
      <c r="HXC418" s="2"/>
      <c r="HXD418" s="2"/>
      <c r="HXE418" s="2"/>
      <c r="HXF418" s="2"/>
      <c r="HXG418" s="2"/>
      <c r="HXH418" s="2"/>
      <c r="HXI418" s="2"/>
      <c r="HXJ418" s="2"/>
      <c r="HXK418" s="2"/>
      <c r="HXL418" s="2"/>
      <c r="HXM418" s="2"/>
      <c r="HXN418" s="2"/>
      <c r="HXO418" s="2"/>
      <c r="HXP418" s="2"/>
      <c r="HXQ418" s="2"/>
      <c r="HXR418" s="2"/>
      <c r="HXS418" s="2"/>
      <c r="HXT418" s="2"/>
      <c r="HXU418" s="2"/>
      <c r="HXV418" s="2"/>
      <c r="HXW418" s="2"/>
      <c r="HXX418" s="2"/>
      <c r="HXY418" s="2"/>
      <c r="HXZ418" s="2"/>
      <c r="HYA418" s="2"/>
      <c r="HYB418" s="2"/>
      <c r="HYC418" s="2"/>
      <c r="HYD418" s="2"/>
      <c r="HYE418" s="2"/>
      <c r="HYF418" s="2"/>
      <c r="HYG418" s="2"/>
      <c r="HYH418" s="2"/>
      <c r="HYI418" s="2"/>
      <c r="HYJ418" s="2"/>
      <c r="HYK418" s="2"/>
      <c r="HYL418" s="2"/>
      <c r="HYM418" s="2"/>
      <c r="HYN418" s="2"/>
      <c r="HYO418" s="2"/>
      <c r="HYP418" s="2"/>
      <c r="HYQ418" s="2"/>
      <c r="HYR418" s="2"/>
      <c r="HYS418" s="2"/>
      <c r="HYT418" s="2"/>
      <c r="HYU418" s="2"/>
      <c r="HYV418" s="2"/>
      <c r="HYW418" s="2"/>
      <c r="HYX418" s="2"/>
      <c r="HYY418" s="2"/>
      <c r="HYZ418" s="2"/>
      <c r="HZA418" s="2"/>
      <c r="HZB418" s="2"/>
      <c r="HZC418" s="2"/>
      <c r="HZD418" s="2"/>
      <c r="HZE418" s="2"/>
      <c r="HZF418" s="2"/>
      <c r="HZG418" s="2"/>
      <c r="HZH418" s="2"/>
      <c r="HZI418" s="2"/>
      <c r="HZJ418" s="2"/>
      <c r="HZK418" s="2"/>
      <c r="HZL418" s="2"/>
      <c r="HZM418" s="2"/>
      <c r="HZN418" s="2"/>
      <c r="HZO418" s="2"/>
      <c r="HZP418" s="2"/>
      <c r="HZQ418" s="2"/>
      <c r="HZR418" s="2"/>
      <c r="HZS418" s="2"/>
      <c r="HZT418" s="2"/>
      <c r="HZU418" s="2"/>
      <c r="HZV418" s="2"/>
      <c r="HZW418" s="2"/>
      <c r="HZX418" s="2"/>
      <c r="HZY418" s="2"/>
      <c r="HZZ418" s="2"/>
      <c r="IAA418" s="2"/>
      <c r="IAB418" s="2"/>
      <c r="IAC418" s="2"/>
      <c r="IAD418" s="2"/>
      <c r="IAE418" s="2"/>
      <c r="IAF418" s="2"/>
      <c r="IAG418" s="2"/>
      <c r="IAH418" s="2"/>
      <c r="IAI418" s="2"/>
      <c r="IAJ418" s="2"/>
      <c r="IAK418" s="2"/>
      <c r="IAL418" s="2"/>
      <c r="IAM418" s="2"/>
      <c r="IAN418" s="2"/>
      <c r="IAO418" s="2"/>
      <c r="IAP418" s="2"/>
      <c r="IAQ418" s="2"/>
      <c r="IAR418" s="2"/>
      <c r="IAS418" s="2"/>
      <c r="IAT418" s="2"/>
      <c r="IAU418" s="2"/>
      <c r="IAV418" s="2"/>
      <c r="IAW418" s="2"/>
      <c r="IAX418" s="2"/>
      <c r="IAY418" s="2"/>
      <c r="IAZ418" s="2"/>
      <c r="IBA418" s="2"/>
      <c r="IBB418" s="2"/>
      <c r="IBC418" s="2"/>
      <c r="IBD418" s="2"/>
      <c r="IBE418" s="2"/>
      <c r="IBF418" s="2"/>
      <c r="IBG418" s="2"/>
      <c r="IBH418" s="2"/>
      <c r="IBI418" s="2"/>
      <c r="IBJ418" s="2"/>
      <c r="IBK418" s="2"/>
      <c r="IBL418" s="2"/>
      <c r="IBM418" s="2"/>
      <c r="IBN418" s="2"/>
      <c r="IBO418" s="2"/>
      <c r="IBP418" s="2"/>
      <c r="IBQ418" s="2"/>
      <c r="IBR418" s="2"/>
      <c r="IBS418" s="2"/>
      <c r="IBT418" s="2"/>
      <c r="IBU418" s="2"/>
      <c r="IBV418" s="2"/>
      <c r="IBW418" s="2"/>
      <c r="IBX418" s="2"/>
      <c r="IBY418" s="2"/>
      <c r="IBZ418" s="2"/>
      <c r="ICA418" s="2"/>
      <c r="ICB418" s="2"/>
      <c r="ICC418" s="2"/>
      <c r="ICD418" s="2"/>
      <c r="ICE418" s="2"/>
      <c r="ICF418" s="2"/>
      <c r="ICG418" s="2"/>
      <c r="ICH418" s="2"/>
      <c r="ICI418" s="2"/>
      <c r="ICJ418" s="2"/>
      <c r="ICK418" s="2"/>
      <c r="ICL418" s="2"/>
      <c r="ICM418" s="2"/>
      <c r="ICN418" s="2"/>
      <c r="ICO418" s="2"/>
      <c r="ICP418" s="2"/>
      <c r="ICQ418" s="2"/>
      <c r="ICR418" s="2"/>
      <c r="ICS418" s="2"/>
      <c r="ICT418" s="2"/>
      <c r="ICU418" s="2"/>
      <c r="ICV418" s="2"/>
      <c r="ICW418" s="2"/>
      <c r="ICX418" s="2"/>
      <c r="ICY418" s="2"/>
      <c r="ICZ418" s="2"/>
      <c r="IDA418" s="2"/>
      <c r="IDB418" s="2"/>
      <c r="IDC418" s="2"/>
      <c r="IDD418" s="2"/>
      <c r="IDE418" s="2"/>
      <c r="IDF418" s="2"/>
      <c r="IDG418" s="2"/>
      <c r="IDH418" s="2"/>
      <c r="IDI418" s="2"/>
      <c r="IDJ418" s="2"/>
      <c r="IDK418" s="2"/>
      <c r="IDL418" s="2"/>
      <c r="IDM418" s="2"/>
      <c r="IDN418" s="2"/>
      <c r="IDO418" s="2"/>
      <c r="IDP418" s="2"/>
      <c r="IDQ418" s="2"/>
      <c r="IDR418" s="2"/>
      <c r="IDS418" s="2"/>
      <c r="IDT418" s="2"/>
      <c r="IDU418" s="2"/>
      <c r="IDV418" s="2"/>
      <c r="IDW418" s="2"/>
      <c r="IDX418" s="2"/>
      <c r="IDY418" s="2"/>
      <c r="IDZ418" s="2"/>
      <c r="IEA418" s="2"/>
      <c r="IEB418" s="2"/>
      <c r="IEC418" s="2"/>
      <c r="IED418" s="2"/>
      <c r="IEE418" s="2"/>
      <c r="IEF418" s="2"/>
      <c r="IEG418" s="2"/>
      <c r="IEH418" s="2"/>
      <c r="IEI418" s="2"/>
      <c r="IEJ418" s="2"/>
      <c r="IEK418" s="2"/>
      <c r="IEL418" s="2"/>
      <c r="IEM418" s="2"/>
      <c r="IEN418" s="2"/>
      <c r="IEO418" s="2"/>
      <c r="IEP418" s="2"/>
      <c r="IEQ418" s="2"/>
      <c r="IER418" s="2"/>
      <c r="IES418" s="2"/>
      <c r="IET418" s="2"/>
      <c r="IEU418" s="2"/>
      <c r="IEV418" s="2"/>
      <c r="IEW418" s="2"/>
      <c r="IEX418" s="2"/>
      <c r="IEY418" s="2"/>
      <c r="IEZ418" s="2"/>
      <c r="IFA418" s="2"/>
      <c r="IFB418" s="2"/>
      <c r="IFC418" s="2"/>
      <c r="IFD418" s="2"/>
      <c r="IFE418" s="2"/>
      <c r="IFF418" s="2"/>
      <c r="IFG418" s="2"/>
      <c r="IFH418" s="2"/>
      <c r="IFI418" s="2"/>
      <c r="IFJ418" s="2"/>
      <c r="IFK418" s="2"/>
      <c r="IFL418" s="2"/>
      <c r="IFM418" s="2"/>
      <c r="IFN418" s="2"/>
      <c r="IFO418" s="2"/>
      <c r="IFP418" s="2"/>
      <c r="IFQ418" s="2"/>
      <c r="IFR418" s="2"/>
      <c r="IFS418" s="2"/>
      <c r="IFT418" s="2"/>
      <c r="IFU418" s="2"/>
      <c r="IFV418" s="2"/>
      <c r="IFW418" s="2"/>
      <c r="IFX418" s="2"/>
      <c r="IFY418" s="2"/>
      <c r="IFZ418" s="2"/>
      <c r="IGA418" s="2"/>
      <c r="IGB418" s="2"/>
      <c r="IGC418" s="2"/>
      <c r="IGD418" s="2"/>
      <c r="IGE418" s="2"/>
      <c r="IGF418" s="2"/>
      <c r="IGG418" s="2"/>
      <c r="IGH418" s="2"/>
      <c r="IGI418" s="2"/>
      <c r="IGJ418" s="2"/>
      <c r="IGK418" s="2"/>
      <c r="IGL418" s="2"/>
      <c r="IGM418" s="2"/>
      <c r="IGN418" s="2"/>
      <c r="IGO418" s="2"/>
      <c r="IGP418" s="2"/>
      <c r="IGQ418" s="2"/>
      <c r="IGR418" s="2"/>
      <c r="IGS418" s="2"/>
      <c r="IGT418" s="2"/>
      <c r="IGU418" s="2"/>
      <c r="IGV418" s="2"/>
      <c r="IGW418" s="2"/>
      <c r="IGX418" s="2"/>
      <c r="IGY418" s="2"/>
      <c r="IGZ418" s="2"/>
      <c r="IHA418" s="2"/>
      <c r="IHB418" s="2"/>
      <c r="IHC418" s="2"/>
      <c r="IHD418" s="2"/>
      <c r="IHE418" s="2"/>
      <c r="IHF418" s="2"/>
      <c r="IHG418" s="2"/>
      <c r="IHH418" s="2"/>
      <c r="IHI418" s="2"/>
      <c r="IHJ418" s="2"/>
      <c r="IHK418" s="2"/>
      <c r="IHL418" s="2"/>
      <c r="IHM418" s="2"/>
      <c r="IHN418" s="2"/>
      <c r="IHO418" s="2"/>
      <c r="IHP418" s="2"/>
      <c r="IHQ418" s="2"/>
      <c r="IHR418" s="2"/>
      <c r="IHS418" s="2"/>
      <c r="IHT418" s="2"/>
      <c r="IHU418" s="2"/>
      <c r="IHV418" s="2"/>
      <c r="IHW418" s="2"/>
      <c r="IHX418" s="2"/>
      <c r="IHY418" s="2"/>
      <c r="IHZ418" s="2"/>
      <c r="IIA418" s="2"/>
      <c r="IIB418" s="2"/>
      <c r="IIC418" s="2"/>
      <c r="IID418" s="2"/>
      <c r="IIE418" s="2"/>
      <c r="IIF418" s="2"/>
      <c r="IIG418" s="2"/>
      <c r="IIH418" s="2"/>
      <c r="III418" s="2"/>
      <c r="IIJ418" s="2"/>
      <c r="IIK418" s="2"/>
      <c r="IIL418" s="2"/>
      <c r="IIM418" s="2"/>
      <c r="IIN418" s="2"/>
      <c r="IIO418" s="2"/>
      <c r="IIP418" s="2"/>
      <c r="IIQ418" s="2"/>
      <c r="IIR418" s="2"/>
      <c r="IIS418" s="2"/>
      <c r="IIT418" s="2"/>
      <c r="IIU418" s="2"/>
      <c r="IIV418" s="2"/>
      <c r="IIW418" s="2"/>
      <c r="IIX418" s="2"/>
      <c r="IIY418" s="2"/>
      <c r="IIZ418" s="2"/>
      <c r="IJA418" s="2"/>
      <c r="IJB418" s="2"/>
      <c r="IJC418" s="2"/>
      <c r="IJD418" s="2"/>
      <c r="IJE418" s="2"/>
      <c r="IJF418" s="2"/>
      <c r="IJG418" s="2"/>
      <c r="IJH418" s="2"/>
      <c r="IJI418" s="2"/>
      <c r="IJJ418" s="2"/>
      <c r="IJK418" s="2"/>
      <c r="IJL418" s="2"/>
      <c r="IJM418" s="2"/>
      <c r="IJN418" s="2"/>
      <c r="IJO418" s="2"/>
      <c r="IJP418" s="2"/>
      <c r="IJQ418" s="2"/>
      <c r="IJR418" s="2"/>
      <c r="IJS418" s="2"/>
      <c r="IJT418" s="2"/>
      <c r="IJU418" s="2"/>
      <c r="IJV418" s="2"/>
      <c r="IJW418" s="2"/>
      <c r="IJX418" s="2"/>
      <c r="IJY418" s="2"/>
      <c r="IJZ418" s="2"/>
      <c r="IKA418" s="2"/>
      <c r="IKB418" s="2"/>
      <c r="IKC418" s="2"/>
      <c r="IKD418" s="2"/>
      <c r="IKE418" s="2"/>
      <c r="IKF418" s="2"/>
      <c r="IKG418" s="2"/>
      <c r="IKH418" s="2"/>
      <c r="IKI418" s="2"/>
      <c r="IKJ418" s="2"/>
      <c r="IKK418" s="2"/>
      <c r="IKL418" s="2"/>
      <c r="IKM418" s="2"/>
      <c r="IKN418" s="2"/>
      <c r="IKO418" s="2"/>
      <c r="IKP418" s="2"/>
      <c r="IKQ418" s="2"/>
      <c r="IKR418" s="2"/>
      <c r="IKS418" s="2"/>
      <c r="IKT418" s="2"/>
      <c r="IKU418" s="2"/>
      <c r="IKV418" s="2"/>
      <c r="IKW418" s="2"/>
      <c r="IKX418" s="2"/>
      <c r="IKY418" s="2"/>
      <c r="IKZ418" s="2"/>
      <c r="ILA418" s="2"/>
      <c r="ILB418" s="2"/>
      <c r="ILC418" s="2"/>
      <c r="ILD418" s="2"/>
      <c r="ILE418" s="2"/>
      <c r="ILF418" s="2"/>
      <c r="ILG418" s="2"/>
      <c r="ILH418" s="2"/>
      <c r="ILI418" s="2"/>
      <c r="ILJ418" s="2"/>
      <c r="ILK418" s="2"/>
      <c r="ILL418" s="2"/>
      <c r="ILM418" s="2"/>
      <c r="ILN418" s="2"/>
      <c r="ILO418" s="2"/>
      <c r="ILP418" s="2"/>
      <c r="ILQ418" s="2"/>
      <c r="ILR418" s="2"/>
      <c r="ILS418" s="2"/>
      <c r="ILT418" s="2"/>
      <c r="ILU418" s="2"/>
      <c r="ILV418" s="2"/>
      <c r="ILW418" s="2"/>
      <c r="ILX418" s="2"/>
      <c r="ILY418" s="2"/>
      <c r="ILZ418" s="2"/>
      <c r="IMA418" s="2"/>
      <c r="IMB418" s="2"/>
      <c r="IMC418" s="2"/>
      <c r="IMD418" s="2"/>
      <c r="IME418" s="2"/>
      <c r="IMF418" s="2"/>
      <c r="IMG418" s="2"/>
      <c r="IMH418" s="2"/>
      <c r="IMI418" s="2"/>
      <c r="IMJ418" s="2"/>
      <c r="IMK418" s="2"/>
      <c r="IML418" s="2"/>
      <c r="IMM418" s="2"/>
      <c r="IMN418" s="2"/>
      <c r="IMO418" s="2"/>
      <c r="IMP418" s="2"/>
      <c r="IMQ418" s="2"/>
      <c r="IMR418" s="2"/>
      <c r="IMS418" s="2"/>
      <c r="IMT418" s="2"/>
      <c r="IMU418" s="2"/>
      <c r="IMV418" s="2"/>
      <c r="IMW418" s="2"/>
      <c r="IMX418" s="2"/>
      <c r="IMY418" s="2"/>
      <c r="IMZ418" s="2"/>
      <c r="INA418" s="2"/>
      <c r="INB418" s="2"/>
      <c r="INC418" s="2"/>
      <c r="IND418" s="2"/>
      <c r="INE418" s="2"/>
      <c r="INF418" s="2"/>
      <c r="ING418" s="2"/>
      <c r="INH418" s="2"/>
      <c r="INI418" s="2"/>
      <c r="INJ418" s="2"/>
      <c r="INK418" s="2"/>
      <c r="INL418" s="2"/>
      <c r="INM418" s="2"/>
      <c r="INN418" s="2"/>
      <c r="INO418" s="2"/>
      <c r="INP418" s="2"/>
      <c r="INQ418" s="2"/>
      <c r="INR418" s="2"/>
      <c r="INS418" s="2"/>
      <c r="INT418" s="2"/>
      <c r="INU418" s="2"/>
      <c r="INV418" s="2"/>
      <c r="INW418" s="2"/>
      <c r="INX418" s="2"/>
      <c r="INY418" s="2"/>
      <c r="INZ418" s="2"/>
      <c r="IOA418" s="2"/>
      <c r="IOB418" s="2"/>
      <c r="IOC418" s="2"/>
      <c r="IOD418" s="2"/>
      <c r="IOE418" s="2"/>
      <c r="IOF418" s="2"/>
      <c r="IOG418" s="2"/>
      <c r="IOH418" s="2"/>
      <c r="IOI418" s="2"/>
      <c r="IOJ418" s="2"/>
      <c r="IOK418" s="2"/>
      <c r="IOL418" s="2"/>
      <c r="IOM418" s="2"/>
      <c r="ION418" s="2"/>
      <c r="IOO418" s="2"/>
      <c r="IOP418" s="2"/>
      <c r="IOQ418" s="2"/>
      <c r="IOR418" s="2"/>
      <c r="IOS418" s="2"/>
      <c r="IOT418" s="2"/>
      <c r="IOU418" s="2"/>
      <c r="IOV418" s="2"/>
      <c r="IOW418" s="2"/>
      <c r="IOX418" s="2"/>
      <c r="IOY418" s="2"/>
      <c r="IOZ418" s="2"/>
      <c r="IPA418" s="2"/>
      <c r="IPB418" s="2"/>
      <c r="IPC418" s="2"/>
      <c r="IPD418" s="2"/>
      <c r="IPE418" s="2"/>
      <c r="IPF418" s="2"/>
      <c r="IPG418" s="2"/>
      <c r="IPH418" s="2"/>
      <c r="IPI418" s="2"/>
      <c r="IPJ418" s="2"/>
      <c r="IPK418" s="2"/>
      <c r="IPL418" s="2"/>
      <c r="IPM418" s="2"/>
      <c r="IPN418" s="2"/>
      <c r="IPO418" s="2"/>
      <c r="IPP418" s="2"/>
      <c r="IPQ418" s="2"/>
      <c r="IPR418" s="2"/>
      <c r="IPS418" s="2"/>
      <c r="IPT418" s="2"/>
      <c r="IPU418" s="2"/>
      <c r="IPV418" s="2"/>
      <c r="IPW418" s="2"/>
      <c r="IPX418" s="2"/>
      <c r="IPY418" s="2"/>
      <c r="IPZ418" s="2"/>
      <c r="IQA418" s="2"/>
      <c r="IQB418" s="2"/>
      <c r="IQC418" s="2"/>
      <c r="IQD418" s="2"/>
      <c r="IQE418" s="2"/>
      <c r="IQF418" s="2"/>
      <c r="IQG418" s="2"/>
      <c r="IQH418" s="2"/>
      <c r="IQI418" s="2"/>
      <c r="IQJ418" s="2"/>
      <c r="IQK418" s="2"/>
      <c r="IQL418" s="2"/>
      <c r="IQM418" s="2"/>
      <c r="IQN418" s="2"/>
      <c r="IQO418" s="2"/>
      <c r="IQP418" s="2"/>
      <c r="IQQ418" s="2"/>
      <c r="IQR418" s="2"/>
      <c r="IQS418" s="2"/>
      <c r="IQT418" s="2"/>
      <c r="IQU418" s="2"/>
      <c r="IQV418" s="2"/>
      <c r="IQW418" s="2"/>
      <c r="IQX418" s="2"/>
      <c r="IQY418" s="2"/>
      <c r="IQZ418" s="2"/>
      <c r="IRA418" s="2"/>
      <c r="IRB418" s="2"/>
      <c r="IRC418" s="2"/>
      <c r="IRD418" s="2"/>
      <c r="IRE418" s="2"/>
      <c r="IRF418" s="2"/>
      <c r="IRG418" s="2"/>
      <c r="IRH418" s="2"/>
      <c r="IRI418" s="2"/>
      <c r="IRJ418" s="2"/>
      <c r="IRK418" s="2"/>
      <c r="IRL418" s="2"/>
      <c r="IRM418" s="2"/>
      <c r="IRN418" s="2"/>
      <c r="IRO418" s="2"/>
      <c r="IRP418" s="2"/>
      <c r="IRQ418" s="2"/>
      <c r="IRR418" s="2"/>
      <c r="IRS418" s="2"/>
      <c r="IRT418" s="2"/>
      <c r="IRU418" s="2"/>
      <c r="IRV418" s="2"/>
      <c r="IRW418" s="2"/>
      <c r="IRX418" s="2"/>
      <c r="IRY418" s="2"/>
      <c r="IRZ418" s="2"/>
      <c r="ISA418" s="2"/>
      <c r="ISB418" s="2"/>
      <c r="ISC418" s="2"/>
      <c r="ISD418" s="2"/>
      <c r="ISE418" s="2"/>
      <c r="ISF418" s="2"/>
      <c r="ISG418" s="2"/>
      <c r="ISH418" s="2"/>
      <c r="ISI418" s="2"/>
      <c r="ISJ418" s="2"/>
      <c r="ISK418" s="2"/>
      <c r="ISL418" s="2"/>
      <c r="ISM418" s="2"/>
      <c r="ISN418" s="2"/>
      <c r="ISO418" s="2"/>
      <c r="ISP418" s="2"/>
      <c r="ISQ418" s="2"/>
      <c r="ISR418" s="2"/>
      <c r="ISS418" s="2"/>
      <c r="IST418" s="2"/>
      <c r="ISU418" s="2"/>
      <c r="ISV418" s="2"/>
      <c r="ISW418" s="2"/>
      <c r="ISX418" s="2"/>
      <c r="ISY418" s="2"/>
      <c r="ISZ418" s="2"/>
      <c r="ITA418" s="2"/>
      <c r="ITB418" s="2"/>
      <c r="ITC418" s="2"/>
      <c r="ITD418" s="2"/>
      <c r="ITE418" s="2"/>
      <c r="ITF418" s="2"/>
      <c r="ITG418" s="2"/>
      <c r="ITH418" s="2"/>
      <c r="ITI418" s="2"/>
      <c r="ITJ418" s="2"/>
      <c r="ITK418" s="2"/>
      <c r="ITL418" s="2"/>
      <c r="ITM418" s="2"/>
      <c r="ITN418" s="2"/>
      <c r="ITO418" s="2"/>
      <c r="ITP418" s="2"/>
      <c r="ITQ418" s="2"/>
      <c r="ITR418" s="2"/>
      <c r="ITS418" s="2"/>
      <c r="ITT418" s="2"/>
      <c r="ITU418" s="2"/>
      <c r="ITV418" s="2"/>
      <c r="ITW418" s="2"/>
      <c r="ITX418" s="2"/>
      <c r="ITY418" s="2"/>
      <c r="ITZ418" s="2"/>
      <c r="IUA418" s="2"/>
      <c r="IUB418" s="2"/>
      <c r="IUC418" s="2"/>
      <c r="IUD418" s="2"/>
      <c r="IUE418" s="2"/>
      <c r="IUF418" s="2"/>
      <c r="IUG418" s="2"/>
      <c r="IUH418" s="2"/>
      <c r="IUI418" s="2"/>
      <c r="IUJ418" s="2"/>
      <c r="IUK418" s="2"/>
      <c r="IUL418" s="2"/>
      <c r="IUM418" s="2"/>
      <c r="IUN418" s="2"/>
      <c r="IUO418" s="2"/>
      <c r="IUP418" s="2"/>
      <c r="IUQ418" s="2"/>
      <c r="IUR418" s="2"/>
      <c r="IUS418" s="2"/>
      <c r="IUT418" s="2"/>
      <c r="IUU418" s="2"/>
      <c r="IUV418" s="2"/>
      <c r="IUW418" s="2"/>
      <c r="IUX418" s="2"/>
      <c r="IUY418" s="2"/>
      <c r="IUZ418" s="2"/>
      <c r="IVA418" s="2"/>
      <c r="IVB418" s="2"/>
      <c r="IVC418" s="2"/>
      <c r="IVD418" s="2"/>
      <c r="IVE418" s="2"/>
      <c r="IVF418" s="2"/>
      <c r="IVG418" s="2"/>
      <c r="IVH418" s="2"/>
      <c r="IVI418" s="2"/>
      <c r="IVJ418" s="2"/>
      <c r="IVK418" s="2"/>
      <c r="IVL418" s="2"/>
      <c r="IVM418" s="2"/>
      <c r="IVN418" s="2"/>
      <c r="IVO418" s="2"/>
      <c r="IVP418" s="2"/>
      <c r="IVQ418" s="2"/>
      <c r="IVR418" s="2"/>
      <c r="IVS418" s="2"/>
      <c r="IVT418" s="2"/>
      <c r="IVU418" s="2"/>
      <c r="IVV418" s="2"/>
      <c r="IVW418" s="2"/>
      <c r="IVX418" s="2"/>
      <c r="IVY418" s="2"/>
      <c r="IVZ418" s="2"/>
      <c r="IWA418" s="2"/>
      <c r="IWB418" s="2"/>
      <c r="IWC418" s="2"/>
      <c r="IWD418" s="2"/>
      <c r="IWE418" s="2"/>
      <c r="IWF418" s="2"/>
      <c r="IWG418" s="2"/>
      <c r="IWH418" s="2"/>
      <c r="IWI418" s="2"/>
      <c r="IWJ418" s="2"/>
      <c r="IWK418" s="2"/>
      <c r="IWL418" s="2"/>
      <c r="IWM418" s="2"/>
      <c r="IWN418" s="2"/>
      <c r="IWO418" s="2"/>
      <c r="IWP418" s="2"/>
      <c r="IWQ418" s="2"/>
      <c r="IWR418" s="2"/>
      <c r="IWS418" s="2"/>
      <c r="IWT418" s="2"/>
      <c r="IWU418" s="2"/>
      <c r="IWV418" s="2"/>
      <c r="IWW418" s="2"/>
      <c r="IWX418" s="2"/>
      <c r="IWY418" s="2"/>
      <c r="IWZ418" s="2"/>
      <c r="IXA418" s="2"/>
      <c r="IXB418" s="2"/>
      <c r="IXC418" s="2"/>
      <c r="IXD418" s="2"/>
      <c r="IXE418" s="2"/>
      <c r="IXF418" s="2"/>
      <c r="IXG418" s="2"/>
      <c r="IXH418" s="2"/>
      <c r="IXI418" s="2"/>
      <c r="IXJ418" s="2"/>
      <c r="IXK418" s="2"/>
      <c r="IXL418" s="2"/>
      <c r="IXM418" s="2"/>
      <c r="IXN418" s="2"/>
      <c r="IXO418" s="2"/>
      <c r="IXP418" s="2"/>
      <c r="IXQ418" s="2"/>
      <c r="IXR418" s="2"/>
      <c r="IXS418" s="2"/>
      <c r="IXT418" s="2"/>
      <c r="IXU418" s="2"/>
      <c r="IXV418" s="2"/>
      <c r="IXW418" s="2"/>
      <c r="IXX418" s="2"/>
      <c r="IXY418" s="2"/>
      <c r="IXZ418" s="2"/>
      <c r="IYA418" s="2"/>
      <c r="IYB418" s="2"/>
      <c r="IYC418" s="2"/>
      <c r="IYD418" s="2"/>
      <c r="IYE418" s="2"/>
      <c r="IYF418" s="2"/>
      <c r="IYG418" s="2"/>
      <c r="IYH418" s="2"/>
      <c r="IYI418" s="2"/>
      <c r="IYJ418" s="2"/>
      <c r="IYK418" s="2"/>
      <c r="IYL418" s="2"/>
      <c r="IYM418" s="2"/>
      <c r="IYN418" s="2"/>
      <c r="IYO418" s="2"/>
      <c r="IYP418" s="2"/>
      <c r="IYQ418" s="2"/>
      <c r="IYR418" s="2"/>
      <c r="IYS418" s="2"/>
      <c r="IYT418" s="2"/>
      <c r="IYU418" s="2"/>
      <c r="IYV418" s="2"/>
      <c r="IYW418" s="2"/>
      <c r="IYX418" s="2"/>
      <c r="IYY418" s="2"/>
      <c r="IYZ418" s="2"/>
      <c r="IZA418" s="2"/>
      <c r="IZB418" s="2"/>
      <c r="IZC418" s="2"/>
      <c r="IZD418" s="2"/>
      <c r="IZE418" s="2"/>
      <c r="IZF418" s="2"/>
      <c r="IZG418" s="2"/>
      <c r="IZH418" s="2"/>
      <c r="IZI418" s="2"/>
      <c r="IZJ418" s="2"/>
      <c r="IZK418" s="2"/>
      <c r="IZL418" s="2"/>
      <c r="IZM418" s="2"/>
      <c r="IZN418" s="2"/>
      <c r="IZO418" s="2"/>
      <c r="IZP418" s="2"/>
      <c r="IZQ418" s="2"/>
      <c r="IZR418" s="2"/>
      <c r="IZS418" s="2"/>
      <c r="IZT418" s="2"/>
      <c r="IZU418" s="2"/>
      <c r="IZV418" s="2"/>
      <c r="IZW418" s="2"/>
      <c r="IZX418" s="2"/>
      <c r="IZY418" s="2"/>
      <c r="IZZ418" s="2"/>
      <c r="JAA418" s="2"/>
      <c r="JAB418" s="2"/>
      <c r="JAC418" s="2"/>
      <c r="JAD418" s="2"/>
      <c r="JAE418" s="2"/>
      <c r="JAF418" s="2"/>
      <c r="JAG418" s="2"/>
      <c r="JAH418" s="2"/>
      <c r="JAI418" s="2"/>
      <c r="JAJ418" s="2"/>
      <c r="JAK418" s="2"/>
      <c r="JAL418" s="2"/>
      <c r="JAM418" s="2"/>
      <c r="JAN418" s="2"/>
      <c r="JAO418" s="2"/>
      <c r="JAP418" s="2"/>
      <c r="JAQ418" s="2"/>
      <c r="JAR418" s="2"/>
      <c r="JAS418" s="2"/>
      <c r="JAT418" s="2"/>
      <c r="JAU418" s="2"/>
      <c r="JAV418" s="2"/>
      <c r="JAW418" s="2"/>
      <c r="JAX418" s="2"/>
      <c r="JAY418" s="2"/>
      <c r="JAZ418" s="2"/>
      <c r="JBA418" s="2"/>
      <c r="JBB418" s="2"/>
      <c r="JBC418" s="2"/>
      <c r="JBD418" s="2"/>
      <c r="JBE418" s="2"/>
      <c r="JBF418" s="2"/>
      <c r="JBG418" s="2"/>
      <c r="JBH418" s="2"/>
      <c r="JBI418" s="2"/>
      <c r="JBJ418" s="2"/>
      <c r="JBK418" s="2"/>
      <c r="JBL418" s="2"/>
      <c r="JBM418" s="2"/>
      <c r="JBN418" s="2"/>
      <c r="JBO418" s="2"/>
      <c r="JBP418" s="2"/>
      <c r="JBQ418" s="2"/>
      <c r="JBR418" s="2"/>
      <c r="JBS418" s="2"/>
      <c r="JBT418" s="2"/>
      <c r="JBU418" s="2"/>
      <c r="JBV418" s="2"/>
      <c r="JBW418" s="2"/>
      <c r="JBX418" s="2"/>
      <c r="JBY418" s="2"/>
      <c r="JBZ418" s="2"/>
      <c r="JCA418" s="2"/>
      <c r="JCB418" s="2"/>
      <c r="JCC418" s="2"/>
      <c r="JCD418" s="2"/>
      <c r="JCE418" s="2"/>
      <c r="JCF418" s="2"/>
      <c r="JCG418" s="2"/>
      <c r="JCH418" s="2"/>
      <c r="JCI418" s="2"/>
      <c r="JCJ418" s="2"/>
      <c r="JCK418" s="2"/>
      <c r="JCL418" s="2"/>
      <c r="JCM418" s="2"/>
      <c r="JCN418" s="2"/>
      <c r="JCO418" s="2"/>
      <c r="JCP418" s="2"/>
      <c r="JCQ418" s="2"/>
      <c r="JCR418" s="2"/>
      <c r="JCS418" s="2"/>
      <c r="JCT418" s="2"/>
      <c r="JCU418" s="2"/>
      <c r="JCV418" s="2"/>
      <c r="JCW418" s="2"/>
      <c r="JCX418" s="2"/>
      <c r="JCY418" s="2"/>
      <c r="JCZ418" s="2"/>
      <c r="JDA418" s="2"/>
      <c r="JDB418" s="2"/>
      <c r="JDC418" s="2"/>
      <c r="JDD418" s="2"/>
      <c r="JDE418" s="2"/>
      <c r="JDF418" s="2"/>
      <c r="JDG418" s="2"/>
      <c r="JDH418" s="2"/>
      <c r="JDI418" s="2"/>
      <c r="JDJ418" s="2"/>
      <c r="JDK418" s="2"/>
      <c r="JDL418" s="2"/>
      <c r="JDM418" s="2"/>
      <c r="JDN418" s="2"/>
      <c r="JDO418" s="2"/>
      <c r="JDP418" s="2"/>
      <c r="JDQ418" s="2"/>
      <c r="JDR418" s="2"/>
      <c r="JDS418" s="2"/>
      <c r="JDT418" s="2"/>
      <c r="JDU418" s="2"/>
      <c r="JDV418" s="2"/>
      <c r="JDW418" s="2"/>
      <c r="JDX418" s="2"/>
      <c r="JDY418" s="2"/>
      <c r="JDZ418" s="2"/>
      <c r="JEA418" s="2"/>
      <c r="JEB418" s="2"/>
      <c r="JEC418" s="2"/>
      <c r="JED418" s="2"/>
      <c r="JEE418" s="2"/>
      <c r="JEF418" s="2"/>
      <c r="JEG418" s="2"/>
      <c r="JEH418" s="2"/>
      <c r="JEI418" s="2"/>
      <c r="JEJ418" s="2"/>
      <c r="JEK418" s="2"/>
      <c r="JEL418" s="2"/>
      <c r="JEM418" s="2"/>
      <c r="JEN418" s="2"/>
      <c r="JEO418" s="2"/>
      <c r="JEP418" s="2"/>
      <c r="JEQ418" s="2"/>
      <c r="JER418" s="2"/>
      <c r="JES418" s="2"/>
      <c r="JET418" s="2"/>
      <c r="JEU418" s="2"/>
      <c r="JEV418" s="2"/>
      <c r="JEW418" s="2"/>
      <c r="JEX418" s="2"/>
      <c r="JEY418" s="2"/>
      <c r="JEZ418" s="2"/>
      <c r="JFA418" s="2"/>
      <c r="JFB418" s="2"/>
      <c r="JFC418" s="2"/>
      <c r="JFD418" s="2"/>
      <c r="JFE418" s="2"/>
      <c r="JFF418" s="2"/>
      <c r="JFG418" s="2"/>
      <c r="JFH418" s="2"/>
      <c r="JFI418" s="2"/>
      <c r="JFJ418" s="2"/>
      <c r="JFK418" s="2"/>
      <c r="JFL418" s="2"/>
      <c r="JFM418" s="2"/>
      <c r="JFN418" s="2"/>
      <c r="JFO418" s="2"/>
      <c r="JFP418" s="2"/>
      <c r="JFQ418" s="2"/>
      <c r="JFR418" s="2"/>
      <c r="JFS418" s="2"/>
      <c r="JFT418" s="2"/>
      <c r="JFU418" s="2"/>
      <c r="JFV418" s="2"/>
      <c r="JFW418" s="2"/>
      <c r="JFX418" s="2"/>
      <c r="JFY418" s="2"/>
      <c r="JFZ418" s="2"/>
      <c r="JGA418" s="2"/>
      <c r="JGB418" s="2"/>
      <c r="JGC418" s="2"/>
      <c r="JGD418" s="2"/>
      <c r="JGE418" s="2"/>
      <c r="JGF418" s="2"/>
      <c r="JGG418" s="2"/>
      <c r="JGH418" s="2"/>
      <c r="JGI418" s="2"/>
      <c r="JGJ418" s="2"/>
      <c r="JGK418" s="2"/>
      <c r="JGL418" s="2"/>
      <c r="JGM418" s="2"/>
      <c r="JGN418" s="2"/>
      <c r="JGO418" s="2"/>
      <c r="JGP418" s="2"/>
      <c r="JGQ418" s="2"/>
      <c r="JGR418" s="2"/>
      <c r="JGS418" s="2"/>
      <c r="JGT418" s="2"/>
      <c r="JGU418" s="2"/>
      <c r="JGV418" s="2"/>
      <c r="JGW418" s="2"/>
      <c r="JGX418" s="2"/>
      <c r="JGY418" s="2"/>
      <c r="JGZ418" s="2"/>
      <c r="JHA418" s="2"/>
      <c r="JHB418" s="2"/>
      <c r="JHC418" s="2"/>
      <c r="JHD418" s="2"/>
      <c r="JHE418" s="2"/>
      <c r="JHF418" s="2"/>
      <c r="JHG418" s="2"/>
      <c r="JHH418" s="2"/>
      <c r="JHI418" s="2"/>
      <c r="JHJ418" s="2"/>
      <c r="JHK418" s="2"/>
      <c r="JHL418" s="2"/>
      <c r="JHM418" s="2"/>
      <c r="JHN418" s="2"/>
      <c r="JHO418" s="2"/>
      <c r="JHP418" s="2"/>
      <c r="JHQ418" s="2"/>
      <c r="JHR418" s="2"/>
      <c r="JHS418" s="2"/>
      <c r="JHT418" s="2"/>
      <c r="JHU418" s="2"/>
      <c r="JHV418" s="2"/>
      <c r="JHW418" s="2"/>
      <c r="JHX418" s="2"/>
      <c r="JHY418" s="2"/>
      <c r="JHZ418" s="2"/>
      <c r="JIA418" s="2"/>
      <c r="JIB418" s="2"/>
      <c r="JIC418" s="2"/>
      <c r="JID418" s="2"/>
      <c r="JIE418" s="2"/>
      <c r="JIF418" s="2"/>
      <c r="JIG418" s="2"/>
      <c r="JIH418" s="2"/>
      <c r="JII418" s="2"/>
      <c r="JIJ418" s="2"/>
      <c r="JIK418" s="2"/>
      <c r="JIL418" s="2"/>
      <c r="JIM418" s="2"/>
      <c r="JIN418" s="2"/>
      <c r="JIO418" s="2"/>
      <c r="JIP418" s="2"/>
      <c r="JIQ418" s="2"/>
      <c r="JIR418" s="2"/>
      <c r="JIS418" s="2"/>
      <c r="JIT418" s="2"/>
      <c r="JIU418" s="2"/>
      <c r="JIV418" s="2"/>
      <c r="JIW418" s="2"/>
      <c r="JIX418" s="2"/>
      <c r="JIY418" s="2"/>
      <c r="JIZ418" s="2"/>
      <c r="JJA418" s="2"/>
      <c r="JJB418" s="2"/>
      <c r="JJC418" s="2"/>
      <c r="JJD418" s="2"/>
      <c r="JJE418" s="2"/>
      <c r="JJF418" s="2"/>
      <c r="JJG418" s="2"/>
      <c r="JJH418" s="2"/>
      <c r="JJI418" s="2"/>
      <c r="JJJ418" s="2"/>
      <c r="JJK418" s="2"/>
      <c r="JJL418" s="2"/>
      <c r="JJM418" s="2"/>
      <c r="JJN418" s="2"/>
      <c r="JJO418" s="2"/>
      <c r="JJP418" s="2"/>
      <c r="JJQ418" s="2"/>
      <c r="JJR418" s="2"/>
      <c r="JJS418" s="2"/>
      <c r="JJT418" s="2"/>
      <c r="JJU418" s="2"/>
      <c r="JJV418" s="2"/>
      <c r="JJW418" s="2"/>
      <c r="JJX418" s="2"/>
      <c r="JJY418" s="2"/>
      <c r="JJZ418" s="2"/>
      <c r="JKA418" s="2"/>
      <c r="JKB418" s="2"/>
      <c r="JKC418" s="2"/>
      <c r="JKD418" s="2"/>
      <c r="JKE418" s="2"/>
      <c r="JKF418" s="2"/>
      <c r="JKG418" s="2"/>
      <c r="JKH418" s="2"/>
      <c r="JKI418" s="2"/>
      <c r="JKJ418" s="2"/>
      <c r="JKK418" s="2"/>
      <c r="JKL418" s="2"/>
      <c r="JKM418" s="2"/>
      <c r="JKN418" s="2"/>
      <c r="JKO418" s="2"/>
      <c r="JKP418" s="2"/>
      <c r="JKQ418" s="2"/>
      <c r="JKR418" s="2"/>
      <c r="JKS418" s="2"/>
      <c r="JKT418" s="2"/>
      <c r="JKU418" s="2"/>
      <c r="JKV418" s="2"/>
      <c r="JKW418" s="2"/>
      <c r="JKX418" s="2"/>
      <c r="JKY418" s="2"/>
      <c r="JKZ418" s="2"/>
      <c r="JLA418" s="2"/>
      <c r="JLB418" s="2"/>
      <c r="JLC418" s="2"/>
      <c r="JLD418" s="2"/>
      <c r="JLE418" s="2"/>
      <c r="JLF418" s="2"/>
      <c r="JLG418" s="2"/>
      <c r="JLH418" s="2"/>
      <c r="JLI418" s="2"/>
      <c r="JLJ418" s="2"/>
      <c r="JLK418" s="2"/>
      <c r="JLL418" s="2"/>
      <c r="JLM418" s="2"/>
      <c r="JLN418" s="2"/>
      <c r="JLO418" s="2"/>
      <c r="JLP418" s="2"/>
      <c r="JLQ418" s="2"/>
      <c r="JLR418" s="2"/>
      <c r="JLS418" s="2"/>
      <c r="JLT418" s="2"/>
      <c r="JLU418" s="2"/>
      <c r="JLV418" s="2"/>
      <c r="JLW418" s="2"/>
      <c r="JLX418" s="2"/>
      <c r="JLY418" s="2"/>
      <c r="JLZ418" s="2"/>
      <c r="JMA418" s="2"/>
      <c r="JMB418" s="2"/>
      <c r="JMC418" s="2"/>
      <c r="JMD418" s="2"/>
      <c r="JME418" s="2"/>
      <c r="JMF418" s="2"/>
      <c r="JMG418" s="2"/>
      <c r="JMH418" s="2"/>
      <c r="JMI418" s="2"/>
      <c r="JMJ418" s="2"/>
      <c r="JMK418" s="2"/>
      <c r="JML418" s="2"/>
      <c r="JMM418" s="2"/>
      <c r="JMN418" s="2"/>
      <c r="JMO418" s="2"/>
      <c r="JMP418" s="2"/>
      <c r="JMQ418" s="2"/>
      <c r="JMR418" s="2"/>
      <c r="JMS418" s="2"/>
      <c r="JMT418" s="2"/>
      <c r="JMU418" s="2"/>
      <c r="JMV418" s="2"/>
      <c r="JMW418" s="2"/>
      <c r="JMX418" s="2"/>
      <c r="JMY418" s="2"/>
      <c r="JMZ418" s="2"/>
      <c r="JNA418" s="2"/>
      <c r="JNB418" s="2"/>
      <c r="JNC418" s="2"/>
      <c r="JND418" s="2"/>
      <c r="JNE418" s="2"/>
      <c r="JNF418" s="2"/>
      <c r="JNG418" s="2"/>
      <c r="JNH418" s="2"/>
      <c r="JNI418" s="2"/>
      <c r="JNJ418" s="2"/>
      <c r="JNK418" s="2"/>
      <c r="JNL418" s="2"/>
      <c r="JNM418" s="2"/>
      <c r="JNN418" s="2"/>
      <c r="JNO418" s="2"/>
      <c r="JNP418" s="2"/>
      <c r="JNQ418" s="2"/>
      <c r="JNR418" s="2"/>
      <c r="JNS418" s="2"/>
      <c r="JNT418" s="2"/>
      <c r="JNU418" s="2"/>
      <c r="JNV418" s="2"/>
      <c r="JNW418" s="2"/>
      <c r="JNX418" s="2"/>
      <c r="JNY418" s="2"/>
      <c r="JNZ418" s="2"/>
      <c r="JOA418" s="2"/>
      <c r="JOB418" s="2"/>
      <c r="JOC418" s="2"/>
      <c r="JOD418" s="2"/>
      <c r="JOE418" s="2"/>
      <c r="JOF418" s="2"/>
      <c r="JOG418" s="2"/>
      <c r="JOH418" s="2"/>
      <c r="JOI418" s="2"/>
      <c r="JOJ418" s="2"/>
      <c r="JOK418" s="2"/>
      <c r="JOL418" s="2"/>
      <c r="JOM418" s="2"/>
      <c r="JON418" s="2"/>
      <c r="JOO418" s="2"/>
      <c r="JOP418" s="2"/>
      <c r="JOQ418" s="2"/>
      <c r="JOR418" s="2"/>
      <c r="JOS418" s="2"/>
      <c r="JOT418" s="2"/>
      <c r="JOU418" s="2"/>
      <c r="JOV418" s="2"/>
      <c r="JOW418" s="2"/>
      <c r="JOX418" s="2"/>
      <c r="JOY418" s="2"/>
      <c r="JOZ418" s="2"/>
      <c r="JPA418" s="2"/>
      <c r="JPB418" s="2"/>
      <c r="JPC418" s="2"/>
      <c r="JPD418" s="2"/>
      <c r="JPE418" s="2"/>
      <c r="JPF418" s="2"/>
      <c r="JPG418" s="2"/>
      <c r="JPH418" s="2"/>
      <c r="JPI418" s="2"/>
      <c r="JPJ418" s="2"/>
      <c r="JPK418" s="2"/>
      <c r="JPL418" s="2"/>
      <c r="JPM418" s="2"/>
      <c r="JPN418" s="2"/>
      <c r="JPO418" s="2"/>
      <c r="JPP418" s="2"/>
      <c r="JPQ418" s="2"/>
      <c r="JPR418" s="2"/>
      <c r="JPS418" s="2"/>
      <c r="JPT418" s="2"/>
      <c r="JPU418" s="2"/>
      <c r="JPV418" s="2"/>
      <c r="JPW418" s="2"/>
      <c r="JPX418" s="2"/>
      <c r="JPY418" s="2"/>
      <c r="JPZ418" s="2"/>
      <c r="JQA418" s="2"/>
      <c r="JQB418" s="2"/>
      <c r="JQC418" s="2"/>
      <c r="JQD418" s="2"/>
      <c r="JQE418" s="2"/>
      <c r="JQF418" s="2"/>
      <c r="JQG418" s="2"/>
      <c r="JQH418" s="2"/>
      <c r="JQI418" s="2"/>
      <c r="JQJ418" s="2"/>
      <c r="JQK418" s="2"/>
      <c r="JQL418" s="2"/>
      <c r="JQM418" s="2"/>
      <c r="JQN418" s="2"/>
      <c r="JQO418" s="2"/>
      <c r="JQP418" s="2"/>
      <c r="JQQ418" s="2"/>
      <c r="JQR418" s="2"/>
      <c r="JQS418" s="2"/>
      <c r="JQT418" s="2"/>
      <c r="JQU418" s="2"/>
      <c r="JQV418" s="2"/>
      <c r="JQW418" s="2"/>
      <c r="JQX418" s="2"/>
      <c r="JQY418" s="2"/>
      <c r="JQZ418" s="2"/>
      <c r="JRA418" s="2"/>
      <c r="JRB418" s="2"/>
      <c r="JRC418" s="2"/>
      <c r="JRD418" s="2"/>
      <c r="JRE418" s="2"/>
      <c r="JRF418" s="2"/>
      <c r="JRG418" s="2"/>
      <c r="JRH418" s="2"/>
      <c r="JRI418" s="2"/>
      <c r="JRJ418" s="2"/>
      <c r="JRK418" s="2"/>
      <c r="JRL418" s="2"/>
      <c r="JRM418" s="2"/>
      <c r="JRN418" s="2"/>
      <c r="JRO418" s="2"/>
      <c r="JRP418" s="2"/>
      <c r="JRQ418" s="2"/>
      <c r="JRR418" s="2"/>
      <c r="JRS418" s="2"/>
      <c r="JRT418" s="2"/>
      <c r="JRU418" s="2"/>
      <c r="JRV418" s="2"/>
      <c r="JRW418" s="2"/>
      <c r="JRX418" s="2"/>
      <c r="JRY418" s="2"/>
      <c r="JRZ418" s="2"/>
      <c r="JSA418" s="2"/>
      <c r="JSB418" s="2"/>
      <c r="JSC418" s="2"/>
      <c r="JSD418" s="2"/>
      <c r="JSE418" s="2"/>
      <c r="JSF418" s="2"/>
      <c r="JSG418" s="2"/>
      <c r="JSH418" s="2"/>
      <c r="JSI418" s="2"/>
      <c r="JSJ418" s="2"/>
      <c r="JSK418" s="2"/>
      <c r="JSL418" s="2"/>
      <c r="JSM418" s="2"/>
      <c r="JSN418" s="2"/>
      <c r="JSO418" s="2"/>
      <c r="JSP418" s="2"/>
      <c r="JSQ418" s="2"/>
      <c r="JSR418" s="2"/>
      <c r="JSS418" s="2"/>
      <c r="JST418" s="2"/>
      <c r="JSU418" s="2"/>
      <c r="JSV418" s="2"/>
      <c r="JSW418" s="2"/>
      <c r="JSX418" s="2"/>
      <c r="JSY418" s="2"/>
      <c r="JSZ418" s="2"/>
      <c r="JTA418" s="2"/>
      <c r="JTB418" s="2"/>
      <c r="JTC418" s="2"/>
      <c r="JTD418" s="2"/>
      <c r="JTE418" s="2"/>
      <c r="JTF418" s="2"/>
      <c r="JTG418" s="2"/>
      <c r="JTH418" s="2"/>
      <c r="JTI418" s="2"/>
      <c r="JTJ418" s="2"/>
      <c r="JTK418" s="2"/>
      <c r="JTL418" s="2"/>
      <c r="JTM418" s="2"/>
      <c r="JTN418" s="2"/>
      <c r="JTO418" s="2"/>
      <c r="JTP418" s="2"/>
      <c r="JTQ418" s="2"/>
      <c r="JTR418" s="2"/>
      <c r="JTS418" s="2"/>
      <c r="JTT418" s="2"/>
      <c r="JTU418" s="2"/>
      <c r="JTV418" s="2"/>
      <c r="JTW418" s="2"/>
      <c r="JTX418" s="2"/>
      <c r="JTY418" s="2"/>
      <c r="JTZ418" s="2"/>
      <c r="JUA418" s="2"/>
      <c r="JUB418" s="2"/>
      <c r="JUC418" s="2"/>
      <c r="JUD418" s="2"/>
      <c r="JUE418" s="2"/>
      <c r="JUF418" s="2"/>
      <c r="JUG418" s="2"/>
      <c r="JUH418" s="2"/>
      <c r="JUI418" s="2"/>
      <c r="JUJ418" s="2"/>
      <c r="JUK418" s="2"/>
      <c r="JUL418" s="2"/>
      <c r="JUM418" s="2"/>
      <c r="JUN418" s="2"/>
      <c r="JUO418" s="2"/>
      <c r="JUP418" s="2"/>
      <c r="JUQ418" s="2"/>
      <c r="JUR418" s="2"/>
      <c r="JUS418" s="2"/>
      <c r="JUT418" s="2"/>
      <c r="JUU418" s="2"/>
      <c r="JUV418" s="2"/>
      <c r="JUW418" s="2"/>
      <c r="JUX418" s="2"/>
      <c r="JUY418" s="2"/>
      <c r="JUZ418" s="2"/>
      <c r="JVA418" s="2"/>
      <c r="JVB418" s="2"/>
      <c r="JVC418" s="2"/>
      <c r="JVD418" s="2"/>
      <c r="JVE418" s="2"/>
      <c r="JVF418" s="2"/>
      <c r="JVG418" s="2"/>
      <c r="JVH418" s="2"/>
      <c r="JVI418" s="2"/>
      <c r="JVJ418" s="2"/>
      <c r="JVK418" s="2"/>
      <c r="JVL418" s="2"/>
      <c r="JVM418" s="2"/>
      <c r="JVN418" s="2"/>
      <c r="JVO418" s="2"/>
      <c r="JVP418" s="2"/>
      <c r="JVQ418" s="2"/>
      <c r="JVR418" s="2"/>
      <c r="JVS418" s="2"/>
      <c r="JVT418" s="2"/>
      <c r="JVU418" s="2"/>
      <c r="JVV418" s="2"/>
      <c r="JVW418" s="2"/>
      <c r="JVX418" s="2"/>
      <c r="JVY418" s="2"/>
      <c r="JVZ418" s="2"/>
      <c r="JWA418" s="2"/>
      <c r="JWB418" s="2"/>
      <c r="JWC418" s="2"/>
      <c r="JWD418" s="2"/>
      <c r="JWE418" s="2"/>
      <c r="JWF418" s="2"/>
      <c r="JWG418" s="2"/>
      <c r="JWH418" s="2"/>
      <c r="JWI418" s="2"/>
      <c r="JWJ418" s="2"/>
      <c r="JWK418" s="2"/>
      <c r="JWL418" s="2"/>
      <c r="JWM418" s="2"/>
      <c r="JWN418" s="2"/>
      <c r="JWO418" s="2"/>
      <c r="JWP418" s="2"/>
      <c r="JWQ418" s="2"/>
      <c r="JWR418" s="2"/>
      <c r="JWS418" s="2"/>
      <c r="JWT418" s="2"/>
      <c r="JWU418" s="2"/>
      <c r="JWV418" s="2"/>
      <c r="JWW418" s="2"/>
      <c r="JWX418" s="2"/>
      <c r="JWY418" s="2"/>
      <c r="JWZ418" s="2"/>
      <c r="JXA418" s="2"/>
      <c r="JXB418" s="2"/>
      <c r="JXC418" s="2"/>
      <c r="JXD418" s="2"/>
      <c r="JXE418" s="2"/>
      <c r="JXF418" s="2"/>
      <c r="JXG418" s="2"/>
      <c r="JXH418" s="2"/>
      <c r="JXI418" s="2"/>
      <c r="JXJ418" s="2"/>
      <c r="JXK418" s="2"/>
      <c r="JXL418" s="2"/>
      <c r="JXM418" s="2"/>
      <c r="JXN418" s="2"/>
      <c r="JXO418" s="2"/>
      <c r="JXP418" s="2"/>
      <c r="JXQ418" s="2"/>
      <c r="JXR418" s="2"/>
      <c r="JXS418" s="2"/>
      <c r="JXT418" s="2"/>
      <c r="JXU418" s="2"/>
      <c r="JXV418" s="2"/>
      <c r="JXW418" s="2"/>
      <c r="JXX418" s="2"/>
      <c r="JXY418" s="2"/>
      <c r="JXZ418" s="2"/>
      <c r="JYA418" s="2"/>
      <c r="JYB418" s="2"/>
      <c r="JYC418" s="2"/>
      <c r="JYD418" s="2"/>
      <c r="JYE418" s="2"/>
      <c r="JYF418" s="2"/>
      <c r="JYG418" s="2"/>
      <c r="JYH418" s="2"/>
      <c r="JYI418" s="2"/>
      <c r="JYJ418" s="2"/>
      <c r="JYK418" s="2"/>
      <c r="JYL418" s="2"/>
      <c r="JYM418" s="2"/>
      <c r="JYN418" s="2"/>
      <c r="JYO418" s="2"/>
      <c r="JYP418" s="2"/>
      <c r="JYQ418" s="2"/>
      <c r="JYR418" s="2"/>
      <c r="JYS418" s="2"/>
      <c r="JYT418" s="2"/>
      <c r="JYU418" s="2"/>
      <c r="JYV418" s="2"/>
      <c r="JYW418" s="2"/>
      <c r="JYX418" s="2"/>
      <c r="JYY418" s="2"/>
      <c r="JYZ418" s="2"/>
      <c r="JZA418" s="2"/>
      <c r="JZB418" s="2"/>
      <c r="JZC418" s="2"/>
      <c r="JZD418" s="2"/>
      <c r="JZE418" s="2"/>
      <c r="JZF418" s="2"/>
      <c r="JZG418" s="2"/>
      <c r="JZH418" s="2"/>
      <c r="JZI418" s="2"/>
      <c r="JZJ418" s="2"/>
      <c r="JZK418" s="2"/>
      <c r="JZL418" s="2"/>
      <c r="JZM418" s="2"/>
      <c r="JZN418" s="2"/>
      <c r="JZO418" s="2"/>
      <c r="JZP418" s="2"/>
      <c r="JZQ418" s="2"/>
      <c r="JZR418" s="2"/>
      <c r="JZS418" s="2"/>
      <c r="JZT418" s="2"/>
      <c r="JZU418" s="2"/>
      <c r="JZV418" s="2"/>
      <c r="JZW418" s="2"/>
      <c r="JZX418" s="2"/>
      <c r="JZY418" s="2"/>
      <c r="JZZ418" s="2"/>
      <c r="KAA418" s="2"/>
      <c r="KAB418" s="2"/>
      <c r="KAC418" s="2"/>
      <c r="KAD418" s="2"/>
      <c r="KAE418" s="2"/>
      <c r="KAF418" s="2"/>
      <c r="KAG418" s="2"/>
      <c r="KAH418" s="2"/>
      <c r="KAI418" s="2"/>
      <c r="KAJ418" s="2"/>
      <c r="KAK418" s="2"/>
      <c r="KAL418" s="2"/>
      <c r="KAM418" s="2"/>
      <c r="KAN418" s="2"/>
      <c r="KAO418" s="2"/>
      <c r="KAP418" s="2"/>
      <c r="KAQ418" s="2"/>
      <c r="KAR418" s="2"/>
      <c r="KAS418" s="2"/>
      <c r="KAT418" s="2"/>
      <c r="KAU418" s="2"/>
      <c r="KAV418" s="2"/>
      <c r="KAW418" s="2"/>
      <c r="KAX418" s="2"/>
      <c r="KAY418" s="2"/>
      <c r="KAZ418" s="2"/>
      <c r="KBA418" s="2"/>
      <c r="KBB418" s="2"/>
      <c r="KBC418" s="2"/>
      <c r="KBD418" s="2"/>
      <c r="KBE418" s="2"/>
      <c r="KBF418" s="2"/>
      <c r="KBG418" s="2"/>
      <c r="KBH418" s="2"/>
      <c r="KBI418" s="2"/>
      <c r="KBJ418" s="2"/>
      <c r="KBK418" s="2"/>
      <c r="KBL418" s="2"/>
      <c r="KBM418" s="2"/>
      <c r="KBN418" s="2"/>
      <c r="KBO418" s="2"/>
      <c r="KBP418" s="2"/>
      <c r="KBQ418" s="2"/>
      <c r="KBR418" s="2"/>
      <c r="KBS418" s="2"/>
      <c r="KBT418" s="2"/>
      <c r="KBU418" s="2"/>
      <c r="KBV418" s="2"/>
      <c r="KBW418" s="2"/>
      <c r="KBX418" s="2"/>
      <c r="KBY418" s="2"/>
      <c r="KBZ418" s="2"/>
      <c r="KCA418" s="2"/>
      <c r="KCB418" s="2"/>
      <c r="KCC418" s="2"/>
      <c r="KCD418" s="2"/>
      <c r="KCE418" s="2"/>
      <c r="KCF418" s="2"/>
      <c r="KCG418" s="2"/>
      <c r="KCH418" s="2"/>
      <c r="KCI418" s="2"/>
      <c r="KCJ418" s="2"/>
      <c r="KCK418" s="2"/>
      <c r="KCL418" s="2"/>
      <c r="KCM418" s="2"/>
      <c r="KCN418" s="2"/>
      <c r="KCO418" s="2"/>
      <c r="KCP418" s="2"/>
      <c r="KCQ418" s="2"/>
      <c r="KCR418" s="2"/>
      <c r="KCS418" s="2"/>
      <c r="KCT418" s="2"/>
      <c r="KCU418" s="2"/>
      <c r="KCV418" s="2"/>
      <c r="KCW418" s="2"/>
      <c r="KCX418" s="2"/>
      <c r="KCY418" s="2"/>
      <c r="KCZ418" s="2"/>
      <c r="KDA418" s="2"/>
      <c r="KDB418" s="2"/>
      <c r="KDC418" s="2"/>
      <c r="KDD418" s="2"/>
      <c r="KDE418" s="2"/>
      <c r="KDF418" s="2"/>
      <c r="KDG418" s="2"/>
      <c r="KDH418" s="2"/>
      <c r="KDI418" s="2"/>
      <c r="KDJ418" s="2"/>
      <c r="KDK418" s="2"/>
      <c r="KDL418" s="2"/>
      <c r="KDM418" s="2"/>
      <c r="KDN418" s="2"/>
      <c r="KDO418" s="2"/>
      <c r="KDP418" s="2"/>
      <c r="KDQ418" s="2"/>
      <c r="KDR418" s="2"/>
      <c r="KDS418" s="2"/>
      <c r="KDT418" s="2"/>
      <c r="KDU418" s="2"/>
      <c r="KDV418" s="2"/>
      <c r="KDW418" s="2"/>
      <c r="KDX418" s="2"/>
      <c r="KDY418" s="2"/>
      <c r="KDZ418" s="2"/>
      <c r="KEA418" s="2"/>
      <c r="KEB418" s="2"/>
      <c r="KEC418" s="2"/>
      <c r="KED418" s="2"/>
      <c r="KEE418" s="2"/>
      <c r="KEF418" s="2"/>
      <c r="KEG418" s="2"/>
      <c r="KEH418" s="2"/>
      <c r="KEI418" s="2"/>
      <c r="KEJ418" s="2"/>
      <c r="KEK418" s="2"/>
      <c r="KEL418" s="2"/>
      <c r="KEM418" s="2"/>
      <c r="KEN418" s="2"/>
      <c r="KEO418" s="2"/>
      <c r="KEP418" s="2"/>
      <c r="KEQ418" s="2"/>
      <c r="KER418" s="2"/>
      <c r="KES418" s="2"/>
      <c r="KET418" s="2"/>
      <c r="KEU418" s="2"/>
      <c r="KEV418" s="2"/>
      <c r="KEW418" s="2"/>
      <c r="KEX418" s="2"/>
      <c r="KEY418" s="2"/>
      <c r="KEZ418" s="2"/>
      <c r="KFA418" s="2"/>
      <c r="KFB418" s="2"/>
      <c r="KFC418" s="2"/>
      <c r="KFD418" s="2"/>
      <c r="KFE418" s="2"/>
      <c r="KFF418" s="2"/>
      <c r="KFG418" s="2"/>
      <c r="KFH418" s="2"/>
      <c r="KFI418" s="2"/>
      <c r="KFJ418" s="2"/>
      <c r="KFK418" s="2"/>
      <c r="KFL418" s="2"/>
      <c r="KFM418" s="2"/>
      <c r="KFN418" s="2"/>
      <c r="KFO418" s="2"/>
      <c r="KFP418" s="2"/>
      <c r="KFQ418" s="2"/>
      <c r="KFR418" s="2"/>
      <c r="KFS418" s="2"/>
      <c r="KFT418" s="2"/>
      <c r="KFU418" s="2"/>
      <c r="KFV418" s="2"/>
      <c r="KFW418" s="2"/>
      <c r="KFX418" s="2"/>
      <c r="KFY418" s="2"/>
      <c r="KFZ418" s="2"/>
      <c r="KGA418" s="2"/>
      <c r="KGB418" s="2"/>
      <c r="KGC418" s="2"/>
      <c r="KGD418" s="2"/>
      <c r="KGE418" s="2"/>
      <c r="KGF418" s="2"/>
      <c r="KGG418" s="2"/>
      <c r="KGH418" s="2"/>
      <c r="KGI418" s="2"/>
      <c r="KGJ418" s="2"/>
      <c r="KGK418" s="2"/>
      <c r="KGL418" s="2"/>
      <c r="KGM418" s="2"/>
      <c r="KGN418" s="2"/>
      <c r="KGO418" s="2"/>
      <c r="KGP418" s="2"/>
      <c r="KGQ418" s="2"/>
      <c r="KGR418" s="2"/>
      <c r="KGS418" s="2"/>
      <c r="KGT418" s="2"/>
      <c r="KGU418" s="2"/>
      <c r="KGV418" s="2"/>
      <c r="KGW418" s="2"/>
      <c r="KGX418" s="2"/>
      <c r="KGY418" s="2"/>
      <c r="KGZ418" s="2"/>
      <c r="KHA418" s="2"/>
      <c r="KHB418" s="2"/>
      <c r="KHC418" s="2"/>
      <c r="KHD418" s="2"/>
      <c r="KHE418" s="2"/>
      <c r="KHF418" s="2"/>
      <c r="KHG418" s="2"/>
      <c r="KHH418" s="2"/>
      <c r="KHI418" s="2"/>
      <c r="KHJ418" s="2"/>
      <c r="KHK418" s="2"/>
      <c r="KHL418" s="2"/>
      <c r="KHM418" s="2"/>
      <c r="KHN418" s="2"/>
      <c r="KHO418" s="2"/>
      <c r="KHP418" s="2"/>
      <c r="KHQ418" s="2"/>
      <c r="KHR418" s="2"/>
      <c r="KHS418" s="2"/>
      <c r="KHT418" s="2"/>
      <c r="KHU418" s="2"/>
      <c r="KHV418" s="2"/>
      <c r="KHW418" s="2"/>
      <c r="KHX418" s="2"/>
      <c r="KHY418" s="2"/>
      <c r="KHZ418" s="2"/>
      <c r="KIA418" s="2"/>
      <c r="KIB418" s="2"/>
      <c r="KIC418" s="2"/>
      <c r="KID418" s="2"/>
      <c r="KIE418" s="2"/>
      <c r="KIF418" s="2"/>
      <c r="KIG418" s="2"/>
      <c r="KIH418" s="2"/>
      <c r="KII418" s="2"/>
      <c r="KIJ418" s="2"/>
      <c r="KIK418" s="2"/>
      <c r="KIL418" s="2"/>
      <c r="KIM418" s="2"/>
      <c r="KIN418" s="2"/>
      <c r="KIO418" s="2"/>
      <c r="KIP418" s="2"/>
      <c r="KIQ418" s="2"/>
      <c r="KIR418" s="2"/>
      <c r="KIS418" s="2"/>
      <c r="KIT418" s="2"/>
      <c r="KIU418" s="2"/>
      <c r="KIV418" s="2"/>
      <c r="KIW418" s="2"/>
      <c r="KIX418" s="2"/>
      <c r="KIY418" s="2"/>
      <c r="KIZ418" s="2"/>
      <c r="KJA418" s="2"/>
      <c r="KJB418" s="2"/>
      <c r="KJC418" s="2"/>
      <c r="KJD418" s="2"/>
      <c r="KJE418" s="2"/>
      <c r="KJF418" s="2"/>
      <c r="KJG418" s="2"/>
      <c r="KJH418" s="2"/>
      <c r="KJI418" s="2"/>
      <c r="KJJ418" s="2"/>
      <c r="KJK418" s="2"/>
      <c r="KJL418" s="2"/>
      <c r="KJM418" s="2"/>
      <c r="KJN418" s="2"/>
      <c r="KJO418" s="2"/>
      <c r="KJP418" s="2"/>
      <c r="KJQ418" s="2"/>
      <c r="KJR418" s="2"/>
      <c r="KJS418" s="2"/>
      <c r="KJT418" s="2"/>
      <c r="KJU418" s="2"/>
      <c r="KJV418" s="2"/>
      <c r="KJW418" s="2"/>
      <c r="KJX418" s="2"/>
      <c r="KJY418" s="2"/>
      <c r="KJZ418" s="2"/>
      <c r="KKA418" s="2"/>
      <c r="KKB418" s="2"/>
      <c r="KKC418" s="2"/>
      <c r="KKD418" s="2"/>
      <c r="KKE418" s="2"/>
      <c r="KKF418" s="2"/>
      <c r="KKG418" s="2"/>
      <c r="KKH418" s="2"/>
      <c r="KKI418" s="2"/>
      <c r="KKJ418" s="2"/>
      <c r="KKK418" s="2"/>
      <c r="KKL418" s="2"/>
      <c r="KKM418" s="2"/>
      <c r="KKN418" s="2"/>
      <c r="KKO418" s="2"/>
      <c r="KKP418" s="2"/>
      <c r="KKQ418" s="2"/>
      <c r="KKR418" s="2"/>
      <c r="KKS418" s="2"/>
      <c r="KKT418" s="2"/>
      <c r="KKU418" s="2"/>
      <c r="KKV418" s="2"/>
      <c r="KKW418" s="2"/>
      <c r="KKX418" s="2"/>
      <c r="KKY418" s="2"/>
      <c r="KKZ418" s="2"/>
      <c r="KLA418" s="2"/>
      <c r="KLB418" s="2"/>
      <c r="KLC418" s="2"/>
      <c r="KLD418" s="2"/>
      <c r="KLE418" s="2"/>
      <c r="KLF418" s="2"/>
      <c r="KLG418" s="2"/>
      <c r="KLH418" s="2"/>
      <c r="KLI418" s="2"/>
      <c r="KLJ418" s="2"/>
      <c r="KLK418" s="2"/>
      <c r="KLL418" s="2"/>
      <c r="KLM418" s="2"/>
      <c r="KLN418" s="2"/>
      <c r="KLO418" s="2"/>
      <c r="KLP418" s="2"/>
      <c r="KLQ418" s="2"/>
      <c r="KLR418" s="2"/>
      <c r="KLS418" s="2"/>
      <c r="KLT418" s="2"/>
      <c r="KLU418" s="2"/>
      <c r="KLV418" s="2"/>
      <c r="KLW418" s="2"/>
      <c r="KLX418" s="2"/>
      <c r="KLY418" s="2"/>
      <c r="KLZ418" s="2"/>
      <c r="KMA418" s="2"/>
      <c r="KMB418" s="2"/>
      <c r="KMC418" s="2"/>
      <c r="KMD418" s="2"/>
      <c r="KME418" s="2"/>
      <c r="KMF418" s="2"/>
      <c r="KMG418" s="2"/>
      <c r="KMH418" s="2"/>
      <c r="KMI418" s="2"/>
      <c r="KMJ418" s="2"/>
      <c r="KMK418" s="2"/>
      <c r="KML418" s="2"/>
      <c r="KMM418" s="2"/>
      <c r="KMN418" s="2"/>
      <c r="KMO418" s="2"/>
      <c r="KMP418" s="2"/>
      <c r="KMQ418" s="2"/>
      <c r="KMR418" s="2"/>
      <c r="KMS418" s="2"/>
      <c r="KMT418" s="2"/>
      <c r="KMU418" s="2"/>
      <c r="KMV418" s="2"/>
      <c r="KMW418" s="2"/>
      <c r="KMX418" s="2"/>
      <c r="KMY418" s="2"/>
      <c r="KMZ418" s="2"/>
      <c r="KNA418" s="2"/>
      <c r="KNB418" s="2"/>
      <c r="KNC418" s="2"/>
      <c r="KND418" s="2"/>
      <c r="KNE418" s="2"/>
      <c r="KNF418" s="2"/>
      <c r="KNG418" s="2"/>
      <c r="KNH418" s="2"/>
      <c r="KNI418" s="2"/>
      <c r="KNJ418" s="2"/>
      <c r="KNK418" s="2"/>
      <c r="KNL418" s="2"/>
      <c r="KNM418" s="2"/>
      <c r="KNN418" s="2"/>
      <c r="KNO418" s="2"/>
      <c r="KNP418" s="2"/>
      <c r="KNQ418" s="2"/>
      <c r="KNR418" s="2"/>
      <c r="KNS418" s="2"/>
      <c r="KNT418" s="2"/>
      <c r="KNU418" s="2"/>
      <c r="KNV418" s="2"/>
      <c r="KNW418" s="2"/>
      <c r="KNX418" s="2"/>
      <c r="KNY418" s="2"/>
      <c r="KNZ418" s="2"/>
      <c r="KOA418" s="2"/>
      <c r="KOB418" s="2"/>
      <c r="KOC418" s="2"/>
      <c r="KOD418" s="2"/>
      <c r="KOE418" s="2"/>
      <c r="KOF418" s="2"/>
      <c r="KOG418" s="2"/>
      <c r="KOH418" s="2"/>
      <c r="KOI418" s="2"/>
      <c r="KOJ418" s="2"/>
      <c r="KOK418" s="2"/>
      <c r="KOL418" s="2"/>
      <c r="KOM418" s="2"/>
      <c r="KON418" s="2"/>
      <c r="KOO418" s="2"/>
      <c r="KOP418" s="2"/>
      <c r="KOQ418" s="2"/>
      <c r="KOR418" s="2"/>
      <c r="KOS418" s="2"/>
      <c r="KOT418" s="2"/>
      <c r="KOU418" s="2"/>
      <c r="KOV418" s="2"/>
      <c r="KOW418" s="2"/>
      <c r="KOX418" s="2"/>
      <c r="KOY418" s="2"/>
      <c r="KOZ418" s="2"/>
      <c r="KPA418" s="2"/>
      <c r="KPB418" s="2"/>
      <c r="KPC418" s="2"/>
      <c r="KPD418" s="2"/>
      <c r="KPE418" s="2"/>
      <c r="KPF418" s="2"/>
      <c r="KPG418" s="2"/>
      <c r="KPH418" s="2"/>
      <c r="KPI418" s="2"/>
      <c r="KPJ418" s="2"/>
      <c r="KPK418" s="2"/>
      <c r="KPL418" s="2"/>
      <c r="KPM418" s="2"/>
      <c r="KPN418" s="2"/>
      <c r="KPO418" s="2"/>
      <c r="KPP418" s="2"/>
      <c r="KPQ418" s="2"/>
      <c r="KPR418" s="2"/>
      <c r="KPS418" s="2"/>
      <c r="KPT418" s="2"/>
      <c r="KPU418" s="2"/>
      <c r="KPV418" s="2"/>
      <c r="KPW418" s="2"/>
      <c r="KPX418" s="2"/>
      <c r="KPY418" s="2"/>
      <c r="KPZ418" s="2"/>
      <c r="KQA418" s="2"/>
      <c r="KQB418" s="2"/>
      <c r="KQC418" s="2"/>
      <c r="KQD418" s="2"/>
      <c r="KQE418" s="2"/>
      <c r="KQF418" s="2"/>
      <c r="KQG418" s="2"/>
      <c r="KQH418" s="2"/>
      <c r="KQI418" s="2"/>
      <c r="KQJ418" s="2"/>
      <c r="KQK418" s="2"/>
      <c r="KQL418" s="2"/>
      <c r="KQM418" s="2"/>
      <c r="KQN418" s="2"/>
      <c r="KQO418" s="2"/>
      <c r="KQP418" s="2"/>
      <c r="KQQ418" s="2"/>
      <c r="KQR418" s="2"/>
      <c r="KQS418" s="2"/>
      <c r="KQT418" s="2"/>
      <c r="KQU418" s="2"/>
      <c r="KQV418" s="2"/>
      <c r="KQW418" s="2"/>
      <c r="KQX418" s="2"/>
      <c r="KQY418" s="2"/>
      <c r="KQZ418" s="2"/>
      <c r="KRA418" s="2"/>
      <c r="KRB418" s="2"/>
      <c r="KRC418" s="2"/>
      <c r="KRD418" s="2"/>
      <c r="KRE418" s="2"/>
      <c r="KRF418" s="2"/>
      <c r="KRG418" s="2"/>
      <c r="KRH418" s="2"/>
      <c r="KRI418" s="2"/>
      <c r="KRJ418" s="2"/>
      <c r="KRK418" s="2"/>
      <c r="KRL418" s="2"/>
      <c r="KRM418" s="2"/>
      <c r="KRN418" s="2"/>
      <c r="KRO418" s="2"/>
      <c r="KRP418" s="2"/>
      <c r="KRQ418" s="2"/>
      <c r="KRR418" s="2"/>
      <c r="KRS418" s="2"/>
      <c r="KRT418" s="2"/>
      <c r="KRU418" s="2"/>
      <c r="KRV418" s="2"/>
      <c r="KRW418" s="2"/>
      <c r="KRX418" s="2"/>
      <c r="KRY418" s="2"/>
      <c r="KRZ418" s="2"/>
      <c r="KSA418" s="2"/>
      <c r="KSB418" s="2"/>
      <c r="KSC418" s="2"/>
      <c r="KSD418" s="2"/>
      <c r="KSE418" s="2"/>
      <c r="KSF418" s="2"/>
      <c r="KSG418" s="2"/>
      <c r="KSH418" s="2"/>
      <c r="KSI418" s="2"/>
      <c r="KSJ418" s="2"/>
      <c r="KSK418" s="2"/>
      <c r="KSL418" s="2"/>
      <c r="KSM418" s="2"/>
      <c r="KSN418" s="2"/>
      <c r="KSO418" s="2"/>
      <c r="KSP418" s="2"/>
      <c r="KSQ418" s="2"/>
      <c r="KSR418" s="2"/>
      <c r="KSS418" s="2"/>
      <c r="KST418" s="2"/>
      <c r="KSU418" s="2"/>
      <c r="KSV418" s="2"/>
      <c r="KSW418" s="2"/>
      <c r="KSX418" s="2"/>
      <c r="KSY418" s="2"/>
      <c r="KSZ418" s="2"/>
      <c r="KTA418" s="2"/>
      <c r="KTB418" s="2"/>
      <c r="KTC418" s="2"/>
      <c r="KTD418" s="2"/>
      <c r="KTE418" s="2"/>
      <c r="KTF418" s="2"/>
      <c r="KTG418" s="2"/>
      <c r="KTH418" s="2"/>
      <c r="KTI418" s="2"/>
      <c r="KTJ418" s="2"/>
      <c r="KTK418" s="2"/>
      <c r="KTL418" s="2"/>
      <c r="KTM418" s="2"/>
      <c r="KTN418" s="2"/>
      <c r="KTO418" s="2"/>
      <c r="KTP418" s="2"/>
      <c r="KTQ418" s="2"/>
      <c r="KTR418" s="2"/>
      <c r="KTS418" s="2"/>
      <c r="KTT418" s="2"/>
      <c r="KTU418" s="2"/>
      <c r="KTV418" s="2"/>
      <c r="KTW418" s="2"/>
      <c r="KTX418" s="2"/>
      <c r="KTY418" s="2"/>
      <c r="KTZ418" s="2"/>
      <c r="KUA418" s="2"/>
      <c r="KUB418" s="2"/>
      <c r="KUC418" s="2"/>
      <c r="KUD418" s="2"/>
      <c r="KUE418" s="2"/>
      <c r="KUF418" s="2"/>
      <c r="KUG418" s="2"/>
      <c r="KUH418" s="2"/>
      <c r="KUI418" s="2"/>
      <c r="KUJ418" s="2"/>
      <c r="KUK418" s="2"/>
      <c r="KUL418" s="2"/>
      <c r="KUM418" s="2"/>
      <c r="KUN418" s="2"/>
      <c r="KUO418" s="2"/>
      <c r="KUP418" s="2"/>
      <c r="KUQ418" s="2"/>
      <c r="KUR418" s="2"/>
      <c r="KUS418" s="2"/>
      <c r="KUT418" s="2"/>
      <c r="KUU418" s="2"/>
      <c r="KUV418" s="2"/>
      <c r="KUW418" s="2"/>
      <c r="KUX418" s="2"/>
      <c r="KUY418" s="2"/>
      <c r="KUZ418" s="2"/>
      <c r="KVA418" s="2"/>
      <c r="KVB418" s="2"/>
      <c r="KVC418" s="2"/>
      <c r="KVD418" s="2"/>
      <c r="KVE418" s="2"/>
      <c r="KVF418" s="2"/>
      <c r="KVG418" s="2"/>
      <c r="KVH418" s="2"/>
      <c r="KVI418" s="2"/>
      <c r="KVJ418" s="2"/>
      <c r="KVK418" s="2"/>
      <c r="KVL418" s="2"/>
      <c r="KVM418" s="2"/>
      <c r="KVN418" s="2"/>
      <c r="KVO418" s="2"/>
      <c r="KVP418" s="2"/>
      <c r="KVQ418" s="2"/>
      <c r="KVR418" s="2"/>
      <c r="KVS418" s="2"/>
      <c r="KVT418" s="2"/>
      <c r="KVU418" s="2"/>
      <c r="KVV418" s="2"/>
      <c r="KVW418" s="2"/>
      <c r="KVX418" s="2"/>
      <c r="KVY418" s="2"/>
      <c r="KVZ418" s="2"/>
      <c r="KWA418" s="2"/>
      <c r="KWB418" s="2"/>
      <c r="KWC418" s="2"/>
      <c r="KWD418" s="2"/>
      <c r="KWE418" s="2"/>
      <c r="KWF418" s="2"/>
      <c r="KWG418" s="2"/>
      <c r="KWH418" s="2"/>
      <c r="KWI418" s="2"/>
      <c r="KWJ418" s="2"/>
      <c r="KWK418" s="2"/>
      <c r="KWL418" s="2"/>
      <c r="KWM418" s="2"/>
      <c r="KWN418" s="2"/>
      <c r="KWO418" s="2"/>
      <c r="KWP418" s="2"/>
      <c r="KWQ418" s="2"/>
      <c r="KWR418" s="2"/>
      <c r="KWS418" s="2"/>
      <c r="KWT418" s="2"/>
      <c r="KWU418" s="2"/>
      <c r="KWV418" s="2"/>
      <c r="KWW418" s="2"/>
      <c r="KWX418" s="2"/>
      <c r="KWY418" s="2"/>
      <c r="KWZ418" s="2"/>
      <c r="KXA418" s="2"/>
      <c r="KXB418" s="2"/>
      <c r="KXC418" s="2"/>
      <c r="KXD418" s="2"/>
      <c r="KXE418" s="2"/>
      <c r="KXF418" s="2"/>
      <c r="KXG418" s="2"/>
      <c r="KXH418" s="2"/>
      <c r="KXI418" s="2"/>
      <c r="KXJ418" s="2"/>
      <c r="KXK418" s="2"/>
      <c r="KXL418" s="2"/>
      <c r="KXM418" s="2"/>
      <c r="KXN418" s="2"/>
      <c r="KXO418" s="2"/>
      <c r="KXP418" s="2"/>
      <c r="KXQ418" s="2"/>
      <c r="KXR418" s="2"/>
      <c r="KXS418" s="2"/>
      <c r="KXT418" s="2"/>
      <c r="KXU418" s="2"/>
      <c r="KXV418" s="2"/>
      <c r="KXW418" s="2"/>
      <c r="KXX418" s="2"/>
      <c r="KXY418" s="2"/>
      <c r="KXZ418" s="2"/>
      <c r="KYA418" s="2"/>
      <c r="KYB418" s="2"/>
      <c r="KYC418" s="2"/>
      <c r="KYD418" s="2"/>
      <c r="KYE418" s="2"/>
      <c r="KYF418" s="2"/>
      <c r="KYG418" s="2"/>
      <c r="KYH418" s="2"/>
      <c r="KYI418" s="2"/>
      <c r="KYJ418" s="2"/>
      <c r="KYK418" s="2"/>
      <c r="KYL418" s="2"/>
      <c r="KYM418" s="2"/>
      <c r="KYN418" s="2"/>
      <c r="KYO418" s="2"/>
      <c r="KYP418" s="2"/>
      <c r="KYQ418" s="2"/>
      <c r="KYR418" s="2"/>
      <c r="KYS418" s="2"/>
      <c r="KYT418" s="2"/>
      <c r="KYU418" s="2"/>
      <c r="KYV418" s="2"/>
      <c r="KYW418" s="2"/>
      <c r="KYX418" s="2"/>
      <c r="KYY418" s="2"/>
      <c r="KYZ418" s="2"/>
      <c r="KZA418" s="2"/>
      <c r="KZB418" s="2"/>
      <c r="KZC418" s="2"/>
      <c r="KZD418" s="2"/>
      <c r="KZE418" s="2"/>
      <c r="KZF418" s="2"/>
      <c r="KZG418" s="2"/>
      <c r="KZH418" s="2"/>
      <c r="KZI418" s="2"/>
      <c r="KZJ418" s="2"/>
      <c r="KZK418" s="2"/>
      <c r="KZL418" s="2"/>
      <c r="KZM418" s="2"/>
      <c r="KZN418" s="2"/>
      <c r="KZO418" s="2"/>
      <c r="KZP418" s="2"/>
      <c r="KZQ418" s="2"/>
      <c r="KZR418" s="2"/>
      <c r="KZS418" s="2"/>
      <c r="KZT418" s="2"/>
      <c r="KZU418" s="2"/>
      <c r="KZV418" s="2"/>
      <c r="KZW418" s="2"/>
      <c r="KZX418" s="2"/>
      <c r="KZY418" s="2"/>
      <c r="KZZ418" s="2"/>
      <c r="LAA418" s="2"/>
      <c r="LAB418" s="2"/>
      <c r="LAC418" s="2"/>
      <c r="LAD418" s="2"/>
      <c r="LAE418" s="2"/>
      <c r="LAF418" s="2"/>
      <c r="LAG418" s="2"/>
      <c r="LAH418" s="2"/>
      <c r="LAI418" s="2"/>
      <c r="LAJ418" s="2"/>
      <c r="LAK418" s="2"/>
      <c r="LAL418" s="2"/>
      <c r="LAM418" s="2"/>
      <c r="LAN418" s="2"/>
      <c r="LAO418" s="2"/>
      <c r="LAP418" s="2"/>
      <c r="LAQ418" s="2"/>
      <c r="LAR418" s="2"/>
      <c r="LAS418" s="2"/>
      <c r="LAT418" s="2"/>
      <c r="LAU418" s="2"/>
      <c r="LAV418" s="2"/>
      <c r="LAW418" s="2"/>
      <c r="LAX418" s="2"/>
      <c r="LAY418" s="2"/>
      <c r="LAZ418" s="2"/>
      <c r="LBA418" s="2"/>
      <c r="LBB418" s="2"/>
      <c r="LBC418" s="2"/>
      <c r="LBD418" s="2"/>
      <c r="LBE418" s="2"/>
      <c r="LBF418" s="2"/>
      <c r="LBG418" s="2"/>
      <c r="LBH418" s="2"/>
      <c r="LBI418" s="2"/>
      <c r="LBJ418" s="2"/>
      <c r="LBK418" s="2"/>
      <c r="LBL418" s="2"/>
      <c r="LBM418" s="2"/>
      <c r="LBN418" s="2"/>
      <c r="LBO418" s="2"/>
      <c r="LBP418" s="2"/>
      <c r="LBQ418" s="2"/>
      <c r="LBR418" s="2"/>
      <c r="LBS418" s="2"/>
      <c r="LBT418" s="2"/>
      <c r="LBU418" s="2"/>
      <c r="LBV418" s="2"/>
      <c r="LBW418" s="2"/>
      <c r="LBX418" s="2"/>
      <c r="LBY418" s="2"/>
      <c r="LBZ418" s="2"/>
      <c r="LCA418" s="2"/>
      <c r="LCB418" s="2"/>
      <c r="LCC418" s="2"/>
      <c r="LCD418" s="2"/>
      <c r="LCE418" s="2"/>
      <c r="LCF418" s="2"/>
      <c r="LCG418" s="2"/>
      <c r="LCH418" s="2"/>
      <c r="LCI418" s="2"/>
      <c r="LCJ418" s="2"/>
      <c r="LCK418" s="2"/>
      <c r="LCL418" s="2"/>
      <c r="LCM418" s="2"/>
      <c r="LCN418" s="2"/>
      <c r="LCO418" s="2"/>
      <c r="LCP418" s="2"/>
      <c r="LCQ418" s="2"/>
      <c r="LCR418" s="2"/>
      <c r="LCS418" s="2"/>
      <c r="LCT418" s="2"/>
      <c r="LCU418" s="2"/>
      <c r="LCV418" s="2"/>
      <c r="LCW418" s="2"/>
      <c r="LCX418" s="2"/>
      <c r="LCY418" s="2"/>
      <c r="LCZ418" s="2"/>
      <c r="LDA418" s="2"/>
      <c r="LDB418" s="2"/>
      <c r="LDC418" s="2"/>
      <c r="LDD418" s="2"/>
      <c r="LDE418" s="2"/>
      <c r="LDF418" s="2"/>
      <c r="LDG418" s="2"/>
      <c r="LDH418" s="2"/>
      <c r="LDI418" s="2"/>
      <c r="LDJ418" s="2"/>
      <c r="LDK418" s="2"/>
      <c r="LDL418" s="2"/>
      <c r="LDM418" s="2"/>
      <c r="LDN418" s="2"/>
      <c r="LDO418" s="2"/>
      <c r="LDP418" s="2"/>
      <c r="LDQ418" s="2"/>
      <c r="LDR418" s="2"/>
      <c r="LDS418" s="2"/>
      <c r="LDT418" s="2"/>
      <c r="LDU418" s="2"/>
      <c r="LDV418" s="2"/>
      <c r="LDW418" s="2"/>
      <c r="LDX418" s="2"/>
      <c r="LDY418" s="2"/>
      <c r="LDZ418" s="2"/>
      <c r="LEA418" s="2"/>
      <c r="LEB418" s="2"/>
      <c r="LEC418" s="2"/>
      <c r="LED418" s="2"/>
      <c r="LEE418" s="2"/>
      <c r="LEF418" s="2"/>
      <c r="LEG418" s="2"/>
      <c r="LEH418" s="2"/>
      <c r="LEI418" s="2"/>
      <c r="LEJ418" s="2"/>
      <c r="LEK418" s="2"/>
      <c r="LEL418" s="2"/>
      <c r="LEM418" s="2"/>
      <c r="LEN418" s="2"/>
      <c r="LEO418" s="2"/>
      <c r="LEP418" s="2"/>
      <c r="LEQ418" s="2"/>
      <c r="LER418" s="2"/>
      <c r="LES418" s="2"/>
      <c r="LET418" s="2"/>
      <c r="LEU418" s="2"/>
      <c r="LEV418" s="2"/>
      <c r="LEW418" s="2"/>
      <c r="LEX418" s="2"/>
      <c r="LEY418" s="2"/>
      <c r="LEZ418" s="2"/>
      <c r="LFA418" s="2"/>
      <c r="LFB418" s="2"/>
      <c r="LFC418" s="2"/>
      <c r="LFD418" s="2"/>
      <c r="LFE418" s="2"/>
      <c r="LFF418" s="2"/>
      <c r="LFG418" s="2"/>
      <c r="LFH418" s="2"/>
      <c r="LFI418" s="2"/>
      <c r="LFJ418" s="2"/>
      <c r="LFK418" s="2"/>
      <c r="LFL418" s="2"/>
      <c r="LFM418" s="2"/>
      <c r="LFN418" s="2"/>
      <c r="LFO418" s="2"/>
      <c r="LFP418" s="2"/>
      <c r="LFQ418" s="2"/>
      <c r="LFR418" s="2"/>
      <c r="LFS418" s="2"/>
      <c r="LFT418" s="2"/>
      <c r="LFU418" s="2"/>
      <c r="LFV418" s="2"/>
      <c r="LFW418" s="2"/>
      <c r="LFX418" s="2"/>
      <c r="LFY418" s="2"/>
      <c r="LFZ418" s="2"/>
      <c r="LGA418" s="2"/>
      <c r="LGB418" s="2"/>
      <c r="LGC418" s="2"/>
      <c r="LGD418" s="2"/>
      <c r="LGE418" s="2"/>
      <c r="LGF418" s="2"/>
      <c r="LGG418" s="2"/>
      <c r="LGH418" s="2"/>
      <c r="LGI418" s="2"/>
      <c r="LGJ418" s="2"/>
      <c r="LGK418" s="2"/>
      <c r="LGL418" s="2"/>
      <c r="LGM418" s="2"/>
      <c r="LGN418" s="2"/>
      <c r="LGO418" s="2"/>
      <c r="LGP418" s="2"/>
      <c r="LGQ418" s="2"/>
      <c r="LGR418" s="2"/>
      <c r="LGS418" s="2"/>
      <c r="LGT418" s="2"/>
      <c r="LGU418" s="2"/>
      <c r="LGV418" s="2"/>
      <c r="LGW418" s="2"/>
      <c r="LGX418" s="2"/>
      <c r="LGY418" s="2"/>
      <c r="LGZ418" s="2"/>
      <c r="LHA418" s="2"/>
      <c r="LHB418" s="2"/>
      <c r="LHC418" s="2"/>
      <c r="LHD418" s="2"/>
      <c r="LHE418" s="2"/>
      <c r="LHF418" s="2"/>
      <c r="LHG418" s="2"/>
      <c r="LHH418" s="2"/>
      <c r="LHI418" s="2"/>
      <c r="LHJ418" s="2"/>
      <c r="LHK418" s="2"/>
      <c r="LHL418" s="2"/>
      <c r="LHM418" s="2"/>
      <c r="LHN418" s="2"/>
      <c r="LHO418" s="2"/>
      <c r="LHP418" s="2"/>
      <c r="LHQ418" s="2"/>
      <c r="LHR418" s="2"/>
      <c r="LHS418" s="2"/>
      <c r="LHT418" s="2"/>
      <c r="LHU418" s="2"/>
      <c r="LHV418" s="2"/>
      <c r="LHW418" s="2"/>
      <c r="LHX418" s="2"/>
      <c r="LHY418" s="2"/>
      <c r="LHZ418" s="2"/>
      <c r="LIA418" s="2"/>
      <c r="LIB418" s="2"/>
      <c r="LIC418" s="2"/>
      <c r="LID418" s="2"/>
      <c r="LIE418" s="2"/>
      <c r="LIF418" s="2"/>
      <c r="LIG418" s="2"/>
      <c r="LIH418" s="2"/>
      <c r="LII418" s="2"/>
      <c r="LIJ418" s="2"/>
      <c r="LIK418" s="2"/>
      <c r="LIL418" s="2"/>
      <c r="LIM418" s="2"/>
      <c r="LIN418" s="2"/>
      <c r="LIO418" s="2"/>
      <c r="LIP418" s="2"/>
      <c r="LIQ418" s="2"/>
      <c r="LIR418" s="2"/>
      <c r="LIS418" s="2"/>
      <c r="LIT418" s="2"/>
      <c r="LIU418" s="2"/>
      <c r="LIV418" s="2"/>
      <c r="LIW418" s="2"/>
      <c r="LIX418" s="2"/>
      <c r="LIY418" s="2"/>
      <c r="LIZ418" s="2"/>
      <c r="LJA418" s="2"/>
      <c r="LJB418" s="2"/>
      <c r="LJC418" s="2"/>
      <c r="LJD418" s="2"/>
      <c r="LJE418" s="2"/>
      <c r="LJF418" s="2"/>
      <c r="LJG418" s="2"/>
      <c r="LJH418" s="2"/>
      <c r="LJI418" s="2"/>
      <c r="LJJ418" s="2"/>
      <c r="LJK418" s="2"/>
      <c r="LJL418" s="2"/>
      <c r="LJM418" s="2"/>
      <c r="LJN418" s="2"/>
      <c r="LJO418" s="2"/>
      <c r="LJP418" s="2"/>
      <c r="LJQ418" s="2"/>
      <c r="LJR418" s="2"/>
      <c r="LJS418" s="2"/>
      <c r="LJT418" s="2"/>
      <c r="LJU418" s="2"/>
      <c r="LJV418" s="2"/>
      <c r="LJW418" s="2"/>
      <c r="LJX418" s="2"/>
      <c r="LJY418" s="2"/>
      <c r="LJZ418" s="2"/>
      <c r="LKA418" s="2"/>
      <c r="LKB418" s="2"/>
      <c r="LKC418" s="2"/>
      <c r="LKD418" s="2"/>
      <c r="LKE418" s="2"/>
      <c r="LKF418" s="2"/>
      <c r="LKG418" s="2"/>
      <c r="LKH418" s="2"/>
      <c r="LKI418" s="2"/>
      <c r="LKJ418" s="2"/>
      <c r="LKK418" s="2"/>
      <c r="LKL418" s="2"/>
      <c r="LKM418" s="2"/>
      <c r="LKN418" s="2"/>
      <c r="LKO418" s="2"/>
      <c r="LKP418" s="2"/>
      <c r="LKQ418" s="2"/>
      <c r="LKR418" s="2"/>
      <c r="LKS418" s="2"/>
      <c r="LKT418" s="2"/>
      <c r="LKU418" s="2"/>
      <c r="LKV418" s="2"/>
      <c r="LKW418" s="2"/>
      <c r="LKX418" s="2"/>
      <c r="LKY418" s="2"/>
      <c r="LKZ418" s="2"/>
      <c r="LLA418" s="2"/>
      <c r="LLB418" s="2"/>
      <c r="LLC418" s="2"/>
      <c r="LLD418" s="2"/>
      <c r="LLE418" s="2"/>
      <c r="LLF418" s="2"/>
      <c r="LLG418" s="2"/>
      <c r="LLH418" s="2"/>
      <c r="LLI418" s="2"/>
      <c r="LLJ418" s="2"/>
      <c r="LLK418" s="2"/>
      <c r="LLL418" s="2"/>
      <c r="LLM418" s="2"/>
      <c r="LLN418" s="2"/>
      <c r="LLO418" s="2"/>
      <c r="LLP418" s="2"/>
      <c r="LLQ418" s="2"/>
      <c r="LLR418" s="2"/>
      <c r="LLS418" s="2"/>
      <c r="LLT418" s="2"/>
      <c r="LLU418" s="2"/>
      <c r="LLV418" s="2"/>
      <c r="LLW418" s="2"/>
      <c r="LLX418" s="2"/>
      <c r="LLY418" s="2"/>
      <c r="LLZ418" s="2"/>
      <c r="LMA418" s="2"/>
      <c r="LMB418" s="2"/>
      <c r="LMC418" s="2"/>
      <c r="LMD418" s="2"/>
      <c r="LME418" s="2"/>
      <c r="LMF418" s="2"/>
      <c r="LMG418" s="2"/>
      <c r="LMH418" s="2"/>
      <c r="LMI418" s="2"/>
      <c r="LMJ418" s="2"/>
      <c r="LMK418" s="2"/>
      <c r="LML418" s="2"/>
      <c r="LMM418" s="2"/>
      <c r="LMN418" s="2"/>
      <c r="LMO418" s="2"/>
      <c r="LMP418" s="2"/>
      <c r="LMQ418" s="2"/>
      <c r="LMR418" s="2"/>
      <c r="LMS418" s="2"/>
      <c r="LMT418" s="2"/>
      <c r="LMU418" s="2"/>
      <c r="LMV418" s="2"/>
      <c r="LMW418" s="2"/>
      <c r="LMX418" s="2"/>
      <c r="LMY418" s="2"/>
      <c r="LMZ418" s="2"/>
      <c r="LNA418" s="2"/>
      <c r="LNB418" s="2"/>
      <c r="LNC418" s="2"/>
      <c r="LND418" s="2"/>
      <c r="LNE418" s="2"/>
      <c r="LNF418" s="2"/>
      <c r="LNG418" s="2"/>
      <c r="LNH418" s="2"/>
      <c r="LNI418" s="2"/>
      <c r="LNJ418" s="2"/>
      <c r="LNK418" s="2"/>
      <c r="LNL418" s="2"/>
      <c r="LNM418" s="2"/>
      <c r="LNN418" s="2"/>
      <c r="LNO418" s="2"/>
      <c r="LNP418" s="2"/>
      <c r="LNQ418" s="2"/>
      <c r="LNR418" s="2"/>
      <c r="LNS418" s="2"/>
      <c r="LNT418" s="2"/>
      <c r="LNU418" s="2"/>
      <c r="LNV418" s="2"/>
      <c r="LNW418" s="2"/>
      <c r="LNX418" s="2"/>
      <c r="LNY418" s="2"/>
      <c r="LNZ418" s="2"/>
      <c r="LOA418" s="2"/>
      <c r="LOB418" s="2"/>
      <c r="LOC418" s="2"/>
      <c r="LOD418" s="2"/>
      <c r="LOE418" s="2"/>
      <c r="LOF418" s="2"/>
      <c r="LOG418" s="2"/>
      <c r="LOH418" s="2"/>
      <c r="LOI418" s="2"/>
      <c r="LOJ418" s="2"/>
      <c r="LOK418" s="2"/>
      <c r="LOL418" s="2"/>
      <c r="LOM418" s="2"/>
      <c r="LON418" s="2"/>
      <c r="LOO418" s="2"/>
      <c r="LOP418" s="2"/>
      <c r="LOQ418" s="2"/>
      <c r="LOR418" s="2"/>
      <c r="LOS418" s="2"/>
      <c r="LOT418" s="2"/>
      <c r="LOU418" s="2"/>
      <c r="LOV418" s="2"/>
      <c r="LOW418" s="2"/>
      <c r="LOX418" s="2"/>
      <c r="LOY418" s="2"/>
      <c r="LOZ418" s="2"/>
      <c r="LPA418" s="2"/>
      <c r="LPB418" s="2"/>
      <c r="LPC418" s="2"/>
      <c r="LPD418" s="2"/>
      <c r="LPE418" s="2"/>
      <c r="LPF418" s="2"/>
      <c r="LPG418" s="2"/>
      <c r="LPH418" s="2"/>
      <c r="LPI418" s="2"/>
      <c r="LPJ418" s="2"/>
      <c r="LPK418" s="2"/>
      <c r="LPL418" s="2"/>
      <c r="LPM418" s="2"/>
      <c r="LPN418" s="2"/>
      <c r="LPO418" s="2"/>
      <c r="LPP418" s="2"/>
      <c r="LPQ418" s="2"/>
      <c r="LPR418" s="2"/>
      <c r="LPS418" s="2"/>
      <c r="LPT418" s="2"/>
      <c r="LPU418" s="2"/>
      <c r="LPV418" s="2"/>
      <c r="LPW418" s="2"/>
      <c r="LPX418" s="2"/>
      <c r="LPY418" s="2"/>
      <c r="LPZ418" s="2"/>
      <c r="LQA418" s="2"/>
      <c r="LQB418" s="2"/>
      <c r="LQC418" s="2"/>
      <c r="LQD418" s="2"/>
      <c r="LQE418" s="2"/>
      <c r="LQF418" s="2"/>
      <c r="LQG418" s="2"/>
      <c r="LQH418" s="2"/>
      <c r="LQI418" s="2"/>
      <c r="LQJ418" s="2"/>
      <c r="LQK418" s="2"/>
      <c r="LQL418" s="2"/>
      <c r="LQM418" s="2"/>
      <c r="LQN418" s="2"/>
      <c r="LQO418" s="2"/>
      <c r="LQP418" s="2"/>
      <c r="LQQ418" s="2"/>
      <c r="LQR418" s="2"/>
      <c r="LQS418" s="2"/>
      <c r="LQT418" s="2"/>
      <c r="LQU418" s="2"/>
      <c r="LQV418" s="2"/>
      <c r="LQW418" s="2"/>
      <c r="LQX418" s="2"/>
      <c r="LQY418" s="2"/>
      <c r="LQZ418" s="2"/>
      <c r="LRA418" s="2"/>
      <c r="LRB418" s="2"/>
      <c r="LRC418" s="2"/>
      <c r="LRD418" s="2"/>
      <c r="LRE418" s="2"/>
      <c r="LRF418" s="2"/>
      <c r="LRG418" s="2"/>
      <c r="LRH418" s="2"/>
      <c r="LRI418" s="2"/>
      <c r="LRJ418" s="2"/>
      <c r="LRK418" s="2"/>
      <c r="LRL418" s="2"/>
      <c r="LRM418" s="2"/>
      <c r="LRN418" s="2"/>
      <c r="LRO418" s="2"/>
      <c r="LRP418" s="2"/>
      <c r="LRQ418" s="2"/>
      <c r="LRR418" s="2"/>
      <c r="LRS418" s="2"/>
      <c r="LRT418" s="2"/>
      <c r="LRU418" s="2"/>
      <c r="LRV418" s="2"/>
      <c r="LRW418" s="2"/>
      <c r="LRX418" s="2"/>
      <c r="LRY418" s="2"/>
      <c r="LRZ418" s="2"/>
      <c r="LSA418" s="2"/>
      <c r="LSB418" s="2"/>
      <c r="LSC418" s="2"/>
      <c r="LSD418" s="2"/>
      <c r="LSE418" s="2"/>
      <c r="LSF418" s="2"/>
      <c r="LSG418" s="2"/>
      <c r="LSH418" s="2"/>
      <c r="LSI418" s="2"/>
      <c r="LSJ418" s="2"/>
      <c r="LSK418" s="2"/>
      <c r="LSL418" s="2"/>
      <c r="LSM418" s="2"/>
      <c r="LSN418" s="2"/>
      <c r="LSO418" s="2"/>
      <c r="LSP418" s="2"/>
      <c r="LSQ418" s="2"/>
      <c r="LSR418" s="2"/>
      <c r="LSS418" s="2"/>
      <c r="LST418" s="2"/>
      <c r="LSU418" s="2"/>
      <c r="LSV418" s="2"/>
      <c r="LSW418" s="2"/>
      <c r="LSX418" s="2"/>
      <c r="LSY418" s="2"/>
      <c r="LSZ418" s="2"/>
      <c r="LTA418" s="2"/>
      <c r="LTB418" s="2"/>
      <c r="LTC418" s="2"/>
      <c r="LTD418" s="2"/>
      <c r="LTE418" s="2"/>
      <c r="LTF418" s="2"/>
      <c r="LTG418" s="2"/>
      <c r="LTH418" s="2"/>
      <c r="LTI418" s="2"/>
      <c r="LTJ418" s="2"/>
      <c r="LTK418" s="2"/>
      <c r="LTL418" s="2"/>
      <c r="LTM418" s="2"/>
      <c r="LTN418" s="2"/>
      <c r="LTO418" s="2"/>
      <c r="LTP418" s="2"/>
      <c r="LTQ418" s="2"/>
      <c r="LTR418" s="2"/>
      <c r="LTS418" s="2"/>
      <c r="LTT418" s="2"/>
      <c r="LTU418" s="2"/>
      <c r="LTV418" s="2"/>
      <c r="LTW418" s="2"/>
      <c r="LTX418" s="2"/>
      <c r="LTY418" s="2"/>
      <c r="LTZ418" s="2"/>
      <c r="LUA418" s="2"/>
      <c r="LUB418" s="2"/>
      <c r="LUC418" s="2"/>
      <c r="LUD418" s="2"/>
      <c r="LUE418" s="2"/>
      <c r="LUF418" s="2"/>
      <c r="LUG418" s="2"/>
      <c r="LUH418" s="2"/>
      <c r="LUI418" s="2"/>
      <c r="LUJ418" s="2"/>
      <c r="LUK418" s="2"/>
      <c r="LUL418" s="2"/>
      <c r="LUM418" s="2"/>
      <c r="LUN418" s="2"/>
      <c r="LUO418" s="2"/>
      <c r="LUP418" s="2"/>
      <c r="LUQ418" s="2"/>
      <c r="LUR418" s="2"/>
      <c r="LUS418" s="2"/>
      <c r="LUT418" s="2"/>
      <c r="LUU418" s="2"/>
      <c r="LUV418" s="2"/>
      <c r="LUW418" s="2"/>
      <c r="LUX418" s="2"/>
      <c r="LUY418" s="2"/>
      <c r="LUZ418" s="2"/>
      <c r="LVA418" s="2"/>
      <c r="LVB418" s="2"/>
      <c r="LVC418" s="2"/>
      <c r="LVD418" s="2"/>
      <c r="LVE418" s="2"/>
      <c r="LVF418" s="2"/>
      <c r="LVG418" s="2"/>
      <c r="LVH418" s="2"/>
      <c r="LVI418" s="2"/>
      <c r="LVJ418" s="2"/>
      <c r="LVK418" s="2"/>
      <c r="LVL418" s="2"/>
      <c r="LVM418" s="2"/>
      <c r="LVN418" s="2"/>
      <c r="LVO418" s="2"/>
      <c r="LVP418" s="2"/>
      <c r="LVQ418" s="2"/>
      <c r="LVR418" s="2"/>
      <c r="LVS418" s="2"/>
      <c r="LVT418" s="2"/>
      <c r="LVU418" s="2"/>
      <c r="LVV418" s="2"/>
      <c r="LVW418" s="2"/>
      <c r="LVX418" s="2"/>
      <c r="LVY418" s="2"/>
      <c r="LVZ418" s="2"/>
      <c r="LWA418" s="2"/>
      <c r="LWB418" s="2"/>
      <c r="LWC418" s="2"/>
      <c r="LWD418" s="2"/>
      <c r="LWE418" s="2"/>
      <c r="LWF418" s="2"/>
      <c r="LWG418" s="2"/>
      <c r="LWH418" s="2"/>
      <c r="LWI418" s="2"/>
      <c r="LWJ418" s="2"/>
      <c r="LWK418" s="2"/>
      <c r="LWL418" s="2"/>
      <c r="LWM418" s="2"/>
      <c r="LWN418" s="2"/>
      <c r="LWO418" s="2"/>
      <c r="LWP418" s="2"/>
      <c r="LWQ418" s="2"/>
      <c r="LWR418" s="2"/>
      <c r="LWS418" s="2"/>
      <c r="LWT418" s="2"/>
      <c r="LWU418" s="2"/>
      <c r="LWV418" s="2"/>
      <c r="LWW418" s="2"/>
      <c r="LWX418" s="2"/>
      <c r="LWY418" s="2"/>
      <c r="LWZ418" s="2"/>
      <c r="LXA418" s="2"/>
      <c r="LXB418" s="2"/>
      <c r="LXC418" s="2"/>
      <c r="LXD418" s="2"/>
      <c r="LXE418" s="2"/>
      <c r="LXF418" s="2"/>
      <c r="LXG418" s="2"/>
      <c r="LXH418" s="2"/>
      <c r="LXI418" s="2"/>
      <c r="LXJ418" s="2"/>
      <c r="LXK418" s="2"/>
      <c r="LXL418" s="2"/>
      <c r="LXM418" s="2"/>
      <c r="LXN418" s="2"/>
      <c r="LXO418" s="2"/>
      <c r="LXP418" s="2"/>
      <c r="LXQ418" s="2"/>
      <c r="LXR418" s="2"/>
      <c r="LXS418" s="2"/>
      <c r="LXT418" s="2"/>
      <c r="LXU418" s="2"/>
      <c r="LXV418" s="2"/>
      <c r="LXW418" s="2"/>
      <c r="LXX418" s="2"/>
      <c r="LXY418" s="2"/>
      <c r="LXZ418" s="2"/>
      <c r="LYA418" s="2"/>
      <c r="LYB418" s="2"/>
      <c r="LYC418" s="2"/>
      <c r="LYD418" s="2"/>
      <c r="LYE418" s="2"/>
      <c r="LYF418" s="2"/>
      <c r="LYG418" s="2"/>
      <c r="LYH418" s="2"/>
      <c r="LYI418" s="2"/>
      <c r="LYJ418" s="2"/>
      <c r="LYK418" s="2"/>
      <c r="LYL418" s="2"/>
      <c r="LYM418" s="2"/>
      <c r="LYN418" s="2"/>
      <c r="LYO418" s="2"/>
      <c r="LYP418" s="2"/>
      <c r="LYQ418" s="2"/>
      <c r="LYR418" s="2"/>
      <c r="LYS418" s="2"/>
      <c r="LYT418" s="2"/>
      <c r="LYU418" s="2"/>
      <c r="LYV418" s="2"/>
      <c r="LYW418" s="2"/>
      <c r="LYX418" s="2"/>
      <c r="LYY418" s="2"/>
      <c r="LYZ418" s="2"/>
      <c r="LZA418" s="2"/>
      <c r="LZB418" s="2"/>
      <c r="LZC418" s="2"/>
      <c r="LZD418" s="2"/>
      <c r="LZE418" s="2"/>
      <c r="LZF418" s="2"/>
      <c r="LZG418" s="2"/>
      <c r="LZH418" s="2"/>
      <c r="LZI418" s="2"/>
      <c r="LZJ418" s="2"/>
      <c r="LZK418" s="2"/>
      <c r="LZL418" s="2"/>
      <c r="LZM418" s="2"/>
      <c r="LZN418" s="2"/>
      <c r="LZO418" s="2"/>
      <c r="LZP418" s="2"/>
      <c r="LZQ418" s="2"/>
      <c r="LZR418" s="2"/>
      <c r="LZS418" s="2"/>
      <c r="LZT418" s="2"/>
      <c r="LZU418" s="2"/>
      <c r="LZV418" s="2"/>
      <c r="LZW418" s="2"/>
      <c r="LZX418" s="2"/>
      <c r="LZY418" s="2"/>
      <c r="LZZ418" s="2"/>
      <c r="MAA418" s="2"/>
      <c r="MAB418" s="2"/>
      <c r="MAC418" s="2"/>
      <c r="MAD418" s="2"/>
      <c r="MAE418" s="2"/>
      <c r="MAF418" s="2"/>
      <c r="MAG418" s="2"/>
      <c r="MAH418" s="2"/>
      <c r="MAI418" s="2"/>
      <c r="MAJ418" s="2"/>
      <c r="MAK418" s="2"/>
      <c r="MAL418" s="2"/>
      <c r="MAM418" s="2"/>
      <c r="MAN418" s="2"/>
      <c r="MAO418" s="2"/>
      <c r="MAP418" s="2"/>
      <c r="MAQ418" s="2"/>
      <c r="MAR418" s="2"/>
      <c r="MAS418" s="2"/>
      <c r="MAT418" s="2"/>
      <c r="MAU418" s="2"/>
      <c r="MAV418" s="2"/>
      <c r="MAW418" s="2"/>
      <c r="MAX418" s="2"/>
      <c r="MAY418" s="2"/>
      <c r="MAZ418" s="2"/>
      <c r="MBA418" s="2"/>
      <c r="MBB418" s="2"/>
      <c r="MBC418" s="2"/>
      <c r="MBD418" s="2"/>
      <c r="MBE418" s="2"/>
      <c r="MBF418" s="2"/>
      <c r="MBG418" s="2"/>
      <c r="MBH418" s="2"/>
      <c r="MBI418" s="2"/>
      <c r="MBJ418" s="2"/>
      <c r="MBK418" s="2"/>
      <c r="MBL418" s="2"/>
      <c r="MBM418" s="2"/>
      <c r="MBN418" s="2"/>
      <c r="MBO418" s="2"/>
      <c r="MBP418" s="2"/>
      <c r="MBQ418" s="2"/>
      <c r="MBR418" s="2"/>
      <c r="MBS418" s="2"/>
      <c r="MBT418" s="2"/>
      <c r="MBU418" s="2"/>
      <c r="MBV418" s="2"/>
      <c r="MBW418" s="2"/>
      <c r="MBX418" s="2"/>
      <c r="MBY418" s="2"/>
      <c r="MBZ418" s="2"/>
      <c r="MCA418" s="2"/>
      <c r="MCB418" s="2"/>
      <c r="MCC418" s="2"/>
      <c r="MCD418" s="2"/>
      <c r="MCE418" s="2"/>
      <c r="MCF418" s="2"/>
      <c r="MCG418" s="2"/>
      <c r="MCH418" s="2"/>
      <c r="MCI418" s="2"/>
      <c r="MCJ418" s="2"/>
      <c r="MCK418" s="2"/>
      <c r="MCL418" s="2"/>
      <c r="MCM418" s="2"/>
      <c r="MCN418" s="2"/>
      <c r="MCO418" s="2"/>
      <c r="MCP418" s="2"/>
      <c r="MCQ418" s="2"/>
      <c r="MCR418" s="2"/>
      <c r="MCS418" s="2"/>
      <c r="MCT418" s="2"/>
      <c r="MCU418" s="2"/>
      <c r="MCV418" s="2"/>
      <c r="MCW418" s="2"/>
      <c r="MCX418" s="2"/>
      <c r="MCY418" s="2"/>
      <c r="MCZ418" s="2"/>
      <c r="MDA418" s="2"/>
      <c r="MDB418" s="2"/>
      <c r="MDC418" s="2"/>
      <c r="MDD418" s="2"/>
      <c r="MDE418" s="2"/>
      <c r="MDF418" s="2"/>
      <c r="MDG418" s="2"/>
      <c r="MDH418" s="2"/>
      <c r="MDI418" s="2"/>
      <c r="MDJ418" s="2"/>
      <c r="MDK418" s="2"/>
      <c r="MDL418" s="2"/>
      <c r="MDM418" s="2"/>
      <c r="MDN418" s="2"/>
      <c r="MDO418" s="2"/>
      <c r="MDP418" s="2"/>
      <c r="MDQ418" s="2"/>
      <c r="MDR418" s="2"/>
      <c r="MDS418" s="2"/>
      <c r="MDT418" s="2"/>
      <c r="MDU418" s="2"/>
      <c r="MDV418" s="2"/>
      <c r="MDW418" s="2"/>
      <c r="MDX418" s="2"/>
      <c r="MDY418" s="2"/>
      <c r="MDZ418" s="2"/>
      <c r="MEA418" s="2"/>
      <c r="MEB418" s="2"/>
      <c r="MEC418" s="2"/>
      <c r="MED418" s="2"/>
      <c r="MEE418" s="2"/>
      <c r="MEF418" s="2"/>
      <c r="MEG418" s="2"/>
      <c r="MEH418" s="2"/>
      <c r="MEI418" s="2"/>
      <c r="MEJ418" s="2"/>
      <c r="MEK418" s="2"/>
      <c r="MEL418" s="2"/>
      <c r="MEM418" s="2"/>
      <c r="MEN418" s="2"/>
      <c r="MEO418" s="2"/>
      <c r="MEP418" s="2"/>
      <c r="MEQ418" s="2"/>
      <c r="MER418" s="2"/>
      <c r="MES418" s="2"/>
      <c r="MET418" s="2"/>
      <c r="MEU418" s="2"/>
      <c r="MEV418" s="2"/>
      <c r="MEW418" s="2"/>
      <c r="MEX418" s="2"/>
      <c r="MEY418" s="2"/>
      <c r="MEZ418" s="2"/>
      <c r="MFA418" s="2"/>
      <c r="MFB418" s="2"/>
      <c r="MFC418" s="2"/>
      <c r="MFD418" s="2"/>
      <c r="MFE418" s="2"/>
      <c r="MFF418" s="2"/>
      <c r="MFG418" s="2"/>
      <c r="MFH418" s="2"/>
      <c r="MFI418" s="2"/>
      <c r="MFJ418" s="2"/>
      <c r="MFK418" s="2"/>
      <c r="MFL418" s="2"/>
      <c r="MFM418" s="2"/>
      <c r="MFN418" s="2"/>
      <c r="MFO418" s="2"/>
      <c r="MFP418" s="2"/>
      <c r="MFQ418" s="2"/>
      <c r="MFR418" s="2"/>
      <c r="MFS418" s="2"/>
      <c r="MFT418" s="2"/>
      <c r="MFU418" s="2"/>
      <c r="MFV418" s="2"/>
      <c r="MFW418" s="2"/>
      <c r="MFX418" s="2"/>
      <c r="MFY418" s="2"/>
      <c r="MFZ418" s="2"/>
      <c r="MGA418" s="2"/>
      <c r="MGB418" s="2"/>
      <c r="MGC418" s="2"/>
      <c r="MGD418" s="2"/>
      <c r="MGE418" s="2"/>
      <c r="MGF418" s="2"/>
      <c r="MGG418" s="2"/>
      <c r="MGH418" s="2"/>
      <c r="MGI418" s="2"/>
      <c r="MGJ418" s="2"/>
      <c r="MGK418" s="2"/>
      <c r="MGL418" s="2"/>
      <c r="MGM418" s="2"/>
      <c r="MGN418" s="2"/>
      <c r="MGO418" s="2"/>
      <c r="MGP418" s="2"/>
      <c r="MGQ418" s="2"/>
      <c r="MGR418" s="2"/>
      <c r="MGS418" s="2"/>
      <c r="MGT418" s="2"/>
      <c r="MGU418" s="2"/>
      <c r="MGV418" s="2"/>
      <c r="MGW418" s="2"/>
      <c r="MGX418" s="2"/>
      <c r="MGY418" s="2"/>
      <c r="MGZ418" s="2"/>
      <c r="MHA418" s="2"/>
      <c r="MHB418" s="2"/>
      <c r="MHC418" s="2"/>
      <c r="MHD418" s="2"/>
      <c r="MHE418" s="2"/>
      <c r="MHF418" s="2"/>
      <c r="MHG418" s="2"/>
      <c r="MHH418" s="2"/>
      <c r="MHI418" s="2"/>
      <c r="MHJ418" s="2"/>
      <c r="MHK418" s="2"/>
      <c r="MHL418" s="2"/>
      <c r="MHM418" s="2"/>
      <c r="MHN418" s="2"/>
      <c r="MHO418" s="2"/>
      <c r="MHP418" s="2"/>
      <c r="MHQ418" s="2"/>
      <c r="MHR418" s="2"/>
      <c r="MHS418" s="2"/>
      <c r="MHT418" s="2"/>
      <c r="MHU418" s="2"/>
      <c r="MHV418" s="2"/>
      <c r="MHW418" s="2"/>
      <c r="MHX418" s="2"/>
      <c r="MHY418" s="2"/>
      <c r="MHZ418" s="2"/>
      <c r="MIA418" s="2"/>
      <c r="MIB418" s="2"/>
      <c r="MIC418" s="2"/>
      <c r="MID418" s="2"/>
      <c r="MIE418" s="2"/>
      <c r="MIF418" s="2"/>
      <c r="MIG418" s="2"/>
      <c r="MIH418" s="2"/>
      <c r="MII418" s="2"/>
      <c r="MIJ418" s="2"/>
      <c r="MIK418" s="2"/>
      <c r="MIL418" s="2"/>
      <c r="MIM418" s="2"/>
      <c r="MIN418" s="2"/>
      <c r="MIO418" s="2"/>
      <c r="MIP418" s="2"/>
      <c r="MIQ418" s="2"/>
      <c r="MIR418" s="2"/>
      <c r="MIS418" s="2"/>
      <c r="MIT418" s="2"/>
      <c r="MIU418" s="2"/>
      <c r="MIV418" s="2"/>
      <c r="MIW418" s="2"/>
      <c r="MIX418" s="2"/>
      <c r="MIY418" s="2"/>
      <c r="MIZ418" s="2"/>
      <c r="MJA418" s="2"/>
      <c r="MJB418" s="2"/>
      <c r="MJC418" s="2"/>
      <c r="MJD418" s="2"/>
      <c r="MJE418" s="2"/>
      <c r="MJF418" s="2"/>
      <c r="MJG418" s="2"/>
      <c r="MJH418" s="2"/>
      <c r="MJI418" s="2"/>
      <c r="MJJ418" s="2"/>
      <c r="MJK418" s="2"/>
      <c r="MJL418" s="2"/>
      <c r="MJM418" s="2"/>
      <c r="MJN418" s="2"/>
      <c r="MJO418" s="2"/>
      <c r="MJP418" s="2"/>
      <c r="MJQ418" s="2"/>
      <c r="MJR418" s="2"/>
      <c r="MJS418" s="2"/>
      <c r="MJT418" s="2"/>
      <c r="MJU418" s="2"/>
      <c r="MJV418" s="2"/>
      <c r="MJW418" s="2"/>
      <c r="MJX418" s="2"/>
      <c r="MJY418" s="2"/>
      <c r="MJZ418" s="2"/>
      <c r="MKA418" s="2"/>
      <c r="MKB418" s="2"/>
      <c r="MKC418" s="2"/>
      <c r="MKD418" s="2"/>
      <c r="MKE418" s="2"/>
      <c r="MKF418" s="2"/>
      <c r="MKG418" s="2"/>
      <c r="MKH418" s="2"/>
      <c r="MKI418" s="2"/>
      <c r="MKJ418" s="2"/>
      <c r="MKK418" s="2"/>
      <c r="MKL418" s="2"/>
      <c r="MKM418" s="2"/>
      <c r="MKN418" s="2"/>
      <c r="MKO418" s="2"/>
      <c r="MKP418" s="2"/>
      <c r="MKQ418" s="2"/>
      <c r="MKR418" s="2"/>
      <c r="MKS418" s="2"/>
      <c r="MKT418" s="2"/>
      <c r="MKU418" s="2"/>
      <c r="MKV418" s="2"/>
      <c r="MKW418" s="2"/>
      <c r="MKX418" s="2"/>
      <c r="MKY418" s="2"/>
      <c r="MKZ418" s="2"/>
      <c r="MLA418" s="2"/>
      <c r="MLB418" s="2"/>
      <c r="MLC418" s="2"/>
      <c r="MLD418" s="2"/>
      <c r="MLE418" s="2"/>
      <c r="MLF418" s="2"/>
      <c r="MLG418" s="2"/>
      <c r="MLH418" s="2"/>
      <c r="MLI418" s="2"/>
      <c r="MLJ418" s="2"/>
      <c r="MLK418" s="2"/>
      <c r="MLL418" s="2"/>
      <c r="MLM418" s="2"/>
      <c r="MLN418" s="2"/>
      <c r="MLO418" s="2"/>
      <c r="MLP418" s="2"/>
      <c r="MLQ418" s="2"/>
      <c r="MLR418" s="2"/>
      <c r="MLS418" s="2"/>
      <c r="MLT418" s="2"/>
      <c r="MLU418" s="2"/>
      <c r="MLV418" s="2"/>
      <c r="MLW418" s="2"/>
      <c r="MLX418" s="2"/>
      <c r="MLY418" s="2"/>
      <c r="MLZ418" s="2"/>
      <c r="MMA418" s="2"/>
      <c r="MMB418" s="2"/>
      <c r="MMC418" s="2"/>
      <c r="MMD418" s="2"/>
      <c r="MME418" s="2"/>
      <c r="MMF418" s="2"/>
      <c r="MMG418" s="2"/>
      <c r="MMH418" s="2"/>
      <c r="MMI418" s="2"/>
      <c r="MMJ418" s="2"/>
      <c r="MMK418" s="2"/>
      <c r="MML418" s="2"/>
      <c r="MMM418" s="2"/>
      <c r="MMN418" s="2"/>
      <c r="MMO418" s="2"/>
      <c r="MMP418" s="2"/>
      <c r="MMQ418" s="2"/>
      <c r="MMR418" s="2"/>
      <c r="MMS418" s="2"/>
      <c r="MMT418" s="2"/>
      <c r="MMU418" s="2"/>
      <c r="MMV418" s="2"/>
      <c r="MMW418" s="2"/>
      <c r="MMX418" s="2"/>
      <c r="MMY418" s="2"/>
      <c r="MMZ418" s="2"/>
      <c r="MNA418" s="2"/>
      <c r="MNB418" s="2"/>
      <c r="MNC418" s="2"/>
      <c r="MND418" s="2"/>
      <c r="MNE418" s="2"/>
      <c r="MNF418" s="2"/>
      <c r="MNG418" s="2"/>
      <c r="MNH418" s="2"/>
      <c r="MNI418" s="2"/>
      <c r="MNJ418" s="2"/>
      <c r="MNK418" s="2"/>
      <c r="MNL418" s="2"/>
      <c r="MNM418" s="2"/>
      <c r="MNN418" s="2"/>
      <c r="MNO418" s="2"/>
      <c r="MNP418" s="2"/>
      <c r="MNQ418" s="2"/>
      <c r="MNR418" s="2"/>
      <c r="MNS418" s="2"/>
      <c r="MNT418" s="2"/>
      <c r="MNU418" s="2"/>
      <c r="MNV418" s="2"/>
      <c r="MNW418" s="2"/>
      <c r="MNX418" s="2"/>
      <c r="MNY418" s="2"/>
      <c r="MNZ418" s="2"/>
      <c r="MOA418" s="2"/>
      <c r="MOB418" s="2"/>
      <c r="MOC418" s="2"/>
      <c r="MOD418" s="2"/>
      <c r="MOE418" s="2"/>
      <c r="MOF418" s="2"/>
      <c r="MOG418" s="2"/>
      <c r="MOH418" s="2"/>
      <c r="MOI418" s="2"/>
      <c r="MOJ418" s="2"/>
      <c r="MOK418" s="2"/>
      <c r="MOL418" s="2"/>
      <c r="MOM418" s="2"/>
      <c r="MON418" s="2"/>
      <c r="MOO418" s="2"/>
      <c r="MOP418" s="2"/>
      <c r="MOQ418" s="2"/>
      <c r="MOR418" s="2"/>
      <c r="MOS418" s="2"/>
      <c r="MOT418" s="2"/>
      <c r="MOU418" s="2"/>
      <c r="MOV418" s="2"/>
      <c r="MOW418" s="2"/>
      <c r="MOX418" s="2"/>
      <c r="MOY418" s="2"/>
      <c r="MOZ418" s="2"/>
      <c r="MPA418" s="2"/>
      <c r="MPB418" s="2"/>
      <c r="MPC418" s="2"/>
      <c r="MPD418" s="2"/>
      <c r="MPE418" s="2"/>
      <c r="MPF418" s="2"/>
      <c r="MPG418" s="2"/>
      <c r="MPH418" s="2"/>
      <c r="MPI418" s="2"/>
      <c r="MPJ418" s="2"/>
      <c r="MPK418" s="2"/>
      <c r="MPL418" s="2"/>
      <c r="MPM418" s="2"/>
      <c r="MPN418" s="2"/>
      <c r="MPO418" s="2"/>
      <c r="MPP418" s="2"/>
      <c r="MPQ418" s="2"/>
      <c r="MPR418" s="2"/>
      <c r="MPS418" s="2"/>
      <c r="MPT418" s="2"/>
      <c r="MPU418" s="2"/>
      <c r="MPV418" s="2"/>
      <c r="MPW418" s="2"/>
      <c r="MPX418" s="2"/>
      <c r="MPY418" s="2"/>
      <c r="MPZ418" s="2"/>
      <c r="MQA418" s="2"/>
      <c r="MQB418" s="2"/>
      <c r="MQC418" s="2"/>
      <c r="MQD418" s="2"/>
      <c r="MQE418" s="2"/>
      <c r="MQF418" s="2"/>
      <c r="MQG418" s="2"/>
      <c r="MQH418" s="2"/>
      <c r="MQI418" s="2"/>
      <c r="MQJ418" s="2"/>
      <c r="MQK418" s="2"/>
      <c r="MQL418" s="2"/>
      <c r="MQM418" s="2"/>
      <c r="MQN418" s="2"/>
      <c r="MQO418" s="2"/>
      <c r="MQP418" s="2"/>
      <c r="MQQ418" s="2"/>
      <c r="MQR418" s="2"/>
      <c r="MQS418" s="2"/>
      <c r="MQT418" s="2"/>
      <c r="MQU418" s="2"/>
      <c r="MQV418" s="2"/>
      <c r="MQW418" s="2"/>
      <c r="MQX418" s="2"/>
      <c r="MQY418" s="2"/>
      <c r="MQZ418" s="2"/>
      <c r="MRA418" s="2"/>
      <c r="MRB418" s="2"/>
      <c r="MRC418" s="2"/>
      <c r="MRD418" s="2"/>
      <c r="MRE418" s="2"/>
      <c r="MRF418" s="2"/>
      <c r="MRG418" s="2"/>
      <c r="MRH418" s="2"/>
      <c r="MRI418" s="2"/>
      <c r="MRJ418" s="2"/>
      <c r="MRK418" s="2"/>
      <c r="MRL418" s="2"/>
      <c r="MRM418" s="2"/>
      <c r="MRN418" s="2"/>
      <c r="MRO418" s="2"/>
      <c r="MRP418" s="2"/>
      <c r="MRQ418" s="2"/>
      <c r="MRR418" s="2"/>
      <c r="MRS418" s="2"/>
      <c r="MRT418" s="2"/>
      <c r="MRU418" s="2"/>
      <c r="MRV418" s="2"/>
      <c r="MRW418" s="2"/>
      <c r="MRX418" s="2"/>
      <c r="MRY418" s="2"/>
      <c r="MRZ418" s="2"/>
      <c r="MSA418" s="2"/>
      <c r="MSB418" s="2"/>
      <c r="MSC418" s="2"/>
      <c r="MSD418" s="2"/>
      <c r="MSE418" s="2"/>
      <c r="MSF418" s="2"/>
      <c r="MSG418" s="2"/>
      <c r="MSH418" s="2"/>
      <c r="MSI418" s="2"/>
      <c r="MSJ418" s="2"/>
      <c r="MSK418" s="2"/>
      <c r="MSL418" s="2"/>
      <c r="MSM418" s="2"/>
      <c r="MSN418" s="2"/>
      <c r="MSO418" s="2"/>
      <c r="MSP418" s="2"/>
      <c r="MSQ418" s="2"/>
      <c r="MSR418" s="2"/>
      <c r="MSS418" s="2"/>
      <c r="MST418" s="2"/>
      <c r="MSU418" s="2"/>
      <c r="MSV418" s="2"/>
      <c r="MSW418" s="2"/>
      <c r="MSX418" s="2"/>
      <c r="MSY418" s="2"/>
      <c r="MSZ418" s="2"/>
      <c r="MTA418" s="2"/>
      <c r="MTB418" s="2"/>
      <c r="MTC418" s="2"/>
      <c r="MTD418" s="2"/>
      <c r="MTE418" s="2"/>
      <c r="MTF418" s="2"/>
      <c r="MTG418" s="2"/>
      <c r="MTH418" s="2"/>
      <c r="MTI418" s="2"/>
      <c r="MTJ418" s="2"/>
      <c r="MTK418" s="2"/>
      <c r="MTL418" s="2"/>
      <c r="MTM418" s="2"/>
      <c r="MTN418" s="2"/>
      <c r="MTO418" s="2"/>
      <c r="MTP418" s="2"/>
      <c r="MTQ418" s="2"/>
      <c r="MTR418" s="2"/>
      <c r="MTS418" s="2"/>
      <c r="MTT418" s="2"/>
      <c r="MTU418" s="2"/>
      <c r="MTV418" s="2"/>
      <c r="MTW418" s="2"/>
      <c r="MTX418" s="2"/>
      <c r="MTY418" s="2"/>
      <c r="MTZ418" s="2"/>
      <c r="MUA418" s="2"/>
      <c r="MUB418" s="2"/>
      <c r="MUC418" s="2"/>
      <c r="MUD418" s="2"/>
      <c r="MUE418" s="2"/>
      <c r="MUF418" s="2"/>
      <c r="MUG418" s="2"/>
      <c r="MUH418" s="2"/>
      <c r="MUI418" s="2"/>
      <c r="MUJ418" s="2"/>
      <c r="MUK418" s="2"/>
      <c r="MUL418" s="2"/>
      <c r="MUM418" s="2"/>
      <c r="MUN418" s="2"/>
      <c r="MUO418" s="2"/>
      <c r="MUP418" s="2"/>
      <c r="MUQ418" s="2"/>
      <c r="MUR418" s="2"/>
      <c r="MUS418" s="2"/>
      <c r="MUT418" s="2"/>
      <c r="MUU418" s="2"/>
      <c r="MUV418" s="2"/>
      <c r="MUW418" s="2"/>
      <c r="MUX418" s="2"/>
      <c r="MUY418" s="2"/>
      <c r="MUZ418" s="2"/>
      <c r="MVA418" s="2"/>
      <c r="MVB418" s="2"/>
      <c r="MVC418" s="2"/>
      <c r="MVD418" s="2"/>
      <c r="MVE418" s="2"/>
      <c r="MVF418" s="2"/>
      <c r="MVG418" s="2"/>
      <c r="MVH418" s="2"/>
      <c r="MVI418" s="2"/>
      <c r="MVJ418" s="2"/>
      <c r="MVK418" s="2"/>
      <c r="MVL418" s="2"/>
      <c r="MVM418" s="2"/>
      <c r="MVN418" s="2"/>
      <c r="MVO418" s="2"/>
      <c r="MVP418" s="2"/>
      <c r="MVQ418" s="2"/>
      <c r="MVR418" s="2"/>
      <c r="MVS418" s="2"/>
      <c r="MVT418" s="2"/>
      <c r="MVU418" s="2"/>
      <c r="MVV418" s="2"/>
      <c r="MVW418" s="2"/>
      <c r="MVX418" s="2"/>
      <c r="MVY418" s="2"/>
      <c r="MVZ418" s="2"/>
      <c r="MWA418" s="2"/>
      <c r="MWB418" s="2"/>
      <c r="MWC418" s="2"/>
      <c r="MWD418" s="2"/>
      <c r="MWE418" s="2"/>
      <c r="MWF418" s="2"/>
      <c r="MWG418" s="2"/>
      <c r="MWH418" s="2"/>
      <c r="MWI418" s="2"/>
      <c r="MWJ418" s="2"/>
      <c r="MWK418" s="2"/>
      <c r="MWL418" s="2"/>
      <c r="MWM418" s="2"/>
      <c r="MWN418" s="2"/>
      <c r="MWO418" s="2"/>
      <c r="MWP418" s="2"/>
      <c r="MWQ418" s="2"/>
      <c r="MWR418" s="2"/>
      <c r="MWS418" s="2"/>
      <c r="MWT418" s="2"/>
      <c r="MWU418" s="2"/>
      <c r="MWV418" s="2"/>
      <c r="MWW418" s="2"/>
      <c r="MWX418" s="2"/>
      <c r="MWY418" s="2"/>
      <c r="MWZ418" s="2"/>
      <c r="MXA418" s="2"/>
      <c r="MXB418" s="2"/>
      <c r="MXC418" s="2"/>
      <c r="MXD418" s="2"/>
      <c r="MXE418" s="2"/>
      <c r="MXF418" s="2"/>
      <c r="MXG418" s="2"/>
      <c r="MXH418" s="2"/>
      <c r="MXI418" s="2"/>
      <c r="MXJ418" s="2"/>
      <c r="MXK418" s="2"/>
      <c r="MXL418" s="2"/>
      <c r="MXM418" s="2"/>
      <c r="MXN418" s="2"/>
      <c r="MXO418" s="2"/>
      <c r="MXP418" s="2"/>
      <c r="MXQ418" s="2"/>
      <c r="MXR418" s="2"/>
      <c r="MXS418" s="2"/>
      <c r="MXT418" s="2"/>
      <c r="MXU418" s="2"/>
      <c r="MXV418" s="2"/>
      <c r="MXW418" s="2"/>
      <c r="MXX418" s="2"/>
      <c r="MXY418" s="2"/>
      <c r="MXZ418" s="2"/>
      <c r="MYA418" s="2"/>
      <c r="MYB418" s="2"/>
      <c r="MYC418" s="2"/>
      <c r="MYD418" s="2"/>
      <c r="MYE418" s="2"/>
      <c r="MYF418" s="2"/>
      <c r="MYG418" s="2"/>
      <c r="MYH418" s="2"/>
      <c r="MYI418" s="2"/>
      <c r="MYJ418" s="2"/>
      <c r="MYK418" s="2"/>
      <c r="MYL418" s="2"/>
      <c r="MYM418" s="2"/>
      <c r="MYN418" s="2"/>
      <c r="MYO418" s="2"/>
      <c r="MYP418" s="2"/>
      <c r="MYQ418" s="2"/>
      <c r="MYR418" s="2"/>
      <c r="MYS418" s="2"/>
      <c r="MYT418" s="2"/>
      <c r="MYU418" s="2"/>
      <c r="MYV418" s="2"/>
      <c r="MYW418" s="2"/>
      <c r="MYX418" s="2"/>
      <c r="MYY418" s="2"/>
      <c r="MYZ418" s="2"/>
      <c r="MZA418" s="2"/>
      <c r="MZB418" s="2"/>
      <c r="MZC418" s="2"/>
      <c r="MZD418" s="2"/>
      <c r="MZE418" s="2"/>
      <c r="MZF418" s="2"/>
      <c r="MZG418" s="2"/>
      <c r="MZH418" s="2"/>
      <c r="MZI418" s="2"/>
      <c r="MZJ418" s="2"/>
      <c r="MZK418" s="2"/>
      <c r="MZL418" s="2"/>
      <c r="MZM418" s="2"/>
      <c r="MZN418" s="2"/>
      <c r="MZO418" s="2"/>
      <c r="MZP418" s="2"/>
      <c r="MZQ418" s="2"/>
      <c r="MZR418" s="2"/>
      <c r="MZS418" s="2"/>
      <c r="MZT418" s="2"/>
      <c r="MZU418" s="2"/>
      <c r="MZV418" s="2"/>
      <c r="MZW418" s="2"/>
      <c r="MZX418" s="2"/>
      <c r="MZY418" s="2"/>
      <c r="MZZ418" s="2"/>
      <c r="NAA418" s="2"/>
      <c r="NAB418" s="2"/>
      <c r="NAC418" s="2"/>
      <c r="NAD418" s="2"/>
      <c r="NAE418" s="2"/>
      <c r="NAF418" s="2"/>
      <c r="NAG418" s="2"/>
      <c r="NAH418" s="2"/>
      <c r="NAI418" s="2"/>
      <c r="NAJ418" s="2"/>
      <c r="NAK418" s="2"/>
      <c r="NAL418" s="2"/>
      <c r="NAM418" s="2"/>
      <c r="NAN418" s="2"/>
      <c r="NAO418" s="2"/>
      <c r="NAP418" s="2"/>
      <c r="NAQ418" s="2"/>
      <c r="NAR418" s="2"/>
      <c r="NAS418" s="2"/>
      <c r="NAT418" s="2"/>
      <c r="NAU418" s="2"/>
      <c r="NAV418" s="2"/>
      <c r="NAW418" s="2"/>
      <c r="NAX418" s="2"/>
      <c r="NAY418" s="2"/>
      <c r="NAZ418" s="2"/>
      <c r="NBA418" s="2"/>
      <c r="NBB418" s="2"/>
      <c r="NBC418" s="2"/>
      <c r="NBD418" s="2"/>
      <c r="NBE418" s="2"/>
      <c r="NBF418" s="2"/>
      <c r="NBG418" s="2"/>
      <c r="NBH418" s="2"/>
      <c r="NBI418" s="2"/>
      <c r="NBJ418" s="2"/>
      <c r="NBK418" s="2"/>
      <c r="NBL418" s="2"/>
      <c r="NBM418" s="2"/>
      <c r="NBN418" s="2"/>
      <c r="NBO418" s="2"/>
      <c r="NBP418" s="2"/>
      <c r="NBQ418" s="2"/>
      <c r="NBR418" s="2"/>
      <c r="NBS418" s="2"/>
      <c r="NBT418" s="2"/>
      <c r="NBU418" s="2"/>
      <c r="NBV418" s="2"/>
      <c r="NBW418" s="2"/>
      <c r="NBX418" s="2"/>
      <c r="NBY418" s="2"/>
      <c r="NBZ418" s="2"/>
      <c r="NCA418" s="2"/>
      <c r="NCB418" s="2"/>
      <c r="NCC418" s="2"/>
      <c r="NCD418" s="2"/>
      <c r="NCE418" s="2"/>
      <c r="NCF418" s="2"/>
      <c r="NCG418" s="2"/>
      <c r="NCH418" s="2"/>
      <c r="NCI418" s="2"/>
      <c r="NCJ418" s="2"/>
      <c r="NCK418" s="2"/>
      <c r="NCL418" s="2"/>
      <c r="NCM418" s="2"/>
      <c r="NCN418" s="2"/>
      <c r="NCO418" s="2"/>
      <c r="NCP418" s="2"/>
      <c r="NCQ418" s="2"/>
      <c r="NCR418" s="2"/>
      <c r="NCS418" s="2"/>
      <c r="NCT418" s="2"/>
      <c r="NCU418" s="2"/>
      <c r="NCV418" s="2"/>
      <c r="NCW418" s="2"/>
      <c r="NCX418" s="2"/>
      <c r="NCY418" s="2"/>
      <c r="NCZ418" s="2"/>
      <c r="NDA418" s="2"/>
      <c r="NDB418" s="2"/>
      <c r="NDC418" s="2"/>
      <c r="NDD418" s="2"/>
      <c r="NDE418" s="2"/>
      <c r="NDF418" s="2"/>
      <c r="NDG418" s="2"/>
      <c r="NDH418" s="2"/>
      <c r="NDI418" s="2"/>
      <c r="NDJ418" s="2"/>
      <c r="NDK418" s="2"/>
      <c r="NDL418" s="2"/>
      <c r="NDM418" s="2"/>
      <c r="NDN418" s="2"/>
      <c r="NDO418" s="2"/>
      <c r="NDP418" s="2"/>
      <c r="NDQ418" s="2"/>
      <c r="NDR418" s="2"/>
      <c r="NDS418" s="2"/>
      <c r="NDT418" s="2"/>
      <c r="NDU418" s="2"/>
      <c r="NDV418" s="2"/>
      <c r="NDW418" s="2"/>
      <c r="NDX418" s="2"/>
      <c r="NDY418" s="2"/>
      <c r="NDZ418" s="2"/>
      <c r="NEA418" s="2"/>
      <c r="NEB418" s="2"/>
      <c r="NEC418" s="2"/>
      <c r="NED418" s="2"/>
      <c r="NEE418" s="2"/>
      <c r="NEF418" s="2"/>
      <c r="NEG418" s="2"/>
      <c r="NEH418" s="2"/>
      <c r="NEI418" s="2"/>
      <c r="NEJ418" s="2"/>
      <c r="NEK418" s="2"/>
      <c r="NEL418" s="2"/>
      <c r="NEM418" s="2"/>
      <c r="NEN418" s="2"/>
      <c r="NEO418" s="2"/>
      <c r="NEP418" s="2"/>
      <c r="NEQ418" s="2"/>
      <c r="NER418" s="2"/>
      <c r="NES418" s="2"/>
      <c r="NET418" s="2"/>
      <c r="NEU418" s="2"/>
      <c r="NEV418" s="2"/>
      <c r="NEW418" s="2"/>
      <c r="NEX418" s="2"/>
      <c r="NEY418" s="2"/>
      <c r="NEZ418" s="2"/>
      <c r="NFA418" s="2"/>
      <c r="NFB418" s="2"/>
      <c r="NFC418" s="2"/>
      <c r="NFD418" s="2"/>
      <c r="NFE418" s="2"/>
      <c r="NFF418" s="2"/>
      <c r="NFG418" s="2"/>
      <c r="NFH418" s="2"/>
      <c r="NFI418" s="2"/>
      <c r="NFJ418" s="2"/>
      <c r="NFK418" s="2"/>
      <c r="NFL418" s="2"/>
      <c r="NFM418" s="2"/>
      <c r="NFN418" s="2"/>
      <c r="NFO418" s="2"/>
      <c r="NFP418" s="2"/>
      <c r="NFQ418" s="2"/>
      <c r="NFR418" s="2"/>
      <c r="NFS418" s="2"/>
      <c r="NFT418" s="2"/>
      <c r="NFU418" s="2"/>
      <c r="NFV418" s="2"/>
      <c r="NFW418" s="2"/>
      <c r="NFX418" s="2"/>
      <c r="NFY418" s="2"/>
      <c r="NFZ418" s="2"/>
      <c r="NGA418" s="2"/>
      <c r="NGB418" s="2"/>
      <c r="NGC418" s="2"/>
      <c r="NGD418" s="2"/>
      <c r="NGE418" s="2"/>
      <c r="NGF418" s="2"/>
      <c r="NGG418" s="2"/>
      <c r="NGH418" s="2"/>
      <c r="NGI418" s="2"/>
      <c r="NGJ418" s="2"/>
      <c r="NGK418" s="2"/>
      <c r="NGL418" s="2"/>
      <c r="NGM418" s="2"/>
      <c r="NGN418" s="2"/>
      <c r="NGO418" s="2"/>
      <c r="NGP418" s="2"/>
      <c r="NGQ418" s="2"/>
      <c r="NGR418" s="2"/>
      <c r="NGS418" s="2"/>
      <c r="NGT418" s="2"/>
      <c r="NGU418" s="2"/>
      <c r="NGV418" s="2"/>
      <c r="NGW418" s="2"/>
      <c r="NGX418" s="2"/>
      <c r="NGY418" s="2"/>
      <c r="NGZ418" s="2"/>
      <c r="NHA418" s="2"/>
      <c r="NHB418" s="2"/>
      <c r="NHC418" s="2"/>
      <c r="NHD418" s="2"/>
      <c r="NHE418" s="2"/>
      <c r="NHF418" s="2"/>
      <c r="NHG418" s="2"/>
      <c r="NHH418" s="2"/>
      <c r="NHI418" s="2"/>
      <c r="NHJ418" s="2"/>
      <c r="NHK418" s="2"/>
      <c r="NHL418" s="2"/>
      <c r="NHM418" s="2"/>
      <c r="NHN418" s="2"/>
      <c r="NHO418" s="2"/>
      <c r="NHP418" s="2"/>
      <c r="NHQ418" s="2"/>
      <c r="NHR418" s="2"/>
      <c r="NHS418" s="2"/>
      <c r="NHT418" s="2"/>
      <c r="NHU418" s="2"/>
      <c r="NHV418" s="2"/>
      <c r="NHW418" s="2"/>
      <c r="NHX418" s="2"/>
      <c r="NHY418" s="2"/>
      <c r="NHZ418" s="2"/>
      <c r="NIA418" s="2"/>
      <c r="NIB418" s="2"/>
      <c r="NIC418" s="2"/>
      <c r="NID418" s="2"/>
      <c r="NIE418" s="2"/>
      <c r="NIF418" s="2"/>
      <c r="NIG418" s="2"/>
      <c r="NIH418" s="2"/>
      <c r="NII418" s="2"/>
      <c r="NIJ418" s="2"/>
      <c r="NIK418" s="2"/>
      <c r="NIL418" s="2"/>
      <c r="NIM418" s="2"/>
      <c r="NIN418" s="2"/>
      <c r="NIO418" s="2"/>
      <c r="NIP418" s="2"/>
      <c r="NIQ418" s="2"/>
      <c r="NIR418" s="2"/>
      <c r="NIS418" s="2"/>
      <c r="NIT418" s="2"/>
      <c r="NIU418" s="2"/>
      <c r="NIV418" s="2"/>
      <c r="NIW418" s="2"/>
      <c r="NIX418" s="2"/>
      <c r="NIY418" s="2"/>
      <c r="NIZ418" s="2"/>
      <c r="NJA418" s="2"/>
      <c r="NJB418" s="2"/>
      <c r="NJC418" s="2"/>
      <c r="NJD418" s="2"/>
      <c r="NJE418" s="2"/>
      <c r="NJF418" s="2"/>
      <c r="NJG418" s="2"/>
      <c r="NJH418" s="2"/>
      <c r="NJI418" s="2"/>
      <c r="NJJ418" s="2"/>
      <c r="NJK418" s="2"/>
      <c r="NJL418" s="2"/>
      <c r="NJM418" s="2"/>
      <c r="NJN418" s="2"/>
      <c r="NJO418" s="2"/>
      <c r="NJP418" s="2"/>
      <c r="NJQ418" s="2"/>
      <c r="NJR418" s="2"/>
      <c r="NJS418" s="2"/>
      <c r="NJT418" s="2"/>
      <c r="NJU418" s="2"/>
      <c r="NJV418" s="2"/>
      <c r="NJW418" s="2"/>
      <c r="NJX418" s="2"/>
      <c r="NJY418" s="2"/>
      <c r="NJZ418" s="2"/>
      <c r="NKA418" s="2"/>
      <c r="NKB418" s="2"/>
      <c r="NKC418" s="2"/>
      <c r="NKD418" s="2"/>
      <c r="NKE418" s="2"/>
      <c r="NKF418" s="2"/>
      <c r="NKG418" s="2"/>
      <c r="NKH418" s="2"/>
      <c r="NKI418" s="2"/>
      <c r="NKJ418" s="2"/>
      <c r="NKK418" s="2"/>
      <c r="NKL418" s="2"/>
      <c r="NKM418" s="2"/>
      <c r="NKN418" s="2"/>
      <c r="NKO418" s="2"/>
      <c r="NKP418" s="2"/>
      <c r="NKQ418" s="2"/>
      <c r="NKR418" s="2"/>
      <c r="NKS418" s="2"/>
      <c r="NKT418" s="2"/>
      <c r="NKU418" s="2"/>
      <c r="NKV418" s="2"/>
      <c r="NKW418" s="2"/>
      <c r="NKX418" s="2"/>
      <c r="NKY418" s="2"/>
      <c r="NKZ418" s="2"/>
      <c r="NLA418" s="2"/>
      <c r="NLB418" s="2"/>
      <c r="NLC418" s="2"/>
      <c r="NLD418" s="2"/>
      <c r="NLE418" s="2"/>
      <c r="NLF418" s="2"/>
      <c r="NLG418" s="2"/>
      <c r="NLH418" s="2"/>
      <c r="NLI418" s="2"/>
      <c r="NLJ418" s="2"/>
      <c r="NLK418" s="2"/>
      <c r="NLL418" s="2"/>
      <c r="NLM418" s="2"/>
      <c r="NLN418" s="2"/>
      <c r="NLO418" s="2"/>
      <c r="NLP418" s="2"/>
      <c r="NLQ418" s="2"/>
      <c r="NLR418" s="2"/>
      <c r="NLS418" s="2"/>
      <c r="NLT418" s="2"/>
      <c r="NLU418" s="2"/>
      <c r="NLV418" s="2"/>
      <c r="NLW418" s="2"/>
      <c r="NLX418" s="2"/>
      <c r="NLY418" s="2"/>
      <c r="NLZ418" s="2"/>
      <c r="NMA418" s="2"/>
      <c r="NMB418" s="2"/>
      <c r="NMC418" s="2"/>
      <c r="NMD418" s="2"/>
      <c r="NME418" s="2"/>
      <c r="NMF418" s="2"/>
      <c r="NMG418" s="2"/>
      <c r="NMH418" s="2"/>
      <c r="NMI418" s="2"/>
      <c r="NMJ418" s="2"/>
      <c r="NMK418" s="2"/>
      <c r="NML418" s="2"/>
      <c r="NMM418" s="2"/>
      <c r="NMN418" s="2"/>
      <c r="NMO418" s="2"/>
      <c r="NMP418" s="2"/>
      <c r="NMQ418" s="2"/>
      <c r="NMR418" s="2"/>
      <c r="NMS418" s="2"/>
      <c r="NMT418" s="2"/>
      <c r="NMU418" s="2"/>
      <c r="NMV418" s="2"/>
      <c r="NMW418" s="2"/>
      <c r="NMX418" s="2"/>
      <c r="NMY418" s="2"/>
      <c r="NMZ418" s="2"/>
      <c r="NNA418" s="2"/>
      <c r="NNB418" s="2"/>
      <c r="NNC418" s="2"/>
      <c r="NND418" s="2"/>
      <c r="NNE418" s="2"/>
      <c r="NNF418" s="2"/>
      <c r="NNG418" s="2"/>
      <c r="NNH418" s="2"/>
      <c r="NNI418" s="2"/>
      <c r="NNJ418" s="2"/>
      <c r="NNK418" s="2"/>
      <c r="NNL418" s="2"/>
      <c r="NNM418" s="2"/>
      <c r="NNN418" s="2"/>
      <c r="NNO418" s="2"/>
      <c r="NNP418" s="2"/>
      <c r="NNQ418" s="2"/>
      <c r="NNR418" s="2"/>
      <c r="NNS418" s="2"/>
      <c r="NNT418" s="2"/>
      <c r="NNU418" s="2"/>
      <c r="NNV418" s="2"/>
      <c r="NNW418" s="2"/>
      <c r="NNX418" s="2"/>
      <c r="NNY418" s="2"/>
      <c r="NNZ418" s="2"/>
      <c r="NOA418" s="2"/>
      <c r="NOB418" s="2"/>
      <c r="NOC418" s="2"/>
      <c r="NOD418" s="2"/>
      <c r="NOE418" s="2"/>
      <c r="NOF418" s="2"/>
      <c r="NOG418" s="2"/>
      <c r="NOH418" s="2"/>
      <c r="NOI418" s="2"/>
      <c r="NOJ418" s="2"/>
      <c r="NOK418" s="2"/>
      <c r="NOL418" s="2"/>
      <c r="NOM418" s="2"/>
      <c r="NON418" s="2"/>
      <c r="NOO418" s="2"/>
      <c r="NOP418" s="2"/>
      <c r="NOQ418" s="2"/>
      <c r="NOR418" s="2"/>
      <c r="NOS418" s="2"/>
      <c r="NOT418" s="2"/>
      <c r="NOU418" s="2"/>
      <c r="NOV418" s="2"/>
      <c r="NOW418" s="2"/>
      <c r="NOX418" s="2"/>
      <c r="NOY418" s="2"/>
      <c r="NOZ418" s="2"/>
      <c r="NPA418" s="2"/>
      <c r="NPB418" s="2"/>
      <c r="NPC418" s="2"/>
      <c r="NPD418" s="2"/>
      <c r="NPE418" s="2"/>
      <c r="NPF418" s="2"/>
      <c r="NPG418" s="2"/>
      <c r="NPH418" s="2"/>
      <c r="NPI418" s="2"/>
      <c r="NPJ418" s="2"/>
      <c r="NPK418" s="2"/>
      <c r="NPL418" s="2"/>
      <c r="NPM418" s="2"/>
      <c r="NPN418" s="2"/>
      <c r="NPO418" s="2"/>
      <c r="NPP418" s="2"/>
      <c r="NPQ418" s="2"/>
      <c r="NPR418" s="2"/>
      <c r="NPS418" s="2"/>
      <c r="NPT418" s="2"/>
      <c r="NPU418" s="2"/>
      <c r="NPV418" s="2"/>
      <c r="NPW418" s="2"/>
      <c r="NPX418" s="2"/>
      <c r="NPY418" s="2"/>
      <c r="NPZ418" s="2"/>
      <c r="NQA418" s="2"/>
      <c r="NQB418" s="2"/>
      <c r="NQC418" s="2"/>
      <c r="NQD418" s="2"/>
      <c r="NQE418" s="2"/>
      <c r="NQF418" s="2"/>
      <c r="NQG418" s="2"/>
      <c r="NQH418" s="2"/>
      <c r="NQI418" s="2"/>
      <c r="NQJ418" s="2"/>
      <c r="NQK418" s="2"/>
      <c r="NQL418" s="2"/>
      <c r="NQM418" s="2"/>
      <c r="NQN418" s="2"/>
      <c r="NQO418" s="2"/>
      <c r="NQP418" s="2"/>
      <c r="NQQ418" s="2"/>
      <c r="NQR418" s="2"/>
      <c r="NQS418" s="2"/>
      <c r="NQT418" s="2"/>
      <c r="NQU418" s="2"/>
      <c r="NQV418" s="2"/>
      <c r="NQW418" s="2"/>
      <c r="NQX418" s="2"/>
      <c r="NQY418" s="2"/>
      <c r="NQZ418" s="2"/>
      <c r="NRA418" s="2"/>
      <c r="NRB418" s="2"/>
      <c r="NRC418" s="2"/>
      <c r="NRD418" s="2"/>
      <c r="NRE418" s="2"/>
      <c r="NRF418" s="2"/>
      <c r="NRG418" s="2"/>
      <c r="NRH418" s="2"/>
      <c r="NRI418" s="2"/>
      <c r="NRJ418" s="2"/>
      <c r="NRK418" s="2"/>
      <c r="NRL418" s="2"/>
      <c r="NRM418" s="2"/>
      <c r="NRN418" s="2"/>
      <c r="NRO418" s="2"/>
      <c r="NRP418" s="2"/>
      <c r="NRQ418" s="2"/>
      <c r="NRR418" s="2"/>
      <c r="NRS418" s="2"/>
      <c r="NRT418" s="2"/>
      <c r="NRU418" s="2"/>
      <c r="NRV418" s="2"/>
      <c r="NRW418" s="2"/>
      <c r="NRX418" s="2"/>
      <c r="NRY418" s="2"/>
      <c r="NRZ418" s="2"/>
      <c r="NSA418" s="2"/>
      <c r="NSB418" s="2"/>
      <c r="NSC418" s="2"/>
      <c r="NSD418" s="2"/>
      <c r="NSE418" s="2"/>
      <c r="NSF418" s="2"/>
      <c r="NSG418" s="2"/>
      <c r="NSH418" s="2"/>
      <c r="NSI418" s="2"/>
      <c r="NSJ418" s="2"/>
      <c r="NSK418" s="2"/>
      <c r="NSL418" s="2"/>
      <c r="NSM418" s="2"/>
      <c r="NSN418" s="2"/>
      <c r="NSO418" s="2"/>
      <c r="NSP418" s="2"/>
      <c r="NSQ418" s="2"/>
      <c r="NSR418" s="2"/>
      <c r="NSS418" s="2"/>
      <c r="NST418" s="2"/>
      <c r="NSU418" s="2"/>
      <c r="NSV418" s="2"/>
      <c r="NSW418" s="2"/>
      <c r="NSX418" s="2"/>
      <c r="NSY418" s="2"/>
      <c r="NSZ418" s="2"/>
      <c r="NTA418" s="2"/>
      <c r="NTB418" s="2"/>
      <c r="NTC418" s="2"/>
      <c r="NTD418" s="2"/>
      <c r="NTE418" s="2"/>
      <c r="NTF418" s="2"/>
      <c r="NTG418" s="2"/>
      <c r="NTH418" s="2"/>
      <c r="NTI418" s="2"/>
      <c r="NTJ418" s="2"/>
      <c r="NTK418" s="2"/>
      <c r="NTL418" s="2"/>
      <c r="NTM418" s="2"/>
      <c r="NTN418" s="2"/>
      <c r="NTO418" s="2"/>
      <c r="NTP418" s="2"/>
      <c r="NTQ418" s="2"/>
      <c r="NTR418" s="2"/>
      <c r="NTS418" s="2"/>
      <c r="NTT418" s="2"/>
      <c r="NTU418" s="2"/>
      <c r="NTV418" s="2"/>
      <c r="NTW418" s="2"/>
      <c r="NTX418" s="2"/>
      <c r="NTY418" s="2"/>
      <c r="NTZ418" s="2"/>
      <c r="NUA418" s="2"/>
      <c r="NUB418" s="2"/>
      <c r="NUC418" s="2"/>
      <c r="NUD418" s="2"/>
      <c r="NUE418" s="2"/>
      <c r="NUF418" s="2"/>
      <c r="NUG418" s="2"/>
      <c r="NUH418" s="2"/>
      <c r="NUI418" s="2"/>
      <c r="NUJ418" s="2"/>
      <c r="NUK418" s="2"/>
      <c r="NUL418" s="2"/>
      <c r="NUM418" s="2"/>
      <c r="NUN418" s="2"/>
      <c r="NUO418" s="2"/>
      <c r="NUP418" s="2"/>
      <c r="NUQ418" s="2"/>
      <c r="NUR418" s="2"/>
      <c r="NUS418" s="2"/>
      <c r="NUT418" s="2"/>
      <c r="NUU418" s="2"/>
      <c r="NUV418" s="2"/>
      <c r="NUW418" s="2"/>
      <c r="NUX418" s="2"/>
      <c r="NUY418" s="2"/>
      <c r="NUZ418" s="2"/>
      <c r="NVA418" s="2"/>
      <c r="NVB418" s="2"/>
      <c r="NVC418" s="2"/>
      <c r="NVD418" s="2"/>
      <c r="NVE418" s="2"/>
      <c r="NVF418" s="2"/>
      <c r="NVG418" s="2"/>
      <c r="NVH418" s="2"/>
      <c r="NVI418" s="2"/>
      <c r="NVJ418" s="2"/>
      <c r="NVK418" s="2"/>
      <c r="NVL418" s="2"/>
      <c r="NVM418" s="2"/>
      <c r="NVN418" s="2"/>
      <c r="NVO418" s="2"/>
      <c r="NVP418" s="2"/>
      <c r="NVQ418" s="2"/>
      <c r="NVR418" s="2"/>
      <c r="NVS418" s="2"/>
      <c r="NVT418" s="2"/>
      <c r="NVU418" s="2"/>
      <c r="NVV418" s="2"/>
      <c r="NVW418" s="2"/>
      <c r="NVX418" s="2"/>
      <c r="NVY418" s="2"/>
      <c r="NVZ418" s="2"/>
      <c r="NWA418" s="2"/>
      <c r="NWB418" s="2"/>
      <c r="NWC418" s="2"/>
      <c r="NWD418" s="2"/>
      <c r="NWE418" s="2"/>
      <c r="NWF418" s="2"/>
      <c r="NWG418" s="2"/>
      <c r="NWH418" s="2"/>
      <c r="NWI418" s="2"/>
      <c r="NWJ418" s="2"/>
      <c r="NWK418" s="2"/>
      <c r="NWL418" s="2"/>
      <c r="NWM418" s="2"/>
      <c r="NWN418" s="2"/>
      <c r="NWO418" s="2"/>
      <c r="NWP418" s="2"/>
      <c r="NWQ418" s="2"/>
      <c r="NWR418" s="2"/>
      <c r="NWS418" s="2"/>
      <c r="NWT418" s="2"/>
      <c r="NWU418" s="2"/>
      <c r="NWV418" s="2"/>
      <c r="NWW418" s="2"/>
      <c r="NWX418" s="2"/>
      <c r="NWY418" s="2"/>
      <c r="NWZ418" s="2"/>
      <c r="NXA418" s="2"/>
      <c r="NXB418" s="2"/>
      <c r="NXC418" s="2"/>
      <c r="NXD418" s="2"/>
      <c r="NXE418" s="2"/>
      <c r="NXF418" s="2"/>
      <c r="NXG418" s="2"/>
      <c r="NXH418" s="2"/>
      <c r="NXI418" s="2"/>
      <c r="NXJ418" s="2"/>
      <c r="NXK418" s="2"/>
      <c r="NXL418" s="2"/>
      <c r="NXM418" s="2"/>
      <c r="NXN418" s="2"/>
      <c r="NXO418" s="2"/>
      <c r="NXP418" s="2"/>
      <c r="NXQ418" s="2"/>
      <c r="NXR418" s="2"/>
      <c r="NXS418" s="2"/>
      <c r="NXT418" s="2"/>
      <c r="NXU418" s="2"/>
      <c r="NXV418" s="2"/>
      <c r="NXW418" s="2"/>
      <c r="NXX418" s="2"/>
      <c r="NXY418" s="2"/>
      <c r="NXZ418" s="2"/>
      <c r="NYA418" s="2"/>
      <c r="NYB418" s="2"/>
      <c r="NYC418" s="2"/>
      <c r="NYD418" s="2"/>
      <c r="NYE418" s="2"/>
      <c r="NYF418" s="2"/>
      <c r="NYG418" s="2"/>
      <c r="NYH418" s="2"/>
      <c r="NYI418" s="2"/>
      <c r="NYJ418" s="2"/>
      <c r="NYK418" s="2"/>
      <c r="NYL418" s="2"/>
      <c r="NYM418" s="2"/>
      <c r="NYN418" s="2"/>
      <c r="NYO418" s="2"/>
      <c r="NYP418" s="2"/>
      <c r="NYQ418" s="2"/>
      <c r="NYR418" s="2"/>
      <c r="NYS418" s="2"/>
      <c r="NYT418" s="2"/>
      <c r="NYU418" s="2"/>
      <c r="NYV418" s="2"/>
      <c r="NYW418" s="2"/>
      <c r="NYX418" s="2"/>
      <c r="NYY418" s="2"/>
      <c r="NYZ418" s="2"/>
      <c r="NZA418" s="2"/>
      <c r="NZB418" s="2"/>
      <c r="NZC418" s="2"/>
      <c r="NZD418" s="2"/>
      <c r="NZE418" s="2"/>
      <c r="NZF418" s="2"/>
      <c r="NZG418" s="2"/>
      <c r="NZH418" s="2"/>
      <c r="NZI418" s="2"/>
      <c r="NZJ418" s="2"/>
      <c r="NZK418" s="2"/>
      <c r="NZL418" s="2"/>
      <c r="NZM418" s="2"/>
      <c r="NZN418" s="2"/>
      <c r="NZO418" s="2"/>
      <c r="NZP418" s="2"/>
      <c r="NZQ418" s="2"/>
      <c r="NZR418" s="2"/>
      <c r="NZS418" s="2"/>
      <c r="NZT418" s="2"/>
      <c r="NZU418" s="2"/>
      <c r="NZV418" s="2"/>
      <c r="NZW418" s="2"/>
      <c r="NZX418" s="2"/>
      <c r="NZY418" s="2"/>
      <c r="NZZ418" s="2"/>
      <c r="OAA418" s="2"/>
      <c r="OAB418" s="2"/>
      <c r="OAC418" s="2"/>
      <c r="OAD418" s="2"/>
      <c r="OAE418" s="2"/>
      <c r="OAF418" s="2"/>
      <c r="OAG418" s="2"/>
      <c r="OAH418" s="2"/>
      <c r="OAI418" s="2"/>
      <c r="OAJ418" s="2"/>
      <c r="OAK418" s="2"/>
      <c r="OAL418" s="2"/>
      <c r="OAM418" s="2"/>
      <c r="OAN418" s="2"/>
      <c r="OAO418" s="2"/>
      <c r="OAP418" s="2"/>
      <c r="OAQ418" s="2"/>
      <c r="OAR418" s="2"/>
      <c r="OAS418" s="2"/>
      <c r="OAT418" s="2"/>
      <c r="OAU418" s="2"/>
      <c r="OAV418" s="2"/>
      <c r="OAW418" s="2"/>
      <c r="OAX418" s="2"/>
      <c r="OAY418" s="2"/>
      <c r="OAZ418" s="2"/>
      <c r="OBA418" s="2"/>
      <c r="OBB418" s="2"/>
      <c r="OBC418" s="2"/>
      <c r="OBD418" s="2"/>
      <c r="OBE418" s="2"/>
      <c r="OBF418" s="2"/>
      <c r="OBG418" s="2"/>
      <c r="OBH418" s="2"/>
      <c r="OBI418" s="2"/>
      <c r="OBJ418" s="2"/>
      <c r="OBK418" s="2"/>
      <c r="OBL418" s="2"/>
      <c r="OBM418" s="2"/>
      <c r="OBN418" s="2"/>
      <c r="OBO418" s="2"/>
      <c r="OBP418" s="2"/>
      <c r="OBQ418" s="2"/>
      <c r="OBR418" s="2"/>
      <c r="OBS418" s="2"/>
      <c r="OBT418" s="2"/>
      <c r="OBU418" s="2"/>
      <c r="OBV418" s="2"/>
      <c r="OBW418" s="2"/>
      <c r="OBX418" s="2"/>
      <c r="OBY418" s="2"/>
      <c r="OBZ418" s="2"/>
      <c r="OCA418" s="2"/>
      <c r="OCB418" s="2"/>
      <c r="OCC418" s="2"/>
      <c r="OCD418" s="2"/>
      <c r="OCE418" s="2"/>
      <c r="OCF418" s="2"/>
      <c r="OCG418" s="2"/>
      <c r="OCH418" s="2"/>
      <c r="OCI418" s="2"/>
      <c r="OCJ418" s="2"/>
      <c r="OCK418" s="2"/>
      <c r="OCL418" s="2"/>
      <c r="OCM418" s="2"/>
      <c r="OCN418" s="2"/>
      <c r="OCO418" s="2"/>
      <c r="OCP418" s="2"/>
      <c r="OCQ418" s="2"/>
      <c r="OCR418" s="2"/>
      <c r="OCS418" s="2"/>
      <c r="OCT418" s="2"/>
      <c r="OCU418" s="2"/>
      <c r="OCV418" s="2"/>
      <c r="OCW418" s="2"/>
      <c r="OCX418" s="2"/>
      <c r="OCY418" s="2"/>
      <c r="OCZ418" s="2"/>
      <c r="ODA418" s="2"/>
      <c r="ODB418" s="2"/>
      <c r="ODC418" s="2"/>
      <c r="ODD418" s="2"/>
      <c r="ODE418" s="2"/>
      <c r="ODF418" s="2"/>
      <c r="ODG418" s="2"/>
      <c r="ODH418" s="2"/>
      <c r="ODI418" s="2"/>
      <c r="ODJ418" s="2"/>
      <c r="ODK418" s="2"/>
      <c r="ODL418" s="2"/>
      <c r="ODM418" s="2"/>
      <c r="ODN418" s="2"/>
      <c r="ODO418" s="2"/>
      <c r="ODP418" s="2"/>
      <c r="ODQ418" s="2"/>
      <c r="ODR418" s="2"/>
      <c r="ODS418" s="2"/>
      <c r="ODT418" s="2"/>
      <c r="ODU418" s="2"/>
      <c r="ODV418" s="2"/>
      <c r="ODW418" s="2"/>
      <c r="ODX418" s="2"/>
      <c r="ODY418" s="2"/>
      <c r="ODZ418" s="2"/>
      <c r="OEA418" s="2"/>
      <c r="OEB418" s="2"/>
      <c r="OEC418" s="2"/>
      <c r="OED418" s="2"/>
      <c r="OEE418" s="2"/>
      <c r="OEF418" s="2"/>
      <c r="OEG418" s="2"/>
      <c r="OEH418" s="2"/>
      <c r="OEI418" s="2"/>
      <c r="OEJ418" s="2"/>
      <c r="OEK418" s="2"/>
      <c r="OEL418" s="2"/>
      <c r="OEM418" s="2"/>
      <c r="OEN418" s="2"/>
      <c r="OEO418" s="2"/>
      <c r="OEP418" s="2"/>
      <c r="OEQ418" s="2"/>
      <c r="OER418" s="2"/>
      <c r="OES418" s="2"/>
      <c r="OET418" s="2"/>
      <c r="OEU418" s="2"/>
      <c r="OEV418" s="2"/>
      <c r="OEW418" s="2"/>
      <c r="OEX418" s="2"/>
      <c r="OEY418" s="2"/>
      <c r="OEZ418" s="2"/>
      <c r="OFA418" s="2"/>
      <c r="OFB418" s="2"/>
      <c r="OFC418" s="2"/>
      <c r="OFD418" s="2"/>
      <c r="OFE418" s="2"/>
      <c r="OFF418" s="2"/>
      <c r="OFG418" s="2"/>
      <c r="OFH418" s="2"/>
      <c r="OFI418" s="2"/>
      <c r="OFJ418" s="2"/>
      <c r="OFK418" s="2"/>
      <c r="OFL418" s="2"/>
      <c r="OFM418" s="2"/>
      <c r="OFN418" s="2"/>
      <c r="OFO418" s="2"/>
      <c r="OFP418" s="2"/>
      <c r="OFQ418" s="2"/>
      <c r="OFR418" s="2"/>
      <c r="OFS418" s="2"/>
      <c r="OFT418" s="2"/>
      <c r="OFU418" s="2"/>
      <c r="OFV418" s="2"/>
      <c r="OFW418" s="2"/>
      <c r="OFX418" s="2"/>
      <c r="OFY418" s="2"/>
      <c r="OFZ418" s="2"/>
      <c r="OGA418" s="2"/>
      <c r="OGB418" s="2"/>
      <c r="OGC418" s="2"/>
      <c r="OGD418" s="2"/>
      <c r="OGE418" s="2"/>
      <c r="OGF418" s="2"/>
      <c r="OGG418" s="2"/>
      <c r="OGH418" s="2"/>
      <c r="OGI418" s="2"/>
      <c r="OGJ418" s="2"/>
      <c r="OGK418" s="2"/>
      <c r="OGL418" s="2"/>
      <c r="OGM418" s="2"/>
      <c r="OGN418" s="2"/>
      <c r="OGO418" s="2"/>
      <c r="OGP418" s="2"/>
      <c r="OGQ418" s="2"/>
      <c r="OGR418" s="2"/>
      <c r="OGS418" s="2"/>
      <c r="OGT418" s="2"/>
      <c r="OGU418" s="2"/>
      <c r="OGV418" s="2"/>
      <c r="OGW418" s="2"/>
      <c r="OGX418" s="2"/>
      <c r="OGY418" s="2"/>
      <c r="OGZ418" s="2"/>
      <c r="OHA418" s="2"/>
      <c r="OHB418" s="2"/>
      <c r="OHC418" s="2"/>
      <c r="OHD418" s="2"/>
      <c r="OHE418" s="2"/>
      <c r="OHF418" s="2"/>
      <c r="OHG418" s="2"/>
      <c r="OHH418" s="2"/>
      <c r="OHI418" s="2"/>
      <c r="OHJ418" s="2"/>
      <c r="OHK418" s="2"/>
      <c r="OHL418" s="2"/>
      <c r="OHM418" s="2"/>
      <c r="OHN418" s="2"/>
      <c r="OHO418" s="2"/>
      <c r="OHP418" s="2"/>
      <c r="OHQ418" s="2"/>
      <c r="OHR418" s="2"/>
      <c r="OHS418" s="2"/>
      <c r="OHT418" s="2"/>
      <c r="OHU418" s="2"/>
      <c r="OHV418" s="2"/>
      <c r="OHW418" s="2"/>
      <c r="OHX418" s="2"/>
      <c r="OHY418" s="2"/>
      <c r="OHZ418" s="2"/>
      <c r="OIA418" s="2"/>
      <c r="OIB418" s="2"/>
      <c r="OIC418" s="2"/>
      <c r="OID418" s="2"/>
      <c r="OIE418" s="2"/>
      <c r="OIF418" s="2"/>
      <c r="OIG418" s="2"/>
      <c r="OIH418" s="2"/>
      <c r="OII418" s="2"/>
      <c r="OIJ418" s="2"/>
      <c r="OIK418" s="2"/>
      <c r="OIL418" s="2"/>
      <c r="OIM418" s="2"/>
      <c r="OIN418" s="2"/>
      <c r="OIO418" s="2"/>
      <c r="OIP418" s="2"/>
      <c r="OIQ418" s="2"/>
      <c r="OIR418" s="2"/>
      <c r="OIS418" s="2"/>
      <c r="OIT418" s="2"/>
      <c r="OIU418" s="2"/>
      <c r="OIV418" s="2"/>
      <c r="OIW418" s="2"/>
      <c r="OIX418" s="2"/>
      <c r="OIY418" s="2"/>
      <c r="OIZ418" s="2"/>
      <c r="OJA418" s="2"/>
      <c r="OJB418" s="2"/>
      <c r="OJC418" s="2"/>
      <c r="OJD418" s="2"/>
      <c r="OJE418" s="2"/>
      <c r="OJF418" s="2"/>
      <c r="OJG418" s="2"/>
      <c r="OJH418" s="2"/>
      <c r="OJI418" s="2"/>
      <c r="OJJ418" s="2"/>
      <c r="OJK418" s="2"/>
      <c r="OJL418" s="2"/>
      <c r="OJM418" s="2"/>
      <c r="OJN418" s="2"/>
      <c r="OJO418" s="2"/>
      <c r="OJP418" s="2"/>
      <c r="OJQ418" s="2"/>
      <c r="OJR418" s="2"/>
      <c r="OJS418" s="2"/>
      <c r="OJT418" s="2"/>
      <c r="OJU418" s="2"/>
      <c r="OJV418" s="2"/>
      <c r="OJW418" s="2"/>
      <c r="OJX418" s="2"/>
      <c r="OJY418" s="2"/>
      <c r="OJZ418" s="2"/>
      <c r="OKA418" s="2"/>
      <c r="OKB418" s="2"/>
      <c r="OKC418" s="2"/>
      <c r="OKD418" s="2"/>
      <c r="OKE418" s="2"/>
      <c r="OKF418" s="2"/>
      <c r="OKG418" s="2"/>
      <c r="OKH418" s="2"/>
      <c r="OKI418" s="2"/>
      <c r="OKJ418" s="2"/>
      <c r="OKK418" s="2"/>
      <c r="OKL418" s="2"/>
      <c r="OKM418" s="2"/>
      <c r="OKN418" s="2"/>
      <c r="OKO418" s="2"/>
      <c r="OKP418" s="2"/>
      <c r="OKQ418" s="2"/>
      <c r="OKR418" s="2"/>
      <c r="OKS418" s="2"/>
      <c r="OKT418" s="2"/>
      <c r="OKU418" s="2"/>
      <c r="OKV418" s="2"/>
      <c r="OKW418" s="2"/>
      <c r="OKX418" s="2"/>
      <c r="OKY418" s="2"/>
      <c r="OKZ418" s="2"/>
      <c r="OLA418" s="2"/>
      <c r="OLB418" s="2"/>
      <c r="OLC418" s="2"/>
      <c r="OLD418" s="2"/>
      <c r="OLE418" s="2"/>
      <c r="OLF418" s="2"/>
      <c r="OLG418" s="2"/>
      <c r="OLH418" s="2"/>
      <c r="OLI418" s="2"/>
      <c r="OLJ418" s="2"/>
      <c r="OLK418" s="2"/>
      <c r="OLL418" s="2"/>
      <c r="OLM418" s="2"/>
      <c r="OLN418" s="2"/>
      <c r="OLO418" s="2"/>
      <c r="OLP418" s="2"/>
      <c r="OLQ418" s="2"/>
      <c r="OLR418" s="2"/>
      <c r="OLS418" s="2"/>
      <c r="OLT418" s="2"/>
      <c r="OLU418" s="2"/>
      <c r="OLV418" s="2"/>
      <c r="OLW418" s="2"/>
      <c r="OLX418" s="2"/>
      <c r="OLY418" s="2"/>
      <c r="OLZ418" s="2"/>
      <c r="OMA418" s="2"/>
      <c r="OMB418" s="2"/>
      <c r="OMC418" s="2"/>
      <c r="OMD418" s="2"/>
      <c r="OME418" s="2"/>
      <c r="OMF418" s="2"/>
      <c r="OMG418" s="2"/>
      <c r="OMH418" s="2"/>
      <c r="OMI418" s="2"/>
      <c r="OMJ418" s="2"/>
      <c r="OMK418" s="2"/>
      <c r="OML418" s="2"/>
      <c r="OMM418" s="2"/>
      <c r="OMN418" s="2"/>
      <c r="OMO418" s="2"/>
      <c r="OMP418" s="2"/>
      <c r="OMQ418" s="2"/>
      <c r="OMR418" s="2"/>
      <c r="OMS418" s="2"/>
      <c r="OMT418" s="2"/>
      <c r="OMU418" s="2"/>
      <c r="OMV418" s="2"/>
      <c r="OMW418" s="2"/>
      <c r="OMX418" s="2"/>
      <c r="OMY418" s="2"/>
      <c r="OMZ418" s="2"/>
      <c r="ONA418" s="2"/>
      <c r="ONB418" s="2"/>
      <c r="ONC418" s="2"/>
      <c r="OND418" s="2"/>
      <c r="ONE418" s="2"/>
      <c r="ONF418" s="2"/>
      <c r="ONG418" s="2"/>
      <c r="ONH418" s="2"/>
      <c r="ONI418" s="2"/>
      <c r="ONJ418" s="2"/>
      <c r="ONK418" s="2"/>
      <c r="ONL418" s="2"/>
      <c r="ONM418" s="2"/>
      <c r="ONN418" s="2"/>
      <c r="ONO418" s="2"/>
      <c r="ONP418" s="2"/>
      <c r="ONQ418" s="2"/>
      <c r="ONR418" s="2"/>
      <c r="ONS418" s="2"/>
      <c r="ONT418" s="2"/>
      <c r="ONU418" s="2"/>
      <c r="ONV418" s="2"/>
      <c r="ONW418" s="2"/>
      <c r="ONX418" s="2"/>
      <c r="ONY418" s="2"/>
      <c r="ONZ418" s="2"/>
      <c r="OOA418" s="2"/>
      <c r="OOB418" s="2"/>
      <c r="OOC418" s="2"/>
      <c r="OOD418" s="2"/>
      <c r="OOE418" s="2"/>
      <c r="OOF418" s="2"/>
      <c r="OOG418" s="2"/>
      <c r="OOH418" s="2"/>
      <c r="OOI418" s="2"/>
      <c r="OOJ418" s="2"/>
      <c r="OOK418" s="2"/>
      <c r="OOL418" s="2"/>
      <c r="OOM418" s="2"/>
      <c r="OON418" s="2"/>
      <c r="OOO418" s="2"/>
      <c r="OOP418" s="2"/>
      <c r="OOQ418" s="2"/>
      <c r="OOR418" s="2"/>
      <c r="OOS418" s="2"/>
      <c r="OOT418" s="2"/>
      <c r="OOU418" s="2"/>
      <c r="OOV418" s="2"/>
      <c r="OOW418" s="2"/>
      <c r="OOX418" s="2"/>
      <c r="OOY418" s="2"/>
      <c r="OOZ418" s="2"/>
      <c r="OPA418" s="2"/>
      <c r="OPB418" s="2"/>
      <c r="OPC418" s="2"/>
      <c r="OPD418" s="2"/>
      <c r="OPE418" s="2"/>
      <c r="OPF418" s="2"/>
      <c r="OPG418" s="2"/>
      <c r="OPH418" s="2"/>
      <c r="OPI418" s="2"/>
      <c r="OPJ418" s="2"/>
      <c r="OPK418" s="2"/>
      <c r="OPL418" s="2"/>
      <c r="OPM418" s="2"/>
      <c r="OPN418" s="2"/>
      <c r="OPO418" s="2"/>
      <c r="OPP418" s="2"/>
      <c r="OPQ418" s="2"/>
      <c r="OPR418" s="2"/>
      <c r="OPS418" s="2"/>
      <c r="OPT418" s="2"/>
      <c r="OPU418" s="2"/>
      <c r="OPV418" s="2"/>
      <c r="OPW418" s="2"/>
      <c r="OPX418" s="2"/>
      <c r="OPY418" s="2"/>
      <c r="OPZ418" s="2"/>
      <c r="OQA418" s="2"/>
      <c r="OQB418" s="2"/>
      <c r="OQC418" s="2"/>
      <c r="OQD418" s="2"/>
      <c r="OQE418" s="2"/>
      <c r="OQF418" s="2"/>
      <c r="OQG418" s="2"/>
      <c r="OQH418" s="2"/>
      <c r="OQI418" s="2"/>
      <c r="OQJ418" s="2"/>
      <c r="OQK418" s="2"/>
      <c r="OQL418" s="2"/>
      <c r="OQM418" s="2"/>
      <c r="OQN418" s="2"/>
      <c r="OQO418" s="2"/>
      <c r="OQP418" s="2"/>
      <c r="OQQ418" s="2"/>
      <c r="OQR418" s="2"/>
      <c r="OQS418" s="2"/>
      <c r="OQT418" s="2"/>
      <c r="OQU418" s="2"/>
      <c r="OQV418" s="2"/>
      <c r="OQW418" s="2"/>
      <c r="OQX418" s="2"/>
      <c r="OQY418" s="2"/>
      <c r="OQZ418" s="2"/>
      <c r="ORA418" s="2"/>
      <c r="ORB418" s="2"/>
      <c r="ORC418" s="2"/>
      <c r="ORD418" s="2"/>
      <c r="ORE418" s="2"/>
      <c r="ORF418" s="2"/>
      <c r="ORG418" s="2"/>
      <c r="ORH418" s="2"/>
      <c r="ORI418" s="2"/>
      <c r="ORJ418" s="2"/>
      <c r="ORK418" s="2"/>
      <c r="ORL418" s="2"/>
      <c r="ORM418" s="2"/>
      <c r="ORN418" s="2"/>
      <c r="ORO418" s="2"/>
      <c r="ORP418" s="2"/>
      <c r="ORQ418" s="2"/>
      <c r="ORR418" s="2"/>
      <c r="ORS418" s="2"/>
      <c r="ORT418" s="2"/>
      <c r="ORU418" s="2"/>
      <c r="ORV418" s="2"/>
      <c r="ORW418" s="2"/>
      <c r="ORX418" s="2"/>
      <c r="ORY418" s="2"/>
      <c r="ORZ418" s="2"/>
      <c r="OSA418" s="2"/>
      <c r="OSB418" s="2"/>
      <c r="OSC418" s="2"/>
      <c r="OSD418" s="2"/>
      <c r="OSE418" s="2"/>
      <c r="OSF418" s="2"/>
      <c r="OSG418" s="2"/>
      <c r="OSH418" s="2"/>
      <c r="OSI418" s="2"/>
      <c r="OSJ418" s="2"/>
      <c r="OSK418" s="2"/>
      <c r="OSL418" s="2"/>
      <c r="OSM418" s="2"/>
      <c r="OSN418" s="2"/>
      <c r="OSO418" s="2"/>
      <c r="OSP418" s="2"/>
      <c r="OSQ418" s="2"/>
      <c r="OSR418" s="2"/>
      <c r="OSS418" s="2"/>
      <c r="OST418" s="2"/>
      <c r="OSU418" s="2"/>
      <c r="OSV418" s="2"/>
      <c r="OSW418" s="2"/>
      <c r="OSX418" s="2"/>
      <c r="OSY418" s="2"/>
      <c r="OSZ418" s="2"/>
      <c r="OTA418" s="2"/>
      <c r="OTB418" s="2"/>
      <c r="OTC418" s="2"/>
      <c r="OTD418" s="2"/>
      <c r="OTE418" s="2"/>
      <c r="OTF418" s="2"/>
      <c r="OTG418" s="2"/>
      <c r="OTH418" s="2"/>
      <c r="OTI418" s="2"/>
      <c r="OTJ418" s="2"/>
      <c r="OTK418" s="2"/>
      <c r="OTL418" s="2"/>
      <c r="OTM418" s="2"/>
      <c r="OTN418" s="2"/>
      <c r="OTO418" s="2"/>
      <c r="OTP418" s="2"/>
      <c r="OTQ418" s="2"/>
      <c r="OTR418" s="2"/>
      <c r="OTS418" s="2"/>
      <c r="OTT418" s="2"/>
      <c r="OTU418" s="2"/>
      <c r="OTV418" s="2"/>
      <c r="OTW418" s="2"/>
      <c r="OTX418" s="2"/>
      <c r="OTY418" s="2"/>
      <c r="OTZ418" s="2"/>
      <c r="OUA418" s="2"/>
      <c r="OUB418" s="2"/>
      <c r="OUC418" s="2"/>
      <c r="OUD418" s="2"/>
      <c r="OUE418" s="2"/>
      <c r="OUF418" s="2"/>
      <c r="OUG418" s="2"/>
      <c r="OUH418" s="2"/>
      <c r="OUI418" s="2"/>
      <c r="OUJ418" s="2"/>
      <c r="OUK418" s="2"/>
      <c r="OUL418" s="2"/>
      <c r="OUM418" s="2"/>
      <c r="OUN418" s="2"/>
      <c r="OUO418" s="2"/>
      <c r="OUP418" s="2"/>
      <c r="OUQ418" s="2"/>
      <c r="OUR418" s="2"/>
      <c r="OUS418" s="2"/>
      <c r="OUT418" s="2"/>
      <c r="OUU418" s="2"/>
      <c r="OUV418" s="2"/>
      <c r="OUW418" s="2"/>
      <c r="OUX418" s="2"/>
      <c r="OUY418" s="2"/>
      <c r="OUZ418" s="2"/>
      <c r="OVA418" s="2"/>
      <c r="OVB418" s="2"/>
      <c r="OVC418" s="2"/>
      <c r="OVD418" s="2"/>
      <c r="OVE418" s="2"/>
      <c r="OVF418" s="2"/>
      <c r="OVG418" s="2"/>
      <c r="OVH418" s="2"/>
      <c r="OVI418" s="2"/>
      <c r="OVJ418" s="2"/>
      <c r="OVK418" s="2"/>
      <c r="OVL418" s="2"/>
      <c r="OVM418" s="2"/>
      <c r="OVN418" s="2"/>
      <c r="OVO418" s="2"/>
      <c r="OVP418" s="2"/>
      <c r="OVQ418" s="2"/>
      <c r="OVR418" s="2"/>
      <c r="OVS418" s="2"/>
      <c r="OVT418" s="2"/>
      <c r="OVU418" s="2"/>
      <c r="OVV418" s="2"/>
      <c r="OVW418" s="2"/>
      <c r="OVX418" s="2"/>
      <c r="OVY418" s="2"/>
      <c r="OVZ418" s="2"/>
      <c r="OWA418" s="2"/>
      <c r="OWB418" s="2"/>
      <c r="OWC418" s="2"/>
      <c r="OWD418" s="2"/>
      <c r="OWE418" s="2"/>
      <c r="OWF418" s="2"/>
      <c r="OWG418" s="2"/>
      <c r="OWH418" s="2"/>
      <c r="OWI418" s="2"/>
      <c r="OWJ418" s="2"/>
      <c r="OWK418" s="2"/>
      <c r="OWL418" s="2"/>
      <c r="OWM418" s="2"/>
      <c r="OWN418" s="2"/>
      <c r="OWO418" s="2"/>
      <c r="OWP418" s="2"/>
      <c r="OWQ418" s="2"/>
      <c r="OWR418" s="2"/>
      <c r="OWS418" s="2"/>
      <c r="OWT418" s="2"/>
      <c r="OWU418" s="2"/>
      <c r="OWV418" s="2"/>
      <c r="OWW418" s="2"/>
      <c r="OWX418" s="2"/>
      <c r="OWY418" s="2"/>
      <c r="OWZ418" s="2"/>
      <c r="OXA418" s="2"/>
      <c r="OXB418" s="2"/>
      <c r="OXC418" s="2"/>
      <c r="OXD418" s="2"/>
      <c r="OXE418" s="2"/>
      <c r="OXF418" s="2"/>
      <c r="OXG418" s="2"/>
      <c r="OXH418" s="2"/>
      <c r="OXI418" s="2"/>
      <c r="OXJ418" s="2"/>
      <c r="OXK418" s="2"/>
      <c r="OXL418" s="2"/>
      <c r="OXM418" s="2"/>
      <c r="OXN418" s="2"/>
      <c r="OXO418" s="2"/>
      <c r="OXP418" s="2"/>
      <c r="OXQ418" s="2"/>
      <c r="OXR418" s="2"/>
      <c r="OXS418" s="2"/>
      <c r="OXT418" s="2"/>
      <c r="OXU418" s="2"/>
      <c r="OXV418" s="2"/>
      <c r="OXW418" s="2"/>
      <c r="OXX418" s="2"/>
      <c r="OXY418" s="2"/>
      <c r="OXZ418" s="2"/>
      <c r="OYA418" s="2"/>
      <c r="OYB418" s="2"/>
      <c r="OYC418" s="2"/>
      <c r="OYD418" s="2"/>
      <c r="OYE418" s="2"/>
      <c r="OYF418" s="2"/>
      <c r="OYG418" s="2"/>
      <c r="OYH418" s="2"/>
      <c r="OYI418" s="2"/>
      <c r="OYJ418" s="2"/>
      <c r="OYK418" s="2"/>
      <c r="OYL418" s="2"/>
      <c r="OYM418" s="2"/>
      <c r="OYN418" s="2"/>
      <c r="OYO418" s="2"/>
      <c r="OYP418" s="2"/>
      <c r="OYQ418" s="2"/>
      <c r="OYR418" s="2"/>
      <c r="OYS418" s="2"/>
      <c r="OYT418" s="2"/>
      <c r="OYU418" s="2"/>
      <c r="OYV418" s="2"/>
      <c r="OYW418" s="2"/>
      <c r="OYX418" s="2"/>
      <c r="OYY418" s="2"/>
      <c r="OYZ418" s="2"/>
      <c r="OZA418" s="2"/>
      <c r="OZB418" s="2"/>
      <c r="OZC418" s="2"/>
      <c r="OZD418" s="2"/>
      <c r="OZE418" s="2"/>
      <c r="OZF418" s="2"/>
      <c r="OZG418" s="2"/>
      <c r="OZH418" s="2"/>
      <c r="OZI418" s="2"/>
      <c r="OZJ418" s="2"/>
      <c r="OZK418" s="2"/>
      <c r="OZL418" s="2"/>
      <c r="OZM418" s="2"/>
      <c r="OZN418" s="2"/>
      <c r="OZO418" s="2"/>
      <c r="OZP418" s="2"/>
      <c r="OZQ418" s="2"/>
      <c r="OZR418" s="2"/>
      <c r="OZS418" s="2"/>
      <c r="OZT418" s="2"/>
      <c r="OZU418" s="2"/>
      <c r="OZV418" s="2"/>
      <c r="OZW418" s="2"/>
      <c r="OZX418" s="2"/>
      <c r="OZY418" s="2"/>
      <c r="OZZ418" s="2"/>
      <c r="PAA418" s="2"/>
      <c r="PAB418" s="2"/>
      <c r="PAC418" s="2"/>
      <c r="PAD418" s="2"/>
      <c r="PAE418" s="2"/>
      <c r="PAF418" s="2"/>
      <c r="PAG418" s="2"/>
      <c r="PAH418" s="2"/>
      <c r="PAI418" s="2"/>
      <c r="PAJ418" s="2"/>
      <c r="PAK418" s="2"/>
      <c r="PAL418" s="2"/>
      <c r="PAM418" s="2"/>
      <c r="PAN418" s="2"/>
      <c r="PAO418" s="2"/>
      <c r="PAP418" s="2"/>
      <c r="PAQ418" s="2"/>
      <c r="PAR418" s="2"/>
      <c r="PAS418" s="2"/>
      <c r="PAT418" s="2"/>
      <c r="PAU418" s="2"/>
      <c r="PAV418" s="2"/>
      <c r="PAW418" s="2"/>
      <c r="PAX418" s="2"/>
      <c r="PAY418" s="2"/>
      <c r="PAZ418" s="2"/>
      <c r="PBA418" s="2"/>
      <c r="PBB418" s="2"/>
      <c r="PBC418" s="2"/>
      <c r="PBD418" s="2"/>
      <c r="PBE418" s="2"/>
      <c r="PBF418" s="2"/>
      <c r="PBG418" s="2"/>
      <c r="PBH418" s="2"/>
      <c r="PBI418" s="2"/>
      <c r="PBJ418" s="2"/>
      <c r="PBK418" s="2"/>
      <c r="PBL418" s="2"/>
      <c r="PBM418" s="2"/>
      <c r="PBN418" s="2"/>
      <c r="PBO418" s="2"/>
      <c r="PBP418" s="2"/>
      <c r="PBQ418" s="2"/>
      <c r="PBR418" s="2"/>
      <c r="PBS418" s="2"/>
      <c r="PBT418" s="2"/>
      <c r="PBU418" s="2"/>
      <c r="PBV418" s="2"/>
      <c r="PBW418" s="2"/>
      <c r="PBX418" s="2"/>
      <c r="PBY418" s="2"/>
      <c r="PBZ418" s="2"/>
      <c r="PCA418" s="2"/>
      <c r="PCB418" s="2"/>
      <c r="PCC418" s="2"/>
      <c r="PCD418" s="2"/>
      <c r="PCE418" s="2"/>
      <c r="PCF418" s="2"/>
      <c r="PCG418" s="2"/>
      <c r="PCH418" s="2"/>
      <c r="PCI418" s="2"/>
      <c r="PCJ418" s="2"/>
      <c r="PCK418" s="2"/>
      <c r="PCL418" s="2"/>
      <c r="PCM418" s="2"/>
      <c r="PCN418" s="2"/>
      <c r="PCO418" s="2"/>
      <c r="PCP418" s="2"/>
      <c r="PCQ418" s="2"/>
      <c r="PCR418" s="2"/>
      <c r="PCS418" s="2"/>
      <c r="PCT418" s="2"/>
      <c r="PCU418" s="2"/>
      <c r="PCV418" s="2"/>
      <c r="PCW418" s="2"/>
      <c r="PCX418" s="2"/>
      <c r="PCY418" s="2"/>
      <c r="PCZ418" s="2"/>
      <c r="PDA418" s="2"/>
      <c r="PDB418" s="2"/>
      <c r="PDC418" s="2"/>
      <c r="PDD418" s="2"/>
      <c r="PDE418" s="2"/>
      <c r="PDF418" s="2"/>
      <c r="PDG418" s="2"/>
      <c r="PDH418" s="2"/>
      <c r="PDI418" s="2"/>
      <c r="PDJ418" s="2"/>
      <c r="PDK418" s="2"/>
      <c r="PDL418" s="2"/>
      <c r="PDM418" s="2"/>
      <c r="PDN418" s="2"/>
      <c r="PDO418" s="2"/>
      <c r="PDP418" s="2"/>
      <c r="PDQ418" s="2"/>
      <c r="PDR418" s="2"/>
      <c r="PDS418" s="2"/>
      <c r="PDT418" s="2"/>
      <c r="PDU418" s="2"/>
      <c r="PDV418" s="2"/>
      <c r="PDW418" s="2"/>
      <c r="PDX418" s="2"/>
      <c r="PDY418" s="2"/>
      <c r="PDZ418" s="2"/>
      <c r="PEA418" s="2"/>
      <c r="PEB418" s="2"/>
      <c r="PEC418" s="2"/>
      <c r="PED418" s="2"/>
      <c r="PEE418" s="2"/>
      <c r="PEF418" s="2"/>
      <c r="PEG418" s="2"/>
      <c r="PEH418" s="2"/>
      <c r="PEI418" s="2"/>
      <c r="PEJ418" s="2"/>
      <c r="PEK418" s="2"/>
      <c r="PEL418" s="2"/>
      <c r="PEM418" s="2"/>
      <c r="PEN418" s="2"/>
      <c r="PEO418" s="2"/>
      <c r="PEP418" s="2"/>
      <c r="PEQ418" s="2"/>
      <c r="PER418" s="2"/>
      <c r="PES418" s="2"/>
      <c r="PET418" s="2"/>
      <c r="PEU418" s="2"/>
      <c r="PEV418" s="2"/>
      <c r="PEW418" s="2"/>
      <c r="PEX418" s="2"/>
      <c r="PEY418" s="2"/>
      <c r="PEZ418" s="2"/>
      <c r="PFA418" s="2"/>
      <c r="PFB418" s="2"/>
      <c r="PFC418" s="2"/>
      <c r="PFD418" s="2"/>
      <c r="PFE418" s="2"/>
      <c r="PFF418" s="2"/>
      <c r="PFG418" s="2"/>
      <c r="PFH418" s="2"/>
      <c r="PFI418" s="2"/>
      <c r="PFJ418" s="2"/>
      <c r="PFK418" s="2"/>
      <c r="PFL418" s="2"/>
      <c r="PFM418" s="2"/>
      <c r="PFN418" s="2"/>
      <c r="PFO418" s="2"/>
      <c r="PFP418" s="2"/>
      <c r="PFQ418" s="2"/>
      <c r="PFR418" s="2"/>
      <c r="PFS418" s="2"/>
      <c r="PFT418" s="2"/>
      <c r="PFU418" s="2"/>
      <c r="PFV418" s="2"/>
      <c r="PFW418" s="2"/>
      <c r="PFX418" s="2"/>
      <c r="PFY418" s="2"/>
      <c r="PFZ418" s="2"/>
      <c r="PGA418" s="2"/>
      <c r="PGB418" s="2"/>
      <c r="PGC418" s="2"/>
      <c r="PGD418" s="2"/>
      <c r="PGE418" s="2"/>
      <c r="PGF418" s="2"/>
      <c r="PGG418" s="2"/>
      <c r="PGH418" s="2"/>
      <c r="PGI418" s="2"/>
      <c r="PGJ418" s="2"/>
      <c r="PGK418" s="2"/>
      <c r="PGL418" s="2"/>
      <c r="PGM418" s="2"/>
      <c r="PGN418" s="2"/>
      <c r="PGO418" s="2"/>
      <c r="PGP418" s="2"/>
      <c r="PGQ418" s="2"/>
      <c r="PGR418" s="2"/>
      <c r="PGS418" s="2"/>
      <c r="PGT418" s="2"/>
      <c r="PGU418" s="2"/>
      <c r="PGV418" s="2"/>
      <c r="PGW418" s="2"/>
      <c r="PGX418" s="2"/>
      <c r="PGY418" s="2"/>
      <c r="PGZ418" s="2"/>
      <c r="PHA418" s="2"/>
      <c r="PHB418" s="2"/>
      <c r="PHC418" s="2"/>
      <c r="PHD418" s="2"/>
      <c r="PHE418" s="2"/>
      <c r="PHF418" s="2"/>
      <c r="PHG418" s="2"/>
      <c r="PHH418" s="2"/>
      <c r="PHI418" s="2"/>
      <c r="PHJ418" s="2"/>
      <c r="PHK418" s="2"/>
      <c r="PHL418" s="2"/>
      <c r="PHM418" s="2"/>
      <c r="PHN418" s="2"/>
      <c r="PHO418" s="2"/>
      <c r="PHP418" s="2"/>
      <c r="PHQ418" s="2"/>
      <c r="PHR418" s="2"/>
      <c r="PHS418" s="2"/>
      <c r="PHT418" s="2"/>
      <c r="PHU418" s="2"/>
      <c r="PHV418" s="2"/>
      <c r="PHW418" s="2"/>
      <c r="PHX418" s="2"/>
      <c r="PHY418" s="2"/>
      <c r="PHZ418" s="2"/>
      <c r="PIA418" s="2"/>
      <c r="PIB418" s="2"/>
      <c r="PIC418" s="2"/>
      <c r="PID418" s="2"/>
      <c r="PIE418" s="2"/>
      <c r="PIF418" s="2"/>
      <c r="PIG418" s="2"/>
      <c r="PIH418" s="2"/>
      <c r="PII418" s="2"/>
      <c r="PIJ418" s="2"/>
      <c r="PIK418" s="2"/>
      <c r="PIL418" s="2"/>
      <c r="PIM418" s="2"/>
      <c r="PIN418" s="2"/>
      <c r="PIO418" s="2"/>
      <c r="PIP418" s="2"/>
      <c r="PIQ418" s="2"/>
      <c r="PIR418" s="2"/>
      <c r="PIS418" s="2"/>
      <c r="PIT418" s="2"/>
      <c r="PIU418" s="2"/>
      <c r="PIV418" s="2"/>
      <c r="PIW418" s="2"/>
      <c r="PIX418" s="2"/>
      <c r="PIY418" s="2"/>
      <c r="PIZ418" s="2"/>
      <c r="PJA418" s="2"/>
      <c r="PJB418" s="2"/>
      <c r="PJC418" s="2"/>
      <c r="PJD418" s="2"/>
      <c r="PJE418" s="2"/>
      <c r="PJF418" s="2"/>
      <c r="PJG418" s="2"/>
      <c r="PJH418" s="2"/>
      <c r="PJI418" s="2"/>
      <c r="PJJ418" s="2"/>
      <c r="PJK418" s="2"/>
      <c r="PJL418" s="2"/>
      <c r="PJM418" s="2"/>
      <c r="PJN418" s="2"/>
      <c r="PJO418" s="2"/>
      <c r="PJP418" s="2"/>
      <c r="PJQ418" s="2"/>
      <c r="PJR418" s="2"/>
      <c r="PJS418" s="2"/>
      <c r="PJT418" s="2"/>
      <c r="PJU418" s="2"/>
      <c r="PJV418" s="2"/>
      <c r="PJW418" s="2"/>
      <c r="PJX418" s="2"/>
      <c r="PJY418" s="2"/>
      <c r="PJZ418" s="2"/>
      <c r="PKA418" s="2"/>
      <c r="PKB418" s="2"/>
      <c r="PKC418" s="2"/>
      <c r="PKD418" s="2"/>
      <c r="PKE418" s="2"/>
      <c r="PKF418" s="2"/>
      <c r="PKG418" s="2"/>
      <c r="PKH418" s="2"/>
      <c r="PKI418" s="2"/>
      <c r="PKJ418" s="2"/>
      <c r="PKK418" s="2"/>
      <c r="PKL418" s="2"/>
      <c r="PKM418" s="2"/>
      <c r="PKN418" s="2"/>
      <c r="PKO418" s="2"/>
      <c r="PKP418" s="2"/>
      <c r="PKQ418" s="2"/>
      <c r="PKR418" s="2"/>
      <c r="PKS418" s="2"/>
      <c r="PKT418" s="2"/>
      <c r="PKU418" s="2"/>
      <c r="PKV418" s="2"/>
      <c r="PKW418" s="2"/>
      <c r="PKX418" s="2"/>
      <c r="PKY418" s="2"/>
      <c r="PKZ418" s="2"/>
      <c r="PLA418" s="2"/>
      <c r="PLB418" s="2"/>
      <c r="PLC418" s="2"/>
      <c r="PLD418" s="2"/>
      <c r="PLE418" s="2"/>
      <c r="PLF418" s="2"/>
      <c r="PLG418" s="2"/>
      <c r="PLH418" s="2"/>
      <c r="PLI418" s="2"/>
      <c r="PLJ418" s="2"/>
      <c r="PLK418" s="2"/>
      <c r="PLL418" s="2"/>
      <c r="PLM418" s="2"/>
      <c r="PLN418" s="2"/>
      <c r="PLO418" s="2"/>
      <c r="PLP418" s="2"/>
      <c r="PLQ418" s="2"/>
      <c r="PLR418" s="2"/>
      <c r="PLS418" s="2"/>
      <c r="PLT418" s="2"/>
      <c r="PLU418" s="2"/>
      <c r="PLV418" s="2"/>
      <c r="PLW418" s="2"/>
      <c r="PLX418" s="2"/>
      <c r="PLY418" s="2"/>
      <c r="PLZ418" s="2"/>
      <c r="PMA418" s="2"/>
      <c r="PMB418" s="2"/>
      <c r="PMC418" s="2"/>
      <c r="PMD418" s="2"/>
      <c r="PME418" s="2"/>
      <c r="PMF418" s="2"/>
      <c r="PMG418" s="2"/>
      <c r="PMH418" s="2"/>
      <c r="PMI418" s="2"/>
      <c r="PMJ418" s="2"/>
      <c r="PMK418" s="2"/>
      <c r="PML418" s="2"/>
      <c r="PMM418" s="2"/>
      <c r="PMN418" s="2"/>
      <c r="PMO418" s="2"/>
      <c r="PMP418" s="2"/>
      <c r="PMQ418" s="2"/>
      <c r="PMR418" s="2"/>
      <c r="PMS418" s="2"/>
      <c r="PMT418" s="2"/>
      <c r="PMU418" s="2"/>
      <c r="PMV418" s="2"/>
      <c r="PMW418" s="2"/>
      <c r="PMX418" s="2"/>
      <c r="PMY418" s="2"/>
      <c r="PMZ418" s="2"/>
      <c r="PNA418" s="2"/>
      <c r="PNB418" s="2"/>
      <c r="PNC418" s="2"/>
      <c r="PND418" s="2"/>
      <c r="PNE418" s="2"/>
      <c r="PNF418" s="2"/>
      <c r="PNG418" s="2"/>
      <c r="PNH418" s="2"/>
      <c r="PNI418" s="2"/>
      <c r="PNJ418" s="2"/>
      <c r="PNK418" s="2"/>
      <c r="PNL418" s="2"/>
      <c r="PNM418" s="2"/>
      <c r="PNN418" s="2"/>
      <c r="PNO418" s="2"/>
      <c r="PNP418" s="2"/>
      <c r="PNQ418" s="2"/>
      <c r="PNR418" s="2"/>
      <c r="PNS418" s="2"/>
      <c r="PNT418" s="2"/>
      <c r="PNU418" s="2"/>
      <c r="PNV418" s="2"/>
      <c r="PNW418" s="2"/>
      <c r="PNX418" s="2"/>
      <c r="PNY418" s="2"/>
      <c r="PNZ418" s="2"/>
      <c r="POA418" s="2"/>
      <c r="POB418" s="2"/>
      <c r="POC418" s="2"/>
      <c r="POD418" s="2"/>
      <c r="POE418" s="2"/>
      <c r="POF418" s="2"/>
      <c r="POG418" s="2"/>
      <c r="POH418" s="2"/>
      <c r="POI418" s="2"/>
      <c r="POJ418" s="2"/>
      <c r="POK418" s="2"/>
      <c r="POL418" s="2"/>
      <c r="POM418" s="2"/>
      <c r="PON418" s="2"/>
      <c r="POO418" s="2"/>
      <c r="POP418" s="2"/>
      <c r="POQ418" s="2"/>
      <c r="POR418" s="2"/>
      <c r="POS418" s="2"/>
      <c r="POT418" s="2"/>
      <c r="POU418" s="2"/>
      <c r="POV418" s="2"/>
      <c r="POW418" s="2"/>
      <c r="POX418" s="2"/>
      <c r="POY418" s="2"/>
      <c r="POZ418" s="2"/>
      <c r="PPA418" s="2"/>
      <c r="PPB418" s="2"/>
      <c r="PPC418" s="2"/>
      <c r="PPD418" s="2"/>
      <c r="PPE418" s="2"/>
      <c r="PPF418" s="2"/>
      <c r="PPG418" s="2"/>
      <c r="PPH418" s="2"/>
      <c r="PPI418" s="2"/>
      <c r="PPJ418" s="2"/>
      <c r="PPK418" s="2"/>
      <c r="PPL418" s="2"/>
      <c r="PPM418" s="2"/>
      <c r="PPN418" s="2"/>
      <c r="PPO418" s="2"/>
      <c r="PPP418" s="2"/>
      <c r="PPQ418" s="2"/>
      <c r="PPR418" s="2"/>
      <c r="PPS418" s="2"/>
      <c r="PPT418" s="2"/>
      <c r="PPU418" s="2"/>
      <c r="PPV418" s="2"/>
      <c r="PPW418" s="2"/>
      <c r="PPX418" s="2"/>
      <c r="PPY418" s="2"/>
      <c r="PPZ418" s="2"/>
      <c r="PQA418" s="2"/>
      <c r="PQB418" s="2"/>
      <c r="PQC418" s="2"/>
      <c r="PQD418" s="2"/>
      <c r="PQE418" s="2"/>
      <c r="PQF418" s="2"/>
      <c r="PQG418" s="2"/>
      <c r="PQH418" s="2"/>
      <c r="PQI418" s="2"/>
      <c r="PQJ418" s="2"/>
      <c r="PQK418" s="2"/>
      <c r="PQL418" s="2"/>
      <c r="PQM418" s="2"/>
      <c r="PQN418" s="2"/>
      <c r="PQO418" s="2"/>
      <c r="PQP418" s="2"/>
      <c r="PQQ418" s="2"/>
      <c r="PQR418" s="2"/>
      <c r="PQS418" s="2"/>
      <c r="PQT418" s="2"/>
      <c r="PQU418" s="2"/>
      <c r="PQV418" s="2"/>
      <c r="PQW418" s="2"/>
      <c r="PQX418" s="2"/>
      <c r="PQY418" s="2"/>
      <c r="PQZ418" s="2"/>
      <c r="PRA418" s="2"/>
      <c r="PRB418" s="2"/>
      <c r="PRC418" s="2"/>
      <c r="PRD418" s="2"/>
      <c r="PRE418" s="2"/>
      <c r="PRF418" s="2"/>
      <c r="PRG418" s="2"/>
      <c r="PRH418" s="2"/>
      <c r="PRI418" s="2"/>
      <c r="PRJ418" s="2"/>
      <c r="PRK418" s="2"/>
      <c r="PRL418" s="2"/>
      <c r="PRM418" s="2"/>
      <c r="PRN418" s="2"/>
      <c r="PRO418" s="2"/>
      <c r="PRP418" s="2"/>
      <c r="PRQ418" s="2"/>
      <c r="PRR418" s="2"/>
      <c r="PRS418" s="2"/>
      <c r="PRT418" s="2"/>
      <c r="PRU418" s="2"/>
      <c r="PRV418" s="2"/>
      <c r="PRW418" s="2"/>
      <c r="PRX418" s="2"/>
      <c r="PRY418" s="2"/>
      <c r="PRZ418" s="2"/>
      <c r="PSA418" s="2"/>
      <c r="PSB418" s="2"/>
      <c r="PSC418" s="2"/>
      <c r="PSD418" s="2"/>
      <c r="PSE418" s="2"/>
      <c r="PSF418" s="2"/>
      <c r="PSG418" s="2"/>
      <c r="PSH418" s="2"/>
      <c r="PSI418" s="2"/>
      <c r="PSJ418" s="2"/>
      <c r="PSK418" s="2"/>
      <c r="PSL418" s="2"/>
      <c r="PSM418" s="2"/>
      <c r="PSN418" s="2"/>
      <c r="PSO418" s="2"/>
      <c r="PSP418" s="2"/>
      <c r="PSQ418" s="2"/>
      <c r="PSR418" s="2"/>
      <c r="PSS418" s="2"/>
      <c r="PST418" s="2"/>
      <c r="PSU418" s="2"/>
      <c r="PSV418" s="2"/>
      <c r="PSW418" s="2"/>
      <c r="PSX418" s="2"/>
      <c r="PSY418" s="2"/>
      <c r="PSZ418" s="2"/>
      <c r="PTA418" s="2"/>
      <c r="PTB418" s="2"/>
      <c r="PTC418" s="2"/>
      <c r="PTD418" s="2"/>
      <c r="PTE418" s="2"/>
      <c r="PTF418" s="2"/>
      <c r="PTG418" s="2"/>
      <c r="PTH418" s="2"/>
      <c r="PTI418" s="2"/>
      <c r="PTJ418" s="2"/>
      <c r="PTK418" s="2"/>
      <c r="PTL418" s="2"/>
      <c r="PTM418" s="2"/>
      <c r="PTN418" s="2"/>
      <c r="PTO418" s="2"/>
      <c r="PTP418" s="2"/>
      <c r="PTQ418" s="2"/>
      <c r="PTR418" s="2"/>
      <c r="PTS418" s="2"/>
      <c r="PTT418" s="2"/>
      <c r="PTU418" s="2"/>
      <c r="PTV418" s="2"/>
      <c r="PTW418" s="2"/>
      <c r="PTX418" s="2"/>
      <c r="PTY418" s="2"/>
      <c r="PTZ418" s="2"/>
      <c r="PUA418" s="2"/>
      <c r="PUB418" s="2"/>
      <c r="PUC418" s="2"/>
      <c r="PUD418" s="2"/>
      <c r="PUE418" s="2"/>
      <c r="PUF418" s="2"/>
      <c r="PUG418" s="2"/>
      <c r="PUH418" s="2"/>
      <c r="PUI418" s="2"/>
      <c r="PUJ418" s="2"/>
      <c r="PUK418" s="2"/>
      <c r="PUL418" s="2"/>
      <c r="PUM418" s="2"/>
      <c r="PUN418" s="2"/>
      <c r="PUO418" s="2"/>
      <c r="PUP418" s="2"/>
      <c r="PUQ418" s="2"/>
      <c r="PUR418" s="2"/>
      <c r="PUS418" s="2"/>
      <c r="PUT418" s="2"/>
      <c r="PUU418" s="2"/>
      <c r="PUV418" s="2"/>
      <c r="PUW418" s="2"/>
      <c r="PUX418" s="2"/>
      <c r="PUY418" s="2"/>
      <c r="PUZ418" s="2"/>
      <c r="PVA418" s="2"/>
      <c r="PVB418" s="2"/>
      <c r="PVC418" s="2"/>
      <c r="PVD418" s="2"/>
      <c r="PVE418" s="2"/>
      <c r="PVF418" s="2"/>
      <c r="PVG418" s="2"/>
      <c r="PVH418" s="2"/>
      <c r="PVI418" s="2"/>
      <c r="PVJ418" s="2"/>
      <c r="PVK418" s="2"/>
      <c r="PVL418" s="2"/>
      <c r="PVM418" s="2"/>
      <c r="PVN418" s="2"/>
      <c r="PVO418" s="2"/>
      <c r="PVP418" s="2"/>
      <c r="PVQ418" s="2"/>
      <c r="PVR418" s="2"/>
      <c r="PVS418" s="2"/>
      <c r="PVT418" s="2"/>
      <c r="PVU418" s="2"/>
      <c r="PVV418" s="2"/>
      <c r="PVW418" s="2"/>
      <c r="PVX418" s="2"/>
      <c r="PVY418" s="2"/>
      <c r="PVZ418" s="2"/>
      <c r="PWA418" s="2"/>
      <c r="PWB418" s="2"/>
      <c r="PWC418" s="2"/>
      <c r="PWD418" s="2"/>
      <c r="PWE418" s="2"/>
      <c r="PWF418" s="2"/>
      <c r="PWG418" s="2"/>
      <c r="PWH418" s="2"/>
      <c r="PWI418" s="2"/>
      <c r="PWJ418" s="2"/>
      <c r="PWK418" s="2"/>
      <c r="PWL418" s="2"/>
      <c r="PWM418" s="2"/>
      <c r="PWN418" s="2"/>
      <c r="PWO418" s="2"/>
      <c r="PWP418" s="2"/>
      <c r="PWQ418" s="2"/>
      <c r="PWR418" s="2"/>
      <c r="PWS418" s="2"/>
      <c r="PWT418" s="2"/>
      <c r="PWU418" s="2"/>
      <c r="PWV418" s="2"/>
      <c r="PWW418" s="2"/>
      <c r="PWX418" s="2"/>
      <c r="PWY418" s="2"/>
      <c r="PWZ418" s="2"/>
      <c r="PXA418" s="2"/>
      <c r="PXB418" s="2"/>
      <c r="PXC418" s="2"/>
      <c r="PXD418" s="2"/>
      <c r="PXE418" s="2"/>
      <c r="PXF418" s="2"/>
      <c r="PXG418" s="2"/>
      <c r="PXH418" s="2"/>
      <c r="PXI418" s="2"/>
      <c r="PXJ418" s="2"/>
      <c r="PXK418" s="2"/>
      <c r="PXL418" s="2"/>
      <c r="PXM418" s="2"/>
      <c r="PXN418" s="2"/>
      <c r="PXO418" s="2"/>
      <c r="PXP418" s="2"/>
      <c r="PXQ418" s="2"/>
      <c r="PXR418" s="2"/>
      <c r="PXS418" s="2"/>
      <c r="PXT418" s="2"/>
      <c r="PXU418" s="2"/>
      <c r="PXV418" s="2"/>
      <c r="PXW418" s="2"/>
      <c r="PXX418" s="2"/>
      <c r="PXY418" s="2"/>
      <c r="PXZ418" s="2"/>
      <c r="PYA418" s="2"/>
      <c r="PYB418" s="2"/>
      <c r="PYC418" s="2"/>
      <c r="PYD418" s="2"/>
      <c r="PYE418" s="2"/>
      <c r="PYF418" s="2"/>
      <c r="PYG418" s="2"/>
      <c r="PYH418" s="2"/>
      <c r="PYI418" s="2"/>
      <c r="PYJ418" s="2"/>
      <c r="PYK418" s="2"/>
      <c r="PYL418" s="2"/>
      <c r="PYM418" s="2"/>
      <c r="PYN418" s="2"/>
      <c r="PYO418" s="2"/>
      <c r="PYP418" s="2"/>
      <c r="PYQ418" s="2"/>
      <c r="PYR418" s="2"/>
      <c r="PYS418" s="2"/>
      <c r="PYT418" s="2"/>
      <c r="PYU418" s="2"/>
      <c r="PYV418" s="2"/>
      <c r="PYW418" s="2"/>
      <c r="PYX418" s="2"/>
      <c r="PYY418" s="2"/>
      <c r="PYZ418" s="2"/>
      <c r="PZA418" s="2"/>
      <c r="PZB418" s="2"/>
      <c r="PZC418" s="2"/>
      <c r="PZD418" s="2"/>
      <c r="PZE418" s="2"/>
      <c r="PZF418" s="2"/>
      <c r="PZG418" s="2"/>
      <c r="PZH418" s="2"/>
      <c r="PZI418" s="2"/>
      <c r="PZJ418" s="2"/>
      <c r="PZK418" s="2"/>
      <c r="PZL418" s="2"/>
      <c r="PZM418" s="2"/>
      <c r="PZN418" s="2"/>
      <c r="PZO418" s="2"/>
      <c r="PZP418" s="2"/>
      <c r="PZQ418" s="2"/>
      <c r="PZR418" s="2"/>
      <c r="PZS418" s="2"/>
      <c r="PZT418" s="2"/>
      <c r="PZU418" s="2"/>
      <c r="PZV418" s="2"/>
      <c r="PZW418" s="2"/>
      <c r="PZX418" s="2"/>
      <c r="PZY418" s="2"/>
      <c r="PZZ418" s="2"/>
      <c r="QAA418" s="2"/>
      <c r="QAB418" s="2"/>
      <c r="QAC418" s="2"/>
      <c r="QAD418" s="2"/>
      <c r="QAE418" s="2"/>
      <c r="QAF418" s="2"/>
      <c r="QAG418" s="2"/>
      <c r="QAH418" s="2"/>
      <c r="QAI418" s="2"/>
      <c r="QAJ418" s="2"/>
      <c r="QAK418" s="2"/>
      <c r="QAL418" s="2"/>
      <c r="QAM418" s="2"/>
      <c r="QAN418" s="2"/>
      <c r="QAO418" s="2"/>
      <c r="QAP418" s="2"/>
      <c r="QAQ418" s="2"/>
      <c r="QAR418" s="2"/>
      <c r="QAS418" s="2"/>
      <c r="QAT418" s="2"/>
      <c r="QAU418" s="2"/>
      <c r="QAV418" s="2"/>
      <c r="QAW418" s="2"/>
      <c r="QAX418" s="2"/>
      <c r="QAY418" s="2"/>
      <c r="QAZ418" s="2"/>
      <c r="QBA418" s="2"/>
      <c r="QBB418" s="2"/>
      <c r="QBC418" s="2"/>
      <c r="QBD418" s="2"/>
      <c r="QBE418" s="2"/>
      <c r="QBF418" s="2"/>
      <c r="QBG418" s="2"/>
      <c r="QBH418" s="2"/>
      <c r="QBI418" s="2"/>
      <c r="QBJ418" s="2"/>
      <c r="QBK418" s="2"/>
      <c r="QBL418" s="2"/>
      <c r="QBM418" s="2"/>
      <c r="QBN418" s="2"/>
      <c r="QBO418" s="2"/>
      <c r="QBP418" s="2"/>
      <c r="QBQ418" s="2"/>
      <c r="QBR418" s="2"/>
      <c r="QBS418" s="2"/>
      <c r="QBT418" s="2"/>
      <c r="QBU418" s="2"/>
      <c r="QBV418" s="2"/>
      <c r="QBW418" s="2"/>
      <c r="QBX418" s="2"/>
      <c r="QBY418" s="2"/>
      <c r="QBZ418" s="2"/>
      <c r="QCA418" s="2"/>
      <c r="QCB418" s="2"/>
      <c r="QCC418" s="2"/>
      <c r="QCD418" s="2"/>
      <c r="QCE418" s="2"/>
      <c r="QCF418" s="2"/>
      <c r="QCG418" s="2"/>
      <c r="QCH418" s="2"/>
      <c r="QCI418" s="2"/>
      <c r="QCJ418" s="2"/>
      <c r="QCK418" s="2"/>
      <c r="QCL418" s="2"/>
      <c r="QCM418" s="2"/>
      <c r="QCN418" s="2"/>
      <c r="QCO418" s="2"/>
      <c r="QCP418" s="2"/>
      <c r="QCQ418" s="2"/>
      <c r="QCR418" s="2"/>
      <c r="QCS418" s="2"/>
      <c r="QCT418" s="2"/>
      <c r="QCU418" s="2"/>
      <c r="QCV418" s="2"/>
      <c r="QCW418" s="2"/>
      <c r="QCX418" s="2"/>
      <c r="QCY418" s="2"/>
      <c r="QCZ418" s="2"/>
      <c r="QDA418" s="2"/>
      <c r="QDB418" s="2"/>
      <c r="QDC418" s="2"/>
      <c r="QDD418" s="2"/>
      <c r="QDE418" s="2"/>
      <c r="QDF418" s="2"/>
      <c r="QDG418" s="2"/>
      <c r="QDH418" s="2"/>
      <c r="QDI418" s="2"/>
      <c r="QDJ418" s="2"/>
      <c r="QDK418" s="2"/>
      <c r="QDL418" s="2"/>
      <c r="QDM418" s="2"/>
      <c r="QDN418" s="2"/>
      <c r="QDO418" s="2"/>
      <c r="QDP418" s="2"/>
      <c r="QDQ418" s="2"/>
      <c r="QDR418" s="2"/>
      <c r="QDS418" s="2"/>
      <c r="QDT418" s="2"/>
      <c r="QDU418" s="2"/>
      <c r="QDV418" s="2"/>
      <c r="QDW418" s="2"/>
      <c r="QDX418" s="2"/>
      <c r="QDY418" s="2"/>
      <c r="QDZ418" s="2"/>
      <c r="QEA418" s="2"/>
      <c r="QEB418" s="2"/>
      <c r="QEC418" s="2"/>
      <c r="QED418" s="2"/>
      <c r="QEE418" s="2"/>
      <c r="QEF418" s="2"/>
      <c r="QEG418" s="2"/>
      <c r="QEH418" s="2"/>
      <c r="QEI418" s="2"/>
      <c r="QEJ418" s="2"/>
      <c r="QEK418" s="2"/>
      <c r="QEL418" s="2"/>
      <c r="QEM418" s="2"/>
      <c r="QEN418" s="2"/>
      <c r="QEO418" s="2"/>
      <c r="QEP418" s="2"/>
      <c r="QEQ418" s="2"/>
      <c r="QER418" s="2"/>
      <c r="QES418" s="2"/>
      <c r="QET418" s="2"/>
      <c r="QEU418" s="2"/>
      <c r="QEV418" s="2"/>
      <c r="QEW418" s="2"/>
      <c r="QEX418" s="2"/>
      <c r="QEY418" s="2"/>
      <c r="QEZ418" s="2"/>
      <c r="QFA418" s="2"/>
      <c r="QFB418" s="2"/>
      <c r="QFC418" s="2"/>
      <c r="QFD418" s="2"/>
      <c r="QFE418" s="2"/>
      <c r="QFF418" s="2"/>
      <c r="QFG418" s="2"/>
      <c r="QFH418" s="2"/>
      <c r="QFI418" s="2"/>
      <c r="QFJ418" s="2"/>
      <c r="QFK418" s="2"/>
      <c r="QFL418" s="2"/>
      <c r="QFM418" s="2"/>
      <c r="QFN418" s="2"/>
      <c r="QFO418" s="2"/>
      <c r="QFP418" s="2"/>
      <c r="QFQ418" s="2"/>
      <c r="QFR418" s="2"/>
      <c r="QFS418" s="2"/>
      <c r="QFT418" s="2"/>
      <c r="QFU418" s="2"/>
      <c r="QFV418" s="2"/>
      <c r="QFW418" s="2"/>
      <c r="QFX418" s="2"/>
      <c r="QFY418" s="2"/>
      <c r="QFZ418" s="2"/>
      <c r="QGA418" s="2"/>
      <c r="QGB418" s="2"/>
      <c r="QGC418" s="2"/>
      <c r="QGD418" s="2"/>
      <c r="QGE418" s="2"/>
      <c r="QGF418" s="2"/>
      <c r="QGG418" s="2"/>
      <c r="QGH418" s="2"/>
      <c r="QGI418" s="2"/>
      <c r="QGJ418" s="2"/>
      <c r="QGK418" s="2"/>
      <c r="QGL418" s="2"/>
      <c r="QGM418" s="2"/>
      <c r="QGN418" s="2"/>
      <c r="QGO418" s="2"/>
      <c r="QGP418" s="2"/>
      <c r="QGQ418" s="2"/>
      <c r="QGR418" s="2"/>
      <c r="QGS418" s="2"/>
      <c r="QGT418" s="2"/>
      <c r="QGU418" s="2"/>
      <c r="QGV418" s="2"/>
      <c r="QGW418" s="2"/>
      <c r="QGX418" s="2"/>
      <c r="QGY418" s="2"/>
      <c r="QGZ418" s="2"/>
      <c r="QHA418" s="2"/>
      <c r="QHB418" s="2"/>
      <c r="QHC418" s="2"/>
      <c r="QHD418" s="2"/>
      <c r="QHE418" s="2"/>
      <c r="QHF418" s="2"/>
      <c r="QHG418" s="2"/>
      <c r="QHH418" s="2"/>
      <c r="QHI418" s="2"/>
      <c r="QHJ418" s="2"/>
      <c r="QHK418" s="2"/>
      <c r="QHL418" s="2"/>
      <c r="QHM418" s="2"/>
      <c r="QHN418" s="2"/>
      <c r="QHO418" s="2"/>
      <c r="QHP418" s="2"/>
      <c r="QHQ418" s="2"/>
      <c r="QHR418" s="2"/>
      <c r="QHS418" s="2"/>
      <c r="QHT418" s="2"/>
      <c r="QHU418" s="2"/>
      <c r="QHV418" s="2"/>
      <c r="QHW418" s="2"/>
      <c r="QHX418" s="2"/>
      <c r="QHY418" s="2"/>
      <c r="QHZ418" s="2"/>
      <c r="QIA418" s="2"/>
      <c r="QIB418" s="2"/>
      <c r="QIC418" s="2"/>
      <c r="QID418" s="2"/>
      <c r="QIE418" s="2"/>
      <c r="QIF418" s="2"/>
      <c r="QIG418" s="2"/>
      <c r="QIH418" s="2"/>
      <c r="QII418" s="2"/>
      <c r="QIJ418" s="2"/>
      <c r="QIK418" s="2"/>
      <c r="QIL418" s="2"/>
      <c r="QIM418" s="2"/>
      <c r="QIN418" s="2"/>
      <c r="QIO418" s="2"/>
      <c r="QIP418" s="2"/>
      <c r="QIQ418" s="2"/>
      <c r="QIR418" s="2"/>
      <c r="QIS418" s="2"/>
      <c r="QIT418" s="2"/>
      <c r="QIU418" s="2"/>
      <c r="QIV418" s="2"/>
      <c r="QIW418" s="2"/>
      <c r="QIX418" s="2"/>
      <c r="QIY418" s="2"/>
      <c r="QIZ418" s="2"/>
      <c r="QJA418" s="2"/>
      <c r="QJB418" s="2"/>
      <c r="QJC418" s="2"/>
      <c r="QJD418" s="2"/>
      <c r="QJE418" s="2"/>
      <c r="QJF418" s="2"/>
      <c r="QJG418" s="2"/>
      <c r="QJH418" s="2"/>
      <c r="QJI418" s="2"/>
      <c r="QJJ418" s="2"/>
      <c r="QJK418" s="2"/>
      <c r="QJL418" s="2"/>
      <c r="QJM418" s="2"/>
      <c r="QJN418" s="2"/>
      <c r="QJO418" s="2"/>
      <c r="QJP418" s="2"/>
      <c r="QJQ418" s="2"/>
      <c r="QJR418" s="2"/>
      <c r="QJS418" s="2"/>
      <c r="QJT418" s="2"/>
      <c r="QJU418" s="2"/>
      <c r="QJV418" s="2"/>
      <c r="QJW418" s="2"/>
      <c r="QJX418" s="2"/>
      <c r="QJY418" s="2"/>
      <c r="QJZ418" s="2"/>
      <c r="QKA418" s="2"/>
      <c r="QKB418" s="2"/>
      <c r="QKC418" s="2"/>
      <c r="QKD418" s="2"/>
      <c r="QKE418" s="2"/>
      <c r="QKF418" s="2"/>
      <c r="QKG418" s="2"/>
      <c r="QKH418" s="2"/>
      <c r="QKI418" s="2"/>
      <c r="QKJ418" s="2"/>
      <c r="QKK418" s="2"/>
      <c r="QKL418" s="2"/>
      <c r="QKM418" s="2"/>
      <c r="QKN418" s="2"/>
      <c r="QKO418" s="2"/>
      <c r="QKP418" s="2"/>
      <c r="QKQ418" s="2"/>
      <c r="QKR418" s="2"/>
      <c r="QKS418" s="2"/>
      <c r="QKT418" s="2"/>
      <c r="QKU418" s="2"/>
      <c r="QKV418" s="2"/>
      <c r="QKW418" s="2"/>
      <c r="QKX418" s="2"/>
      <c r="QKY418" s="2"/>
      <c r="QKZ418" s="2"/>
      <c r="QLA418" s="2"/>
      <c r="QLB418" s="2"/>
      <c r="QLC418" s="2"/>
      <c r="QLD418" s="2"/>
      <c r="QLE418" s="2"/>
      <c r="QLF418" s="2"/>
      <c r="QLG418" s="2"/>
      <c r="QLH418" s="2"/>
      <c r="QLI418" s="2"/>
      <c r="QLJ418" s="2"/>
      <c r="QLK418" s="2"/>
      <c r="QLL418" s="2"/>
      <c r="QLM418" s="2"/>
      <c r="QLN418" s="2"/>
      <c r="QLO418" s="2"/>
      <c r="QLP418" s="2"/>
      <c r="QLQ418" s="2"/>
      <c r="QLR418" s="2"/>
      <c r="QLS418" s="2"/>
      <c r="QLT418" s="2"/>
      <c r="QLU418" s="2"/>
      <c r="QLV418" s="2"/>
      <c r="QLW418" s="2"/>
      <c r="QLX418" s="2"/>
      <c r="QLY418" s="2"/>
      <c r="QLZ418" s="2"/>
      <c r="QMA418" s="2"/>
      <c r="QMB418" s="2"/>
      <c r="QMC418" s="2"/>
      <c r="QMD418" s="2"/>
      <c r="QME418" s="2"/>
      <c r="QMF418" s="2"/>
      <c r="QMG418" s="2"/>
      <c r="QMH418" s="2"/>
      <c r="QMI418" s="2"/>
      <c r="QMJ418" s="2"/>
      <c r="QMK418" s="2"/>
      <c r="QML418" s="2"/>
      <c r="QMM418" s="2"/>
      <c r="QMN418" s="2"/>
      <c r="QMO418" s="2"/>
      <c r="QMP418" s="2"/>
      <c r="QMQ418" s="2"/>
      <c r="QMR418" s="2"/>
      <c r="QMS418" s="2"/>
      <c r="QMT418" s="2"/>
      <c r="QMU418" s="2"/>
      <c r="QMV418" s="2"/>
      <c r="QMW418" s="2"/>
      <c r="QMX418" s="2"/>
      <c r="QMY418" s="2"/>
      <c r="QMZ418" s="2"/>
      <c r="QNA418" s="2"/>
      <c r="QNB418" s="2"/>
      <c r="QNC418" s="2"/>
      <c r="QND418" s="2"/>
      <c r="QNE418" s="2"/>
      <c r="QNF418" s="2"/>
      <c r="QNG418" s="2"/>
      <c r="QNH418" s="2"/>
      <c r="QNI418" s="2"/>
      <c r="QNJ418" s="2"/>
      <c r="QNK418" s="2"/>
      <c r="QNL418" s="2"/>
      <c r="QNM418" s="2"/>
      <c r="QNN418" s="2"/>
      <c r="QNO418" s="2"/>
      <c r="QNP418" s="2"/>
      <c r="QNQ418" s="2"/>
      <c r="QNR418" s="2"/>
      <c r="QNS418" s="2"/>
      <c r="QNT418" s="2"/>
      <c r="QNU418" s="2"/>
      <c r="QNV418" s="2"/>
      <c r="QNW418" s="2"/>
      <c r="QNX418" s="2"/>
      <c r="QNY418" s="2"/>
      <c r="QNZ418" s="2"/>
      <c r="QOA418" s="2"/>
      <c r="QOB418" s="2"/>
      <c r="QOC418" s="2"/>
      <c r="QOD418" s="2"/>
      <c r="QOE418" s="2"/>
      <c r="QOF418" s="2"/>
      <c r="QOG418" s="2"/>
      <c r="QOH418" s="2"/>
      <c r="QOI418" s="2"/>
      <c r="QOJ418" s="2"/>
      <c r="QOK418" s="2"/>
      <c r="QOL418" s="2"/>
      <c r="QOM418" s="2"/>
      <c r="QON418" s="2"/>
      <c r="QOO418" s="2"/>
      <c r="QOP418" s="2"/>
      <c r="QOQ418" s="2"/>
      <c r="QOR418" s="2"/>
      <c r="QOS418" s="2"/>
      <c r="QOT418" s="2"/>
      <c r="QOU418" s="2"/>
      <c r="QOV418" s="2"/>
      <c r="QOW418" s="2"/>
      <c r="QOX418" s="2"/>
      <c r="QOY418" s="2"/>
      <c r="QOZ418" s="2"/>
      <c r="QPA418" s="2"/>
      <c r="QPB418" s="2"/>
      <c r="QPC418" s="2"/>
      <c r="QPD418" s="2"/>
      <c r="QPE418" s="2"/>
      <c r="QPF418" s="2"/>
      <c r="QPG418" s="2"/>
      <c r="QPH418" s="2"/>
      <c r="QPI418" s="2"/>
      <c r="QPJ418" s="2"/>
      <c r="QPK418" s="2"/>
      <c r="QPL418" s="2"/>
      <c r="QPM418" s="2"/>
      <c r="QPN418" s="2"/>
      <c r="QPO418" s="2"/>
      <c r="QPP418" s="2"/>
      <c r="QPQ418" s="2"/>
      <c r="QPR418" s="2"/>
      <c r="QPS418" s="2"/>
      <c r="QPT418" s="2"/>
      <c r="QPU418" s="2"/>
      <c r="QPV418" s="2"/>
      <c r="QPW418" s="2"/>
      <c r="QPX418" s="2"/>
      <c r="QPY418" s="2"/>
      <c r="QPZ418" s="2"/>
      <c r="QQA418" s="2"/>
      <c r="QQB418" s="2"/>
      <c r="QQC418" s="2"/>
      <c r="QQD418" s="2"/>
      <c r="QQE418" s="2"/>
      <c r="QQF418" s="2"/>
      <c r="QQG418" s="2"/>
      <c r="QQH418" s="2"/>
      <c r="QQI418" s="2"/>
      <c r="QQJ418" s="2"/>
      <c r="QQK418" s="2"/>
      <c r="QQL418" s="2"/>
      <c r="QQM418" s="2"/>
      <c r="QQN418" s="2"/>
      <c r="QQO418" s="2"/>
      <c r="QQP418" s="2"/>
      <c r="QQQ418" s="2"/>
      <c r="QQR418" s="2"/>
      <c r="QQS418" s="2"/>
      <c r="QQT418" s="2"/>
      <c r="QQU418" s="2"/>
      <c r="QQV418" s="2"/>
      <c r="QQW418" s="2"/>
      <c r="QQX418" s="2"/>
      <c r="QQY418" s="2"/>
      <c r="QQZ418" s="2"/>
      <c r="QRA418" s="2"/>
      <c r="QRB418" s="2"/>
      <c r="QRC418" s="2"/>
      <c r="QRD418" s="2"/>
      <c r="QRE418" s="2"/>
      <c r="QRF418" s="2"/>
      <c r="QRG418" s="2"/>
      <c r="QRH418" s="2"/>
      <c r="QRI418" s="2"/>
      <c r="QRJ418" s="2"/>
      <c r="QRK418" s="2"/>
      <c r="QRL418" s="2"/>
      <c r="QRM418" s="2"/>
      <c r="QRN418" s="2"/>
      <c r="QRO418" s="2"/>
      <c r="QRP418" s="2"/>
      <c r="QRQ418" s="2"/>
      <c r="QRR418" s="2"/>
      <c r="QRS418" s="2"/>
      <c r="QRT418" s="2"/>
      <c r="QRU418" s="2"/>
      <c r="QRV418" s="2"/>
      <c r="QRW418" s="2"/>
      <c r="QRX418" s="2"/>
      <c r="QRY418" s="2"/>
      <c r="QRZ418" s="2"/>
      <c r="QSA418" s="2"/>
      <c r="QSB418" s="2"/>
      <c r="QSC418" s="2"/>
      <c r="QSD418" s="2"/>
      <c r="QSE418" s="2"/>
      <c r="QSF418" s="2"/>
      <c r="QSG418" s="2"/>
      <c r="QSH418" s="2"/>
      <c r="QSI418" s="2"/>
      <c r="QSJ418" s="2"/>
      <c r="QSK418" s="2"/>
      <c r="QSL418" s="2"/>
      <c r="QSM418" s="2"/>
      <c r="QSN418" s="2"/>
      <c r="QSO418" s="2"/>
      <c r="QSP418" s="2"/>
      <c r="QSQ418" s="2"/>
      <c r="QSR418" s="2"/>
      <c r="QSS418" s="2"/>
      <c r="QST418" s="2"/>
      <c r="QSU418" s="2"/>
      <c r="QSV418" s="2"/>
      <c r="QSW418" s="2"/>
      <c r="QSX418" s="2"/>
      <c r="QSY418" s="2"/>
      <c r="QSZ418" s="2"/>
      <c r="QTA418" s="2"/>
      <c r="QTB418" s="2"/>
      <c r="QTC418" s="2"/>
      <c r="QTD418" s="2"/>
      <c r="QTE418" s="2"/>
      <c r="QTF418" s="2"/>
      <c r="QTG418" s="2"/>
      <c r="QTH418" s="2"/>
      <c r="QTI418" s="2"/>
      <c r="QTJ418" s="2"/>
      <c r="QTK418" s="2"/>
      <c r="QTL418" s="2"/>
      <c r="QTM418" s="2"/>
      <c r="QTN418" s="2"/>
      <c r="QTO418" s="2"/>
      <c r="QTP418" s="2"/>
      <c r="QTQ418" s="2"/>
      <c r="QTR418" s="2"/>
      <c r="QTS418" s="2"/>
      <c r="QTT418" s="2"/>
      <c r="QTU418" s="2"/>
      <c r="QTV418" s="2"/>
      <c r="QTW418" s="2"/>
      <c r="QTX418" s="2"/>
      <c r="QTY418" s="2"/>
      <c r="QTZ418" s="2"/>
      <c r="QUA418" s="2"/>
      <c r="QUB418" s="2"/>
      <c r="QUC418" s="2"/>
      <c r="QUD418" s="2"/>
      <c r="QUE418" s="2"/>
      <c r="QUF418" s="2"/>
      <c r="QUG418" s="2"/>
      <c r="QUH418" s="2"/>
      <c r="QUI418" s="2"/>
      <c r="QUJ418" s="2"/>
      <c r="QUK418" s="2"/>
      <c r="QUL418" s="2"/>
      <c r="QUM418" s="2"/>
      <c r="QUN418" s="2"/>
      <c r="QUO418" s="2"/>
      <c r="QUP418" s="2"/>
      <c r="QUQ418" s="2"/>
      <c r="QUR418" s="2"/>
      <c r="QUS418" s="2"/>
      <c r="QUT418" s="2"/>
      <c r="QUU418" s="2"/>
      <c r="QUV418" s="2"/>
      <c r="QUW418" s="2"/>
      <c r="QUX418" s="2"/>
      <c r="QUY418" s="2"/>
      <c r="QUZ418" s="2"/>
      <c r="QVA418" s="2"/>
      <c r="QVB418" s="2"/>
      <c r="QVC418" s="2"/>
      <c r="QVD418" s="2"/>
      <c r="QVE418" s="2"/>
      <c r="QVF418" s="2"/>
      <c r="QVG418" s="2"/>
      <c r="QVH418" s="2"/>
      <c r="QVI418" s="2"/>
      <c r="QVJ418" s="2"/>
      <c r="QVK418" s="2"/>
      <c r="QVL418" s="2"/>
      <c r="QVM418" s="2"/>
      <c r="QVN418" s="2"/>
      <c r="QVO418" s="2"/>
      <c r="QVP418" s="2"/>
      <c r="QVQ418" s="2"/>
      <c r="QVR418" s="2"/>
      <c r="QVS418" s="2"/>
      <c r="QVT418" s="2"/>
      <c r="QVU418" s="2"/>
      <c r="QVV418" s="2"/>
      <c r="QVW418" s="2"/>
      <c r="QVX418" s="2"/>
      <c r="QVY418" s="2"/>
      <c r="QVZ418" s="2"/>
      <c r="QWA418" s="2"/>
      <c r="QWB418" s="2"/>
      <c r="QWC418" s="2"/>
      <c r="QWD418" s="2"/>
      <c r="QWE418" s="2"/>
      <c r="QWF418" s="2"/>
      <c r="QWG418" s="2"/>
      <c r="QWH418" s="2"/>
      <c r="QWI418" s="2"/>
      <c r="QWJ418" s="2"/>
      <c r="QWK418" s="2"/>
      <c r="QWL418" s="2"/>
      <c r="QWM418" s="2"/>
      <c r="QWN418" s="2"/>
      <c r="QWO418" s="2"/>
      <c r="QWP418" s="2"/>
      <c r="QWQ418" s="2"/>
      <c r="QWR418" s="2"/>
      <c r="QWS418" s="2"/>
      <c r="QWT418" s="2"/>
      <c r="QWU418" s="2"/>
      <c r="QWV418" s="2"/>
      <c r="QWW418" s="2"/>
      <c r="QWX418" s="2"/>
      <c r="QWY418" s="2"/>
      <c r="QWZ418" s="2"/>
      <c r="QXA418" s="2"/>
      <c r="QXB418" s="2"/>
      <c r="QXC418" s="2"/>
      <c r="QXD418" s="2"/>
      <c r="QXE418" s="2"/>
      <c r="QXF418" s="2"/>
      <c r="QXG418" s="2"/>
      <c r="QXH418" s="2"/>
      <c r="QXI418" s="2"/>
      <c r="QXJ418" s="2"/>
      <c r="QXK418" s="2"/>
      <c r="QXL418" s="2"/>
      <c r="QXM418" s="2"/>
      <c r="QXN418" s="2"/>
      <c r="QXO418" s="2"/>
      <c r="QXP418" s="2"/>
      <c r="QXQ418" s="2"/>
      <c r="QXR418" s="2"/>
      <c r="QXS418" s="2"/>
      <c r="QXT418" s="2"/>
      <c r="QXU418" s="2"/>
      <c r="QXV418" s="2"/>
      <c r="QXW418" s="2"/>
      <c r="QXX418" s="2"/>
      <c r="QXY418" s="2"/>
      <c r="QXZ418" s="2"/>
      <c r="QYA418" s="2"/>
      <c r="QYB418" s="2"/>
      <c r="QYC418" s="2"/>
      <c r="QYD418" s="2"/>
      <c r="QYE418" s="2"/>
      <c r="QYF418" s="2"/>
      <c r="QYG418" s="2"/>
      <c r="QYH418" s="2"/>
      <c r="QYI418" s="2"/>
      <c r="QYJ418" s="2"/>
      <c r="QYK418" s="2"/>
      <c r="QYL418" s="2"/>
      <c r="QYM418" s="2"/>
      <c r="QYN418" s="2"/>
      <c r="QYO418" s="2"/>
      <c r="QYP418" s="2"/>
      <c r="QYQ418" s="2"/>
      <c r="QYR418" s="2"/>
      <c r="QYS418" s="2"/>
      <c r="QYT418" s="2"/>
      <c r="QYU418" s="2"/>
      <c r="QYV418" s="2"/>
      <c r="QYW418" s="2"/>
      <c r="QYX418" s="2"/>
      <c r="QYY418" s="2"/>
      <c r="QYZ418" s="2"/>
      <c r="QZA418" s="2"/>
      <c r="QZB418" s="2"/>
      <c r="QZC418" s="2"/>
      <c r="QZD418" s="2"/>
      <c r="QZE418" s="2"/>
      <c r="QZF418" s="2"/>
      <c r="QZG418" s="2"/>
      <c r="QZH418" s="2"/>
      <c r="QZI418" s="2"/>
      <c r="QZJ418" s="2"/>
      <c r="QZK418" s="2"/>
      <c r="QZL418" s="2"/>
      <c r="QZM418" s="2"/>
      <c r="QZN418" s="2"/>
      <c r="QZO418" s="2"/>
      <c r="QZP418" s="2"/>
      <c r="QZQ418" s="2"/>
      <c r="QZR418" s="2"/>
      <c r="QZS418" s="2"/>
      <c r="QZT418" s="2"/>
      <c r="QZU418" s="2"/>
      <c r="QZV418" s="2"/>
      <c r="QZW418" s="2"/>
      <c r="QZX418" s="2"/>
      <c r="QZY418" s="2"/>
      <c r="QZZ418" s="2"/>
      <c r="RAA418" s="2"/>
      <c r="RAB418" s="2"/>
      <c r="RAC418" s="2"/>
      <c r="RAD418" s="2"/>
      <c r="RAE418" s="2"/>
      <c r="RAF418" s="2"/>
      <c r="RAG418" s="2"/>
      <c r="RAH418" s="2"/>
      <c r="RAI418" s="2"/>
      <c r="RAJ418" s="2"/>
      <c r="RAK418" s="2"/>
      <c r="RAL418" s="2"/>
      <c r="RAM418" s="2"/>
      <c r="RAN418" s="2"/>
      <c r="RAO418" s="2"/>
      <c r="RAP418" s="2"/>
      <c r="RAQ418" s="2"/>
      <c r="RAR418" s="2"/>
      <c r="RAS418" s="2"/>
      <c r="RAT418" s="2"/>
      <c r="RAU418" s="2"/>
      <c r="RAV418" s="2"/>
      <c r="RAW418" s="2"/>
      <c r="RAX418" s="2"/>
      <c r="RAY418" s="2"/>
      <c r="RAZ418" s="2"/>
      <c r="RBA418" s="2"/>
      <c r="RBB418" s="2"/>
      <c r="RBC418" s="2"/>
      <c r="RBD418" s="2"/>
      <c r="RBE418" s="2"/>
      <c r="RBF418" s="2"/>
      <c r="RBG418" s="2"/>
      <c r="RBH418" s="2"/>
      <c r="RBI418" s="2"/>
      <c r="RBJ418" s="2"/>
      <c r="RBK418" s="2"/>
      <c r="RBL418" s="2"/>
      <c r="RBM418" s="2"/>
      <c r="RBN418" s="2"/>
      <c r="RBO418" s="2"/>
      <c r="RBP418" s="2"/>
      <c r="RBQ418" s="2"/>
      <c r="RBR418" s="2"/>
      <c r="RBS418" s="2"/>
      <c r="RBT418" s="2"/>
      <c r="RBU418" s="2"/>
      <c r="RBV418" s="2"/>
      <c r="RBW418" s="2"/>
      <c r="RBX418" s="2"/>
      <c r="RBY418" s="2"/>
      <c r="RBZ418" s="2"/>
      <c r="RCA418" s="2"/>
      <c r="RCB418" s="2"/>
      <c r="RCC418" s="2"/>
      <c r="RCD418" s="2"/>
      <c r="RCE418" s="2"/>
      <c r="RCF418" s="2"/>
      <c r="RCG418" s="2"/>
      <c r="RCH418" s="2"/>
      <c r="RCI418" s="2"/>
      <c r="RCJ418" s="2"/>
      <c r="RCK418" s="2"/>
      <c r="RCL418" s="2"/>
      <c r="RCM418" s="2"/>
      <c r="RCN418" s="2"/>
      <c r="RCO418" s="2"/>
      <c r="RCP418" s="2"/>
      <c r="RCQ418" s="2"/>
      <c r="RCR418" s="2"/>
      <c r="RCS418" s="2"/>
      <c r="RCT418" s="2"/>
      <c r="RCU418" s="2"/>
      <c r="RCV418" s="2"/>
      <c r="RCW418" s="2"/>
      <c r="RCX418" s="2"/>
      <c r="RCY418" s="2"/>
      <c r="RCZ418" s="2"/>
      <c r="RDA418" s="2"/>
      <c r="RDB418" s="2"/>
      <c r="RDC418" s="2"/>
      <c r="RDD418" s="2"/>
      <c r="RDE418" s="2"/>
      <c r="RDF418" s="2"/>
      <c r="RDG418" s="2"/>
      <c r="RDH418" s="2"/>
      <c r="RDI418" s="2"/>
      <c r="RDJ418" s="2"/>
      <c r="RDK418" s="2"/>
      <c r="RDL418" s="2"/>
      <c r="RDM418" s="2"/>
      <c r="RDN418" s="2"/>
      <c r="RDO418" s="2"/>
      <c r="RDP418" s="2"/>
      <c r="RDQ418" s="2"/>
      <c r="RDR418" s="2"/>
      <c r="RDS418" s="2"/>
      <c r="RDT418" s="2"/>
      <c r="RDU418" s="2"/>
      <c r="RDV418" s="2"/>
      <c r="RDW418" s="2"/>
      <c r="RDX418" s="2"/>
      <c r="RDY418" s="2"/>
      <c r="RDZ418" s="2"/>
      <c r="REA418" s="2"/>
      <c r="REB418" s="2"/>
      <c r="REC418" s="2"/>
      <c r="RED418" s="2"/>
      <c r="REE418" s="2"/>
      <c r="REF418" s="2"/>
      <c r="REG418" s="2"/>
      <c r="REH418" s="2"/>
      <c r="REI418" s="2"/>
      <c r="REJ418" s="2"/>
      <c r="REK418" s="2"/>
      <c r="REL418" s="2"/>
      <c r="REM418" s="2"/>
      <c r="REN418" s="2"/>
      <c r="REO418" s="2"/>
      <c r="REP418" s="2"/>
      <c r="REQ418" s="2"/>
      <c r="RER418" s="2"/>
      <c r="RES418" s="2"/>
      <c r="RET418" s="2"/>
      <c r="REU418" s="2"/>
      <c r="REV418" s="2"/>
      <c r="REW418" s="2"/>
      <c r="REX418" s="2"/>
      <c r="REY418" s="2"/>
      <c r="REZ418" s="2"/>
      <c r="RFA418" s="2"/>
      <c r="RFB418" s="2"/>
      <c r="RFC418" s="2"/>
      <c r="RFD418" s="2"/>
      <c r="RFE418" s="2"/>
      <c r="RFF418" s="2"/>
      <c r="RFG418" s="2"/>
      <c r="RFH418" s="2"/>
      <c r="RFI418" s="2"/>
      <c r="RFJ418" s="2"/>
      <c r="RFK418" s="2"/>
      <c r="RFL418" s="2"/>
      <c r="RFM418" s="2"/>
      <c r="RFN418" s="2"/>
      <c r="RFO418" s="2"/>
      <c r="RFP418" s="2"/>
      <c r="RFQ418" s="2"/>
      <c r="RFR418" s="2"/>
      <c r="RFS418" s="2"/>
      <c r="RFT418" s="2"/>
      <c r="RFU418" s="2"/>
      <c r="RFV418" s="2"/>
      <c r="RFW418" s="2"/>
      <c r="RFX418" s="2"/>
      <c r="RFY418" s="2"/>
      <c r="RFZ418" s="2"/>
      <c r="RGA418" s="2"/>
      <c r="RGB418" s="2"/>
      <c r="RGC418" s="2"/>
      <c r="RGD418" s="2"/>
      <c r="RGE418" s="2"/>
      <c r="RGF418" s="2"/>
      <c r="RGG418" s="2"/>
      <c r="RGH418" s="2"/>
      <c r="RGI418" s="2"/>
      <c r="RGJ418" s="2"/>
      <c r="RGK418" s="2"/>
      <c r="RGL418" s="2"/>
      <c r="RGM418" s="2"/>
      <c r="RGN418" s="2"/>
      <c r="RGO418" s="2"/>
      <c r="RGP418" s="2"/>
      <c r="RGQ418" s="2"/>
      <c r="RGR418" s="2"/>
      <c r="RGS418" s="2"/>
      <c r="RGT418" s="2"/>
      <c r="RGU418" s="2"/>
      <c r="RGV418" s="2"/>
      <c r="RGW418" s="2"/>
      <c r="RGX418" s="2"/>
      <c r="RGY418" s="2"/>
      <c r="RGZ418" s="2"/>
      <c r="RHA418" s="2"/>
      <c r="RHB418" s="2"/>
      <c r="RHC418" s="2"/>
      <c r="RHD418" s="2"/>
      <c r="RHE418" s="2"/>
      <c r="RHF418" s="2"/>
      <c r="RHG418" s="2"/>
      <c r="RHH418" s="2"/>
      <c r="RHI418" s="2"/>
      <c r="RHJ418" s="2"/>
      <c r="RHK418" s="2"/>
      <c r="RHL418" s="2"/>
      <c r="RHM418" s="2"/>
      <c r="RHN418" s="2"/>
      <c r="RHO418" s="2"/>
      <c r="RHP418" s="2"/>
      <c r="RHQ418" s="2"/>
      <c r="RHR418" s="2"/>
      <c r="RHS418" s="2"/>
      <c r="RHT418" s="2"/>
      <c r="RHU418" s="2"/>
      <c r="RHV418" s="2"/>
      <c r="RHW418" s="2"/>
      <c r="RHX418" s="2"/>
      <c r="RHY418" s="2"/>
      <c r="RHZ418" s="2"/>
      <c r="RIA418" s="2"/>
      <c r="RIB418" s="2"/>
      <c r="RIC418" s="2"/>
      <c r="RID418" s="2"/>
      <c r="RIE418" s="2"/>
      <c r="RIF418" s="2"/>
      <c r="RIG418" s="2"/>
      <c r="RIH418" s="2"/>
      <c r="RII418" s="2"/>
      <c r="RIJ418" s="2"/>
      <c r="RIK418" s="2"/>
      <c r="RIL418" s="2"/>
      <c r="RIM418" s="2"/>
      <c r="RIN418" s="2"/>
      <c r="RIO418" s="2"/>
      <c r="RIP418" s="2"/>
      <c r="RIQ418" s="2"/>
      <c r="RIR418" s="2"/>
      <c r="RIS418" s="2"/>
      <c r="RIT418" s="2"/>
      <c r="RIU418" s="2"/>
      <c r="RIV418" s="2"/>
      <c r="RIW418" s="2"/>
      <c r="RIX418" s="2"/>
      <c r="RIY418" s="2"/>
      <c r="RIZ418" s="2"/>
      <c r="RJA418" s="2"/>
      <c r="RJB418" s="2"/>
      <c r="RJC418" s="2"/>
      <c r="RJD418" s="2"/>
      <c r="RJE418" s="2"/>
      <c r="RJF418" s="2"/>
      <c r="RJG418" s="2"/>
      <c r="RJH418" s="2"/>
      <c r="RJI418" s="2"/>
      <c r="RJJ418" s="2"/>
      <c r="RJK418" s="2"/>
      <c r="RJL418" s="2"/>
      <c r="RJM418" s="2"/>
      <c r="RJN418" s="2"/>
      <c r="RJO418" s="2"/>
      <c r="RJP418" s="2"/>
      <c r="RJQ418" s="2"/>
      <c r="RJR418" s="2"/>
      <c r="RJS418" s="2"/>
      <c r="RJT418" s="2"/>
      <c r="RJU418" s="2"/>
      <c r="RJV418" s="2"/>
      <c r="RJW418" s="2"/>
      <c r="RJX418" s="2"/>
      <c r="RJY418" s="2"/>
      <c r="RJZ418" s="2"/>
      <c r="RKA418" s="2"/>
      <c r="RKB418" s="2"/>
      <c r="RKC418" s="2"/>
      <c r="RKD418" s="2"/>
      <c r="RKE418" s="2"/>
      <c r="RKF418" s="2"/>
      <c r="RKG418" s="2"/>
      <c r="RKH418" s="2"/>
      <c r="RKI418" s="2"/>
      <c r="RKJ418" s="2"/>
      <c r="RKK418" s="2"/>
      <c r="RKL418" s="2"/>
      <c r="RKM418" s="2"/>
      <c r="RKN418" s="2"/>
      <c r="RKO418" s="2"/>
      <c r="RKP418" s="2"/>
      <c r="RKQ418" s="2"/>
      <c r="RKR418" s="2"/>
      <c r="RKS418" s="2"/>
      <c r="RKT418" s="2"/>
      <c r="RKU418" s="2"/>
      <c r="RKV418" s="2"/>
      <c r="RKW418" s="2"/>
      <c r="RKX418" s="2"/>
      <c r="RKY418" s="2"/>
      <c r="RKZ418" s="2"/>
      <c r="RLA418" s="2"/>
      <c r="RLB418" s="2"/>
      <c r="RLC418" s="2"/>
      <c r="RLD418" s="2"/>
      <c r="RLE418" s="2"/>
      <c r="RLF418" s="2"/>
      <c r="RLG418" s="2"/>
      <c r="RLH418" s="2"/>
      <c r="RLI418" s="2"/>
      <c r="RLJ418" s="2"/>
      <c r="RLK418" s="2"/>
      <c r="RLL418" s="2"/>
      <c r="RLM418" s="2"/>
      <c r="RLN418" s="2"/>
      <c r="RLO418" s="2"/>
      <c r="RLP418" s="2"/>
      <c r="RLQ418" s="2"/>
      <c r="RLR418" s="2"/>
      <c r="RLS418" s="2"/>
      <c r="RLT418" s="2"/>
      <c r="RLU418" s="2"/>
      <c r="RLV418" s="2"/>
      <c r="RLW418" s="2"/>
      <c r="RLX418" s="2"/>
      <c r="RLY418" s="2"/>
      <c r="RLZ418" s="2"/>
      <c r="RMA418" s="2"/>
      <c r="RMB418" s="2"/>
      <c r="RMC418" s="2"/>
      <c r="RMD418" s="2"/>
      <c r="RME418" s="2"/>
      <c r="RMF418" s="2"/>
      <c r="RMG418" s="2"/>
      <c r="RMH418" s="2"/>
      <c r="RMI418" s="2"/>
      <c r="RMJ418" s="2"/>
      <c r="RMK418" s="2"/>
      <c r="RML418" s="2"/>
      <c r="RMM418" s="2"/>
      <c r="RMN418" s="2"/>
      <c r="RMO418" s="2"/>
      <c r="RMP418" s="2"/>
      <c r="RMQ418" s="2"/>
      <c r="RMR418" s="2"/>
      <c r="RMS418" s="2"/>
      <c r="RMT418" s="2"/>
      <c r="RMU418" s="2"/>
      <c r="RMV418" s="2"/>
      <c r="RMW418" s="2"/>
      <c r="RMX418" s="2"/>
      <c r="RMY418" s="2"/>
      <c r="RMZ418" s="2"/>
      <c r="RNA418" s="2"/>
      <c r="RNB418" s="2"/>
      <c r="RNC418" s="2"/>
      <c r="RND418" s="2"/>
      <c r="RNE418" s="2"/>
      <c r="RNF418" s="2"/>
      <c r="RNG418" s="2"/>
      <c r="RNH418" s="2"/>
      <c r="RNI418" s="2"/>
      <c r="RNJ418" s="2"/>
      <c r="RNK418" s="2"/>
      <c r="RNL418" s="2"/>
      <c r="RNM418" s="2"/>
      <c r="RNN418" s="2"/>
      <c r="RNO418" s="2"/>
      <c r="RNP418" s="2"/>
      <c r="RNQ418" s="2"/>
      <c r="RNR418" s="2"/>
      <c r="RNS418" s="2"/>
      <c r="RNT418" s="2"/>
      <c r="RNU418" s="2"/>
      <c r="RNV418" s="2"/>
      <c r="RNW418" s="2"/>
      <c r="RNX418" s="2"/>
      <c r="RNY418" s="2"/>
      <c r="RNZ418" s="2"/>
      <c r="ROA418" s="2"/>
      <c r="ROB418" s="2"/>
      <c r="ROC418" s="2"/>
      <c r="ROD418" s="2"/>
      <c r="ROE418" s="2"/>
      <c r="ROF418" s="2"/>
      <c r="ROG418" s="2"/>
      <c r="ROH418" s="2"/>
      <c r="ROI418" s="2"/>
      <c r="ROJ418" s="2"/>
      <c r="ROK418" s="2"/>
      <c r="ROL418" s="2"/>
      <c r="ROM418" s="2"/>
      <c r="RON418" s="2"/>
      <c r="ROO418" s="2"/>
      <c r="ROP418" s="2"/>
      <c r="ROQ418" s="2"/>
      <c r="ROR418" s="2"/>
      <c r="ROS418" s="2"/>
      <c r="ROT418" s="2"/>
      <c r="ROU418" s="2"/>
      <c r="ROV418" s="2"/>
      <c r="ROW418" s="2"/>
      <c r="ROX418" s="2"/>
      <c r="ROY418" s="2"/>
      <c r="ROZ418" s="2"/>
      <c r="RPA418" s="2"/>
      <c r="RPB418" s="2"/>
      <c r="RPC418" s="2"/>
      <c r="RPD418" s="2"/>
      <c r="RPE418" s="2"/>
      <c r="RPF418" s="2"/>
      <c r="RPG418" s="2"/>
      <c r="RPH418" s="2"/>
      <c r="RPI418" s="2"/>
      <c r="RPJ418" s="2"/>
      <c r="RPK418" s="2"/>
      <c r="RPL418" s="2"/>
      <c r="RPM418" s="2"/>
      <c r="RPN418" s="2"/>
      <c r="RPO418" s="2"/>
      <c r="RPP418" s="2"/>
      <c r="RPQ418" s="2"/>
      <c r="RPR418" s="2"/>
      <c r="RPS418" s="2"/>
      <c r="RPT418" s="2"/>
      <c r="RPU418" s="2"/>
      <c r="RPV418" s="2"/>
      <c r="RPW418" s="2"/>
      <c r="RPX418" s="2"/>
      <c r="RPY418" s="2"/>
      <c r="RPZ418" s="2"/>
      <c r="RQA418" s="2"/>
      <c r="RQB418" s="2"/>
      <c r="RQC418" s="2"/>
      <c r="RQD418" s="2"/>
      <c r="RQE418" s="2"/>
      <c r="RQF418" s="2"/>
      <c r="RQG418" s="2"/>
      <c r="RQH418" s="2"/>
      <c r="RQI418" s="2"/>
      <c r="RQJ418" s="2"/>
      <c r="RQK418" s="2"/>
      <c r="RQL418" s="2"/>
      <c r="RQM418" s="2"/>
      <c r="RQN418" s="2"/>
      <c r="RQO418" s="2"/>
      <c r="RQP418" s="2"/>
      <c r="RQQ418" s="2"/>
      <c r="RQR418" s="2"/>
      <c r="RQS418" s="2"/>
      <c r="RQT418" s="2"/>
      <c r="RQU418" s="2"/>
      <c r="RQV418" s="2"/>
      <c r="RQW418" s="2"/>
      <c r="RQX418" s="2"/>
      <c r="RQY418" s="2"/>
      <c r="RQZ418" s="2"/>
      <c r="RRA418" s="2"/>
      <c r="RRB418" s="2"/>
      <c r="RRC418" s="2"/>
      <c r="RRD418" s="2"/>
      <c r="RRE418" s="2"/>
      <c r="RRF418" s="2"/>
      <c r="RRG418" s="2"/>
      <c r="RRH418" s="2"/>
      <c r="RRI418" s="2"/>
      <c r="RRJ418" s="2"/>
      <c r="RRK418" s="2"/>
      <c r="RRL418" s="2"/>
      <c r="RRM418" s="2"/>
      <c r="RRN418" s="2"/>
      <c r="RRO418" s="2"/>
      <c r="RRP418" s="2"/>
      <c r="RRQ418" s="2"/>
      <c r="RRR418" s="2"/>
      <c r="RRS418" s="2"/>
      <c r="RRT418" s="2"/>
      <c r="RRU418" s="2"/>
      <c r="RRV418" s="2"/>
      <c r="RRW418" s="2"/>
      <c r="RRX418" s="2"/>
      <c r="RRY418" s="2"/>
      <c r="RRZ418" s="2"/>
      <c r="RSA418" s="2"/>
      <c r="RSB418" s="2"/>
      <c r="RSC418" s="2"/>
      <c r="RSD418" s="2"/>
      <c r="RSE418" s="2"/>
      <c r="RSF418" s="2"/>
      <c r="RSG418" s="2"/>
      <c r="RSH418" s="2"/>
      <c r="RSI418" s="2"/>
      <c r="RSJ418" s="2"/>
      <c r="RSK418" s="2"/>
      <c r="RSL418" s="2"/>
      <c r="RSM418" s="2"/>
      <c r="RSN418" s="2"/>
      <c r="RSO418" s="2"/>
      <c r="RSP418" s="2"/>
      <c r="RSQ418" s="2"/>
      <c r="RSR418" s="2"/>
      <c r="RSS418" s="2"/>
      <c r="RST418" s="2"/>
      <c r="RSU418" s="2"/>
      <c r="RSV418" s="2"/>
      <c r="RSW418" s="2"/>
      <c r="RSX418" s="2"/>
      <c r="RSY418" s="2"/>
      <c r="RSZ418" s="2"/>
      <c r="RTA418" s="2"/>
      <c r="RTB418" s="2"/>
      <c r="RTC418" s="2"/>
      <c r="RTD418" s="2"/>
      <c r="RTE418" s="2"/>
      <c r="RTF418" s="2"/>
      <c r="RTG418" s="2"/>
      <c r="RTH418" s="2"/>
      <c r="RTI418" s="2"/>
      <c r="RTJ418" s="2"/>
      <c r="RTK418" s="2"/>
      <c r="RTL418" s="2"/>
      <c r="RTM418" s="2"/>
      <c r="RTN418" s="2"/>
      <c r="RTO418" s="2"/>
      <c r="RTP418" s="2"/>
      <c r="RTQ418" s="2"/>
      <c r="RTR418" s="2"/>
      <c r="RTS418" s="2"/>
      <c r="RTT418" s="2"/>
      <c r="RTU418" s="2"/>
      <c r="RTV418" s="2"/>
      <c r="RTW418" s="2"/>
      <c r="RTX418" s="2"/>
      <c r="RTY418" s="2"/>
      <c r="RTZ418" s="2"/>
      <c r="RUA418" s="2"/>
      <c r="RUB418" s="2"/>
      <c r="RUC418" s="2"/>
      <c r="RUD418" s="2"/>
      <c r="RUE418" s="2"/>
      <c r="RUF418" s="2"/>
      <c r="RUG418" s="2"/>
      <c r="RUH418" s="2"/>
      <c r="RUI418" s="2"/>
      <c r="RUJ418" s="2"/>
      <c r="RUK418" s="2"/>
      <c r="RUL418" s="2"/>
      <c r="RUM418" s="2"/>
      <c r="RUN418" s="2"/>
      <c r="RUO418" s="2"/>
      <c r="RUP418" s="2"/>
      <c r="RUQ418" s="2"/>
      <c r="RUR418" s="2"/>
      <c r="RUS418" s="2"/>
      <c r="RUT418" s="2"/>
      <c r="RUU418" s="2"/>
      <c r="RUV418" s="2"/>
      <c r="RUW418" s="2"/>
      <c r="RUX418" s="2"/>
      <c r="RUY418" s="2"/>
      <c r="RUZ418" s="2"/>
      <c r="RVA418" s="2"/>
      <c r="RVB418" s="2"/>
      <c r="RVC418" s="2"/>
      <c r="RVD418" s="2"/>
      <c r="RVE418" s="2"/>
      <c r="RVF418" s="2"/>
      <c r="RVG418" s="2"/>
      <c r="RVH418" s="2"/>
      <c r="RVI418" s="2"/>
      <c r="RVJ418" s="2"/>
      <c r="RVK418" s="2"/>
      <c r="RVL418" s="2"/>
      <c r="RVM418" s="2"/>
      <c r="RVN418" s="2"/>
      <c r="RVO418" s="2"/>
      <c r="RVP418" s="2"/>
      <c r="RVQ418" s="2"/>
      <c r="RVR418" s="2"/>
      <c r="RVS418" s="2"/>
      <c r="RVT418" s="2"/>
      <c r="RVU418" s="2"/>
      <c r="RVV418" s="2"/>
      <c r="RVW418" s="2"/>
      <c r="RVX418" s="2"/>
      <c r="RVY418" s="2"/>
      <c r="RVZ418" s="2"/>
      <c r="RWA418" s="2"/>
      <c r="RWB418" s="2"/>
      <c r="RWC418" s="2"/>
      <c r="RWD418" s="2"/>
      <c r="RWE418" s="2"/>
      <c r="RWF418" s="2"/>
      <c r="RWG418" s="2"/>
      <c r="RWH418" s="2"/>
      <c r="RWI418" s="2"/>
      <c r="RWJ418" s="2"/>
      <c r="RWK418" s="2"/>
      <c r="RWL418" s="2"/>
      <c r="RWM418" s="2"/>
      <c r="RWN418" s="2"/>
      <c r="RWO418" s="2"/>
      <c r="RWP418" s="2"/>
      <c r="RWQ418" s="2"/>
      <c r="RWR418" s="2"/>
      <c r="RWS418" s="2"/>
      <c r="RWT418" s="2"/>
      <c r="RWU418" s="2"/>
      <c r="RWV418" s="2"/>
      <c r="RWW418" s="2"/>
      <c r="RWX418" s="2"/>
      <c r="RWY418" s="2"/>
      <c r="RWZ418" s="2"/>
      <c r="RXA418" s="2"/>
      <c r="RXB418" s="2"/>
      <c r="RXC418" s="2"/>
      <c r="RXD418" s="2"/>
      <c r="RXE418" s="2"/>
      <c r="RXF418" s="2"/>
      <c r="RXG418" s="2"/>
      <c r="RXH418" s="2"/>
      <c r="RXI418" s="2"/>
      <c r="RXJ418" s="2"/>
      <c r="RXK418" s="2"/>
      <c r="RXL418" s="2"/>
      <c r="RXM418" s="2"/>
      <c r="RXN418" s="2"/>
      <c r="RXO418" s="2"/>
      <c r="RXP418" s="2"/>
      <c r="RXQ418" s="2"/>
      <c r="RXR418" s="2"/>
      <c r="RXS418" s="2"/>
      <c r="RXT418" s="2"/>
      <c r="RXU418" s="2"/>
      <c r="RXV418" s="2"/>
      <c r="RXW418" s="2"/>
      <c r="RXX418" s="2"/>
      <c r="RXY418" s="2"/>
      <c r="RXZ418" s="2"/>
      <c r="RYA418" s="2"/>
      <c r="RYB418" s="2"/>
      <c r="RYC418" s="2"/>
      <c r="RYD418" s="2"/>
      <c r="RYE418" s="2"/>
      <c r="RYF418" s="2"/>
      <c r="RYG418" s="2"/>
      <c r="RYH418" s="2"/>
      <c r="RYI418" s="2"/>
      <c r="RYJ418" s="2"/>
      <c r="RYK418" s="2"/>
      <c r="RYL418" s="2"/>
      <c r="RYM418" s="2"/>
      <c r="RYN418" s="2"/>
      <c r="RYO418" s="2"/>
      <c r="RYP418" s="2"/>
      <c r="RYQ418" s="2"/>
      <c r="RYR418" s="2"/>
      <c r="RYS418" s="2"/>
      <c r="RYT418" s="2"/>
      <c r="RYU418" s="2"/>
      <c r="RYV418" s="2"/>
      <c r="RYW418" s="2"/>
      <c r="RYX418" s="2"/>
      <c r="RYY418" s="2"/>
      <c r="RYZ418" s="2"/>
      <c r="RZA418" s="2"/>
      <c r="RZB418" s="2"/>
      <c r="RZC418" s="2"/>
      <c r="RZD418" s="2"/>
      <c r="RZE418" s="2"/>
      <c r="RZF418" s="2"/>
      <c r="RZG418" s="2"/>
      <c r="RZH418" s="2"/>
      <c r="RZI418" s="2"/>
      <c r="RZJ418" s="2"/>
      <c r="RZK418" s="2"/>
      <c r="RZL418" s="2"/>
      <c r="RZM418" s="2"/>
      <c r="RZN418" s="2"/>
      <c r="RZO418" s="2"/>
      <c r="RZP418" s="2"/>
      <c r="RZQ418" s="2"/>
      <c r="RZR418" s="2"/>
      <c r="RZS418" s="2"/>
      <c r="RZT418" s="2"/>
      <c r="RZU418" s="2"/>
      <c r="RZV418" s="2"/>
      <c r="RZW418" s="2"/>
      <c r="RZX418" s="2"/>
      <c r="RZY418" s="2"/>
      <c r="RZZ418" s="2"/>
      <c r="SAA418" s="2"/>
      <c r="SAB418" s="2"/>
      <c r="SAC418" s="2"/>
      <c r="SAD418" s="2"/>
      <c r="SAE418" s="2"/>
      <c r="SAF418" s="2"/>
      <c r="SAG418" s="2"/>
      <c r="SAH418" s="2"/>
      <c r="SAI418" s="2"/>
      <c r="SAJ418" s="2"/>
      <c r="SAK418" s="2"/>
      <c r="SAL418" s="2"/>
      <c r="SAM418" s="2"/>
      <c r="SAN418" s="2"/>
      <c r="SAO418" s="2"/>
      <c r="SAP418" s="2"/>
      <c r="SAQ418" s="2"/>
      <c r="SAR418" s="2"/>
      <c r="SAS418" s="2"/>
      <c r="SAT418" s="2"/>
      <c r="SAU418" s="2"/>
      <c r="SAV418" s="2"/>
      <c r="SAW418" s="2"/>
      <c r="SAX418" s="2"/>
      <c r="SAY418" s="2"/>
      <c r="SAZ418" s="2"/>
      <c r="SBA418" s="2"/>
      <c r="SBB418" s="2"/>
      <c r="SBC418" s="2"/>
      <c r="SBD418" s="2"/>
      <c r="SBE418" s="2"/>
      <c r="SBF418" s="2"/>
      <c r="SBG418" s="2"/>
      <c r="SBH418" s="2"/>
      <c r="SBI418" s="2"/>
      <c r="SBJ418" s="2"/>
      <c r="SBK418" s="2"/>
      <c r="SBL418" s="2"/>
      <c r="SBM418" s="2"/>
      <c r="SBN418" s="2"/>
      <c r="SBO418" s="2"/>
      <c r="SBP418" s="2"/>
      <c r="SBQ418" s="2"/>
      <c r="SBR418" s="2"/>
      <c r="SBS418" s="2"/>
      <c r="SBT418" s="2"/>
      <c r="SBU418" s="2"/>
      <c r="SBV418" s="2"/>
      <c r="SBW418" s="2"/>
      <c r="SBX418" s="2"/>
      <c r="SBY418" s="2"/>
      <c r="SBZ418" s="2"/>
      <c r="SCA418" s="2"/>
      <c r="SCB418" s="2"/>
      <c r="SCC418" s="2"/>
      <c r="SCD418" s="2"/>
      <c r="SCE418" s="2"/>
      <c r="SCF418" s="2"/>
      <c r="SCG418" s="2"/>
      <c r="SCH418" s="2"/>
      <c r="SCI418" s="2"/>
      <c r="SCJ418" s="2"/>
      <c r="SCK418" s="2"/>
      <c r="SCL418" s="2"/>
      <c r="SCM418" s="2"/>
      <c r="SCN418" s="2"/>
      <c r="SCO418" s="2"/>
      <c r="SCP418" s="2"/>
      <c r="SCQ418" s="2"/>
      <c r="SCR418" s="2"/>
      <c r="SCS418" s="2"/>
      <c r="SCT418" s="2"/>
      <c r="SCU418" s="2"/>
      <c r="SCV418" s="2"/>
      <c r="SCW418" s="2"/>
      <c r="SCX418" s="2"/>
      <c r="SCY418" s="2"/>
      <c r="SCZ418" s="2"/>
      <c r="SDA418" s="2"/>
      <c r="SDB418" s="2"/>
      <c r="SDC418" s="2"/>
      <c r="SDD418" s="2"/>
      <c r="SDE418" s="2"/>
      <c r="SDF418" s="2"/>
      <c r="SDG418" s="2"/>
      <c r="SDH418" s="2"/>
      <c r="SDI418" s="2"/>
      <c r="SDJ418" s="2"/>
      <c r="SDK418" s="2"/>
      <c r="SDL418" s="2"/>
      <c r="SDM418" s="2"/>
      <c r="SDN418" s="2"/>
      <c r="SDO418" s="2"/>
      <c r="SDP418" s="2"/>
      <c r="SDQ418" s="2"/>
      <c r="SDR418" s="2"/>
      <c r="SDS418" s="2"/>
      <c r="SDT418" s="2"/>
      <c r="SDU418" s="2"/>
      <c r="SDV418" s="2"/>
      <c r="SDW418" s="2"/>
      <c r="SDX418" s="2"/>
      <c r="SDY418" s="2"/>
      <c r="SDZ418" s="2"/>
      <c r="SEA418" s="2"/>
      <c r="SEB418" s="2"/>
      <c r="SEC418" s="2"/>
      <c r="SED418" s="2"/>
      <c r="SEE418" s="2"/>
      <c r="SEF418" s="2"/>
      <c r="SEG418" s="2"/>
      <c r="SEH418" s="2"/>
      <c r="SEI418" s="2"/>
      <c r="SEJ418" s="2"/>
      <c r="SEK418" s="2"/>
      <c r="SEL418" s="2"/>
      <c r="SEM418" s="2"/>
      <c r="SEN418" s="2"/>
      <c r="SEO418" s="2"/>
      <c r="SEP418" s="2"/>
      <c r="SEQ418" s="2"/>
      <c r="SER418" s="2"/>
      <c r="SES418" s="2"/>
      <c r="SET418" s="2"/>
      <c r="SEU418" s="2"/>
      <c r="SEV418" s="2"/>
      <c r="SEW418" s="2"/>
      <c r="SEX418" s="2"/>
      <c r="SEY418" s="2"/>
      <c r="SEZ418" s="2"/>
      <c r="SFA418" s="2"/>
      <c r="SFB418" s="2"/>
      <c r="SFC418" s="2"/>
      <c r="SFD418" s="2"/>
      <c r="SFE418" s="2"/>
      <c r="SFF418" s="2"/>
      <c r="SFG418" s="2"/>
      <c r="SFH418" s="2"/>
      <c r="SFI418" s="2"/>
      <c r="SFJ418" s="2"/>
      <c r="SFK418" s="2"/>
      <c r="SFL418" s="2"/>
      <c r="SFM418" s="2"/>
      <c r="SFN418" s="2"/>
      <c r="SFO418" s="2"/>
      <c r="SFP418" s="2"/>
      <c r="SFQ418" s="2"/>
      <c r="SFR418" s="2"/>
      <c r="SFS418" s="2"/>
      <c r="SFT418" s="2"/>
      <c r="SFU418" s="2"/>
      <c r="SFV418" s="2"/>
      <c r="SFW418" s="2"/>
      <c r="SFX418" s="2"/>
      <c r="SFY418" s="2"/>
      <c r="SFZ418" s="2"/>
      <c r="SGA418" s="2"/>
      <c r="SGB418" s="2"/>
      <c r="SGC418" s="2"/>
      <c r="SGD418" s="2"/>
      <c r="SGE418" s="2"/>
      <c r="SGF418" s="2"/>
      <c r="SGG418" s="2"/>
      <c r="SGH418" s="2"/>
      <c r="SGI418" s="2"/>
      <c r="SGJ418" s="2"/>
      <c r="SGK418" s="2"/>
      <c r="SGL418" s="2"/>
      <c r="SGM418" s="2"/>
      <c r="SGN418" s="2"/>
      <c r="SGO418" s="2"/>
      <c r="SGP418" s="2"/>
      <c r="SGQ418" s="2"/>
      <c r="SGR418" s="2"/>
      <c r="SGS418" s="2"/>
      <c r="SGT418" s="2"/>
      <c r="SGU418" s="2"/>
      <c r="SGV418" s="2"/>
      <c r="SGW418" s="2"/>
      <c r="SGX418" s="2"/>
      <c r="SGY418" s="2"/>
      <c r="SGZ418" s="2"/>
      <c r="SHA418" s="2"/>
      <c r="SHB418" s="2"/>
      <c r="SHC418" s="2"/>
      <c r="SHD418" s="2"/>
      <c r="SHE418" s="2"/>
      <c r="SHF418" s="2"/>
      <c r="SHG418" s="2"/>
      <c r="SHH418" s="2"/>
      <c r="SHI418" s="2"/>
      <c r="SHJ418" s="2"/>
      <c r="SHK418" s="2"/>
      <c r="SHL418" s="2"/>
      <c r="SHM418" s="2"/>
      <c r="SHN418" s="2"/>
      <c r="SHO418" s="2"/>
      <c r="SHP418" s="2"/>
      <c r="SHQ418" s="2"/>
      <c r="SHR418" s="2"/>
      <c r="SHS418" s="2"/>
      <c r="SHT418" s="2"/>
      <c r="SHU418" s="2"/>
      <c r="SHV418" s="2"/>
      <c r="SHW418" s="2"/>
      <c r="SHX418" s="2"/>
      <c r="SHY418" s="2"/>
      <c r="SHZ418" s="2"/>
      <c r="SIA418" s="2"/>
      <c r="SIB418" s="2"/>
      <c r="SIC418" s="2"/>
      <c r="SID418" s="2"/>
      <c r="SIE418" s="2"/>
      <c r="SIF418" s="2"/>
      <c r="SIG418" s="2"/>
      <c r="SIH418" s="2"/>
      <c r="SII418" s="2"/>
      <c r="SIJ418" s="2"/>
      <c r="SIK418" s="2"/>
      <c r="SIL418" s="2"/>
      <c r="SIM418" s="2"/>
      <c r="SIN418" s="2"/>
      <c r="SIO418" s="2"/>
      <c r="SIP418" s="2"/>
      <c r="SIQ418" s="2"/>
      <c r="SIR418" s="2"/>
      <c r="SIS418" s="2"/>
      <c r="SIT418" s="2"/>
      <c r="SIU418" s="2"/>
      <c r="SIV418" s="2"/>
      <c r="SIW418" s="2"/>
      <c r="SIX418" s="2"/>
      <c r="SIY418" s="2"/>
      <c r="SIZ418" s="2"/>
      <c r="SJA418" s="2"/>
      <c r="SJB418" s="2"/>
      <c r="SJC418" s="2"/>
      <c r="SJD418" s="2"/>
      <c r="SJE418" s="2"/>
      <c r="SJF418" s="2"/>
      <c r="SJG418" s="2"/>
      <c r="SJH418" s="2"/>
      <c r="SJI418" s="2"/>
      <c r="SJJ418" s="2"/>
      <c r="SJK418" s="2"/>
      <c r="SJL418" s="2"/>
      <c r="SJM418" s="2"/>
      <c r="SJN418" s="2"/>
      <c r="SJO418" s="2"/>
      <c r="SJP418" s="2"/>
      <c r="SJQ418" s="2"/>
      <c r="SJR418" s="2"/>
      <c r="SJS418" s="2"/>
      <c r="SJT418" s="2"/>
      <c r="SJU418" s="2"/>
      <c r="SJV418" s="2"/>
      <c r="SJW418" s="2"/>
      <c r="SJX418" s="2"/>
      <c r="SJY418" s="2"/>
      <c r="SJZ418" s="2"/>
      <c r="SKA418" s="2"/>
      <c r="SKB418" s="2"/>
      <c r="SKC418" s="2"/>
      <c r="SKD418" s="2"/>
      <c r="SKE418" s="2"/>
      <c r="SKF418" s="2"/>
      <c r="SKG418" s="2"/>
      <c r="SKH418" s="2"/>
      <c r="SKI418" s="2"/>
      <c r="SKJ418" s="2"/>
      <c r="SKK418" s="2"/>
      <c r="SKL418" s="2"/>
      <c r="SKM418" s="2"/>
      <c r="SKN418" s="2"/>
      <c r="SKO418" s="2"/>
      <c r="SKP418" s="2"/>
      <c r="SKQ418" s="2"/>
      <c r="SKR418" s="2"/>
      <c r="SKS418" s="2"/>
      <c r="SKT418" s="2"/>
      <c r="SKU418" s="2"/>
      <c r="SKV418" s="2"/>
      <c r="SKW418" s="2"/>
      <c r="SKX418" s="2"/>
      <c r="SKY418" s="2"/>
      <c r="SKZ418" s="2"/>
      <c r="SLA418" s="2"/>
      <c r="SLB418" s="2"/>
      <c r="SLC418" s="2"/>
      <c r="SLD418" s="2"/>
      <c r="SLE418" s="2"/>
      <c r="SLF418" s="2"/>
      <c r="SLG418" s="2"/>
      <c r="SLH418" s="2"/>
      <c r="SLI418" s="2"/>
      <c r="SLJ418" s="2"/>
      <c r="SLK418" s="2"/>
      <c r="SLL418" s="2"/>
      <c r="SLM418" s="2"/>
      <c r="SLN418" s="2"/>
      <c r="SLO418" s="2"/>
      <c r="SLP418" s="2"/>
      <c r="SLQ418" s="2"/>
      <c r="SLR418" s="2"/>
      <c r="SLS418" s="2"/>
      <c r="SLT418" s="2"/>
      <c r="SLU418" s="2"/>
      <c r="SLV418" s="2"/>
      <c r="SLW418" s="2"/>
      <c r="SLX418" s="2"/>
      <c r="SLY418" s="2"/>
      <c r="SLZ418" s="2"/>
      <c r="SMA418" s="2"/>
      <c r="SMB418" s="2"/>
      <c r="SMC418" s="2"/>
      <c r="SMD418" s="2"/>
      <c r="SME418" s="2"/>
      <c r="SMF418" s="2"/>
      <c r="SMG418" s="2"/>
      <c r="SMH418" s="2"/>
      <c r="SMI418" s="2"/>
      <c r="SMJ418" s="2"/>
      <c r="SMK418" s="2"/>
      <c r="SML418" s="2"/>
      <c r="SMM418" s="2"/>
      <c r="SMN418" s="2"/>
      <c r="SMO418" s="2"/>
      <c r="SMP418" s="2"/>
      <c r="SMQ418" s="2"/>
      <c r="SMR418" s="2"/>
      <c r="SMS418" s="2"/>
      <c r="SMT418" s="2"/>
      <c r="SMU418" s="2"/>
      <c r="SMV418" s="2"/>
      <c r="SMW418" s="2"/>
      <c r="SMX418" s="2"/>
      <c r="SMY418" s="2"/>
      <c r="SMZ418" s="2"/>
      <c r="SNA418" s="2"/>
      <c r="SNB418" s="2"/>
      <c r="SNC418" s="2"/>
      <c r="SND418" s="2"/>
      <c r="SNE418" s="2"/>
      <c r="SNF418" s="2"/>
      <c r="SNG418" s="2"/>
      <c r="SNH418" s="2"/>
      <c r="SNI418" s="2"/>
      <c r="SNJ418" s="2"/>
      <c r="SNK418" s="2"/>
      <c r="SNL418" s="2"/>
      <c r="SNM418" s="2"/>
      <c r="SNN418" s="2"/>
      <c r="SNO418" s="2"/>
      <c r="SNP418" s="2"/>
      <c r="SNQ418" s="2"/>
      <c r="SNR418" s="2"/>
      <c r="SNS418" s="2"/>
      <c r="SNT418" s="2"/>
      <c r="SNU418" s="2"/>
      <c r="SNV418" s="2"/>
      <c r="SNW418" s="2"/>
      <c r="SNX418" s="2"/>
      <c r="SNY418" s="2"/>
      <c r="SNZ418" s="2"/>
      <c r="SOA418" s="2"/>
      <c r="SOB418" s="2"/>
      <c r="SOC418" s="2"/>
      <c r="SOD418" s="2"/>
      <c r="SOE418" s="2"/>
      <c r="SOF418" s="2"/>
      <c r="SOG418" s="2"/>
      <c r="SOH418" s="2"/>
      <c r="SOI418" s="2"/>
      <c r="SOJ418" s="2"/>
      <c r="SOK418" s="2"/>
      <c r="SOL418" s="2"/>
      <c r="SOM418" s="2"/>
      <c r="SON418" s="2"/>
      <c r="SOO418" s="2"/>
      <c r="SOP418" s="2"/>
      <c r="SOQ418" s="2"/>
      <c r="SOR418" s="2"/>
      <c r="SOS418" s="2"/>
      <c r="SOT418" s="2"/>
      <c r="SOU418" s="2"/>
      <c r="SOV418" s="2"/>
      <c r="SOW418" s="2"/>
      <c r="SOX418" s="2"/>
      <c r="SOY418" s="2"/>
      <c r="SOZ418" s="2"/>
      <c r="SPA418" s="2"/>
      <c r="SPB418" s="2"/>
      <c r="SPC418" s="2"/>
      <c r="SPD418" s="2"/>
      <c r="SPE418" s="2"/>
      <c r="SPF418" s="2"/>
      <c r="SPG418" s="2"/>
      <c r="SPH418" s="2"/>
      <c r="SPI418" s="2"/>
      <c r="SPJ418" s="2"/>
      <c r="SPK418" s="2"/>
      <c r="SPL418" s="2"/>
      <c r="SPM418" s="2"/>
      <c r="SPN418" s="2"/>
      <c r="SPO418" s="2"/>
      <c r="SPP418" s="2"/>
      <c r="SPQ418" s="2"/>
      <c r="SPR418" s="2"/>
      <c r="SPS418" s="2"/>
      <c r="SPT418" s="2"/>
      <c r="SPU418" s="2"/>
      <c r="SPV418" s="2"/>
      <c r="SPW418" s="2"/>
      <c r="SPX418" s="2"/>
      <c r="SPY418" s="2"/>
      <c r="SPZ418" s="2"/>
      <c r="SQA418" s="2"/>
      <c r="SQB418" s="2"/>
      <c r="SQC418" s="2"/>
      <c r="SQD418" s="2"/>
      <c r="SQE418" s="2"/>
      <c r="SQF418" s="2"/>
      <c r="SQG418" s="2"/>
      <c r="SQH418" s="2"/>
      <c r="SQI418" s="2"/>
      <c r="SQJ418" s="2"/>
      <c r="SQK418" s="2"/>
      <c r="SQL418" s="2"/>
      <c r="SQM418" s="2"/>
      <c r="SQN418" s="2"/>
      <c r="SQO418" s="2"/>
      <c r="SQP418" s="2"/>
      <c r="SQQ418" s="2"/>
      <c r="SQR418" s="2"/>
      <c r="SQS418" s="2"/>
      <c r="SQT418" s="2"/>
      <c r="SQU418" s="2"/>
      <c r="SQV418" s="2"/>
      <c r="SQW418" s="2"/>
      <c r="SQX418" s="2"/>
      <c r="SQY418" s="2"/>
      <c r="SQZ418" s="2"/>
      <c r="SRA418" s="2"/>
      <c r="SRB418" s="2"/>
      <c r="SRC418" s="2"/>
      <c r="SRD418" s="2"/>
      <c r="SRE418" s="2"/>
      <c r="SRF418" s="2"/>
      <c r="SRG418" s="2"/>
      <c r="SRH418" s="2"/>
      <c r="SRI418" s="2"/>
      <c r="SRJ418" s="2"/>
      <c r="SRK418" s="2"/>
      <c r="SRL418" s="2"/>
      <c r="SRM418" s="2"/>
      <c r="SRN418" s="2"/>
      <c r="SRO418" s="2"/>
      <c r="SRP418" s="2"/>
      <c r="SRQ418" s="2"/>
      <c r="SRR418" s="2"/>
      <c r="SRS418" s="2"/>
      <c r="SRT418" s="2"/>
      <c r="SRU418" s="2"/>
      <c r="SRV418" s="2"/>
      <c r="SRW418" s="2"/>
      <c r="SRX418" s="2"/>
      <c r="SRY418" s="2"/>
      <c r="SRZ418" s="2"/>
      <c r="SSA418" s="2"/>
      <c r="SSB418" s="2"/>
      <c r="SSC418" s="2"/>
      <c r="SSD418" s="2"/>
      <c r="SSE418" s="2"/>
      <c r="SSF418" s="2"/>
      <c r="SSG418" s="2"/>
      <c r="SSH418" s="2"/>
      <c r="SSI418" s="2"/>
      <c r="SSJ418" s="2"/>
      <c r="SSK418" s="2"/>
      <c r="SSL418" s="2"/>
      <c r="SSM418" s="2"/>
      <c r="SSN418" s="2"/>
      <c r="SSO418" s="2"/>
      <c r="SSP418" s="2"/>
      <c r="SSQ418" s="2"/>
      <c r="SSR418" s="2"/>
      <c r="SSS418" s="2"/>
      <c r="SST418" s="2"/>
      <c r="SSU418" s="2"/>
      <c r="SSV418" s="2"/>
      <c r="SSW418" s="2"/>
      <c r="SSX418" s="2"/>
      <c r="SSY418" s="2"/>
      <c r="SSZ418" s="2"/>
      <c r="STA418" s="2"/>
      <c r="STB418" s="2"/>
      <c r="STC418" s="2"/>
      <c r="STD418" s="2"/>
      <c r="STE418" s="2"/>
      <c r="STF418" s="2"/>
      <c r="STG418" s="2"/>
      <c r="STH418" s="2"/>
      <c r="STI418" s="2"/>
      <c r="STJ418" s="2"/>
      <c r="STK418" s="2"/>
      <c r="STL418" s="2"/>
      <c r="STM418" s="2"/>
      <c r="STN418" s="2"/>
      <c r="STO418" s="2"/>
      <c r="STP418" s="2"/>
      <c r="STQ418" s="2"/>
      <c r="STR418" s="2"/>
      <c r="STS418" s="2"/>
      <c r="STT418" s="2"/>
      <c r="STU418" s="2"/>
      <c r="STV418" s="2"/>
      <c r="STW418" s="2"/>
      <c r="STX418" s="2"/>
      <c r="STY418" s="2"/>
      <c r="STZ418" s="2"/>
      <c r="SUA418" s="2"/>
      <c r="SUB418" s="2"/>
      <c r="SUC418" s="2"/>
      <c r="SUD418" s="2"/>
      <c r="SUE418" s="2"/>
      <c r="SUF418" s="2"/>
      <c r="SUG418" s="2"/>
      <c r="SUH418" s="2"/>
      <c r="SUI418" s="2"/>
      <c r="SUJ418" s="2"/>
      <c r="SUK418" s="2"/>
      <c r="SUL418" s="2"/>
      <c r="SUM418" s="2"/>
      <c r="SUN418" s="2"/>
      <c r="SUO418" s="2"/>
      <c r="SUP418" s="2"/>
      <c r="SUQ418" s="2"/>
      <c r="SUR418" s="2"/>
      <c r="SUS418" s="2"/>
      <c r="SUT418" s="2"/>
      <c r="SUU418" s="2"/>
      <c r="SUV418" s="2"/>
      <c r="SUW418" s="2"/>
      <c r="SUX418" s="2"/>
      <c r="SUY418" s="2"/>
      <c r="SUZ418" s="2"/>
      <c r="SVA418" s="2"/>
      <c r="SVB418" s="2"/>
      <c r="SVC418" s="2"/>
      <c r="SVD418" s="2"/>
      <c r="SVE418" s="2"/>
      <c r="SVF418" s="2"/>
      <c r="SVG418" s="2"/>
      <c r="SVH418" s="2"/>
      <c r="SVI418" s="2"/>
      <c r="SVJ418" s="2"/>
      <c r="SVK418" s="2"/>
      <c r="SVL418" s="2"/>
      <c r="SVM418" s="2"/>
      <c r="SVN418" s="2"/>
      <c r="SVO418" s="2"/>
      <c r="SVP418" s="2"/>
      <c r="SVQ418" s="2"/>
      <c r="SVR418" s="2"/>
      <c r="SVS418" s="2"/>
      <c r="SVT418" s="2"/>
      <c r="SVU418" s="2"/>
      <c r="SVV418" s="2"/>
      <c r="SVW418" s="2"/>
      <c r="SVX418" s="2"/>
      <c r="SVY418" s="2"/>
      <c r="SVZ418" s="2"/>
      <c r="SWA418" s="2"/>
      <c r="SWB418" s="2"/>
      <c r="SWC418" s="2"/>
      <c r="SWD418" s="2"/>
      <c r="SWE418" s="2"/>
      <c r="SWF418" s="2"/>
      <c r="SWG418" s="2"/>
      <c r="SWH418" s="2"/>
      <c r="SWI418" s="2"/>
      <c r="SWJ418" s="2"/>
      <c r="SWK418" s="2"/>
      <c r="SWL418" s="2"/>
      <c r="SWM418" s="2"/>
      <c r="SWN418" s="2"/>
      <c r="SWO418" s="2"/>
      <c r="SWP418" s="2"/>
      <c r="SWQ418" s="2"/>
      <c r="SWR418" s="2"/>
      <c r="SWS418" s="2"/>
      <c r="SWT418" s="2"/>
      <c r="SWU418" s="2"/>
      <c r="SWV418" s="2"/>
      <c r="SWW418" s="2"/>
      <c r="SWX418" s="2"/>
      <c r="SWY418" s="2"/>
      <c r="SWZ418" s="2"/>
      <c r="SXA418" s="2"/>
      <c r="SXB418" s="2"/>
      <c r="SXC418" s="2"/>
      <c r="SXD418" s="2"/>
      <c r="SXE418" s="2"/>
      <c r="SXF418" s="2"/>
      <c r="SXG418" s="2"/>
      <c r="SXH418" s="2"/>
      <c r="SXI418" s="2"/>
      <c r="SXJ418" s="2"/>
      <c r="SXK418" s="2"/>
      <c r="SXL418" s="2"/>
      <c r="SXM418" s="2"/>
      <c r="SXN418" s="2"/>
      <c r="SXO418" s="2"/>
      <c r="SXP418" s="2"/>
      <c r="SXQ418" s="2"/>
      <c r="SXR418" s="2"/>
      <c r="SXS418" s="2"/>
      <c r="SXT418" s="2"/>
      <c r="SXU418" s="2"/>
      <c r="SXV418" s="2"/>
      <c r="SXW418" s="2"/>
      <c r="SXX418" s="2"/>
      <c r="SXY418" s="2"/>
      <c r="SXZ418" s="2"/>
      <c r="SYA418" s="2"/>
      <c r="SYB418" s="2"/>
      <c r="SYC418" s="2"/>
      <c r="SYD418" s="2"/>
      <c r="SYE418" s="2"/>
      <c r="SYF418" s="2"/>
      <c r="SYG418" s="2"/>
      <c r="SYH418" s="2"/>
      <c r="SYI418" s="2"/>
      <c r="SYJ418" s="2"/>
      <c r="SYK418" s="2"/>
      <c r="SYL418" s="2"/>
      <c r="SYM418" s="2"/>
      <c r="SYN418" s="2"/>
      <c r="SYO418" s="2"/>
      <c r="SYP418" s="2"/>
      <c r="SYQ418" s="2"/>
      <c r="SYR418" s="2"/>
      <c r="SYS418" s="2"/>
      <c r="SYT418" s="2"/>
      <c r="SYU418" s="2"/>
      <c r="SYV418" s="2"/>
      <c r="SYW418" s="2"/>
      <c r="SYX418" s="2"/>
      <c r="SYY418" s="2"/>
      <c r="SYZ418" s="2"/>
      <c r="SZA418" s="2"/>
      <c r="SZB418" s="2"/>
      <c r="SZC418" s="2"/>
      <c r="SZD418" s="2"/>
      <c r="SZE418" s="2"/>
      <c r="SZF418" s="2"/>
      <c r="SZG418" s="2"/>
      <c r="SZH418" s="2"/>
      <c r="SZI418" s="2"/>
      <c r="SZJ418" s="2"/>
      <c r="SZK418" s="2"/>
      <c r="SZL418" s="2"/>
      <c r="SZM418" s="2"/>
      <c r="SZN418" s="2"/>
      <c r="SZO418" s="2"/>
      <c r="SZP418" s="2"/>
      <c r="SZQ418" s="2"/>
      <c r="SZR418" s="2"/>
      <c r="SZS418" s="2"/>
      <c r="SZT418" s="2"/>
      <c r="SZU418" s="2"/>
      <c r="SZV418" s="2"/>
      <c r="SZW418" s="2"/>
      <c r="SZX418" s="2"/>
      <c r="SZY418" s="2"/>
      <c r="SZZ418" s="2"/>
      <c r="TAA418" s="2"/>
      <c r="TAB418" s="2"/>
      <c r="TAC418" s="2"/>
      <c r="TAD418" s="2"/>
      <c r="TAE418" s="2"/>
      <c r="TAF418" s="2"/>
      <c r="TAG418" s="2"/>
      <c r="TAH418" s="2"/>
      <c r="TAI418" s="2"/>
      <c r="TAJ418" s="2"/>
      <c r="TAK418" s="2"/>
      <c r="TAL418" s="2"/>
      <c r="TAM418" s="2"/>
      <c r="TAN418" s="2"/>
      <c r="TAO418" s="2"/>
      <c r="TAP418" s="2"/>
      <c r="TAQ418" s="2"/>
      <c r="TAR418" s="2"/>
      <c r="TAS418" s="2"/>
      <c r="TAT418" s="2"/>
      <c r="TAU418" s="2"/>
      <c r="TAV418" s="2"/>
      <c r="TAW418" s="2"/>
      <c r="TAX418" s="2"/>
      <c r="TAY418" s="2"/>
      <c r="TAZ418" s="2"/>
      <c r="TBA418" s="2"/>
      <c r="TBB418" s="2"/>
      <c r="TBC418" s="2"/>
      <c r="TBD418" s="2"/>
      <c r="TBE418" s="2"/>
      <c r="TBF418" s="2"/>
      <c r="TBG418" s="2"/>
      <c r="TBH418" s="2"/>
      <c r="TBI418" s="2"/>
      <c r="TBJ418" s="2"/>
      <c r="TBK418" s="2"/>
      <c r="TBL418" s="2"/>
      <c r="TBM418" s="2"/>
      <c r="TBN418" s="2"/>
      <c r="TBO418" s="2"/>
      <c r="TBP418" s="2"/>
      <c r="TBQ418" s="2"/>
      <c r="TBR418" s="2"/>
      <c r="TBS418" s="2"/>
      <c r="TBT418" s="2"/>
      <c r="TBU418" s="2"/>
      <c r="TBV418" s="2"/>
      <c r="TBW418" s="2"/>
      <c r="TBX418" s="2"/>
      <c r="TBY418" s="2"/>
      <c r="TBZ418" s="2"/>
      <c r="TCA418" s="2"/>
      <c r="TCB418" s="2"/>
      <c r="TCC418" s="2"/>
      <c r="TCD418" s="2"/>
      <c r="TCE418" s="2"/>
      <c r="TCF418" s="2"/>
      <c r="TCG418" s="2"/>
      <c r="TCH418" s="2"/>
      <c r="TCI418" s="2"/>
      <c r="TCJ418" s="2"/>
      <c r="TCK418" s="2"/>
      <c r="TCL418" s="2"/>
      <c r="TCM418" s="2"/>
      <c r="TCN418" s="2"/>
      <c r="TCO418" s="2"/>
      <c r="TCP418" s="2"/>
      <c r="TCQ418" s="2"/>
      <c r="TCR418" s="2"/>
      <c r="TCS418" s="2"/>
      <c r="TCT418" s="2"/>
      <c r="TCU418" s="2"/>
      <c r="TCV418" s="2"/>
      <c r="TCW418" s="2"/>
      <c r="TCX418" s="2"/>
      <c r="TCY418" s="2"/>
      <c r="TCZ418" s="2"/>
      <c r="TDA418" s="2"/>
      <c r="TDB418" s="2"/>
      <c r="TDC418" s="2"/>
      <c r="TDD418" s="2"/>
      <c r="TDE418" s="2"/>
      <c r="TDF418" s="2"/>
      <c r="TDG418" s="2"/>
      <c r="TDH418" s="2"/>
      <c r="TDI418" s="2"/>
      <c r="TDJ418" s="2"/>
      <c r="TDK418" s="2"/>
      <c r="TDL418" s="2"/>
      <c r="TDM418" s="2"/>
      <c r="TDN418" s="2"/>
      <c r="TDO418" s="2"/>
      <c r="TDP418" s="2"/>
      <c r="TDQ418" s="2"/>
      <c r="TDR418" s="2"/>
      <c r="TDS418" s="2"/>
      <c r="TDT418" s="2"/>
      <c r="TDU418" s="2"/>
      <c r="TDV418" s="2"/>
      <c r="TDW418" s="2"/>
      <c r="TDX418" s="2"/>
      <c r="TDY418" s="2"/>
      <c r="TDZ418" s="2"/>
      <c r="TEA418" s="2"/>
      <c r="TEB418" s="2"/>
      <c r="TEC418" s="2"/>
      <c r="TED418" s="2"/>
      <c r="TEE418" s="2"/>
      <c r="TEF418" s="2"/>
      <c r="TEG418" s="2"/>
      <c r="TEH418" s="2"/>
      <c r="TEI418" s="2"/>
      <c r="TEJ418" s="2"/>
      <c r="TEK418" s="2"/>
      <c r="TEL418" s="2"/>
      <c r="TEM418" s="2"/>
      <c r="TEN418" s="2"/>
      <c r="TEO418" s="2"/>
      <c r="TEP418" s="2"/>
      <c r="TEQ418" s="2"/>
      <c r="TER418" s="2"/>
      <c r="TES418" s="2"/>
      <c r="TET418" s="2"/>
      <c r="TEU418" s="2"/>
      <c r="TEV418" s="2"/>
      <c r="TEW418" s="2"/>
      <c r="TEX418" s="2"/>
      <c r="TEY418" s="2"/>
      <c r="TEZ418" s="2"/>
      <c r="TFA418" s="2"/>
      <c r="TFB418" s="2"/>
      <c r="TFC418" s="2"/>
      <c r="TFD418" s="2"/>
      <c r="TFE418" s="2"/>
      <c r="TFF418" s="2"/>
      <c r="TFG418" s="2"/>
      <c r="TFH418" s="2"/>
      <c r="TFI418" s="2"/>
      <c r="TFJ418" s="2"/>
      <c r="TFK418" s="2"/>
      <c r="TFL418" s="2"/>
      <c r="TFM418" s="2"/>
      <c r="TFN418" s="2"/>
      <c r="TFO418" s="2"/>
      <c r="TFP418" s="2"/>
      <c r="TFQ418" s="2"/>
      <c r="TFR418" s="2"/>
      <c r="TFS418" s="2"/>
      <c r="TFT418" s="2"/>
      <c r="TFU418" s="2"/>
      <c r="TFV418" s="2"/>
      <c r="TFW418" s="2"/>
      <c r="TFX418" s="2"/>
      <c r="TFY418" s="2"/>
      <c r="TFZ418" s="2"/>
      <c r="TGA418" s="2"/>
      <c r="TGB418" s="2"/>
      <c r="TGC418" s="2"/>
      <c r="TGD418" s="2"/>
      <c r="TGE418" s="2"/>
      <c r="TGF418" s="2"/>
      <c r="TGG418" s="2"/>
      <c r="TGH418" s="2"/>
      <c r="TGI418" s="2"/>
      <c r="TGJ418" s="2"/>
      <c r="TGK418" s="2"/>
      <c r="TGL418" s="2"/>
      <c r="TGM418" s="2"/>
      <c r="TGN418" s="2"/>
      <c r="TGO418" s="2"/>
      <c r="TGP418" s="2"/>
      <c r="TGQ418" s="2"/>
      <c r="TGR418" s="2"/>
      <c r="TGS418" s="2"/>
      <c r="TGT418" s="2"/>
      <c r="TGU418" s="2"/>
      <c r="TGV418" s="2"/>
      <c r="TGW418" s="2"/>
      <c r="TGX418" s="2"/>
      <c r="TGY418" s="2"/>
      <c r="TGZ418" s="2"/>
      <c r="THA418" s="2"/>
      <c r="THB418" s="2"/>
      <c r="THC418" s="2"/>
      <c r="THD418" s="2"/>
      <c r="THE418" s="2"/>
      <c r="THF418" s="2"/>
      <c r="THG418" s="2"/>
      <c r="THH418" s="2"/>
      <c r="THI418" s="2"/>
      <c r="THJ418" s="2"/>
      <c r="THK418" s="2"/>
      <c r="THL418" s="2"/>
      <c r="THM418" s="2"/>
      <c r="THN418" s="2"/>
      <c r="THO418" s="2"/>
      <c r="THP418" s="2"/>
      <c r="THQ418" s="2"/>
      <c r="THR418" s="2"/>
      <c r="THS418" s="2"/>
      <c r="THT418" s="2"/>
      <c r="THU418" s="2"/>
      <c r="THV418" s="2"/>
      <c r="THW418" s="2"/>
      <c r="THX418" s="2"/>
      <c r="THY418" s="2"/>
      <c r="THZ418" s="2"/>
      <c r="TIA418" s="2"/>
      <c r="TIB418" s="2"/>
      <c r="TIC418" s="2"/>
      <c r="TID418" s="2"/>
      <c r="TIE418" s="2"/>
      <c r="TIF418" s="2"/>
      <c r="TIG418" s="2"/>
      <c r="TIH418" s="2"/>
      <c r="TII418" s="2"/>
      <c r="TIJ418" s="2"/>
      <c r="TIK418" s="2"/>
      <c r="TIL418" s="2"/>
      <c r="TIM418" s="2"/>
      <c r="TIN418" s="2"/>
      <c r="TIO418" s="2"/>
      <c r="TIP418" s="2"/>
      <c r="TIQ418" s="2"/>
      <c r="TIR418" s="2"/>
      <c r="TIS418" s="2"/>
      <c r="TIT418" s="2"/>
      <c r="TIU418" s="2"/>
      <c r="TIV418" s="2"/>
      <c r="TIW418" s="2"/>
      <c r="TIX418" s="2"/>
      <c r="TIY418" s="2"/>
      <c r="TIZ418" s="2"/>
      <c r="TJA418" s="2"/>
      <c r="TJB418" s="2"/>
      <c r="TJC418" s="2"/>
      <c r="TJD418" s="2"/>
      <c r="TJE418" s="2"/>
      <c r="TJF418" s="2"/>
      <c r="TJG418" s="2"/>
      <c r="TJH418" s="2"/>
      <c r="TJI418" s="2"/>
      <c r="TJJ418" s="2"/>
      <c r="TJK418" s="2"/>
      <c r="TJL418" s="2"/>
      <c r="TJM418" s="2"/>
      <c r="TJN418" s="2"/>
      <c r="TJO418" s="2"/>
      <c r="TJP418" s="2"/>
      <c r="TJQ418" s="2"/>
      <c r="TJR418" s="2"/>
      <c r="TJS418" s="2"/>
      <c r="TJT418" s="2"/>
      <c r="TJU418" s="2"/>
      <c r="TJV418" s="2"/>
      <c r="TJW418" s="2"/>
      <c r="TJX418" s="2"/>
      <c r="TJY418" s="2"/>
      <c r="TJZ418" s="2"/>
      <c r="TKA418" s="2"/>
      <c r="TKB418" s="2"/>
      <c r="TKC418" s="2"/>
      <c r="TKD418" s="2"/>
      <c r="TKE418" s="2"/>
      <c r="TKF418" s="2"/>
      <c r="TKG418" s="2"/>
      <c r="TKH418" s="2"/>
      <c r="TKI418" s="2"/>
      <c r="TKJ418" s="2"/>
      <c r="TKK418" s="2"/>
      <c r="TKL418" s="2"/>
      <c r="TKM418" s="2"/>
      <c r="TKN418" s="2"/>
      <c r="TKO418" s="2"/>
      <c r="TKP418" s="2"/>
      <c r="TKQ418" s="2"/>
      <c r="TKR418" s="2"/>
      <c r="TKS418" s="2"/>
      <c r="TKT418" s="2"/>
      <c r="TKU418" s="2"/>
      <c r="TKV418" s="2"/>
      <c r="TKW418" s="2"/>
      <c r="TKX418" s="2"/>
      <c r="TKY418" s="2"/>
      <c r="TKZ418" s="2"/>
      <c r="TLA418" s="2"/>
      <c r="TLB418" s="2"/>
      <c r="TLC418" s="2"/>
      <c r="TLD418" s="2"/>
      <c r="TLE418" s="2"/>
      <c r="TLF418" s="2"/>
      <c r="TLG418" s="2"/>
      <c r="TLH418" s="2"/>
      <c r="TLI418" s="2"/>
      <c r="TLJ418" s="2"/>
      <c r="TLK418" s="2"/>
      <c r="TLL418" s="2"/>
      <c r="TLM418" s="2"/>
      <c r="TLN418" s="2"/>
      <c r="TLO418" s="2"/>
      <c r="TLP418" s="2"/>
      <c r="TLQ418" s="2"/>
      <c r="TLR418" s="2"/>
      <c r="TLS418" s="2"/>
      <c r="TLT418" s="2"/>
      <c r="TLU418" s="2"/>
      <c r="TLV418" s="2"/>
      <c r="TLW418" s="2"/>
      <c r="TLX418" s="2"/>
      <c r="TLY418" s="2"/>
      <c r="TLZ418" s="2"/>
      <c r="TMA418" s="2"/>
      <c r="TMB418" s="2"/>
      <c r="TMC418" s="2"/>
      <c r="TMD418" s="2"/>
      <c r="TME418" s="2"/>
      <c r="TMF418" s="2"/>
      <c r="TMG418" s="2"/>
      <c r="TMH418" s="2"/>
      <c r="TMI418" s="2"/>
      <c r="TMJ418" s="2"/>
      <c r="TMK418" s="2"/>
      <c r="TML418" s="2"/>
      <c r="TMM418" s="2"/>
      <c r="TMN418" s="2"/>
      <c r="TMO418" s="2"/>
      <c r="TMP418" s="2"/>
      <c r="TMQ418" s="2"/>
      <c r="TMR418" s="2"/>
      <c r="TMS418" s="2"/>
      <c r="TMT418" s="2"/>
      <c r="TMU418" s="2"/>
      <c r="TMV418" s="2"/>
      <c r="TMW418" s="2"/>
      <c r="TMX418" s="2"/>
      <c r="TMY418" s="2"/>
      <c r="TMZ418" s="2"/>
      <c r="TNA418" s="2"/>
      <c r="TNB418" s="2"/>
      <c r="TNC418" s="2"/>
      <c r="TND418" s="2"/>
      <c r="TNE418" s="2"/>
      <c r="TNF418" s="2"/>
      <c r="TNG418" s="2"/>
      <c r="TNH418" s="2"/>
      <c r="TNI418" s="2"/>
      <c r="TNJ418" s="2"/>
      <c r="TNK418" s="2"/>
      <c r="TNL418" s="2"/>
      <c r="TNM418" s="2"/>
      <c r="TNN418" s="2"/>
      <c r="TNO418" s="2"/>
      <c r="TNP418" s="2"/>
      <c r="TNQ418" s="2"/>
      <c r="TNR418" s="2"/>
      <c r="TNS418" s="2"/>
      <c r="TNT418" s="2"/>
      <c r="TNU418" s="2"/>
      <c r="TNV418" s="2"/>
      <c r="TNW418" s="2"/>
      <c r="TNX418" s="2"/>
      <c r="TNY418" s="2"/>
      <c r="TNZ418" s="2"/>
      <c r="TOA418" s="2"/>
      <c r="TOB418" s="2"/>
      <c r="TOC418" s="2"/>
      <c r="TOD418" s="2"/>
      <c r="TOE418" s="2"/>
      <c r="TOF418" s="2"/>
      <c r="TOG418" s="2"/>
      <c r="TOH418" s="2"/>
      <c r="TOI418" s="2"/>
      <c r="TOJ418" s="2"/>
      <c r="TOK418" s="2"/>
      <c r="TOL418" s="2"/>
      <c r="TOM418" s="2"/>
      <c r="TON418" s="2"/>
      <c r="TOO418" s="2"/>
      <c r="TOP418" s="2"/>
      <c r="TOQ418" s="2"/>
      <c r="TOR418" s="2"/>
      <c r="TOS418" s="2"/>
      <c r="TOT418" s="2"/>
      <c r="TOU418" s="2"/>
      <c r="TOV418" s="2"/>
      <c r="TOW418" s="2"/>
      <c r="TOX418" s="2"/>
      <c r="TOY418" s="2"/>
      <c r="TOZ418" s="2"/>
      <c r="TPA418" s="2"/>
      <c r="TPB418" s="2"/>
      <c r="TPC418" s="2"/>
      <c r="TPD418" s="2"/>
      <c r="TPE418" s="2"/>
      <c r="TPF418" s="2"/>
      <c r="TPG418" s="2"/>
      <c r="TPH418" s="2"/>
      <c r="TPI418" s="2"/>
      <c r="TPJ418" s="2"/>
      <c r="TPK418" s="2"/>
      <c r="TPL418" s="2"/>
      <c r="TPM418" s="2"/>
      <c r="TPN418" s="2"/>
      <c r="TPO418" s="2"/>
      <c r="TPP418" s="2"/>
      <c r="TPQ418" s="2"/>
      <c r="TPR418" s="2"/>
      <c r="TPS418" s="2"/>
      <c r="TPT418" s="2"/>
      <c r="TPU418" s="2"/>
      <c r="TPV418" s="2"/>
      <c r="TPW418" s="2"/>
      <c r="TPX418" s="2"/>
      <c r="TPY418" s="2"/>
      <c r="TPZ418" s="2"/>
      <c r="TQA418" s="2"/>
      <c r="TQB418" s="2"/>
      <c r="TQC418" s="2"/>
      <c r="TQD418" s="2"/>
      <c r="TQE418" s="2"/>
      <c r="TQF418" s="2"/>
      <c r="TQG418" s="2"/>
      <c r="TQH418" s="2"/>
      <c r="TQI418" s="2"/>
      <c r="TQJ418" s="2"/>
      <c r="TQK418" s="2"/>
      <c r="TQL418" s="2"/>
      <c r="TQM418" s="2"/>
      <c r="TQN418" s="2"/>
      <c r="TQO418" s="2"/>
      <c r="TQP418" s="2"/>
      <c r="TQQ418" s="2"/>
      <c r="TQR418" s="2"/>
      <c r="TQS418" s="2"/>
      <c r="TQT418" s="2"/>
      <c r="TQU418" s="2"/>
      <c r="TQV418" s="2"/>
      <c r="TQW418" s="2"/>
      <c r="TQX418" s="2"/>
      <c r="TQY418" s="2"/>
      <c r="TQZ418" s="2"/>
      <c r="TRA418" s="2"/>
      <c r="TRB418" s="2"/>
      <c r="TRC418" s="2"/>
      <c r="TRD418" s="2"/>
      <c r="TRE418" s="2"/>
      <c r="TRF418" s="2"/>
      <c r="TRG418" s="2"/>
      <c r="TRH418" s="2"/>
      <c r="TRI418" s="2"/>
      <c r="TRJ418" s="2"/>
      <c r="TRK418" s="2"/>
      <c r="TRL418" s="2"/>
      <c r="TRM418" s="2"/>
      <c r="TRN418" s="2"/>
      <c r="TRO418" s="2"/>
      <c r="TRP418" s="2"/>
      <c r="TRQ418" s="2"/>
      <c r="TRR418" s="2"/>
      <c r="TRS418" s="2"/>
      <c r="TRT418" s="2"/>
      <c r="TRU418" s="2"/>
      <c r="TRV418" s="2"/>
      <c r="TRW418" s="2"/>
      <c r="TRX418" s="2"/>
      <c r="TRY418" s="2"/>
      <c r="TRZ418" s="2"/>
      <c r="TSA418" s="2"/>
      <c r="TSB418" s="2"/>
      <c r="TSC418" s="2"/>
      <c r="TSD418" s="2"/>
      <c r="TSE418" s="2"/>
      <c r="TSF418" s="2"/>
      <c r="TSG418" s="2"/>
      <c r="TSH418" s="2"/>
      <c r="TSI418" s="2"/>
      <c r="TSJ418" s="2"/>
      <c r="TSK418" s="2"/>
      <c r="TSL418" s="2"/>
      <c r="TSM418" s="2"/>
      <c r="TSN418" s="2"/>
      <c r="TSO418" s="2"/>
      <c r="TSP418" s="2"/>
      <c r="TSQ418" s="2"/>
      <c r="TSR418" s="2"/>
      <c r="TSS418" s="2"/>
      <c r="TST418" s="2"/>
      <c r="TSU418" s="2"/>
      <c r="TSV418" s="2"/>
      <c r="TSW418" s="2"/>
      <c r="TSX418" s="2"/>
      <c r="TSY418" s="2"/>
      <c r="TSZ418" s="2"/>
      <c r="TTA418" s="2"/>
      <c r="TTB418" s="2"/>
      <c r="TTC418" s="2"/>
      <c r="TTD418" s="2"/>
      <c r="TTE418" s="2"/>
      <c r="TTF418" s="2"/>
      <c r="TTG418" s="2"/>
      <c r="TTH418" s="2"/>
      <c r="TTI418" s="2"/>
      <c r="TTJ418" s="2"/>
      <c r="TTK418" s="2"/>
      <c r="TTL418" s="2"/>
      <c r="TTM418" s="2"/>
      <c r="TTN418" s="2"/>
      <c r="TTO418" s="2"/>
      <c r="TTP418" s="2"/>
      <c r="TTQ418" s="2"/>
      <c r="TTR418" s="2"/>
      <c r="TTS418" s="2"/>
      <c r="TTT418" s="2"/>
      <c r="TTU418" s="2"/>
      <c r="TTV418" s="2"/>
      <c r="TTW418" s="2"/>
      <c r="TTX418" s="2"/>
      <c r="TTY418" s="2"/>
      <c r="TTZ418" s="2"/>
      <c r="TUA418" s="2"/>
      <c r="TUB418" s="2"/>
      <c r="TUC418" s="2"/>
      <c r="TUD418" s="2"/>
      <c r="TUE418" s="2"/>
      <c r="TUF418" s="2"/>
      <c r="TUG418" s="2"/>
      <c r="TUH418" s="2"/>
      <c r="TUI418" s="2"/>
      <c r="TUJ418" s="2"/>
      <c r="TUK418" s="2"/>
      <c r="TUL418" s="2"/>
      <c r="TUM418" s="2"/>
      <c r="TUN418" s="2"/>
      <c r="TUO418" s="2"/>
      <c r="TUP418" s="2"/>
      <c r="TUQ418" s="2"/>
      <c r="TUR418" s="2"/>
      <c r="TUS418" s="2"/>
      <c r="TUT418" s="2"/>
      <c r="TUU418" s="2"/>
      <c r="TUV418" s="2"/>
      <c r="TUW418" s="2"/>
      <c r="TUX418" s="2"/>
      <c r="TUY418" s="2"/>
      <c r="TUZ418" s="2"/>
      <c r="TVA418" s="2"/>
      <c r="TVB418" s="2"/>
      <c r="TVC418" s="2"/>
      <c r="TVD418" s="2"/>
      <c r="TVE418" s="2"/>
      <c r="TVF418" s="2"/>
      <c r="TVG418" s="2"/>
      <c r="TVH418" s="2"/>
      <c r="TVI418" s="2"/>
      <c r="TVJ418" s="2"/>
      <c r="TVK418" s="2"/>
      <c r="TVL418" s="2"/>
      <c r="TVM418" s="2"/>
      <c r="TVN418" s="2"/>
      <c r="TVO418" s="2"/>
      <c r="TVP418" s="2"/>
      <c r="TVQ418" s="2"/>
      <c r="TVR418" s="2"/>
      <c r="TVS418" s="2"/>
      <c r="TVT418" s="2"/>
      <c r="TVU418" s="2"/>
      <c r="TVV418" s="2"/>
      <c r="TVW418" s="2"/>
      <c r="TVX418" s="2"/>
      <c r="TVY418" s="2"/>
      <c r="TVZ418" s="2"/>
      <c r="TWA418" s="2"/>
      <c r="TWB418" s="2"/>
      <c r="TWC418" s="2"/>
      <c r="TWD418" s="2"/>
      <c r="TWE418" s="2"/>
      <c r="TWF418" s="2"/>
      <c r="TWG418" s="2"/>
      <c r="TWH418" s="2"/>
      <c r="TWI418" s="2"/>
      <c r="TWJ418" s="2"/>
      <c r="TWK418" s="2"/>
      <c r="TWL418" s="2"/>
      <c r="TWM418" s="2"/>
      <c r="TWN418" s="2"/>
      <c r="TWO418" s="2"/>
      <c r="TWP418" s="2"/>
      <c r="TWQ418" s="2"/>
      <c r="TWR418" s="2"/>
      <c r="TWS418" s="2"/>
      <c r="TWT418" s="2"/>
      <c r="TWU418" s="2"/>
      <c r="TWV418" s="2"/>
      <c r="TWW418" s="2"/>
      <c r="TWX418" s="2"/>
      <c r="TWY418" s="2"/>
      <c r="TWZ418" s="2"/>
      <c r="TXA418" s="2"/>
      <c r="TXB418" s="2"/>
      <c r="TXC418" s="2"/>
      <c r="TXD418" s="2"/>
      <c r="TXE418" s="2"/>
      <c r="TXF418" s="2"/>
      <c r="TXG418" s="2"/>
      <c r="TXH418" s="2"/>
      <c r="TXI418" s="2"/>
      <c r="TXJ418" s="2"/>
      <c r="TXK418" s="2"/>
      <c r="TXL418" s="2"/>
      <c r="TXM418" s="2"/>
      <c r="TXN418" s="2"/>
      <c r="TXO418" s="2"/>
      <c r="TXP418" s="2"/>
      <c r="TXQ418" s="2"/>
      <c r="TXR418" s="2"/>
      <c r="TXS418" s="2"/>
      <c r="TXT418" s="2"/>
      <c r="TXU418" s="2"/>
      <c r="TXV418" s="2"/>
      <c r="TXW418" s="2"/>
      <c r="TXX418" s="2"/>
      <c r="TXY418" s="2"/>
      <c r="TXZ418" s="2"/>
      <c r="TYA418" s="2"/>
      <c r="TYB418" s="2"/>
      <c r="TYC418" s="2"/>
      <c r="TYD418" s="2"/>
      <c r="TYE418" s="2"/>
      <c r="TYF418" s="2"/>
      <c r="TYG418" s="2"/>
      <c r="TYH418" s="2"/>
      <c r="TYI418" s="2"/>
      <c r="TYJ418" s="2"/>
      <c r="TYK418" s="2"/>
      <c r="TYL418" s="2"/>
      <c r="TYM418" s="2"/>
      <c r="TYN418" s="2"/>
      <c r="TYO418" s="2"/>
      <c r="TYP418" s="2"/>
      <c r="TYQ418" s="2"/>
      <c r="TYR418" s="2"/>
      <c r="TYS418" s="2"/>
      <c r="TYT418" s="2"/>
      <c r="TYU418" s="2"/>
      <c r="TYV418" s="2"/>
      <c r="TYW418" s="2"/>
      <c r="TYX418" s="2"/>
      <c r="TYY418" s="2"/>
      <c r="TYZ418" s="2"/>
      <c r="TZA418" s="2"/>
      <c r="TZB418" s="2"/>
      <c r="TZC418" s="2"/>
      <c r="TZD418" s="2"/>
      <c r="TZE418" s="2"/>
      <c r="TZF418" s="2"/>
      <c r="TZG418" s="2"/>
      <c r="TZH418" s="2"/>
      <c r="TZI418" s="2"/>
      <c r="TZJ418" s="2"/>
      <c r="TZK418" s="2"/>
      <c r="TZL418" s="2"/>
      <c r="TZM418" s="2"/>
      <c r="TZN418" s="2"/>
      <c r="TZO418" s="2"/>
      <c r="TZP418" s="2"/>
      <c r="TZQ418" s="2"/>
      <c r="TZR418" s="2"/>
      <c r="TZS418" s="2"/>
      <c r="TZT418" s="2"/>
      <c r="TZU418" s="2"/>
      <c r="TZV418" s="2"/>
      <c r="TZW418" s="2"/>
      <c r="TZX418" s="2"/>
      <c r="TZY418" s="2"/>
      <c r="TZZ418" s="2"/>
      <c r="UAA418" s="2"/>
      <c r="UAB418" s="2"/>
      <c r="UAC418" s="2"/>
      <c r="UAD418" s="2"/>
      <c r="UAE418" s="2"/>
      <c r="UAF418" s="2"/>
      <c r="UAG418" s="2"/>
      <c r="UAH418" s="2"/>
      <c r="UAI418" s="2"/>
      <c r="UAJ418" s="2"/>
      <c r="UAK418" s="2"/>
      <c r="UAL418" s="2"/>
      <c r="UAM418" s="2"/>
      <c r="UAN418" s="2"/>
      <c r="UAO418" s="2"/>
      <c r="UAP418" s="2"/>
      <c r="UAQ418" s="2"/>
      <c r="UAR418" s="2"/>
      <c r="UAS418" s="2"/>
      <c r="UAT418" s="2"/>
      <c r="UAU418" s="2"/>
      <c r="UAV418" s="2"/>
      <c r="UAW418" s="2"/>
      <c r="UAX418" s="2"/>
      <c r="UAY418" s="2"/>
      <c r="UAZ418" s="2"/>
      <c r="UBA418" s="2"/>
      <c r="UBB418" s="2"/>
      <c r="UBC418" s="2"/>
      <c r="UBD418" s="2"/>
      <c r="UBE418" s="2"/>
      <c r="UBF418" s="2"/>
      <c r="UBG418" s="2"/>
      <c r="UBH418" s="2"/>
      <c r="UBI418" s="2"/>
      <c r="UBJ418" s="2"/>
      <c r="UBK418" s="2"/>
      <c r="UBL418" s="2"/>
      <c r="UBM418" s="2"/>
      <c r="UBN418" s="2"/>
      <c r="UBO418" s="2"/>
      <c r="UBP418" s="2"/>
      <c r="UBQ418" s="2"/>
      <c r="UBR418" s="2"/>
      <c r="UBS418" s="2"/>
      <c r="UBT418" s="2"/>
      <c r="UBU418" s="2"/>
      <c r="UBV418" s="2"/>
      <c r="UBW418" s="2"/>
      <c r="UBX418" s="2"/>
      <c r="UBY418" s="2"/>
      <c r="UBZ418" s="2"/>
      <c r="UCA418" s="2"/>
      <c r="UCB418" s="2"/>
      <c r="UCC418" s="2"/>
      <c r="UCD418" s="2"/>
      <c r="UCE418" s="2"/>
      <c r="UCF418" s="2"/>
      <c r="UCG418" s="2"/>
      <c r="UCH418" s="2"/>
      <c r="UCI418" s="2"/>
      <c r="UCJ418" s="2"/>
      <c r="UCK418" s="2"/>
      <c r="UCL418" s="2"/>
      <c r="UCM418" s="2"/>
      <c r="UCN418" s="2"/>
      <c r="UCO418" s="2"/>
      <c r="UCP418" s="2"/>
      <c r="UCQ418" s="2"/>
      <c r="UCR418" s="2"/>
      <c r="UCS418" s="2"/>
      <c r="UCT418" s="2"/>
      <c r="UCU418" s="2"/>
      <c r="UCV418" s="2"/>
      <c r="UCW418" s="2"/>
      <c r="UCX418" s="2"/>
      <c r="UCY418" s="2"/>
      <c r="UCZ418" s="2"/>
      <c r="UDA418" s="2"/>
      <c r="UDB418" s="2"/>
      <c r="UDC418" s="2"/>
      <c r="UDD418" s="2"/>
      <c r="UDE418" s="2"/>
      <c r="UDF418" s="2"/>
      <c r="UDG418" s="2"/>
      <c r="UDH418" s="2"/>
      <c r="UDI418" s="2"/>
      <c r="UDJ418" s="2"/>
      <c r="UDK418" s="2"/>
      <c r="UDL418" s="2"/>
      <c r="UDM418" s="2"/>
      <c r="UDN418" s="2"/>
      <c r="UDO418" s="2"/>
      <c r="UDP418" s="2"/>
      <c r="UDQ418" s="2"/>
      <c r="UDR418" s="2"/>
      <c r="UDS418" s="2"/>
      <c r="UDT418" s="2"/>
      <c r="UDU418" s="2"/>
      <c r="UDV418" s="2"/>
      <c r="UDW418" s="2"/>
      <c r="UDX418" s="2"/>
      <c r="UDY418" s="2"/>
      <c r="UDZ418" s="2"/>
      <c r="UEA418" s="2"/>
      <c r="UEB418" s="2"/>
      <c r="UEC418" s="2"/>
      <c r="UED418" s="2"/>
      <c r="UEE418" s="2"/>
      <c r="UEF418" s="2"/>
      <c r="UEG418" s="2"/>
      <c r="UEH418" s="2"/>
      <c r="UEI418" s="2"/>
      <c r="UEJ418" s="2"/>
      <c r="UEK418" s="2"/>
      <c r="UEL418" s="2"/>
      <c r="UEM418" s="2"/>
      <c r="UEN418" s="2"/>
      <c r="UEO418" s="2"/>
      <c r="UEP418" s="2"/>
      <c r="UEQ418" s="2"/>
      <c r="UER418" s="2"/>
      <c r="UES418" s="2"/>
      <c r="UET418" s="2"/>
      <c r="UEU418" s="2"/>
      <c r="UEV418" s="2"/>
      <c r="UEW418" s="2"/>
      <c r="UEX418" s="2"/>
      <c r="UEY418" s="2"/>
      <c r="UEZ418" s="2"/>
      <c r="UFA418" s="2"/>
      <c r="UFB418" s="2"/>
      <c r="UFC418" s="2"/>
      <c r="UFD418" s="2"/>
      <c r="UFE418" s="2"/>
      <c r="UFF418" s="2"/>
      <c r="UFG418" s="2"/>
      <c r="UFH418" s="2"/>
      <c r="UFI418" s="2"/>
      <c r="UFJ418" s="2"/>
      <c r="UFK418" s="2"/>
      <c r="UFL418" s="2"/>
      <c r="UFM418" s="2"/>
      <c r="UFN418" s="2"/>
      <c r="UFO418" s="2"/>
      <c r="UFP418" s="2"/>
      <c r="UFQ418" s="2"/>
      <c r="UFR418" s="2"/>
      <c r="UFS418" s="2"/>
      <c r="UFT418" s="2"/>
      <c r="UFU418" s="2"/>
      <c r="UFV418" s="2"/>
      <c r="UFW418" s="2"/>
      <c r="UFX418" s="2"/>
      <c r="UFY418" s="2"/>
      <c r="UFZ418" s="2"/>
      <c r="UGA418" s="2"/>
      <c r="UGB418" s="2"/>
      <c r="UGC418" s="2"/>
      <c r="UGD418" s="2"/>
      <c r="UGE418" s="2"/>
      <c r="UGF418" s="2"/>
      <c r="UGG418" s="2"/>
      <c r="UGH418" s="2"/>
      <c r="UGI418" s="2"/>
      <c r="UGJ418" s="2"/>
      <c r="UGK418" s="2"/>
      <c r="UGL418" s="2"/>
      <c r="UGM418" s="2"/>
      <c r="UGN418" s="2"/>
      <c r="UGO418" s="2"/>
      <c r="UGP418" s="2"/>
      <c r="UGQ418" s="2"/>
      <c r="UGR418" s="2"/>
      <c r="UGS418" s="2"/>
      <c r="UGT418" s="2"/>
      <c r="UGU418" s="2"/>
      <c r="UGV418" s="2"/>
      <c r="UGW418" s="2"/>
      <c r="UGX418" s="2"/>
      <c r="UGY418" s="2"/>
      <c r="UGZ418" s="2"/>
      <c r="UHA418" s="2"/>
      <c r="UHB418" s="2"/>
      <c r="UHC418" s="2"/>
      <c r="UHD418" s="2"/>
      <c r="UHE418" s="2"/>
      <c r="UHF418" s="2"/>
      <c r="UHG418" s="2"/>
      <c r="UHH418" s="2"/>
      <c r="UHI418" s="2"/>
      <c r="UHJ418" s="2"/>
      <c r="UHK418" s="2"/>
      <c r="UHL418" s="2"/>
      <c r="UHM418" s="2"/>
      <c r="UHN418" s="2"/>
      <c r="UHO418" s="2"/>
      <c r="UHP418" s="2"/>
      <c r="UHQ418" s="2"/>
      <c r="UHR418" s="2"/>
      <c r="UHS418" s="2"/>
      <c r="UHT418" s="2"/>
      <c r="UHU418" s="2"/>
      <c r="UHV418" s="2"/>
      <c r="UHW418" s="2"/>
      <c r="UHX418" s="2"/>
      <c r="UHY418" s="2"/>
      <c r="UHZ418" s="2"/>
      <c r="UIA418" s="2"/>
      <c r="UIB418" s="2"/>
      <c r="UIC418" s="2"/>
      <c r="UID418" s="2"/>
      <c r="UIE418" s="2"/>
      <c r="UIF418" s="2"/>
      <c r="UIG418" s="2"/>
      <c r="UIH418" s="2"/>
      <c r="UII418" s="2"/>
      <c r="UIJ418" s="2"/>
      <c r="UIK418" s="2"/>
      <c r="UIL418" s="2"/>
      <c r="UIM418" s="2"/>
      <c r="UIN418" s="2"/>
      <c r="UIO418" s="2"/>
      <c r="UIP418" s="2"/>
      <c r="UIQ418" s="2"/>
      <c r="UIR418" s="2"/>
      <c r="UIS418" s="2"/>
      <c r="UIT418" s="2"/>
      <c r="UIU418" s="2"/>
      <c r="UIV418" s="2"/>
      <c r="UIW418" s="2"/>
      <c r="UIX418" s="2"/>
      <c r="UIY418" s="2"/>
      <c r="UIZ418" s="2"/>
      <c r="UJA418" s="2"/>
      <c r="UJB418" s="2"/>
      <c r="UJC418" s="2"/>
      <c r="UJD418" s="2"/>
      <c r="UJE418" s="2"/>
      <c r="UJF418" s="2"/>
      <c r="UJG418" s="2"/>
      <c r="UJH418" s="2"/>
      <c r="UJI418" s="2"/>
      <c r="UJJ418" s="2"/>
      <c r="UJK418" s="2"/>
      <c r="UJL418" s="2"/>
      <c r="UJM418" s="2"/>
      <c r="UJN418" s="2"/>
      <c r="UJO418" s="2"/>
      <c r="UJP418" s="2"/>
      <c r="UJQ418" s="2"/>
      <c r="UJR418" s="2"/>
      <c r="UJS418" s="2"/>
      <c r="UJT418" s="2"/>
      <c r="UJU418" s="2"/>
      <c r="UJV418" s="2"/>
      <c r="UJW418" s="2"/>
      <c r="UJX418" s="2"/>
      <c r="UJY418" s="2"/>
      <c r="UJZ418" s="2"/>
      <c r="UKA418" s="2"/>
      <c r="UKB418" s="2"/>
      <c r="UKC418" s="2"/>
      <c r="UKD418" s="2"/>
      <c r="UKE418" s="2"/>
      <c r="UKF418" s="2"/>
      <c r="UKG418" s="2"/>
      <c r="UKH418" s="2"/>
      <c r="UKI418" s="2"/>
      <c r="UKJ418" s="2"/>
      <c r="UKK418" s="2"/>
      <c r="UKL418" s="2"/>
      <c r="UKM418" s="2"/>
      <c r="UKN418" s="2"/>
      <c r="UKO418" s="2"/>
      <c r="UKP418" s="2"/>
      <c r="UKQ418" s="2"/>
      <c r="UKR418" s="2"/>
      <c r="UKS418" s="2"/>
      <c r="UKT418" s="2"/>
      <c r="UKU418" s="2"/>
      <c r="UKV418" s="2"/>
      <c r="UKW418" s="2"/>
      <c r="UKX418" s="2"/>
      <c r="UKY418" s="2"/>
      <c r="UKZ418" s="2"/>
      <c r="ULA418" s="2"/>
      <c r="ULB418" s="2"/>
      <c r="ULC418" s="2"/>
      <c r="ULD418" s="2"/>
      <c r="ULE418" s="2"/>
      <c r="ULF418" s="2"/>
      <c r="ULG418" s="2"/>
      <c r="ULH418" s="2"/>
      <c r="ULI418" s="2"/>
      <c r="ULJ418" s="2"/>
      <c r="ULK418" s="2"/>
      <c r="ULL418" s="2"/>
      <c r="ULM418" s="2"/>
      <c r="ULN418" s="2"/>
      <c r="ULO418" s="2"/>
      <c r="ULP418" s="2"/>
      <c r="ULQ418" s="2"/>
      <c r="ULR418" s="2"/>
      <c r="ULS418" s="2"/>
      <c r="ULT418" s="2"/>
      <c r="ULU418" s="2"/>
      <c r="ULV418" s="2"/>
      <c r="ULW418" s="2"/>
      <c r="ULX418" s="2"/>
      <c r="ULY418" s="2"/>
      <c r="ULZ418" s="2"/>
      <c r="UMA418" s="2"/>
      <c r="UMB418" s="2"/>
      <c r="UMC418" s="2"/>
      <c r="UMD418" s="2"/>
      <c r="UME418" s="2"/>
      <c r="UMF418" s="2"/>
      <c r="UMG418" s="2"/>
      <c r="UMH418" s="2"/>
      <c r="UMI418" s="2"/>
      <c r="UMJ418" s="2"/>
      <c r="UMK418" s="2"/>
      <c r="UML418" s="2"/>
      <c r="UMM418" s="2"/>
      <c r="UMN418" s="2"/>
      <c r="UMO418" s="2"/>
      <c r="UMP418" s="2"/>
      <c r="UMQ418" s="2"/>
      <c r="UMR418" s="2"/>
      <c r="UMS418" s="2"/>
      <c r="UMT418" s="2"/>
      <c r="UMU418" s="2"/>
      <c r="UMV418" s="2"/>
      <c r="UMW418" s="2"/>
      <c r="UMX418" s="2"/>
      <c r="UMY418" s="2"/>
      <c r="UMZ418" s="2"/>
      <c r="UNA418" s="2"/>
      <c r="UNB418" s="2"/>
      <c r="UNC418" s="2"/>
      <c r="UND418" s="2"/>
      <c r="UNE418" s="2"/>
      <c r="UNF418" s="2"/>
      <c r="UNG418" s="2"/>
      <c r="UNH418" s="2"/>
      <c r="UNI418" s="2"/>
      <c r="UNJ418" s="2"/>
      <c r="UNK418" s="2"/>
      <c r="UNL418" s="2"/>
      <c r="UNM418" s="2"/>
      <c r="UNN418" s="2"/>
      <c r="UNO418" s="2"/>
      <c r="UNP418" s="2"/>
      <c r="UNQ418" s="2"/>
      <c r="UNR418" s="2"/>
      <c r="UNS418" s="2"/>
      <c r="UNT418" s="2"/>
      <c r="UNU418" s="2"/>
      <c r="UNV418" s="2"/>
      <c r="UNW418" s="2"/>
      <c r="UNX418" s="2"/>
      <c r="UNY418" s="2"/>
      <c r="UNZ418" s="2"/>
      <c r="UOA418" s="2"/>
      <c r="UOB418" s="2"/>
      <c r="UOC418" s="2"/>
      <c r="UOD418" s="2"/>
      <c r="UOE418" s="2"/>
      <c r="UOF418" s="2"/>
      <c r="UOG418" s="2"/>
      <c r="UOH418" s="2"/>
      <c r="UOI418" s="2"/>
      <c r="UOJ418" s="2"/>
      <c r="UOK418" s="2"/>
      <c r="UOL418" s="2"/>
      <c r="UOM418" s="2"/>
      <c r="UON418" s="2"/>
      <c r="UOO418" s="2"/>
      <c r="UOP418" s="2"/>
      <c r="UOQ418" s="2"/>
      <c r="UOR418" s="2"/>
      <c r="UOS418" s="2"/>
      <c r="UOT418" s="2"/>
      <c r="UOU418" s="2"/>
      <c r="UOV418" s="2"/>
      <c r="UOW418" s="2"/>
      <c r="UOX418" s="2"/>
      <c r="UOY418" s="2"/>
      <c r="UOZ418" s="2"/>
      <c r="UPA418" s="2"/>
      <c r="UPB418" s="2"/>
      <c r="UPC418" s="2"/>
      <c r="UPD418" s="2"/>
      <c r="UPE418" s="2"/>
      <c r="UPF418" s="2"/>
      <c r="UPG418" s="2"/>
      <c r="UPH418" s="2"/>
      <c r="UPI418" s="2"/>
      <c r="UPJ418" s="2"/>
      <c r="UPK418" s="2"/>
      <c r="UPL418" s="2"/>
      <c r="UPM418" s="2"/>
      <c r="UPN418" s="2"/>
      <c r="UPO418" s="2"/>
      <c r="UPP418" s="2"/>
      <c r="UPQ418" s="2"/>
      <c r="UPR418" s="2"/>
      <c r="UPS418" s="2"/>
      <c r="UPT418" s="2"/>
      <c r="UPU418" s="2"/>
      <c r="UPV418" s="2"/>
      <c r="UPW418" s="2"/>
      <c r="UPX418" s="2"/>
      <c r="UPY418" s="2"/>
      <c r="UPZ418" s="2"/>
      <c r="UQA418" s="2"/>
      <c r="UQB418" s="2"/>
      <c r="UQC418" s="2"/>
      <c r="UQD418" s="2"/>
      <c r="UQE418" s="2"/>
      <c r="UQF418" s="2"/>
      <c r="UQG418" s="2"/>
      <c r="UQH418" s="2"/>
      <c r="UQI418" s="2"/>
      <c r="UQJ418" s="2"/>
      <c r="UQK418" s="2"/>
      <c r="UQL418" s="2"/>
      <c r="UQM418" s="2"/>
      <c r="UQN418" s="2"/>
      <c r="UQO418" s="2"/>
      <c r="UQP418" s="2"/>
      <c r="UQQ418" s="2"/>
      <c r="UQR418" s="2"/>
      <c r="UQS418" s="2"/>
      <c r="UQT418" s="2"/>
      <c r="UQU418" s="2"/>
      <c r="UQV418" s="2"/>
      <c r="UQW418" s="2"/>
      <c r="UQX418" s="2"/>
      <c r="UQY418" s="2"/>
      <c r="UQZ418" s="2"/>
      <c r="URA418" s="2"/>
      <c r="URB418" s="2"/>
      <c r="URC418" s="2"/>
      <c r="URD418" s="2"/>
      <c r="URE418" s="2"/>
      <c r="URF418" s="2"/>
      <c r="URG418" s="2"/>
      <c r="URH418" s="2"/>
      <c r="URI418" s="2"/>
      <c r="URJ418" s="2"/>
      <c r="URK418" s="2"/>
      <c r="URL418" s="2"/>
      <c r="URM418" s="2"/>
      <c r="URN418" s="2"/>
      <c r="URO418" s="2"/>
      <c r="URP418" s="2"/>
      <c r="URQ418" s="2"/>
      <c r="URR418" s="2"/>
      <c r="URS418" s="2"/>
      <c r="URT418" s="2"/>
      <c r="URU418" s="2"/>
      <c r="URV418" s="2"/>
      <c r="URW418" s="2"/>
      <c r="URX418" s="2"/>
      <c r="URY418" s="2"/>
      <c r="URZ418" s="2"/>
      <c r="USA418" s="2"/>
      <c r="USB418" s="2"/>
      <c r="USC418" s="2"/>
      <c r="USD418" s="2"/>
      <c r="USE418" s="2"/>
      <c r="USF418" s="2"/>
      <c r="USG418" s="2"/>
      <c r="USH418" s="2"/>
      <c r="USI418" s="2"/>
      <c r="USJ418" s="2"/>
      <c r="USK418" s="2"/>
      <c r="USL418" s="2"/>
      <c r="USM418" s="2"/>
      <c r="USN418" s="2"/>
      <c r="USO418" s="2"/>
      <c r="USP418" s="2"/>
      <c r="USQ418" s="2"/>
      <c r="USR418" s="2"/>
      <c r="USS418" s="2"/>
      <c r="UST418" s="2"/>
      <c r="USU418" s="2"/>
      <c r="USV418" s="2"/>
      <c r="USW418" s="2"/>
      <c r="USX418" s="2"/>
      <c r="USY418" s="2"/>
      <c r="USZ418" s="2"/>
      <c r="UTA418" s="2"/>
      <c r="UTB418" s="2"/>
      <c r="UTC418" s="2"/>
      <c r="UTD418" s="2"/>
      <c r="UTE418" s="2"/>
      <c r="UTF418" s="2"/>
      <c r="UTG418" s="2"/>
      <c r="UTH418" s="2"/>
      <c r="UTI418" s="2"/>
      <c r="UTJ418" s="2"/>
      <c r="UTK418" s="2"/>
      <c r="UTL418" s="2"/>
      <c r="UTM418" s="2"/>
      <c r="UTN418" s="2"/>
      <c r="UTO418" s="2"/>
      <c r="UTP418" s="2"/>
      <c r="UTQ418" s="2"/>
      <c r="UTR418" s="2"/>
      <c r="UTS418" s="2"/>
      <c r="UTT418" s="2"/>
      <c r="UTU418" s="2"/>
      <c r="UTV418" s="2"/>
      <c r="UTW418" s="2"/>
      <c r="UTX418" s="2"/>
      <c r="UTY418" s="2"/>
      <c r="UTZ418" s="2"/>
      <c r="UUA418" s="2"/>
      <c r="UUB418" s="2"/>
      <c r="UUC418" s="2"/>
      <c r="UUD418" s="2"/>
      <c r="UUE418" s="2"/>
      <c r="UUF418" s="2"/>
      <c r="UUG418" s="2"/>
      <c r="UUH418" s="2"/>
      <c r="UUI418" s="2"/>
      <c r="UUJ418" s="2"/>
      <c r="UUK418" s="2"/>
      <c r="UUL418" s="2"/>
      <c r="UUM418" s="2"/>
      <c r="UUN418" s="2"/>
      <c r="UUO418" s="2"/>
      <c r="UUP418" s="2"/>
      <c r="UUQ418" s="2"/>
      <c r="UUR418" s="2"/>
      <c r="UUS418" s="2"/>
      <c r="UUT418" s="2"/>
      <c r="UUU418" s="2"/>
      <c r="UUV418" s="2"/>
      <c r="UUW418" s="2"/>
      <c r="UUX418" s="2"/>
      <c r="UUY418" s="2"/>
      <c r="UUZ418" s="2"/>
      <c r="UVA418" s="2"/>
      <c r="UVB418" s="2"/>
      <c r="UVC418" s="2"/>
      <c r="UVD418" s="2"/>
      <c r="UVE418" s="2"/>
      <c r="UVF418" s="2"/>
      <c r="UVG418" s="2"/>
      <c r="UVH418" s="2"/>
      <c r="UVI418" s="2"/>
      <c r="UVJ418" s="2"/>
      <c r="UVK418" s="2"/>
      <c r="UVL418" s="2"/>
      <c r="UVM418" s="2"/>
      <c r="UVN418" s="2"/>
      <c r="UVO418" s="2"/>
      <c r="UVP418" s="2"/>
      <c r="UVQ418" s="2"/>
      <c r="UVR418" s="2"/>
      <c r="UVS418" s="2"/>
      <c r="UVT418" s="2"/>
      <c r="UVU418" s="2"/>
      <c r="UVV418" s="2"/>
      <c r="UVW418" s="2"/>
      <c r="UVX418" s="2"/>
      <c r="UVY418" s="2"/>
      <c r="UVZ418" s="2"/>
      <c r="UWA418" s="2"/>
      <c r="UWB418" s="2"/>
      <c r="UWC418" s="2"/>
      <c r="UWD418" s="2"/>
      <c r="UWE418" s="2"/>
      <c r="UWF418" s="2"/>
      <c r="UWG418" s="2"/>
      <c r="UWH418" s="2"/>
      <c r="UWI418" s="2"/>
      <c r="UWJ418" s="2"/>
      <c r="UWK418" s="2"/>
      <c r="UWL418" s="2"/>
      <c r="UWM418" s="2"/>
      <c r="UWN418" s="2"/>
      <c r="UWO418" s="2"/>
      <c r="UWP418" s="2"/>
      <c r="UWQ418" s="2"/>
      <c r="UWR418" s="2"/>
      <c r="UWS418" s="2"/>
      <c r="UWT418" s="2"/>
      <c r="UWU418" s="2"/>
      <c r="UWV418" s="2"/>
      <c r="UWW418" s="2"/>
      <c r="UWX418" s="2"/>
      <c r="UWY418" s="2"/>
      <c r="UWZ418" s="2"/>
      <c r="UXA418" s="2"/>
      <c r="UXB418" s="2"/>
      <c r="UXC418" s="2"/>
      <c r="UXD418" s="2"/>
      <c r="UXE418" s="2"/>
      <c r="UXF418" s="2"/>
      <c r="UXG418" s="2"/>
      <c r="UXH418" s="2"/>
      <c r="UXI418" s="2"/>
      <c r="UXJ418" s="2"/>
      <c r="UXK418" s="2"/>
      <c r="UXL418" s="2"/>
      <c r="UXM418" s="2"/>
      <c r="UXN418" s="2"/>
      <c r="UXO418" s="2"/>
      <c r="UXP418" s="2"/>
      <c r="UXQ418" s="2"/>
      <c r="UXR418" s="2"/>
      <c r="UXS418" s="2"/>
      <c r="UXT418" s="2"/>
      <c r="UXU418" s="2"/>
      <c r="UXV418" s="2"/>
      <c r="UXW418" s="2"/>
      <c r="UXX418" s="2"/>
      <c r="UXY418" s="2"/>
      <c r="UXZ418" s="2"/>
      <c r="UYA418" s="2"/>
      <c r="UYB418" s="2"/>
      <c r="UYC418" s="2"/>
      <c r="UYD418" s="2"/>
      <c r="UYE418" s="2"/>
      <c r="UYF418" s="2"/>
      <c r="UYG418" s="2"/>
      <c r="UYH418" s="2"/>
      <c r="UYI418" s="2"/>
      <c r="UYJ418" s="2"/>
      <c r="UYK418" s="2"/>
      <c r="UYL418" s="2"/>
      <c r="UYM418" s="2"/>
      <c r="UYN418" s="2"/>
      <c r="UYO418" s="2"/>
      <c r="UYP418" s="2"/>
      <c r="UYQ418" s="2"/>
      <c r="UYR418" s="2"/>
      <c r="UYS418" s="2"/>
      <c r="UYT418" s="2"/>
      <c r="UYU418" s="2"/>
      <c r="UYV418" s="2"/>
      <c r="UYW418" s="2"/>
      <c r="UYX418" s="2"/>
      <c r="UYY418" s="2"/>
      <c r="UYZ418" s="2"/>
      <c r="UZA418" s="2"/>
      <c r="UZB418" s="2"/>
      <c r="UZC418" s="2"/>
      <c r="UZD418" s="2"/>
      <c r="UZE418" s="2"/>
      <c r="UZF418" s="2"/>
      <c r="UZG418" s="2"/>
      <c r="UZH418" s="2"/>
      <c r="UZI418" s="2"/>
      <c r="UZJ418" s="2"/>
      <c r="UZK418" s="2"/>
      <c r="UZL418" s="2"/>
      <c r="UZM418" s="2"/>
      <c r="UZN418" s="2"/>
      <c r="UZO418" s="2"/>
      <c r="UZP418" s="2"/>
      <c r="UZQ418" s="2"/>
      <c r="UZR418" s="2"/>
      <c r="UZS418" s="2"/>
      <c r="UZT418" s="2"/>
      <c r="UZU418" s="2"/>
      <c r="UZV418" s="2"/>
      <c r="UZW418" s="2"/>
      <c r="UZX418" s="2"/>
      <c r="UZY418" s="2"/>
      <c r="UZZ418" s="2"/>
      <c r="VAA418" s="2"/>
      <c r="VAB418" s="2"/>
      <c r="VAC418" s="2"/>
      <c r="VAD418" s="2"/>
      <c r="VAE418" s="2"/>
      <c r="VAF418" s="2"/>
      <c r="VAG418" s="2"/>
      <c r="VAH418" s="2"/>
      <c r="VAI418" s="2"/>
      <c r="VAJ418" s="2"/>
      <c r="VAK418" s="2"/>
      <c r="VAL418" s="2"/>
      <c r="VAM418" s="2"/>
      <c r="VAN418" s="2"/>
      <c r="VAO418" s="2"/>
      <c r="VAP418" s="2"/>
      <c r="VAQ418" s="2"/>
      <c r="VAR418" s="2"/>
      <c r="VAS418" s="2"/>
      <c r="VAT418" s="2"/>
      <c r="VAU418" s="2"/>
      <c r="VAV418" s="2"/>
      <c r="VAW418" s="2"/>
      <c r="VAX418" s="2"/>
      <c r="VAY418" s="2"/>
      <c r="VAZ418" s="2"/>
      <c r="VBA418" s="2"/>
      <c r="VBB418" s="2"/>
      <c r="VBC418" s="2"/>
      <c r="VBD418" s="2"/>
      <c r="VBE418" s="2"/>
      <c r="VBF418" s="2"/>
      <c r="VBG418" s="2"/>
      <c r="VBH418" s="2"/>
      <c r="VBI418" s="2"/>
      <c r="VBJ418" s="2"/>
      <c r="VBK418" s="2"/>
      <c r="VBL418" s="2"/>
      <c r="VBM418" s="2"/>
      <c r="VBN418" s="2"/>
      <c r="VBO418" s="2"/>
      <c r="VBP418" s="2"/>
      <c r="VBQ418" s="2"/>
      <c r="VBR418" s="2"/>
      <c r="VBS418" s="2"/>
      <c r="VBT418" s="2"/>
      <c r="VBU418" s="2"/>
      <c r="VBV418" s="2"/>
      <c r="VBW418" s="2"/>
      <c r="VBX418" s="2"/>
      <c r="VBY418" s="2"/>
      <c r="VBZ418" s="2"/>
      <c r="VCA418" s="2"/>
      <c r="VCB418" s="2"/>
      <c r="VCC418" s="2"/>
      <c r="VCD418" s="2"/>
      <c r="VCE418" s="2"/>
      <c r="VCF418" s="2"/>
      <c r="VCG418" s="2"/>
      <c r="VCH418" s="2"/>
      <c r="VCI418" s="2"/>
      <c r="VCJ418" s="2"/>
      <c r="VCK418" s="2"/>
      <c r="VCL418" s="2"/>
      <c r="VCM418" s="2"/>
      <c r="VCN418" s="2"/>
      <c r="VCO418" s="2"/>
      <c r="VCP418" s="2"/>
      <c r="VCQ418" s="2"/>
      <c r="VCR418" s="2"/>
      <c r="VCS418" s="2"/>
      <c r="VCT418" s="2"/>
      <c r="VCU418" s="2"/>
      <c r="VCV418" s="2"/>
      <c r="VCW418" s="2"/>
      <c r="VCX418" s="2"/>
      <c r="VCY418" s="2"/>
      <c r="VCZ418" s="2"/>
      <c r="VDA418" s="2"/>
      <c r="VDB418" s="2"/>
      <c r="VDC418" s="2"/>
      <c r="VDD418" s="2"/>
      <c r="VDE418" s="2"/>
      <c r="VDF418" s="2"/>
      <c r="VDG418" s="2"/>
      <c r="VDH418" s="2"/>
      <c r="VDI418" s="2"/>
      <c r="VDJ418" s="2"/>
      <c r="VDK418" s="2"/>
      <c r="VDL418" s="2"/>
      <c r="VDM418" s="2"/>
      <c r="VDN418" s="2"/>
      <c r="VDO418" s="2"/>
      <c r="VDP418" s="2"/>
      <c r="VDQ418" s="2"/>
      <c r="VDR418" s="2"/>
      <c r="VDS418" s="2"/>
      <c r="VDT418" s="2"/>
      <c r="VDU418" s="2"/>
      <c r="VDV418" s="2"/>
      <c r="VDW418" s="2"/>
      <c r="VDX418" s="2"/>
      <c r="VDY418" s="2"/>
      <c r="VDZ418" s="2"/>
      <c r="VEA418" s="2"/>
      <c r="VEB418" s="2"/>
      <c r="VEC418" s="2"/>
      <c r="VED418" s="2"/>
      <c r="VEE418" s="2"/>
      <c r="VEF418" s="2"/>
      <c r="VEG418" s="2"/>
      <c r="VEH418" s="2"/>
      <c r="VEI418" s="2"/>
      <c r="VEJ418" s="2"/>
      <c r="VEK418" s="2"/>
      <c r="VEL418" s="2"/>
      <c r="VEM418" s="2"/>
      <c r="VEN418" s="2"/>
      <c r="VEO418" s="2"/>
      <c r="VEP418" s="2"/>
      <c r="VEQ418" s="2"/>
      <c r="VER418" s="2"/>
      <c r="VES418" s="2"/>
      <c r="VET418" s="2"/>
      <c r="VEU418" s="2"/>
      <c r="VEV418" s="2"/>
      <c r="VEW418" s="2"/>
      <c r="VEX418" s="2"/>
      <c r="VEY418" s="2"/>
      <c r="VEZ418" s="2"/>
      <c r="VFA418" s="2"/>
      <c r="VFB418" s="2"/>
      <c r="VFC418" s="2"/>
      <c r="VFD418" s="2"/>
      <c r="VFE418" s="2"/>
      <c r="VFF418" s="2"/>
      <c r="VFG418" s="2"/>
      <c r="VFH418" s="2"/>
      <c r="VFI418" s="2"/>
      <c r="VFJ418" s="2"/>
      <c r="VFK418" s="2"/>
      <c r="VFL418" s="2"/>
      <c r="VFM418" s="2"/>
      <c r="VFN418" s="2"/>
      <c r="VFO418" s="2"/>
      <c r="VFP418" s="2"/>
      <c r="VFQ418" s="2"/>
      <c r="VFR418" s="2"/>
      <c r="VFS418" s="2"/>
      <c r="VFT418" s="2"/>
      <c r="VFU418" s="2"/>
      <c r="VFV418" s="2"/>
      <c r="VFW418" s="2"/>
      <c r="VFX418" s="2"/>
      <c r="VFY418" s="2"/>
      <c r="VFZ418" s="2"/>
      <c r="VGA418" s="2"/>
      <c r="VGB418" s="2"/>
      <c r="VGC418" s="2"/>
      <c r="VGD418" s="2"/>
      <c r="VGE418" s="2"/>
      <c r="VGF418" s="2"/>
      <c r="VGG418" s="2"/>
      <c r="VGH418" s="2"/>
      <c r="VGI418" s="2"/>
      <c r="VGJ418" s="2"/>
      <c r="VGK418" s="2"/>
      <c r="VGL418" s="2"/>
      <c r="VGM418" s="2"/>
      <c r="VGN418" s="2"/>
      <c r="VGO418" s="2"/>
      <c r="VGP418" s="2"/>
      <c r="VGQ418" s="2"/>
      <c r="VGR418" s="2"/>
      <c r="VGS418" s="2"/>
      <c r="VGT418" s="2"/>
      <c r="VGU418" s="2"/>
      <c r="VGV418" s="2"/>
      <c r="VGW418" s="2"/>
      <c r="VGX418" s="2"/>
      <c r="VGY418" s="2"/>
      <c r="VGZ418" s="2"/>
      <c r="VHA418" s="2"/>
      <c r="VHB418" s="2"/>
      <c r="VHC418" s="2"/>
      <c r="VHD418" s="2"/>
      <c r="VHE418" s="2"/>
      <c r="VHF418" s="2"/>
      <c r="VHG418" s="2"/>
      <c r="VHH418" s="2"/>
      <c r="VHI418" s="2"/>
      <c r="VHJ418" s="2"/>
      <c r="VHK418" s="2"/>
      <c r="VHL418" s="2"/>
      <c r="VHM418" s="2"/>
      <c r="VHN418" s="2"/>
      <c r="VHO418" s="2"/>
      <c r="VHP418" s="2"/>
      <c r="VHQ418" s="2"/>
      <c r="VHR418" s="2"/>
      <c r="VHS418" s="2"/>
      <c r="VHT418" s="2"/>
      <c r="VHU418" s="2"/>
      <c r="VHV418" s="2"/>
      <c r="VHW418" s="2"/>
      <c r="VHX418" s="2"/>
      <c r="VHY418" s="2"/>
      <c r="VHZ418" s="2"/>
      <c r="VIA418" s="2"/>
      <c r="VIB418" s="2"/>
      <c r="VIC418" s="2"/>
      <c r="VID418" s="2"/>
      <c r="VIE418" s="2"/>
      <c r="VIF418" s="2"/>
      <c r="VIG418" s="2"/>
      <c r="VIH418" s="2"/>
      <c r="VII418" s="2"/>
      <c r="VIJ418" s="2"/>
      <c r="VIK418" s="2"/>
      <c r="VIL418" s="2"/>
      <c r="VIM418" s="2"/>
      <c r="VIN418" s="2"/>
      <c r="VIO418" s="2"/>
      <c r="VIP418" s="2"/>
      <c r="VIQ418" s="2"/>
      <c r="VIR418" s="2"/>
      <c r="VIS418" s="2"/>
      <c r="VIT418" s="2"/>
      <c r="VIU418" s="2"/>
      <c r="VIV418" s="2"/>
      <c r="VIW418" s="2"/>
      <c r="VIX418" s="2"/>
      <c r="VIY418" s="2"/>
      <c r="VIZ418" s="2"/>
      <c r="VJA418" s="2"/>
      <c r="VJB418" s="2"/>
      <c r="VJC418" s="2"/>
      <c r="VJD418" s="2"/>
      <c r="VJE418" s="2"/>
      <c r="VJF418" s="2"/>
      <c r="VJG418" s="2"/>
      <c r="VJH418" s="2"/>
      <c r="VJI418" s="2"/>
      <c r="VJJ418" s="2"/>
      <c r="VJK418" s="2"/>
      <c r="VJL418" s="2"/>
      <c r="VJM418" s="2"/>
      <c r="VJN418" s="2"/>
      <c r="VJO418" s="2"/>
      <c r="VJP418" s="2"/>
      <c r="VJQ418" s="2"/>
      <c r="VJR418" s="2"/>
      <c r="VJS418" s="2"/>
      <c r="VJT418" s="2"/>
      <c r="VJU418" s="2"/>
      <c r="VJV418" s="2"/>
      <c r="VJW418" s="2"/>
      <c r="VJX418" s="2"/>
      <c r="VJY418" s="2"/>
      <c r="VJZ418" s="2"/>
      <c r="VKA418" s="2"/>
      <c r="VKB418" s="2"/>
      <c r="VKC418" s="2"/>
      <c r="VKD418" s="2"/>
      <c r="VKE418" s="2"/>
      <c r="VKF418" s="2"/>
      <c r="VKG418" s="2"/>
      <c r="VKH418" s="2"/>
      <c r="VKI418" s="2"/>
      <c r="VKJ418" s="2"/>
      <c r="VKK418" s="2"/>
      <c r="VKL418" s="2"/>
      <c r="VKM418" s="2"/>
      <c r="VKN418" s="2"/>
      <c r="VKO418" s="2"/>
      <c r="VKP418" s="2"/>
      <c r="VKQ418" s="2"/>
      <c r="VKR418" s="2"/>
      <c r="VKS418" s="2"/>
      <c r="VKT418" s="2"/>
      <c r="VKU418" s="2"/>
      <c r="VKV418" s="2"/>
      <c r="VKW418" s="2"/>
      <c r="VKX418" s="2"/>
      <c r="VKY418" s="2"/>
      <c r="VKZ418" s="2"/>
      <c r="VLA418" s="2"/>
      <c r="VLB418" s="2"/>
      <c r="VLC418" s="2"/>
      <c r="VLD418" s="2"/>
      <c r="VLE418" s="2"/>
      <c r="VLF418" s="2"/>
      <c r="VLG418" s="2"/>
      <c r="VLH418" s="2"/>
      <c r="VLI418" s="2"/>
      <c r="VLJ418" s="2"/>
      <c r="VLK418" s="2"/>
      <c r="VLL418" s="2"/>
      <c r="VLM418" s="2"/>
      <c r="VLN418" s="2"/>
      <c r="VLO418" s="2"/>
      <c r="VLP418" s="2"/>
      <c r="VLQ418" s="2"/>
      <c r="VLR418" s="2"/>
      <c r="VLS418" s="2"/>
      <c r="VLT418" s="2"/>
      <c r="VLU418" s="2"/>
      <c r="VLV418" s="2"/>
      <c r="VLW418" s="2"/>
      <c r="VLX418" s="2"/>
      <c r="VLY418" s="2"/>
      <c r="VLZ418" s="2"/>
      <c r="VMA418" s="2"/>
      <c r="VMB418" s="2"/>
      <c r="VMC418" s="2"/>
      <c r="VMD418" s="2"/>
      <c r="VME418" s="2"/>
      <c r="VMF418" s="2"/>
      <c r="VMG418" s="2"/>
      <c r="VMH418" s="2"/>
      <c r="VMI418" s="2"/>
      <c r="VMJ418" s="2"/>
      <c r="VMK418" s="2"/>
      <c r="VML418" s="2"/>
      <c r="VMM418" s="2"/>
      <c r="VMN418" s="2"/>
      <c r="VMO418" s="2"/>
      <c r="VMP418" s="2"/>
      <c r="VMQ418" s="2"/>
      <c r="VMR418" s="2"/>
      <c r="VMS418" s="2"/>
      <c r="VMT418" s="2"/>
      <c r="VMU418" s="2"/>
      <c r="VMV418" s="2"/>
      <c r="VMW418" s="2"/>
      <c r="VMX418" s="2"/>
      <c r="VMY418" s="2"/>
      <c r="VMZ418" s="2"/>
      <c r="VNA418" s="2"/>
      <c r="VNB418" s="2"/>
      <c r="VNC418" s="2"/>
      <c r="VND418" s="2"/>
      <c r="VNE418" s="2"/>
      <c r="VNF418" s="2"/>
      <c r="VNG418" s="2"/>
      <c r="VNH418" s="2"/>
      <c r="VNI418" s="2"/>
      <c r="VNJ418" s="2"/>
      <c r="VNK418" s="2"/>
      <c r="VNL418" s="2"/>
      <c r="VNM418" s="2"/>
      <c r="VNN418" s="2"/>
      <c r="VNO418" s="2"/>
      <c r="VNP418" s="2"/>
      <c r="VNQ418" s="2"/>
      <c r="VNR418" s="2"/>
      <c r="VNS418" s="2"/>
      <c r="VNT418" s="2"/>
      <c r="VNU418" s="2"/>
      <c r="VNV418" s="2"/>
      <c r="VNW418" s="2"/>
      <c r="VNX418" s="2"/>
      <c r="VNY418" s="2"/>
      <c r="VNZ418" s="2"/>
      <c r="VOA418" s="2"/>
      <c r="VOB418" s="2"/>
      <c r="VOC418" s="2"/>
      <c r="VOD418" s="2"/>
      <c r="VOE418" s="2"/>
      <c r="VOF418" s="2"/>
      <c r="VOG418" s="2"/>
      <c r="VOH418" s="2"/>
      <c r="VOI418" s="2"/>
      <c r="VOJ418" s="2"/>
      <c r="VOK418" s="2"/>
      <c r="VOL418" s="2"/>
      <c r="VOM418" s="2"/>
      <c r="VON418" s="2"/>
      <c r="VOO418" s="2"/>
      <c r="VOP418" s="2"/>
      <c r="VOQ418" s="2"/>
      <c r="VOR418" s="2"/>
      <c r="VOS418" s="2"/>
      <c r="VOT418" s="2"/>
      <c r="VOU418" s="2"/>
      <c r="VOV418" s="2"/>
      <c r="VOW418" s="2"/>
      <c r="VOX418" s="2"/>
      <c r="VOY418" s="2"/>
      <c r="VOZ418" s="2"/>
      <c r="VPA418" s="2"/>
      <c r="VPB418" s="2"/>
      <c r="VPC418" s="2"/>
      <c r="VPD418" s="2"/>
      <c r="VPE418" s="2"/>
      <c r="VPF418" s="2"/>
      <c r="VPG418" s="2"/>
      <c r="VPH418" s="2"/>
      <c r="VPI418" s="2"/>
      <c r="VPJ418" s="2"/>
      <c r="VPK418" s="2"/>
      <c r="VPL418" s="2"/>
      <c r="VPM418" s="2"/>
      <c r="VPN418" s="2"/>
      <c r="VPO418" s="2"/>
      <c r="VPP418" s="2"/>
      <c r="VPQ418" s="2"/>
      <c r="VPR418" s="2"/>
      <c r="VPS418" s="2"/>
      <c r="VPT418" s="2"/>
      <c r="VPU418" s="2"/>
      <c r="VPV418" s="2"/>
      <c r="VPW418" s="2"/>
      <c r="VPX418" s="2"/>
      <c r="VPY418" s="2"/>
      <c r="VPZ418" s="2"/>
      <c r="VQA418" s="2"/>
      <c r="VQB418" s="2"/>
      <c r="VQC418" s="2"/>
      <c r="VQD418" s="2"/>
      <c r="VQE418" s="2"/>
      <c r="VQF418" s="2"/>
      <c r="VQG418" s="2"/>
      <c r="VQH418" s="2"/>
      <c r="VQI418" s="2"/>
      <c r="VQJ418" s="2"/>
      <c r="VQK418" s="2"/>
      <c r="VQL418" s="2"/>
      <c r="VQM418" s="2"/>
      <c r="VQN418" s="2"/>
      <c r="VQO418" s="2"/>
      <c r="VQP418" s="2"/>
      <c r="VQQ418" s="2"/>
      <c r="VQR418" s="2"/>
      <c r="VQS418" s="2"/>
      <c r="VQT418" s="2"/>
      <c r="VQU418" s="2"/>
      <c r="VQV418" s="2"/>
      <c r="VQW418" s="2"/>
      <c r="VQX418" s="2"/>
      <c r="VQY418" s="2"/>
      <c r="VQZ418" s="2"/>
      <c r="VRA418" s="2"/>
      <c r="VRB418" s="2"/>
      <c r="VRC418" s="2"/>
      <c r="VRD418" s="2"/>
      <c r="VRE418" s="2"/>
      <c r="VRF418" s="2"/>
      <c r="VRG418" s="2"/>
      <c r="VRH418" s="2"/>
      <c r="VRI418" s="2"/>
      <c r="VRJ418" s="2"/>
      <c r="VRK418" s="2"/>
      <c r="VRL418" s="2"/>
      <c r="VRM418" s="2"/>
      <c r="VRN418" s="2"/>
      <c r="VRO418" s="2"/>
      <c r="VRP418" s="2"/>
      <c r="VRQ418" s="2"/>
      <c r="VRR418" s="2"/>
      <c r="VRS418" s="2"/>
      <c r="VRT418" s="2"/>
      <c r="VRU418" s="2"/>
      <c r="VRV418" s="2"/>
      <c r="VRW418" s="2"/>
      <c r="VRX418" s="2"/>
      <c r="VRY418" s="2"/>
      <c r="VRZ418" s="2"/>
      <c r="VSA418" s="2"/>
      <c r="VSB418" s="2"/>
      <c r="VSC418" s="2"/>
      <c r="VSD418" s="2"/>
      <c r="VSE418" s="2"/>
      <c r="VSF418" s="2"/>
      <c r="VSG418" s="2"/>
      <c r="VSH418" s="2"/>
      <c r="VSI418" s="2"/>
      <c r="VSJ418" s="2"/>
      <c r="VSK418" s="2"/>
      <c r="VSL418" s="2"/>
      <c r="VSM418" s="2"/>
      <c r="VSN418" s="2"/>
      <c r="VSO418" s="2"/>
      <c r="VSP418" s="2"/>
      <c r="VSQ418" s="2"/>
      <c r="VSR418" s="2"/>
      <c r="VSS418" s="2"/>
      <c r="VST418" s="2"/>
      <c r="VSU418" s="2"/>
      <c r="VSV418" s="2"/>
      <c r="VSW418" s="2"/>
      <c r="VSX418" s="2"/>
      <c r="VSY418" s="2"/>
      <c r="VSZ418" s="2"/>
      <c r="VTA418" s="2"/>
      <c r="VTB418" s="2"/>
      <c r="VTC418" s="2"/>
      <c r="VTD418" s="2"/>
      <c r="VTE418" s="2"/>
      <c r="VTF418" s="2"/>
      <c r="VTG418" s="2"/>
      <c r="VTH418" s="2"/>
      <c r="VTI418" s="2"/>
      <c r="VTJ418" s="2"/>
      <c r="VTK418" s="2"/>
      <c r="VTL418" s="2"/>
      <c r="VTM418" s="2"/>
      <c r="VTN418" s="2"/>
      <c r="VTO418" s="2"/>
      <c r="VTP418" s="2"/>
      <c r="VTQ418" s="2"/>
      <c r="VTR418" s="2"/>
      <c r="VTS418" s="2"/>
      <c r="VTT418" s="2"/>
      <c r="VTU418" s="2"/>
      <c r="VTV418" s="2"/>
      <c r="VTW418" s="2"/>
      <c r="VTX418" s="2"/>
      <c r="VTY418" s="2"/>
      <c r="VTZ418" s="2"/>
      <c r="VUA418" s="2"/>
      <c r="VUB418" s="2"/>
      <c r="VUC418" s="2"/>
      <c r="VUD418" s="2"/>
      <c r="VUE418" s="2"/>
      <c r="VUF418" s="2"/>
      <c r="VUG418" s="2"/>
      <c r="VUH418" s="2"/>
      <c r="VUI418" s="2"/>
      <c r="VUJ418" s="2"/>
      <c r="VUK418" s="2"/>
      <c r="VUL418" s="2"/>
      <c r="VUM418" s="2"/>
      <c r="VUN418" s="2"/>
      <c r="VUO418" s="2"/>
      <c r="VUP418" s="2"/>
      <c r="VUQ418" s="2"/>
      <c r="VUR418" s="2"/>
      <c r="VUS418" s="2"/>
      <c r="VUT418" s="2"/>
      <c r="VUU418" s="2"/>
      <c r="VUV418" s="2"/>
      <c r="VUW418" s="2"/>
      <c r="VUX418" s="2"/>
      <c r="VUY418" s="2"/>
      <c r="VUZ418" s="2"/>
      <c r="VVA418" s="2"/>
      <c r="VVB418" s="2"/>
      <c r="VVC418" s="2"/>
      <c r="VVD418" s="2"/>
      <c r="VVE418" s="2"/>
      <c r="VVF418" s="2"/>
      <c r="VVG418" s="2"/>
      <c r="VVH418" s="2"/>
      <c r="VVI418" s="2"/>
      <c r="VVJ418" s="2"/>
      <c r="VVK418" s="2"/>
      <c r="VVL418" s="2"/>
      <c r="VVM418" s="2"/>
      <c r="VVN418" s="2"/>
      <c r="VVO418" s="2"/>
      <c r="VVP418" s="2"/>
      <c r="VVQ418" s="2"/>
      <c r="VVR418" s="2"/>
      <c r="VVS418" s="2"/>
      <c r="VVT418" s="2"/>
      <c r="VVU418" s="2"/>
      <c r="VVV418" s="2"/>
      <c r="VVW418" s="2"/>
      <c r="VVX418" s="2"/>
      <c r="VVY418" s="2"/>
      <c r="VVZ418" s="2"/>
      <c r="VWA418" s="2"/>
      <c r="VWB418" s="2"/>
      <c r="VWC418" s="2"/>
      <c r="VWD418" s="2"/>
      <c r="VWE418" s="2"/>
      <c r="VWF418" s="2"/>
      <c r="VWG418" s="2"/>
      <c r="VWH418" s="2"/>
      <c r="VWI418" s="2"/>
      <c r="VWJ418" s="2"/>
      <c r="VWK418" s="2"/>
      <c r="VWL418" s="2"/>
      <c r="VWM418" s="2"/>
      <c r="VWN418" s="2"/>
      <c r="VWO418" s="2"/>
      <c r="VWP418" s="2"/>
      <c r="VWQ418" s="2"/>
      <c r="VWR418" s="2"/>
      <c r="VWS418" s="2"/>
      <c r="VWT418" s="2"/>
      <c r="VWU418" s="2"/>
      <c r="VWV418" s="2"/>
      <c r="VWW418" s="2"/>
      <c r="VWX418" s="2"/>
      <c r="VWY418" s="2"/>
      <c r="VWZ418" s="2"/>
      <c r="VXA418" s="2"/>
      <c r="VXB418" s="2"/>
      <c r="VXC418" s="2"/>
      <c r="VXD418" s="2"/>
      <c r="VXE418" s="2"/>
      <c r="VXF418" s="2"/>
      <c r="VXG418" s="2"/>
      <c r="VXH418" s="2"/>
      <c r="VXI418" s="2"/>
      <c r="VXJ418" s="2"/>
      <c r="VXK418" s="2"/>
      <c r="VXL418" s="2"/>
      <c r="VXM418" s="2"/>
      <c r="VXN418" s="2"/>
      <c r="VXO418" s="2"/>
      <c r="VXP418" s="2"/>
      <c r="VXQ418" s="2"/>
      <c r="VXR418" s="2"/>
      <c r="VXS418" s="2"/>
      <c r="VXT418" s="2"/>
      <c r="VXU418" s="2"/>
      <c r="VXV418" s="2"/>
      <c r="VXW418" s="2"/>
      <c r="VXX418" s="2"/>
      <c r="VXY418" s="2"/>
      <c r="VXZ418" s="2"/>
      <c r="VYA418" s="2"/>
      <c r="VYB418" s="2"/>
      <c r="VYC418" s="2"/>
      <c r="VYD418" s="2"/>
      <c r="VYE418" s="2"/>
      <c r="VYF418" s="2"/>
      <c r="VYG418" s="2"/>
      <c r="VYH418" s="2"/>
      <c r="VYI418" s="2"/>
      <c r="VYJ418" s="2"/>
      <c r="VYK418" s="2"/>
      <c r="VYL418" s="2"/>
      <c r="VYM418" s="2"/>
      <c r="VYN418" s="2"/>
      <c r="VYO418" s="2"/>
      <c r="VYP418" s="2"/>
      <c r="VYQ418" s="2"/>
      <c r="VYR418" s="2"/>
      <c r="VYS418" s="2"/>
      <c r="VYT418" s="2"/>
      <c r="VYU418" s="2"/>
      <c r="VYV418" s="2"/>
      <c r="VYW418" s="2"/>
      <c r="VYX418" s="2"/>
      <c r="VYY418" s="2"/>
      <c r="VYZ418" s="2"/>
      <c r="VZA418" s="2"/>
      <c r="VZB418" s="2"/>
      <c r="VZC418" s="2"/>
      <c r="VZD418" s="2"/>
      <c r="VZE418" s="2"/>
      <c r="VZF418" s="2"/>
      <c r="VZG418" s="2"/>
      <c r="VZH418" s="2"/>
      <c r="VZI418" s="2"/>
      <c r="VZJ418" s="2"/>
      <c r="VZK418" s="2"/>
      <c r="VZL418" s="2"/>
      <c r="VZM418" s="2"/>
      <c r="VZN418" s="2"/>
      <c r="VZO418" s="2"/>
      <c r="VZP418" s="2"/>
      <c r="VZQ418" s="2"/>
      <c r="VZR418" s="2"/>
      <c r="VZS418" s="2"/>
      <c r="VZT418" s="2"/>
      <c r="VZU418" s="2"/>
      <c r="VZV418" s="2"/>
      <c r="VZW418" s="2"/>
      <c r="VZX418" s="2"/>
      <c r="VZY418" s="2"/>
      <c r="VZZ418" s="2"/>
      <c r="WAA418" s="2"/>
      <c r="WAB418" s="2"/>
      <c r="WAC418" s="2"/>
      <c r="WAD418" s="2"/>
      <c r="WAE418" s="2"/>
      <c r="WAF418" s="2"/>
      <c r="WAG418" s="2"/>
      <c r="WAH418" s="2"/>
      <c r="WAI418" s="2"/>
      <c r="WAJ418" s="2"/>
      <c r="WAK418" s="2"/>
      <c r="WAL418" s="2"/>
      <c r="WAM418" s="2"/>
      <c r="WAN418" s="2"/>
      <c r="WAO418" s="2"/>
      <c r="WAP418" s="2"/>
      <c r="WAQ418" s="2"/>
      <c r="WAR418" s="2"/>
      <c r="WAS418" s="2"/>
      <c r="WAT418" s="2"/>
      <c r="WAU418" s="2"/>
      <c r="WAV418" s="2"/>
      <c r="WAW418" s="2"/>
      <c r="WAX418" s="2"/>
      <c r="WAY418" s="2"/>
      <c r="WAZ418" s="2"/>
      <c r="WBA418" s="2"/>
      <c r="WBB418" s="2"/>
      <c r="WBC418" s="2"/>
      <c r="WBD418" s="2"/>
      <c r="WBE418" s="2"/>
      <c r="WBF418" s="2"/>
      <c r="WBG418" s="2"/>
      <c r="WBH418" s="2"/>
      <c r="WBI418" s="2"/>
      <c r="WBJ418" s="2"/>
      <c r="WBK418" s="2"/>
      <c r="WBL418" s="2"/>
      <c r="WBM418" s="2"/>
      <c r="WBN418" s="2"/>
      <c r="WBO418" s="2"/>
      <c r="WBP418" s="2"/>
      <c r="WBQ418" s="2"/>
      <c r="WBR418" s="2"/>
      <c r="WBS418" s="2"/>
      <c r="WBT418" s="2"/>
      <c r="WBU418" s="2"/>
      <c r="WBV418" s="2"/>
      <c r="WBW418" s="2"/>
      <c r="WBX418" s="2"/>
      <c r="WBY418" s="2"/>
      <c r="WBZ418" s="2"/>
      <c r="WCA418" s="2"/>
      <c r="WCB418" s="2"/>
      <c r="WCC418" s="2"/>
      <c r="WCD418" s="2"/>
      <c r="WCE418" s="2"/>
      <c r="WCF418" s="2"/>
      <c r="WCG418" s="2"/>
      <c r="WCH418" s="2"/>
      <c r="WCI418" s="2"/>
      <c r="WCJ418" s="2"/>
      <c r="WCK418" s="2"/>
      <c r="WCL418" s="2"/>
      <c r="WCM418" s="2"/>
      <c r="WCN418" s="2"/>
      <c r="WCO418" s="2"/>
      <c r="WCP418" s="2"/>
      <c r="WCQ418" s="2"/>
      <c r="WCR418" s="2"/>
      <c r="WCS418" s="2"/>
      <c r="WCT418" s="2"/>
      <c r="WCU418" s="2"/>
      <c r="WCV418" s="2"/>
      <c r="WCW418" s="2"/>
      <c r="WCX418" s="2"/>
      <c r="WCY418" s="2"/>
      <c r="WCZ418" s="2"/>
      <c r="WDA418" s="2"/>
      <c r="WDB418" s="2"/>
      <c r="WDC418" s="2"/>
      <c r="WDD418" s="2"/>
      <c r="WDE418" s="2"/>
      <c r="WDF418" s="2"/>
      <c r="WDG418" s="2"/>
      <c r="WDH418" s="2"/>
      <c r="WDI418" s="2"/>
      <c r="WDJ418" s="2"/>
      <c r="WDK418" s="2"/>
      <c r="WDL418" s="2"/>
      <c r="WDM418" s="2"/>
      <c r="WDN418" s="2"/>
      <c r="WDO418" s="2"/>
      <c r="WDP418" s="2"/>
      <c r="WDQ418" s="2"/>
      <c r="WDR418" s="2"/>
      <c r="WDS418" s="2"/>
      <c r="WDT418" s="2"/>
      <c r="WDU418" s="2"/>
      <c r="WDV418" s="2"/>
      <c r="WDW418" s="2"/>
      <c r="WDX418" s="2"/>
      <c r="WDY418" s="2"/>
      <c r="WDZ418" s="2"/>
      <c r="WEA418" s="2"/>
      <c r="WEB418" s="2"/>
      <c r="WEC418" s="2"/>
      <c r="WED418" s="2"/>
      <c r="WEE418" s="2"/>
      <c r="WEF418" s="2"/>
      <c r="WEG418" s="2"/>
      <c r="WEH418" s="2"/>
      <c r="WEI418" s="2"/>
      <c r="WEJ418" s="2"/>
      <c r="WEK418" s="2"/>
      <c r="WEL418" s="2"/>
      <c r="WEM418" s="2"/>
      <c r="WEN418" s="2"/>
      <c r="WEO418" s="2"/>
      <c r="WEP418" s="2"/>
      <c r="WEQ418" s="2"/>
      <c r="WER418" s="2"/>
      <c r="WES418" s="2"/>
      <c r="WET418" s="2"/>
      <c r="WEU418" s="2"/>
      <c r="WEV418" s="2"/>
      <c r="WEW418" s="2"/>
      <c r="WEX418" s="2"/>
      <c r="WEY418" s="2"/>
      <c r="WEZ418" s="2"/>
      <c r="WFA418" s="2"/>
      <c r="WFB418" s="2"/>
      <c r="WFC418" s="2"/>
      <c r="WFD418" s="2"/>
      <c r="WFE418" s="2"/>
      <c r="WFF418" s="2"/>
      <c r="WFG418" s="2"/>
      <c r="WFH418" s="2"/>
      <c r="WFI418" s="2"/>
      <c r="WFJ418" s="2"/>
      <c r="WFK418" s="2"/>
      <c r="WFL418" s="2"/>
      <c r="WFM418" s="2"/>
      <c r="WFN418" s="2"/>
      <c r="WFO418" s="2"/>
      <c r="WFP418" s="2"/>
      <c r="WFQ418" s="2"/>
      <c r="WFR418" s="2"/>
      <c r="WFS418" s="2"/>
      <c r="WFT418" s="2"/>
      <c r="WFU418" s="2"/>
      <c r="WFV418" s="2"/>
      <c r="WFW418" s="2"/>
      <c r="WFX418" s="2"/>
      <c r="WFY418" s="2"/>
      <c r="WFZ418" s="2"/>
      <c r="WGA418" s="2"/>
      <c r="WGB418" s="2"/>
      <c r="WGC418" s="2"/>
      <c r="WGD418" s="2"/>
      <c r="WGE418" s="2"/>
      <c r="WGF418" s="2"/>
      <c r="WGG418" s="2"/>
      <c r="WGH418" s="2"/>
      <c r="WGI418" s="2"/>
      <c r="WGJ418" s="2"/>
      <c r="WGK418" s="2"/>
      <c r="WGL418" s="2"/>
      <c r="WGM418" s="2"/>
      <c r="WGN418" s="2"/>
      <c r="WGO418" s="2"/>
      <c r="WGP418" s="2"/>
      <c r="WGQ418" s="2"/>
      <c r="WGR418" s="2"/>
      <c r="WGS418" s="2"/>
      <c r="WGT418" s="2"/>
      <c r="WGU418" s="2"/>
      <c r="WGV418" s="2"/>
      <c r="WGW418" s="2"/>
      <c r="WGX418" s="2"/>
      <c r="WGY418" s="2"/>
      <c r="WGZ418" s="2"/>
      <c r="WHA418" s="2"/>
      <c r="WHB418" s="2"/>
      <c r="WHC418" s="2"/>
      <c r="WHD418" s="2"/>
      <c r="WHE418" s="2"/>
      <c r="WHF418" s="2"/>
      <c r="WHG418" s="2"/>
      <c r="WHH418" s="2"/>
      <c r="WHI418" s="2"/>
      <c r="WHJ418" s="2"/>
      <c r="WHK418" s="2"/>
      <c r="WHL418" s="2"/>
      <c r="WHM418" s="2"/>
      <c r="WHN418" s="2"/>
      <c r="WHO418" s="2"/>
      <c r="WHP418" s="2"/>
      <c r="WHQ418" s="2"/>
      <c r="WHR418" s="2"/>
      <c r="WHS418" s="2"/>
      <c r="WHT418" s="2"/>
      <c r="WHU418" s="2"/>
      <c r="WHV418" s="2"/>
      <c r="WHW418" s="2"/>
      <c r="WHX418" s="2"/>
      <c r="WHY418" s="2"/>
      <c r="WHZ418" s="2"/>
      <c r="WIA418" s="2"/>
      <c r="WIB418" s="2"/>
      <c r="WIC418" s="2"/>
      <c r="WID418" s="2"/>
      <c r="WIE418" s="2"/>
      <c r="WIF418" s="2"/>
      <c r="WIG418" s="2"/>
      <c r="WIH418" s="2"/>
      <c r="WII418" s="2"/>
      <c r="WIJ418" s="2"/>
      <c r="WIK418" s="2"/>
      <c r="WIL418" s="2"/>
      <c r="WIM418" s="2"/>
      <c r="WIN418" s="2"/>
      <c r="WIO418" s="2"/>
      <c r="WIP418" s="2"/>
      <c r="WIQ418" s="2"/>
      <c r="WIR418" s="2"/>
      <c r="WIS418" s="2"/>
      <c r="WIT418" s="2"/>
      <c r="WIU418" s="2"/>
      <c r="WIV418" s="2"/>
      <c r="WIW418" s="2"/>
      <c r="WIX418" s="2"/>
      <c r="WIY418" s="2"/>
      <c r="WIZ418" s="2"/>
      <c r="WJA418" s="2"/>
      <c r="WJB418" s="2"/>
      <c r="WJC418" s="2"/>
      <c r="WJD418" s="2"/>
      <c r="WJE418" s="2"/>
      <c r="WJF418" s="2"/>
      <c r="WJG418" s="2"/>
      <c r="WJH418" s="2"/>
      <c r="WJI418" s="2"/>
      <c r="WJJ418" s="2"/>
      <c r="WJK418" s="2"/>
      <c r="WJL418" s="2"/>
      <c r="WJM418" s="2"/>
      <c r="WJN418" s="2"/>
      <c r="WJO418" s="2"/>
      <c r="WJP418" s="2"/>
      <c r="WJQ418" s="2"/>
      <c r="WJR418" s="2"/>
      <c r="WJS418" s="2"/>
      <c r="WJT418" s="2"/>
      <c r="WJU418" s="2"/>
      <c r="WJV418" s="2"/>
      <c r="WJW418" s="2"/>
      <c r="WJX418" s="2"/>
      <c r="WJY418" s="2"/>
      <c r="WJZ418" s="2"/>
      <c r="WKA418" s="2"/>
      <c r="WKB418" s="2"/>
      <c r="WKC418" s="2"/>
      <c r="WKD418" s="2"/>
      <c r="WKE418" s="2"/>
      <c r="WKF418" s="2"/>
      <c r="WKG418" s="2"/>
      <c r="WKH418" s="2"/>
      <c r="WKI418" s="2"/>
      <c r="WKJ418" s="2"/>
      <c r="WKK418" s="2"/>
      <c r="WKL418" s="2"/>
      <c r="WKM418" s="2"/>
      <c r="WKN418" s="2"/>
      <c r="WKO418" s="2"/>
      <c r="WKP418" s="2"/>
      <c r="WKQ418" s="2"/>
      <c r="WKR418" s="2"/>
      <c r="WKS418" s="2"/>
      <c r="WKT418" s="2"/>
      <c r="WKU418" s="2"/>
      <c r="WKV418" s="2"/>
      <c r="WKW418" s="2"/>
      <c r="WKX418" s="2"/>
      <c r="WKY418" s="2"/>
      <c r="WKZ418" s="2"/>
      <c r="WLA418" s="2"/>
      <c r="WLB418" s="2"/>
      <c r="WLC418" s="2"/>
      <c r="WLD418" s="2"/>
      <c r="WLE418" s="2"/>
      <c r="WLF418" s="2"/>
      <c r="WLG418" s="2"/>
      <c r="WLH418" s="2"/>
      <c r="WLI418" s="2"/>
      <c r="WLJ418" s="2"/>
      <c r="WLK418" s="2"/>
      <c r="WLL418" s="2"/>
      <c r="WLM418" s="2"/>
      <c r="WLN418" s="2"/>
      <c r="WLO418" s="2"/>
      <c r="WLP418" s="2"/>
      <c r="WLQ418" s="2"/>
      <c r="WLR418" s="2"/>
      <c r="WLS418" s="2"/>
      <c r="WLT418" s="2"/>
      <c r="WLU418" s="2"/>
      <c r="WLV418" s="2"/>
      <c r="WLW418" s="2"/>
      <c r="WLX418" s="2"/>
      <c r="WLY418" s="2"/>
      <c r="WLZ418" s="2"/>
      <c r="WMA418" s="2"/>
      <c r="WMB418" s="2"/>
      <c r="WMC418" s="2"/>
      <c r="WMD418" s="2"/>
      <c r="WME418" s="2"/>
      <c r="WMF418" s="2"/>
      <c r="WMG418" s="2"/>
      <c r="WMH418" s="2"/>
      <c r="WMI418" s="2"/>
      <c r="WMJ418" s="2"/>
      <c r="WMK418" s="2"/>
      <c r="WML418" s="2"/>
      <c r="WMM418" s="2"/>
      <c r="WMN418" s="2"/>
      <c r="WMO418" s="2"/>
      <c r="WMP418" s="2"/>
      <c r="WMQ418" s="2"/>
      <c r="WMR418" s="2"/>
      <c r="WMS418" s="2"/>
      <c r="WMT418" s="2"/>
      <c r="WMU418" s="2"/>
      <c r="WMV418" s="2"/>
      <c r="WMW418" s="2"/>
      <c r="WMX418" s="2"/>
      <c r="WMY418" s="2"/>
      <c r="WMZ418" s="2"/>
      <c r="WNA418" s="2"/>
      <c r="WNB418" s="2"/>
      <c r="WNC418" s="2"/>
      <c r="WND418" s="2"/>
      <c r="WNE418" s="2"/>
      <c r="WNF418" s="2"/>
      <c r="WNG418" s="2"/>
      <c r="WNH418" s="2"/>
      <c r="WNI418" s="2"/>
      <c r="WNJ418" s="2"/>
      <c r="WNK418" s="2"/>
      <c r="WNL418" s="2"/>
      <c r="WNM418" s="2"/>
      <c r="WNN418" s="2"/>
      <c r="WNO418" s="2"/>
      <c r="WNP418" s="2"/>
      <c r="WNQ418" s="2"/>
      <c r="WNR418" s="2"/>
      <c r="WNS418" s="2"/>
      <c r="WNT418" s="2"/>
      <c r="WNU418" s="2"/>
      <c r="WNV418" s="2"/>
      <c r="WNW418" s="2"/>
      <c r="WNX418" s="2"/>
      <c r="WNY418" s="2"/>
      <c r="WNZ418" s="2"/>
      <c r="WOA418" s="2"/>
      <c r="WOB418" s="2"/>
      <c r="WOC418" s="2"/>
      <c r="WOD418" s="2"/>
      <c r="WOE418" s="2"/>
      <c r="WOF418" s="2"/>
      <c r="WOG418" s="2"/>
      <c r="WOH418" s="2"/>
      <c r="WOI418" s="2"/>
      <c r="WOJ418" s="2"/>
      <c r="WOK418" s="2"/>
      <c r="WOL418" s="2"/>
      <c r="WOM418" s="2"/>
      <c r="WON418" s="2"/>
      <c r="WOO418" s="2"/>
      <c r="WOP418" s="2"/>
      <c r="WOQ418" s="2"/>
      <c r="WOR418" s="2"/>
      <c r="WOS418" s="2"/>
      <c r="WOT418" s="2"/>
      <c r="WOU418" s="2"/>
      <c r="WOV418" s="2"/>
      <c r="WOW418" s="2"/>
      <c r="WOX418" s="2"/>
      <c r="WOY418" s="2"/>
      <c r="WOZ418" s="2"/>
      <c r="WPA418" s="2"/>
      <c r="WPB418" s="2"/>
      <c r="WPC418" s="2"/>
      <c r="WPD418" s="2"/>
      <c r="WPE418" s="2"/>
      <c r="WPF418" s="2"/>
      <c r="WPG418" s="2"/>
      <c r="WPH418" s="2"/>
      <c r="WPI418" s="2"/>
      <c r="WPJ418" s="2"/>
      <c r="WPK418" s="2"/>
      <c r="WPL418" s="2"/>
      <c r="WPM418" s="2"/>
      <c r="WPN418" s="2"/>
      <c r="WPO418" s="2"/>
      <c r="WPP418" s="2"/>
      <c r="WPQ418" s="2"/>
      <c r="WPR418" s="2"/>
      <c r="WPS418" s="2"/>
      <c r="WPT418" s="2"/>
      <c r="WPU418" s="2"/>
      <c r="WPV418" s="2"/>
      <c r="WPW418" s="2"/>
      <c r="WPX418" s="2"/>
      <c r="WPY418" s="2"/>
      <c r="WPZ418" s="2"/>
      <c r="WQA418" s="2"/>
      <c r="WQB418" s="2"/>
      <c r="WQC418" s="2"/>
      <c r="WQD418" s="2"/>
      <c r="WQE418" s="2"/>
      <c r="WQF418" s="2"/>
      <c r="WQG418" s="2"/>
      <c r="WQH418" s="2"/>
      <c r="WQI418" s="2"/>
      <c r="WQJ418" s="2"/>
      <c r="WQK418" s="2"/>
      <c r="WQL418" s="2"/>
      <c r="WQM418" s="2"/>
      <c r="WQN418" s="2"/>
      <c r="WQO418" s="2"/>
      <c r="WQP418" s="2"/>
      <c r="WQQ418" s="2"/>
      <c r="WQR418" s="2"/>
      <c r="WQS418" s="2"/>
      <c r="WQT418" s="2"/>
      <c r="WQU418" s="2"/>
      <c r="WQV418" s="2"/>
      <c r="WQW418" s="2"/>
      <c r="WQX418" s="2"/>
      <c r="WQY418" s="2"/>
      <c r="WQZ418" s="2"/>
      <c r="WRA418" s="2"/>
      <c r="WRB418" s="2"/>
      <c r="WRC418" s="2"/>
      <c r="WRD418" s="2"/>
      <c r="WRE418" s="2"/>
      <c r="WRF418" s="2"/>
      <c r="WRG418" s="2"/>
      <c r="WRH418" s="2"/>
      <c r="WRI418" s="2"/>
      <c r="WRJ418" s="2"/>
      <c r="WRK418" s="2"/>
      <c r="WRL418" s="2"/>
      <c r="WRM418" s="2"/>
      <c r="WRN418" s="2"/>
      <c r="WRO418" s="2"/>
      <c r="WRP418" s="2"/>
      <c r="WRQ418" s="2"/>
      <c r="WRR418" s="2"/>
      <c r="WRS418" s="2"/>
      <c r="WRT418" s="2"/>
      <c r="WRU418" s="2"/>
      <c r="WRV418" s="2"/>
      <c r="WRW418" s="2"/>
      <c r="WRX418" s="2"/>
      <c r="WRY418" s="2"/>
      <c r="WRZ418" s="2"/>
      <c r="WSA418" s="2"/>
      <c r="WSB418" s="2"/>
      <c r="WSC418" s="2"/>
      <c r="WSD418" s="2"/>
      <c r="WSE418" s="2"/>
      <c r="WSF418" s="2"/>
      <c r="WSG418" s="2"/>
      <c r="WSH418" s="2"/>
      <c r="WSI418" s="2"/>
      <c r="WSJ418" s="2"/>
      <c r="WSK418" s="2"/>
      <c r="WSL418" s="2"/>
      <c r="WSM418" s="2"/>
      <c r="WSN418" s="2"/>
      <c r="WSO418" s="2"/>
      <c r="WSP418" s="2"/>
      <c r="WSQ418" s="2"/>
      <c r="WSR418" s="2"/>
      <c r="WSS418" s="2"/>
      <c r="WST418" s="2"/>
      <c r="WSU418" s="2"/>
      <c r="WSV418" s="2"/>
      <c r="WSW418" s="2"/>
      <c r="WSX418" s="2"/>
      <c r="WSY418" s="2"/>
      <c r="WSZ418" s="2"/>
      <c r="WTA418" s="2"/>
      <c r="WTB418" s="2"/>
      <c r="WTC418" s="2"/>
      <c r="WTD418" s="2"/>
      <c r="WTE418" s="2"/>
      <c r="WTF418" s="2"/>
      <c r="WTG418" s="2"/>
      <c r="WTH418" s="2"/>
      <c r="WTI418" s="2"/>
      <c r="WTJ418" s="2"/>
      <c r="WTK418" s="2"/>
      <c r="WTL418" s="2"/>
      <c r="WTM418" s="2"/>
      <c r="WTN418" s="2"/>
      <c r="WTO418" s="2"/>
      <c r="WTP418" s="2"/>
      <c r="WTQ418" s="2"/>
      <c r="WTR418" s="2"/>
      <c r="WTS418" s="2"/>
      <c r="WTT418" s="2"/>
      <c r="WTU418" s="2"/>
      <c r="WTV418" s="2"/>
      <c r="WTW418" s="2"/>
      <c r="WTX418" s="2"/>
      <c r="WTY418" s="2"/>
      <c r="WTZ418" s="2"/>
      <c r="WUA418" s="2"/>
      <c r="WUB418" s="2"/>
      <c r="WUC418" s="2"/>
      <c r="WUD418" s="2"/>
      <c r="WUE418" s="2"/>
      <c r="WUF418" s="2"/>
      <c r="WUG418" s="2"/>
      <c r="WUH418" s="2"/>
      <c r="WUI418" s="2"/>
      <c r="WUJ418" s="2"/>
      <c r="WUK418" s="2"/>
      <c r="WUL418" s="2"/>
      <c r="WUM418" s="2"/>
      <c r="WUN418" s="2"/>
      <c r="WUO418" s="2"/>
      <c r="WUP418" s="2"/>
      <c r="WUQ418" s="2"/>
      <c r="WUR418" s="2"/>
      <c r="WUS418" s="2"/>
      <c r="WUT418" s="2"/>
      <c r="WUU418" s="2"/>
      <c r="WUV418" s="2"/>
      <c r="WUW418" s="2"/>
      <c r="WUX418" s="2"/>
      <c r="WUY418" s="2"/>
      <c r="WUZ418" s="2"/>
      <c r="WVA418" s="2"/>
      <c r="WVB418" s="2"/>
      <c r="WVC418" s="2"/>
      <c r="WVD418" s="2"/>
      <c r="WVE418" s="2"/>
      <c r="WVF418" s="2"/>
      <c r="WVG418" s="2"/>
      <c r="WVH418" s="2"/>
      <c r="WVI418" s="2"/>
      <c r="WVJ418" s="2"/>
      <c r="WVK418" s="2"/>
      <c r="WVL418" s="2"/>
      <c r="WVM418" s="2"/>
      <c r="WVN418" s="2"/>
      <c r="WVO418" s="2"/>
      <c r="WVP418" s="2"/>
      <c r="WVQ418" s="2"/>
      <c r="WVR418" s="2"/>
      <c r="WVS418" s="2"/>
      <c r="WVT418" s="2"/>
      <c r="WVU418" s="2"/>
      <c r="WVV418" s="2"/>
      <c r="WVW418" s="2"/>
      <c r="WVX418" s="2"/>
      <c r="WVY418" s="2"/>
      <c r="WVZ418" s="2"/>
      <c r="WWA418" s="2"/>
      <c r="WWB418" s="2"/>
      <c r="WWC418" s="2"/>
      <c r="WWD418" s="2"/>
      <c r="WWE418" s="2"/>
      <c r="WWF418" s="2"/>
      <c r="WWG418" s="2"/>
      <c r="WWH418" s="2"/>
      <c r="WWI418" s="2"/>
      <c r="WWJ418" s="2"/>
      <c r="WWK418" s="2"/>
      <c r="WWL418" s="2"/>
      <c r="WWM418" s="2"/>
      <c r="WWN418" s="2"/>
      <c r="WWO418" s="2"/>
      <c r="WWP418" s="2"/>
      <c r="WWQ418" s="2"/>
      <c r="WWR418" s="2"/>
      <c r="WWS418" s="2"/>
      <c r="WWT418" s="2"/>
      <c r="WWU418" s="2"/>
      <c r="WWV418" s="2"/>
      <c r="WWW418" s="2"/>
      <c r="WWX418" s="2"/>
      <c r="WWY418" s="2"/>
      <c r="WWZ418" s="2"/>
      <c r="WXA418" s="2"/>
      <c r="WXB418" s="2"/>
      <c r="WXC418" s="2"/>
      <c r="WXD418" s="2"/>
      <c r="WXE418" s="2"/>
      <c r="WXF418" s="2"/>
      <c r="WXG418" s="2"/>
      <c r="WXH418" s="2"/>
      <c r="WXI418" s="2"/>
      <c r="WXJ418" s="2"/>
      <c r="WXK418" s="2"/>
      <c r="WXL418" s="2"/>
      <c r="WXM418" s="2"/>
      <c r="WXN418" s="2"/>
      <c r="WXO418" s="2"/>
      <c r="WXP418" s="2"/>
      <c r="WXQ418" s="2"/>
      <c r="WXR418" s="2"/>
      <c r="WXS418" s="2"/>
      <c r="WXT418" s="2"/>
      <c r="WXU418" s="2"/>
      <c r="WXV418" s="2"/>
      <c r="WXW418" s="2"/>
      <c r="WXX418" s="2"/>
      <c r="WXY418" s="2"/>
      <c r="WXZ418" s="2"/>
      <c r="WYA418" s="2"/>
      <c r="WYB418" s="2"/>
      <c r="WYC418" s="2"/>
      <c r="WYD418" s="2"/>
      <c r="WYE418" s="2"/>
      <c r="WYF418" s="2"/>
      <c r="WYG418" s="2"/>
      <c r="WYH418" s="2"/>
      <c r="WYI418" s="2"/>
      <c r="WYJ418" s="2"/>
      <c r="WYK418" s="2"/>
      <c r="WYL418" s="2"/>
      <c r="WYM418" s="2"/>
      <c r="WYN418" s="2"/>
      <c r="WYO418" s="2"/>
      <c r="WYP418" s="2"/>
      <c r="WYQ418" s="2"/>
      <c r="WYR418" s="2"/>
      <c r="WYS418" s="2"/>
      <c r="WYT418" s="2"/>
      <c r="WYU418" s="2"/>
      <c r="WYV418" s="2"/>
      <c r="WYW418" s="2"/>
      <c r="WYX418" s="2"/>
      <c r="WYY418" s="2"/>
      <c r="WYZ418" s="2"/>
      <c r="WZA418" s="2"/>
      <c r="WZB418" s="2"/>
      <c r="WZC418" s="2"/>
      <c r="WZD418" s="2"/>
      <c r="WZE418" s="2"/>
      <c r="WZF418" s="2"/>
      <c r="WZG418" s="2"/>
      <c r="WZH418" s="2"/>
      <c r="WZI418" s="2"/>
      <c r="WZJ418" s="2"/>
      <c r="WZK418" s="2"/>
      <c r="WZL418" s="2"/>
      <c r="WZM418" s="2"/>
      <c r="WZN418" s="2"/>
      <c r="WZO418" s="2"/>
      <c r="WZP418" s="2"/>
      <c r="WZQ418" s="2"/>
      <c r="WZR418" s="2"/>
      <c r="WZS418" s="2"/>
      <c r="WZT418" s="2"/>
      <c r="WZU418" s="2"/>
      <c r="WZV418" s="2"/>
      <c r="WZW418" s="2"/>
      <c r="WZX418" s="2"/>
      <c r="WZY418" s="2"/>
      <c r="WZZ418" s="2"/>
      <c r="XAA418" s="2"/>
      <c r="XAB418" s="2"/>
      <c r="XAC418" s="2"/>
      <c r="XAD418" s="2"/>
      <c r="XAE418" s="2"/>
      <c r="XAF418" s="2"/>
      <c r="XAG418" s="2"/>
      <c r="XAH418" s="2"/>
      <c r="XAI418" s="2"/>
      <c r="XAJ418" s="2"/>
      <c r="XAK418" s="2"/>
      <c r="XAL418" s="2"/>
      <c r="XAM418" s="2"/>
      <c r="XAN418" s="2"/>
      <c r="XAO418" s="2"/>
      <c r="XAP418" s="2"/>
      <c r="XAQ418" s="2"/>
      <c r="XAR418" s="2"/>
      <c r="XAS418" s="2"/>
      <c r="XAT418" s="2"/>
      <c r="XAU418" s="2"/>
      <c r="XAV418" s="2"/>
      <c r="XAW418" s="2"/>
      <c r="XAX418" s="2"/>
      <c r="XAY418" s="2"/>
      <c r="XAZ418" s="2"/>
      <c r="XBA418" s="2"/>
      <c r="XBB418" s="2"/>
      <c r="XBC418" s="2"/>
      <c r="XBD418" s="2"/>
      <c r="XBE418" s="2"/>
      <c r="XBF418" s="2"/>
      <c r="XBG418" s="2"/>
      <c r="XBH418" s="2"/>
      <c r="XBI418" s="2"/>
      <c r="XBJ418" s="2"/>
      <c r="XBK418" s="2"/>
      <c r="XBL418" s="2"/>
      <c r="XBM418" s="2"/>
      <c r="XBN418" s="2"/>
      <c r="XBO418" s="2"/>
      <c r="XBP418" s="2"/>
      <c r="XBQ418" s="2"/>
      <c r="XBR418" s="2"/>
      <c r="XBS418" s="2"/>
      <c r="XBT418" s="2"/>
      <c r="XBU418" s="5"/>
      <c r="XBV418" s="5"/>
      <c r="XBW418" s="5"/>
      <c r="XBX418" s="5"/>
      <c r="XBY418" s="5"/>
      <c r="XBZ418" s="5"/>
      <c r="XCA418" s="5"/>
      <c r="XCB418" s="5"/>
      <c r="XCC418" s="5"/>
      <c r="XCD418" s="5"/>
      <c r="XCE418" s="5"/>
      <c r="XCF418" s="5"/>
      <c r="XCG418" s="5"/>
      <c r="XCH418" s="5"/>
      <c r="XCI418" s="5"/>
      <c r="XCJ418" s="5"/>
      <c r="XCK418" s="5"/>
      <c r="XCL418" s="5"/>
      <c r="XCM418" s="5"/>
      <c r="XCN418" s="5"/>
      <c r="XCO418" s="5"/>
      <c r="XCP418" s="5"/>
      <c r="XCQ418" s="5"/>
      <c r="XCR418" s="5"/>
      <c r="XCS418" s="5"/>
      <c r="XCT418" s="5"/>
      <c r="XCU418" s="5"/>
      <c r="XCV418" s="5"/>
      <c r="XCW418" s="5"/>
      <c r="XCX418" s="5"/>
      <c r="XCY418" s="5"/>
      <c r="XCZ418" s="5"/>
      <c r="XDA418" s="5"/>
      <c r="XDB418" s="5"/>
      <c r="XDC418" s="5"/>
      <c r="XDD418" s="5"/>
      <c r="XDE418" s="5"/>
      <c r="XDF418" s="5"/>
      <c r="XDG418" s="5"/>
      <c r="XDH418" s="5"/>
      <c r="XDI418" s="5"/>
      <c r="XDJ418" s="5"/>
      <c r="XDK418" s="5"/>
      <c r="XDL418" s="5"/>
      <c r="XDM418" s="5"/>
      <c r="XDN418" s="5"/>
      <c r="XDO418" s="5"/>
      <c r="XDP418" s="5"/>
      <c r="XDQ418" s="5"/>
      <c r="XDR418" s="5"/>
      <c r="XDS418" s="5"/>
      <c r="XDT418" s="5"/>
      <c r="XDU418" s="5"/>
    </row>
    <row r="419" customHeight="1" spans="1:1024 1025:16349">
      <c r="B419" s="26"/>
      <c r="C419" s="27" t="s">
        <v>199</v>
      </c>
      <c r="D419" s="28" t="s">
        <v>200</v>
      </c>
      <c r="E419" s="29"/>
      <c r="F419" s="93"/>
      <c r="G419" s="68">
        <v>0</v>
      </c>
      <c r="H419" s="25">
        <f t="shared" si="29"/>
        <v>0</v>
      </c>
    </row>
    <row r="420" customHeight="1" spans="1:1024 1025:16349">
      <c r="B420" s="26"/>
      <c r="C420" s="27" t="s">
        <v>201</v>
      </c>
      <c r="D420" s="28" t="s">
        <v>202</v>
      </c>
      <c r="E420" s="82" t="s">
        <v>203</v>
      </c>
      <c r="F420" s="93"/>
      <c r="G420" s="68">
        <v>0</v>
      </c>
      <c r="H420" s="25">
        <f t="shared" si="29"/>
        <v>0</v>
      </c>
    </row>
    <row r="421" customHeight="1" spans="1:1024 1025:16349">
      <c r="B421" s="26"/>
      <c r="C421" s="55"/>
      <c r="D421" s="55"/>
      <c r="E421" s="29"/>
      <c r="F421" s="107"/>
      <c r="G421" s="68">
        <v>0</v>
      </c>
      <c r="H421" s="25">
        <f t="shared" si="29"/>
        <v>0</v>
      </c>
    </row>
    <row r="422" customHeight="1" spans="1:1024 1025:16349">
      <c r="B422" s="84" t="s">
        <v>826</v>
      </c>
      <c r="C422" s="158" t="s">
        <v>827</v>
      </c>
      <c r="D422" s="159" t="s">
        <v>828</v>
      </c>
      <c r="E422" s="86"/>
      <c r="F422" s="87"/>
      <c r="G422" s="68">
        <v>0</v>
      </c>
      <c r="H422" s="25">
        <f t="shared" si="29"/>
        <v>0</v>
      </c>
    </row>
    <row r="423" customHeight="1" spans="1:1024 1025:16349">
      <c r="A423" s="8">
        <f ca="1" t="shared" ref="A423:A447" si="30">COUNTA(OFFSET(A$1,0,0,ROW()-1,1))+1</f>
        <v>150</v>
      </c>
      <c r="B423" s="84" t="s">
        <v>829</v>
      </c>
      <c r="C423" s="89" t="s">
        <v>830</v>
      </c>
      <c r="D423" s="90" t="s">
        <v>831</v>
      </c>
      <c r="E423" s="102" t="s">
        <v>317</v>
      </c>
      <c r="F423" s="87">
        <v>13157</v>
      </c>
      <c r="G423" s="68">
        <v>0</v>
      </c>
      <c r="H423" s="25">
        <f t="shared" si="29"/>
        <v>0</v>
      </c>
    </row>
    <row r="424" customHeight="1" spans="1:1024 1025:16349">
      <c r="A424" s="8">
        <f ca="1" t="shared" si="30"/>
        <v>151</v>
      </c>
      <c r="B424" s="129"/>
      <c r="C424" s="160" t="s">
        <v>832</v>
      </c>
      <c r="D424" s="161" t="s">
        <v>833</v>
      </c>
      <c r="E424" s="162" t="s">
        <v>834</v>
      </c>
      <c r="F424" s="163">
        <v>1973.55</v>
      </c>
      <c r="G424" s="68">
        <v>52.6600909399715</v>
      </c>
      <c r="H424" s="25">
        <f t="shared" si="29"/>
        <v>103927</v>
      </c>
    </row>
    <row r="425" customHeight="1" spans="1:1024 1025:16349">
      <c r="A425" s="8">
        <f ca="1" t="shared" si="30"/>
        <v>152</v>
      </c>
      <c r="B425" s="129"/>
      <c r="C425" s="160" t="s">
        <v>835</v>
      </c>
      <c r="D425" s="161" t="s">
        <v>836</v>
      </c>
      <c r="E425" s="162" t="s">
        <v>807</v>
      </c>
      <c r="F425" s="163">
        <v>13175</v>
      </c>
      <c r="G425" s="68">
        <v>0.120108</v>
      </c>
      <c r="H425" s="25">
        <f t="shared" si="29"/>
        <v>1582</v>
      </c>
    </row>
    <row r="426" customHeight="1" spans="1:1024 1025:16349">
      <c r="A426" s="8">
        <f ca="1" t="shared" si="30"/>
        <v>153</v>
      </c>
      <c r="B426" s="129"/>
      <c r="C426" s="160" t="s">
        <v>837</v>
      </c>
      <c r="D426" s="161" t="s">
        <v>838</v>
      </c>
      <c r="E426" s="162" t="s">
        <v>807</v>
      </c>
      <c r="F426" s="163">
        <f>F423</f>
        <v>13157</v>
      </c>
      <c r="G426" s="68">
        <v>0</v>
      </c>
      <c r="H426" s="25">
        <f t="shared" si="29"/>
        <v>0</v>
      </c>
    </row>
    <row r="427" customHeight="1" spans="1:1024 1025:16349">
      <c r="A427" s="8">
        <f ca="1" t="shared" si="30"/>
        <v>154</v>
      </c>
      <c r="B427" s="129"/>
      <c r="C427" s="164" t="s">
        <v>839</v>
      </c>
      <c r="D427" s="165" t="s">
        <v>840</v>
      </c>
      <c r="E427" s="162" t="s">
        <v>834</v>
      </c>
      <c r="F427" s="166">
        <v>5265.8</v>
      </c>
      <c r="G427" s="68">
        <v>214.487041540365</v>
      </c>
      <c r="H427" s="25">
        <f t="shared" si="29"/>
        <v>1129446</v>
      </c>
    </row>
    <row r="428" customHeight="1" spans="1:1024 1025:16349">
      <c r="A428" s="8">
        <f ca="1" t="shared" si="30"/>
        <v>155</v>
      </c>
      <c r="B428" s="129"/>
      <c r="C428" s="164" t="s">
        <v>841</v>
      </c>
      <c r="D428" s="165" t="s">
        <v>842</v>
      </c>
      <c r="E428" s="162" t="s">
        <v>807</v>
      </c>
      <c r="F428" s="166">
        <v>5262.8</v>
      </c>
      <c r="G428" s="68">
        <v>0</v>
      </c>
      <c r="H428" s="25">
        <f t="shared" si="29"/>
        <v>0</v>
      </c>
    </row>
    <row r="429" customHeight="1" spans="1:1024 1025:16349">
      <c r="A429" s="8">
        <f ca="1" t="shared" si="30"/>
        <v>156</v>
      </c>
      <c r="B429" s="129"/>
      <c r="C429" s="164" t="s">
        <v>843</v>
      </c>
      <c r="D429" s="165" t="s">
        <v>844</v>
      </c>
      <c r="E429" s="138" t="s">
        <v>464</v>
      </c>
      <c r="F429" s="166">
        <v>413110.96</v>
      </c>
      <c r="G429" s="68">
        <v>1.17584395400994</v>
      </c>
      <c r="H429" s="25">
        <f t="shared" si="29"/>
        <v>485754</v>
      </c>
    </row>
    <row r="430" customHeight="1" spans="1:1024 1025:16349">
      <c r="A430" s="8">
        <f ca="1" t="shared" si="30"/>
        <v>157</v>
      </c>
      <c r="B430" s="84" t="s">
        <v>845</v>
      </c>
      <c r="C430" s="89" t="s">
        <v>846</v>
      </c>
      <c r="D430" s="90" t="s">
        <v>847</v>
      </c>
      <c r="E430" s="102" t="s">
        <v>317</v>
      </c>
      <c r="F430" s="87">
        <v>122810</v>
      </c>
      <c r="G430" s="68">
        <v>0</v>
      </c>
      <c r="H430" s="25">
        <f t="shared" si="29"/>
        <v>0</v>
      </c>
    </row>
    <row r="431" customHeight="1" spans="1:1024 1025:16349">
      <c r="A431" s="8">
        <f ca="1" t="shared" si="30"/>
        <v>158</v>
      </c>
      <c r="B431" s="129"/>
      <c r="C431" s="160" t="s">
        <v>848</v>
      </c>
      <c r="D431" s="161" t="s">
        <v>849</v>
      </c>
      <c r="E431" s="162" t="s">
        <v>834</v>
      </c>
      <c r="F431" s="163">
        <v>18421.8</v>
      </c>
      <c r="G431" s="68">
        <v>52.6600909399715</v>
      </c>
      <c r="H431" s="25">
        <f t="shared" si="29"/>
        <v>970094</v>
      </c>
    </row>
    <row r="432" customHeight="1" spans="1:1024 1025:16349">
      <c r="A432" s="8">
        <f ca="1" t="shared" si="30"/>
        <v>159</v>
      </c>
      <c r="B432" s="129"/>
      <c r="C432" s="160" t="s">
        <v>835</v>
      </c>
      <c r="D432" s="161" t="s">
        <v>836</v>
      </c>
      <c r="E432" s="162" t="s">
        <v>807</v>
      </c>
      <c r="F432" s="163">
        <v>122810</v>
      </c>
      <c r="G432" s="68">
        <v>0.120108</v>
      </c>
      <c r="H432" s="25">
        <f t="shared" si="29"/>
        <v>14750</v>
      </c>
    </row>
    <row r="433" customHeight="1" spans="1:8">
      <c r="A433" s="8">
        <f ca="1" t="shared" si="30"/>
        <v>160</v>
      </c>
      <c r="B433" s="129"/>
      <c r="C433" s="160" t="s">
        <v>850</v>
      </c>
      <c r="D433" s="161" t="s">
        <v>851</v>
      </c>
      <c r="E433" s="162" t="s">
        <v>834</v>
      </c>
      <c r="F433" s="163">
        <f>F430*0.52</f>
        <v>63861.2</v>
      </c>
      <c r="G433" s="68">
        <v>214.487041540365</v>
      </c>
      <c r="H433" s="25">
        <f t="shared" si="29"/>
        <v>13697400</v>
      </c>
    </row>
    <row r="434" customHeight="1" spans="1:8">
      <c r="A434" s="8">
        <f ca="1" t="shared" si="30"/>
        <v>161</v>
      </c>
      <c r="B434" s="129"/>
      <c r="C434" s="160" t="s">
        <v>852</v>
      </c>
      <c r="D434" s="161" t="s">
        <v>853</v>
      </c>
      <c r="E434" s="162" t="s">
        <v>834</v>
      </c>
      <c r="F434" s="163">
        <f>F430*0.03</f>
        <v>3684.3</v>
      </c>
      <c r="G434" s="68">
        <v>55.1731414424243</v>
      </c>
      <c r="H434" s="25">
        <f t="shared" si="29"/>
        <v>203274</v>
      </c>
    </row>
    <row r="435" customHeight="1" spans="1:8">
      <c r="A435" s="8">
        <f ca="1" t="shared" si="30"/>
        <v>162</v>
      </c>
      <c r="B435" s="129"/>
      <c r="C435" s="160" t="s">
        <v>854</v>
      </c>
      <c r="D435" s="161" t="s">
        <v>855</v>
      </c>
      <c r="E435" s="162" t="s">
        <v>807</v>
      </c>
      <c r="F435" s="163">
        <f>F430</f>
        <v>122810</v>
      </c>
      <c r="G435" s="68">
        <v>18.485930532185</v>
      </c>
      <c r="H435" s="25">
        <f t="shared" si="29"/>
        <v>2270257</v>
      </c>
    </row>
    <row r="436" customHeight="1" spans="1:8">
      <c r="A436" s="8">
        <f ca="1" t="shared" si="30"/>
        <v>163</v>
      </c>
      <c r="B436" s="84" t="s">
        <v>856</v>
      </c>
      <c r="C436" s="89" t="s">
        <v>857</v>
      </c>
      <c r="D436" s="90" t="s">
        <v>858</v>
      </c>
      <c r="E436" s="102" t="s">
        <v>317</v>
      </c>
      <c r="F436" s="87">
        <v>4290</v>
      </c>
      <c r="G436" s="68">
        <v>0</v>
      </c>
      <c r="H436" s="25">
        <f t="shared" si="29"/>
        <v>0</v>
      </c>
    </row>
    <row r="437" customHeight="1" spans="1:8">
      <c r="A437" s="8">
        <f ca="1" t="shared" si="30"/>
        <v>164</v>
      </c>
      <c r="B437" s="129"/>
      <c r="C437" s="160" t="s">
        <v>832</v>
      </c>
      <c r="D437" s="161" t="s">
        <v>833</v>
      </c>
      <c r="E437" s="162" t="s">
        <v>834</v>
      </c>
      <c r="F437" s="163">
        <f>F436*0.15</f>
        <v>643.5</v>
      </c>
      <c r="G437" s="68">
        <v>52.6600909399715</v>
      </c>
      <c r="H437" s="25">
        <f t="shared" si="29"/>
        <v>33887</v>
      </c>
    </row>
    <row r="438" customHeight="1" spans="1:8">
      <c r="A438" s="8">
        <f ca="1" t="shared" si="30"/>
        <v>165</v>
      </c>
      <c r="B438" s="129"/>
      <c r="C438" s="160" t="s">
        <v>835</v>
      </c>
      <c r="D438" s="161" t="s">
        <v>836</v>
      </c>
      <c r="E438" s="162" t="s">
        <v>807</v>
      </c>
      <c r="F438" s="163">
        <f>F436</f>
        <v>4290</v>
      </c>
      <c r="G438" s="68">
        <v>0.120108</v>
      </c>
      <c r="H438" s="25">
        <f t="shared" si="29"/>
        <v>515</v>
      </c>
    </row>
    <row r="439" customHeight="1" spans="1:8">
      <c r="A439" s="8">
        <f ca="1" t="shared" si="30"/>
        <v>166</v>
      </c>
      <c r="B439" s="129"/>
      <c r="C439" s="160" t="s">
        <v>850</v>
      </c>
      <c r="D439" s="161" t="s">
        <v>851</v>
      </c>
      <c r="E439" s="162" t="s">
        <v>834</v>
      </c>
      <c r="F439" s="163">
        <f>F436*0.3</f>
        <v>1287</v>
      </c>
      <c r="G439" s="68">
        <v>0</v>
      </c>
      <c r="H439" s="25">
        <f t="shared" si="29"/>
        <v>0</v>
      </c>
    </row>
    <row r="440" customHeight="1" spans="1:8">
      <c r="A440" s="8">
        <f ca="1" t="shared" si="30"/>
        <v>167</v>
      </c>
      <c r="B440" s="167"/>
      <c r="C440" s="160" t="s">
        <v>859</v>
      </c>
      <c r="D440" s="161" t="s">
        <v>860</v>
      </c>
      <c r="E440" s="162" t="s">
        <v>807</v>
      </c>
      <c r="F440" s="163">
        <f>F436</f>
        <v>4290</v>
      </c>
      <c r="G440" s="68">
        <v>1.93431115550242</v>
      </c>
      <c r="H440" s="25">
        <f t="shared" si="29"/>
        <v>8298</v>
      </c>
    </row>
    <row r="441" customHeight="1" spans="1:8">
      <c r="A441" s="8">
        <f ca="1" t="shared" si="30"/>
        <v>168</v>
      </c>
      <c r="B441" s="167"/>
      <c r="C441" s="164" t="s">
        <v>839</v>
      </c>
      <c r="D441" s="165" t="s">
        <v>840</v>
      </c>
      <c r="E441" s="162" t="s">
        <v>834</v>
      </c>
      <c r="F441" s="166">
        <f>F436*0.3</f>
        <v>1287</v>
      </c>
      <c r="G441" s="68">
        <v>214.487041540365</v>
      </c>
      <c r="H441" s="25">
        <f t="shared" si="29"/>
        <v>276045</v>
      </c>
    </row>
    <row r="442" customHeight="1" spans="1:8">
      <c r="A442" s="8">
        <f ca="1" t="shared" si="30"/>
        <v>169</v>
      </c>
      <c r="B442" s="129"/>
      <c r="C442" s="164" t="s">
        <v>841</v>
      </c>
      <c r="D442" s="165" t="s">
        <v>842</v>
      </c>
      <c r="E442" s="162" t="s">
        <v>807</v>
      </c>
      <c r="F442" s="166">
        <v>103.7</v>
      </c>
      <c r="G442" s="68">
        <v>0</v>
      </c>
      <c r="H442" s="25">
        <f t="shared" si="29"/>
        <v>0</v>
      </c>
    </row>
    <row r="443" customHeight="1" spans="1:8">
      <c r="A443" s="8">
        <f ca="1" t="shared" si="30"/>
        <v>170</v>
      </c>
      <c r="B443" s="129"/>
      <c r="C443" s="164" t="s">
        <v>843</v>
      </c>
      <c r="D443" s="165" t="s">
        <v>844</v>
      </c>
      <c r="E443" s="138" t="s">
        <v>464</v>
      </c>
      <c r="F443" s="166">
        <v>8580</v>
      </c>
      <c r="G443" s="68">
        <v>1.17584395400994</v>
      </c>
      <c r="H443" s="25">
        <f t="shared" si="29"/>
        <v>10089</v>
      </c>
    </row>
    <row r="444" customHeight="1" spans="1:8">
      <c r="A444" s="8">
        <f ca="1" t="shared" si="30"/>
        <v>171</v>
      </c>
      <c r="B444" s="84" t="s">
        <v>861</v>
      </c>
      <c r="C444" s="89" t="s">
        <v>862</v>
      </c>
      <c r="D444" s="90" t="s">
        <v>863</v>
      </c>
      <c r="E444" s="102" t="s">
        <v>317</v>
      </c>
      <c r="F444" s="87">
        <v>10413</v>
      </c>
      <c r="G444" s="68">
        <v>1.93431115550242</v>
      </c>
      <c r="H444" s="25">
        <f t="shared" si="29"/>
        <v>20142</v>
      </c>
    </row>
    <row r="445" customHeight="1" spans="1:8">
      <c r="A445" s="8">
        <f ca="1" t="shared" si="30"/>
        <v>172</v>
      </c>
      <c r="B445" s="129"/>
      <c r="C445" s="160" t="s">
        <v>848</v>
      </c>
      <c r="D445" s="161" t="s">
        <v>849</v>
      </c>
      <c r="E445" s="162" t="s">
        <v>834</v>
      </c>
      <c r="F445" s="163">
        <f>F444*0.15</f>
        <v>1561.95</v>
      </c>
      <c r="G445" s="68">
        <v>52.6600909399715</v>
      </c>
      <c r="H445" s="25">
        <f t="shared" si="29"/>
        <v>82252</v>
      </c>
    </row>
    <row r="446" customHeight="1" spans="1:8">
      <c r="A446" s="8">
        <f ca="1" t="shared" si="30"/>
        <v>173</v>
      </c>
      <c r="B446" s="129"/>
      <c r="C446" s="160" t="s">
        <v>850</v>
      </c>
      <c r="D446" s="161" t="s">
        <v>851</v>
      </c>
      <c r="E446" s="162" t="s">
        <v>834</v>
      </c>
      <c r="F446" s="163">
        <f>F444*0.52</f>
        <v>5414.76</v>
      </c>
      <c r="G446" s="68">
        <v>214.487041540365</v>
      </c>
      <c r="H446" s="25">
        <f t="shared" si="29"/>
        <v>1161396</v>
      </c>
    </row>
    <row r="447" customHeight="1" spans="1:8">
      <c r="A447" s="8">
        <f ca="1" t="shared" si="30"/>
        <v>174</v>
      </c>
      <c r="B447" s="129"/>
      <c r="C447" s="160" t="s">
        <v>852</v>
      </c>
      <c r="D447" s="161" t="s">
        <v>853</v>
      </c>
      <c r="E447" s="162" t="s">
        <v>834</v>
      </c>
      <c r="F447" s="163">
        <f>F444*0.03</f>
        <v>312.39</v>
      </c>
      <c r="G447" s="68">
        <v>55.1731414424243</v>
      </c>
      <c r="H447" s="25">
        <f t="shared" si="29"/>
        <v>17236</v>
      </c>
    </row>
    <row r="448" customHeight="1" spans="1:8">
      <c r="B448" s="129"/>
      <c r="C448" s="160" t="s">
        <v>854</v>
      </c>
      <c r="D448" s="161" t="s">
        <v>855</v>
      </c>
      <c r="E448" s="162" t="s">
        <v>807</v>
      </c>
      <c r="F448" s="163"/>
      <c r="G448" s="68">
        <v>0</v>
      </c>
      <c r="H448" s="25">
        <f t="shared" si="29"/>
        <v>0</v>
      </c>
    </row>
    <row r="449" customHeight="1" spans="1:8">
      <c r="A449" s="8">
        <f ca="1" t="shared" ref="A449:A457" si="31">COUNTA(OFFSET(A$1,0,0,ROW()-1,1))+1</f>
        <v>175</v>
      </c>
      <c r="B449" s="84" t="s">
        <v>864</v>
      </c>
      <c r="C449" s="89" t="s">
        <v>865</v>
      </c>
      <c r="D449" s="90" t="s">
        <v>866</v>
      </c>
      <c r="E449" s="102" t="s">
        <v>317</v>
      </c>
      <c r="F449" s="87">
        <v>2233</v>
      </c>
      <c r="G449" s="68">
        <v>0</v>
      </c>
      <c r="H449" s="25">
        <f t="shared" si="29"/>
        <v>0</v>
      </c>
    </row>
    <row r="450" customHeight="1" spans="1:8">
      <c r="A450" s="8">
        <f ca="1" t="shared" si="31"/>
        <v>176</v>
      </c>
      <c r="B450" s="129"/>
      <c r="C450" s="160" t="s">
        <v>832</v>
      </c>
      <c r="D450" s="161" t="s">
        <v>833</v>
      </c>
      <c r="E450" s="162" t="s">
        <v>834</v>
      </c>
      <c r="F450" s="163">
        <f>F449*0.15</f>
        <v>334.95</v>
      </c>
      <c r="G450" s="68">
        <v>52.6600909399715</v>
      </c>
      <c r="H450" s="25">
        <f t="shared" si="29"/>
        <v>17638</v>
      </c>
    </row>
    <row r="451" customHeight="1" spans="1:8">
      <c r="A451" s="8">
        <f ca="1" t="shared" si="31"/>
        <v>177</v>
      </c>
      <c r="B451" s="129"/>
      <c r="C451" s="160" t="s">
        <v>835</v>
      </c>
      <c r="D451" s="161" t="s">
        <v>836</v>
      </c>
      <c r="E451" s="162" t="s">
        <v>807</v>
      </c>
      <c r="F451" s="163">
        <f>F449</f>
        <v>2233</v>
      </c>
      <c r="G451" s="68">
        <v>0.120108</v>
      </c>
      <c r="H451" s="25">
        <f t="shared" si="29"/>
        <v>268</v>
      </c>
    </row>
    <row r="452" customHeight="1" spans="1:8">
      <c r="A452" s="8">
        <f ca="1" t="shared" si="31"/>
        <v>178</v>
      </c>
      <c r="B452" s="129"/>
      <c r="C452" s="160" t="s">
        <v>850</v>
      </c>
      <c r="D452" s="161" t="s">
        <v>851</v>
      </c>
      <c r="E452" s="162" t="s">
        <v>834</v>
      </c>
      <c r="F452" s="163">
        <f>F449*0.3</f>
        <v>669.9</v>
      </c>
      <c r="G452" s="68">
        <v>0</v>
      </c>
      <c r="H452" s="25">
        <f t="shared" si="29"/>
        <v>0</v>
      </c>
    </row>
    <row r="453" customHeight="1" spans="1:8">
      <c r="A453" s="8">
        <f ca="1" t="shared" si="31"/>
        <v>179</v>
      </c>
      <c r="B453" s="167"/>
      <c r="C453" s="160" t="s">
        <v>859</v>
      </c>
      <c r="D453" s="161" t="s">
        <v>860</v>
      </c>
      <c r="E453" s="162" t="s">
        <v>807</v>
      </c>
      <c r="F453" s="163">
        <f>F449</f>
        <v>2233</v>
      </c>
      <c r="G453" s="68">
        <v>1.93431115550242</v>
      </c>
      <c r="H453" s="25">
        <f t="shared" si="29"/>
        <v>4319</v>
      </c>
    </row>
    <row r="454" customHeight="1" spans="1:8">
      <c r="A454" s="8">
        <f ca="1" t="shared" si="31"/>
        <v>180</v>
      </c>
      <c r="B454" s="167"/>
      <c r="C454" s="164" t="s">
        <v>839</v>
      </c>
      <c r="D454" s="165" t="s">
        <v>840</v>
      </c>
      <c r="E454" s="162" t="s">
        <v>834</v>
      </c>
      <c r="F454" s="166">
        <f>F449*0.3</f>
        <v>669.9</v>
      </c>
      <c r="G454" s="68">
        <v>214.487041540365</v>
      </c>
      <c r="H454" s="25">
        <f t="shared" si="29"/>
        <v>143685</v>
      </c>
    </row>
    <row r="455" customHeight="1" spans="1:8">
      <c r="A455" s="8">
        <f ca="1" t="shared" si="31"/>
        <v>181</v>
      </c>
      <c r="B455" s="129"/>
      <c r="C455" s="164" t="s">
        <v>841</v>
      </c>
      <c r="D455" s="165" t="s">
        <v>842</v>
      </c>
      <c r="E455" s="162" t="s">
        <v>807</v>
      </c>
      <c r="F455" s="166">
        <v>54.1</v>
      </c>
      <c r="G455" s="68">
        <v>0</v>
      </c>
      <c r="H455" s="25">
        <f t="shared" si="29"/>
        <v>0</v>
      </c>
    </row>
    <row r="456" customHeight="1" spans="1:8">
      <c r="A456" s="8">
        <f ca="1" t="shared" si="31"/>
        <v>182</v>
      </c>
      <c r="B456" s="129"/>
      <c r="C456" s="164" t="s">
        <v>843</v>
      </c>
      <c r="D456" s="165" t="s">
        <v>844</v>
      </c>
      <c r="E456" s="138" t="s">
        <v>464</v>
      </c>
      <c r="F456" s="166">
        <v>4912.6</v>
      </c>
      <c r="G456" s="68">
        <v>1.17584395400994</v>
      </c>
      <c r="H456" s="25">
        <f t="shared" ref="H456:H519" si="32">IFERROR(ROUND(G456*F456,0),0)</f>
        <v>5776</v>
      </c>
    </row>
    <row r="457" customHeight="1" spans="1:8">
      <c r="A457" s="8">
        <f ca="1" t="shared" si="31"/>
        <v>183</v>
      </c>
      <c r="B457" s="84" t="s">
        <v>867</v>
      </c>
      <c r="C457" s="89" t="s">
        <v>868</v>
      </c>
      <c r="D457" s="90" t="s">
        <v>869</v>
      </c>
      <c r="E457" s="102" t="s">
        <v>317</v>
      </c>
      <c r="F457" s="87">
        <v>29260</v>
      </c>
      <c r="G457" s="68">
        <v>0</v>
      </c>
      <c r="H457" s="25">
        <f t="shared" si="32"/>
        <v>0</v>
      </c>
    </row>
    <row r="458" customHeight="1" spans="1:8">
      <c r="B458" s="129"/>
      <c r="C458" s="160" t="s">
        <v>870</v>
      </c>
      <c r="D458" s="161" t="s">
        <v>871</v>
      </c>
      <c r="E458" s="162" t="s">
        <v>807</v>
      </c>
      <c r="F458" s="163" t="s">
        <v>742</v>
      </c>
      <c r="G458" s="68">
        <v>0</v>
      </c>
      <c r="H458" s="25">
        <f t="shared" si="32"/>
        <v>0</v>
      </c>
    </row>
    <row r="459" customHeight="1" spans="1:8">
      <c r="B459" s="129"/>
      <c r="C459" s="164" t="s">
        <v>872</v>
      </c>
      <c r="D459" s="165" t="s">
        <v>873</v>
      </c>
      <c r="E459" s="162" t="s">
        <v>834</v>
      </c>
      <c r="F459" s="166" t="s">
        <v>742</v>
      </c>
      <c r="G459" s="68">
        <v>0</v>
      </c>
      <c r="H459" s="25">
        <f t="shared" si="32"/>
        <v>0</v>
      </c>
    </row>
    <row r="460" customHeight="1" spans="1:8">
      <c r="B460" s="129"/>
      <c r="C460" s="164" t="s">
        <v>841</v>
      </c>
      <c r="D460" s="165" t="s">
        <v>842</v>
      </c>
      <c r="E460" s="162" t="s">
        <v>807</v>
      </c>
      <c r="F460" s="166" t="s">
        <v>742</v>
      </c>
      <c r="G460" s="68">
        <v>0</v>
      </c>
      <c r="H460" s="25">
        <f t="shared" si="32"/>
        <v>0</v>
      </c>
    </row>
    <row r="461" customHeight="1" spans="1:8">
      <c r="B461" s="129"/>
      <c r="C461" s="164" t="s">
        <v>843</v>
      </c>
      <c r="D461" s="165" t="s">
        <v>844</v>
      </c>
      <c r="E461" s="138" t="s">
        <v>464</v>
      </c>
      <c r="F461" s="166" t="s">
        <v>742</v>
      </c>
      <c r="G461" s="68">
        <v>0</v>
      </c>
      <c r="H461" s="25">
        <f t="shared" si="32"/>
        <v>0</v>
      </c>
    </row>
    <row r="462" customHeight="1" spans="1:8">
      <c r="A462" s="8">
        <f ca="1" t="shared" ref="A462:A467" si="33">COUNTA(OFFSET(A$1,0,0,ROW()-1,1))+1</f>
        <v>184</v>
      </c>
      <c r="B462" s="84" t="s">
        <v>874</v>
      </c>
      <c r="C462" s="89" t="s">
        <v>875</v>
      </c>
      <c r="D462" s="90" t="s">
        <v>876</v>
      </c>
      <c r="E462" s="102" t="s">
        <v>317</v>
      </c>
      <c r="F462" s="87">
        <v>4083</v>
      </c>
      <c r="G462" s="68">
        <v>0</v>
      </c>
      <c r="H462" s="25">
        <f t="shared" si="32"/>
        <v>0</v>
      </c>
    </row>
    <row r="463" customHeight="1" spans="1:8">
      <c r="B463" s="129"/>
      <c r="C463" s="130" t="s">
        <v>877</v>
      </c>
      <c r="D463" s="130" t="s">
        <v>878</v>
      </c>
      <c r="E463" s="138" t="s">
        <v>336</v>
      </c>
      <c r="F463" s="166" t="s">
        <v>742</v>
      </c>
      <c r="G463" s="68">
        <v>0</v>
      </c>
      <c r="H463" s="25">
        <f t="shared" si="32"/>
        <v>0</v>
      </c>
    </row>
    <row r="464" customHeight="1" spans="1:8">
      <c r="B464" s="129"/>
      <c r="C464" s="130" t="s">
        <v>879</v>
      </c>
      <c r="D464" s="130" t="s">
        <v>644</v>
      </c>
      <c r="E464" s="138" t="s">
        <v>336</v>
      </c>
      <c r="F464" s="166" t="s">
        <v>742</v>
      </c>
      <c r="G464" s="68">
        <v>0</v>
      </c>
      <c r="H464" s="25">
        <f t="shared" si="32"/>
        <v>0</v>
      </c>
    </row>
    <row r="465" customHeight="1" spans="1:8">
      <c r="B465" s="129"/>
      <c r="C465" s="130" t="s">
        <v>880</v>
      </c>
      <c r="D465" s="130" t="s">
        <v>881</v>
      </c>
      <c r="E465" s="138" t="s">
        <v>336</v>
      </c>
      <c r="F465" s="166" t="s">
        <v>742</v>
      </c>
      <c r="G465" s="68">
        <v>0</v>
      </c>
      <c r="H465" s="25">
        <f t="shared" si="32"/>
        <v>0</v>
      </c>
    </row>
    <row r="466" customHeight="1" spans="1:8">
      <c r="A466" s="8">
        <f ca="1" t="shared" si="33"/>
        <v>185</v>
      </c>
      <c r="B466" s="129"/>
      <c r="C466" s="130" t="s">
        <v>882</v>
      </c>
      <c r="D466" s="130" t="s">
        <v>883</v>
      </c>
      <c r="E466" s="138" t="s">
        <v>336</v>
      </c>
      <c r="F466" s="166">
        <v>81.66</v>
      </c>
      <c r="G466" s="68">
        <v>55.1731414424243</v>
      </c>
      <c r="H466" s="25">
        <f t="shared" si="32"/>
        <v>4505</v>
      </c>
    </row>
    <row r="467" customHeight="1" spans="1:8">
      <c r="A467" s="8">
        <f ca="1" t="shared" si="33"/>
        <v>186</v>
      </c>
      <c r="B467" s="129"/>
      <c r="C467" s="130" t="s">
        <v>884</v>
      </c>
      <c r="D467" s="130" t="s">
        <v>885</v>
      </c>
      <c r="E467" s="138" t="s">
        <v>336</v>
      </c>
      <c r="F467" s="166">
        <v>612.45</v>
      </c>
      <c r="G467" s="68">
        <v>187.554368510487</v>
      </c>
      <c r="H467" s="25">
        <f t="shared" si="32"/>
        <v>114868</v>
      </c>
    </row>
    <row r="468" customHeight="1" spans="1:8">
      <c r="B468" s="129"/>
      <c r="C468" s="130" t="s">
        <v>886</v>
      </c>
      <c r="D468" s="130" t="s">
        <v>887</v>
      </c>
      <c r="E468" s="138" t="s">
        <v>336</v>
      </c>
      <c r="F468" s="163" t="s">
        <v>742</v>
      </c>
      <c r="G468" s="68">
        <v>0</v>
      </c>
      <c r="H468" s="25">
        <f t="shared" si="32"/>
        <v>0</v>
      </c>
    </row>
    <row r="469" customHeight="1" spans="1:8">
      <c r="B469" s="129"/>
      <c r="C469" s="130" t="s">
        <v>460</v>
      </c>
      <c r="D469" s="130" t="s">
        <v>461</v>
      </c>
      <c r="E469" s="138" t="s">
        <v>329</v>
      </c>
      <c r="F469" s="163" t="s">
        <v>742</v>
      </c>
      <c r="G469" s="68">
        <v>0</v>
      </c>
      <c r="H469" s="25">
        <f t="shared" si="32"/>
        <v>0</v>
      </c>
    </row>
    <row r="470" customHeight="1" spans="1:8">
      <c r="B470" s="129"/>
      <c r="C470" s="130" t="s">
        <v>454</v>
      </c>
      <c r="D470" s="130" t="s">
        <v>463</v>
      </c>
      <c r="E470" s="138" t="s">
        <v>464</v>
      </c>
      <c r="F470" s="163" t="s">
        <v>742</v>
      </c>
      <c r="G470" s="68">
        <v>0.1921728</v>
      </c>
      <c r="H470" s="25">
        <f t="shared" si="32"/>
        <v>0</v>
      </c>
    </row>
    <row r="471" customHeight="1" spans="1:8">
      <c r="B471" s="129"/>
      <c r="C471" s="130" t="s">
        <v>465</v>
      </c>
      <c r="D471" s="130" t="s">
        <v>466</v>
      </c>
      <c r="E471" s="138" t="s">
        <v>329</v>
      </c>
      <c r="F471" s="163" t="s">
        <v>742</v>
      </c>
      <c r="G471" s="68">
        <v>0</v>
      </c>
      <c r="H471" s="25">
        <f t="shared" si="32"/>
        <v>0</v>
      </c>
    </row>
    <row r="472" customHeight="1" spans="1:8">
      <c r="A472" s="8">
        <f ca="1" t="shared" ref="A472:A480" si="34">COUNTA(OFFSET(A$1,0,0,ROW()-1,1))+1</f>
        <v>187</v>
      </c>
      <c r="B472" s="84"/>
      <c r="C472" s="130" t="s">
        <v>888</v>
      </c>
      <c r="D472" s="130" t="s">
        <v>889</v>
      </c>
      <c r="E472" s="138" t="s">
        <v>329</v>
      </c>
      <c r="F472" s="87">
        <v>4083</v>
      </c>
      <c r="G472" s="68">
        <v>11.865282781512</v>
      </c>
      <c r="H472" s="25">
        <f t="shared" si="32"/>
        <v>48446</v>
      </c>
    </row>
    <row r="473" customHeight="1" spans="1:8">
      <c r="B473" s="84"/>
      <c r="C473" s="130" t="s">
        <v>890</v>
      </c>
      <c r="D473" s="130" t="s">
        <v>891</v>
      </c>
      <c r="E473" s="138" t="s">
        <v>892</v>
      </c>
      <c r="F473" s="87" t="s">
        <v>742</v>
      </c>
      <c r="G473" s="68">
        <v>0</v>
      </c>
      <c r="H473" s="25">
        <f t="shared" si="32"/>
        <v>0</v>
      </c>
    </row>
    <row r="474" customHeight="1" spans="1:8">
      <c r="B474" s="84" t="s">
        <v>893</v>
      </c>
      <c r="C474" s="89" t="s">
        <v>894</v>
      </c>
      <c r="D474" s="90" t="s">
        <v>895</v>
      </c>
      <c r="E474" s="86" t="s">
        <v>225</v>
      </c>
      <c r="F474" s="87"/>
      <c r="G474" s="68">
        <v>0</v>
      </c>
      <c r="H474" s="25">
        <f t="shared" si="32"/>
        <v>0</v>
      </c>
    </row>
    <row r="475" customHeight="1" spans="1:8">
      <c r="A475" s="8">
        <f ca="1" t="shared" si="34"/>
        <v>188</v>
      </c>
      <c r="B475" s="129"/>
      <c r="C475" s="130" t="s">
        <v>877</v>
      </c>
      <c r="D475" s="130" t="s">
        <v>878</v>
      </c>
      <c r="E475" s="138" t="s">
        <v>336</v>
      </c>
      <c r="F475" s="166">
        <v>36600</v>
      </c>
      <c r="G475" s="68">
        <v>1.44939404624974</v>
      </c>
      <c r="H475" s="25">
        <f t="shared" si="32"/>
        <v>53048</v>
      </c>
    </row>
    <row r="476" customHeight="1" spans="1:8">
      <c r="A476" s="8">
        <f ca="1" t="shared" si="34"/>
        <v>189</v>
      </c>
      <c r="B476" s="129"/>
      <c r="C476" s="130" t="s">
        <v>879</v>
      </c>
      <c r="D476" s="130" t="s">
        <v>644</v>
      </c>
      <c r="E476" s="138" t="s">
        <v>336</v>
      </c>
      <c r="F476" s="166">
        <v>25620</v>
      </c>
      <c r="G476" s="68">
        <v>1.92551195142655</v>
      </c>
      <c r="H476" s="25">
        <f t="shared" si="32"/>
        <v>49332</v>
      </c>
    </row>
    <row r="477" customHeight="1" spans="1:8">
      <c r="A477" s="8">
        <f ca="1" t="shared" si="34"/>
        <v>190</v>
      </c>
      <c r="B477" s="129"/>
      <c r="C477" s="130" t="s">
        <v>880</v>
      </c>
      <c r="D477" s="130" t="s">
        <v>881</v>
      </c>
      <c r="E477" s="138" t="s">
        <v>336</v>
      </c>
      <c r="F477" s="166">
        <v>10980</v>
      </c>
      <c r="G477" s="68">
        <v>0</v>
      </c>
      <c r="H477" s="25">
        <f t="shared" si="32"/>
        <v>0</v>
      </c>
    </row>
    <row r="478" customHeight="1" spans="1:8">
      <c r="A478" s="8">
        <f ca="1" t="shared" si="34"/>
        <v>191</v>
      </c>
      <c r="B478" s="129"/>
      <c r="C478" s="130" t="s">
        <v>882</v>
      </c>
      <c r="D478" s="130" t="s">
        <v>883</v>
      </c>
      <c r="E478" s="138" t="s">
        <v>336</v>
      </c>
      <c r="F478" s="166">
        <v>1220</v>
      </c>
      <c r="G478" s="68">
        <v>55.1731414424243</v>
      </c>
      <c r="H478" s="25">
        <f t="shared" si="32"/>
        <v>67311</v>
      </c>
    </row>
    <row r="479" customHeight="1" spans="1:8">
      <c r="A479" s="8">
        <f ca="1" t="shared" si="34"/>
        <v>192</v>
      </c>
      <c r="B479" s="129"/>
      <c r="C479" s="130" t="s">
        <v>884</v>
      </c>
      <c r="D479" s="130" t="s">
        <v>885</v>
      </c>
      <c r="E479" s="138" t="s">
        <v>336</v>
      </c>
      <c r="F479" s="166">
        <v>1220</v>
      </c>
      <c r="G479" s="68">
        <v>187.554368510487</v>
      </c>
      <c r="H479" s="25">
        <f t="shared" si="32"/>
        <v>228816</v>
      </c>
    </row>
    <row r="480" customHeight="1" spans="1:8">
      <c r="A480" s="8">
        <f ca="1" t="shared" si="34"/>
        <v>193</v>
      </c>
      <c r="B480" s="129"/>
      <c r="C480" s="130" t="s">
        <v>896</v>
      </c>
      <c r="D480" s="130" t="s">
        <v>897</v>
      </c>
      <c r="E480" s="138" t="s">
        <v>336</v>
      </c>
      <c r="F480" s="163">
        <v>4026</v>
      </c>
      <c r="G480" s="68">
        <v>214.487041540365</v>
      </c>
      <c r="H480" s="25">
        <f t="shared" si="32"/>
        <v>863525</v>
      </c>
    </row>
    <row r="481" customHeight="1" spans="1:8">
      <c r="B481" s="129"/>
      <c r="C481" s="130" t="s">
        <v>460</v>
      </c>
      <c r="D481" s="130" t="s">
        <v>461</v>
      </c>
      <c r="E481" s="138" t="s">
        <v>329</v>
      </c>
      <c r="F481" s="163" t="s">
        <v>742</v>
      </c>
      <c r="G481" s="68">
        <v>0</v>
      </c>
      <c r="H481" s="25">
        <f t="shared" si="32"/>
        <v>0</v>
      </c>
    </row>
    <row r="482" customHeight="1" spans="1:8">
      <c r="B482" s="129"/>
      <c r="C482" s="130" t="s">
        <v>454</v>
      </c>
      <c r="D482" s="130" t="s">
        <v>463</v>
      </c>
      <c r="E482" s="138" t="s">
        <v>464</v>
      </c>
      <c r="F482" s="163" t="s">
        <v>742</v>
      </c>
      <c r="G482" s="68">
        <v>0</v>
      </c>
      <c r="H482" s="25">
        <f t="shared" si="32"/>
        <v>0</v>
      </c>
    </row>
    <row r="483" customHeight="1" spans="1:8">
      <c r="B483" s="129"/>
      <c r="C483" s="130" t="s">
        <v>465</v>
      </c>
      <c r="D483" s="130" t="s">
        <v>466</v>
      </c>
      <c r="E483" s="138" t="s">
        <v>329</v>
      </c>
      <c r="F483" s="163" t="s">
        <v>742</v>
      </c>
      <c r="G483" s="68">
        <v>0</v>
      </c>
      <c r="H483" s="25">
        <f t="shared" si="32"/>
        <v>0</v>
      </c>
    </row>
    <row r="484" customHeight="1" spans="1:8">
      <c r="B484" s="84" t="s">
        <v>898</v>
      </c>
      <c r="C484" s="89" t="s">
        <v>899</v>
      </c>
      <c r="D484" s="90" t="s">
        <v>900</v>
      </c>
      <c r="E484" s="86"/>
      <c r="F484" s="87"/>
      <c r="G484" s="68">
        <v>0</v>
      </c>
      <c r="H484" s="25">
        <f t="shared" si="32"/>
        <v>0</v>
      </c>
    </row>
    <row r="485" customHeight="1" spans="1:8">
      <c r="A485" s="8">
        <f ca="1" t="shared" ref="A485:A490" si="35">COUNTA(OFFSET(A$1,0,0,ROW()-1,1))+1</f>
        <v>194</v>
      </c>
      <c r="B485" s="84" t="s">
        <v>901</v>
      </c>
      <c r="C485" s="168" t="s">
        <v>902</v>
      </c>
      <c r="D485" s="169" t="s">
        <v>903</v>
      </c>
      <c r="E485" s="86" t="s">
        <v>225</v>
      </c>
      <c r="F485" s="107">
        <v>900</v>
      </c>
      <c r="G485" s="68">
        <v>0</v>
      </c>
      <c r="H485" s="25">
        <f t="shared" si="32"/>
        <v>0</v>
      </c>
    </row>
    <row r="486" customHeight="1" spans="1:8">
      <c r="A486" s="8">
        <f ca="1" t="shared" si="35"/>
        <v>195</v>
      </c>
      <c r="B486" s="84" t="s">
        <v>904</v>
      </c>
      <c r="C486" s="168" t="s">
        <v>905</v>
      </c>
      <c r="D486" s="169" t="s">
        <v>906</v>
      </c>
      <c r="E486" s="86" t="s">
        <v>225</v>
      </c>
      <c r="F486" s="107">
        <v>2260</v>
      </c>
      <c r="G486" s="68">
        <v>0</v>
      </c>
      <c r="H486" s="25">
        <f t="shared" si="32"/>
        <v>0</v>
      </c>
    </row>
    <row r="487" customHeight="1" spans="1:8">
      <c r="B487" s="21"/>
      <c r="C487" s="103" t="s">
        <v>907</v>
      </c>
      <c r="D487" s="104" t="s">
        <v>908</v>
      </c>
      <c r="E487" s="86"/>
      <c r="F487" s="106"/>
      <c r="G487" s="68">
        <v>0</v>
      </c>
      <c r="H487" s="25">
        <f t="shared" si="32"/>
        <v>0</v>
      </c>
    </row>
    <row r="488" customHeight="1" spans="1:8">
      <c r="B488" s="26"/>
      <c r="C488" s="43"/>
      <c r="D488" s="43"/>
      <c r="E488" s="29"/>
      <c r="F488" s="107"/>
      <c r="G488" s="68">
        <v>0</v>
      </c>
      <c r="H488" s="25">
        <f t="shared" si="32"/>
        <v>0</v>
      </c>
    </row>
    <row r="489" customHeight="1" spans="1:8">
      <c r="B489" s="84" t="s">
        <v>909</v>
      </c>
      <c r="C489" s="158" t="s">
        <v>910</v>
      </c>
      <c r="D489" s="159" t="s">
        <v>911</v>
      </c>
      <c r="E489" s="86"/>
      <c r="F489" s="107"/>
      <c r="G489" s="68">
        <v>0</v>
      </c>
      <c r="H489" s="25">
        <f t="shared" si="32"/>
        <v>0</v>
      </c>
    </row>
    <row r="490" customHeight="1" spans="1:8">
      <c r="A490" s="8">
        <f ca="1" t="shared" si="35"/>
        <v>196</v>
      </c>
      <c r="B490" s="84" t="s">
        <v>912</v>
      </c>
      <c r="C490" s="89" t="s">
        <v>913</v>
      </c>
      <c r="D490" s="90" t="s">
        <v>914</v>
      </c>
      <c r="E490" s="86" t="s">
        <v>225</v>
      </c>
      <c r="F490" s="170">
        <v>2100</v>
      </c>
      <c r="G490" s="68">
        <v>752.525615993053</v>
      </c>
      <c r="H490" s="25">
        <f t="shared" si="32"/>
        <v>1580304</v>
      </c>
    </row>
    <row r="491" customHeight="1" spans="1:8">
      <c r="B491" s="124"/>
      <c r="C491" s="125" t="s">
        <v>877</v>
      </c>
      <c r="D491" s="125" t="s">
        <v>878</v>
      </c>
      <c r="E491" s="126" t="s">
        <v>336</v>
      </c>
      <c r="F491" s="171"/>
      <c r="G491" s="68">
        <v>0</v>
      </c>
      <c r="H491" s="25">
        <f t="shared" si="32"/>
        <v>0</v>
      </c>
    </row>
    <row r="492" customHeight="1" spans="1:8">
      <c r="B492" s="124"/>
      <c r="C492" s="125" t="s">
        <v>879</v>
      </c>
      <c r="D492" s="125" t="s">
        <v>644</v>
      </c>
      <c r="E492" s="126" t="s">
        <v>336</v>
      </c>
      <c r="F492" s="171"/>
      <c r="G492" s="68">
        <v>0</v>
      </c>
      <c r="H492" s="25">
        <f t="shared" si="32"/>
        <v>0</v>
      </c>
    </row>
    <row r="493" customHeight="1" spans="1:8">
      <c r="B493" s="124"/>
      <c r="C493" s="125" t="s">
        <v>880</v>
      </c>
      <c r="D493" s="125" t="s">
        <v>881</v>
      </c>
      <c r="E493" s="126" t="s">
        <v>336</v>
      </c>
      <c r="F493" s="171"/>
      <c r="G493" s="68">
        <v>0</v>
      </c>
      <c r="H493" s="25">
        <f t="shared" si="32"/>
        <v>0</v>
      </c>
    </row>
    <row r="494" customHeight="1" spans="1:8">
      <c r="B494" s="124"/>
      <c r="C494" s="125" t="s">
        <v>882</v>
      </c>
      <c r="D494" s="125" t="s">
        <v>883</v>
      </c>
      <c r="E494" s="126" t="s">
        <v>336</v>
      </c>
      <c r="F494" s="171"/>
      <c r="G494" s="68">
        <v>0</v>
      </c>
      <c r="H494" s="25">
        <f t="shared" si="32"/>
        <v>0</v>
      </c>
    </row>
    <row r="495" customHeight="1" spans="1:8">
      <c r="B495" s="124"/>
      <c r="C495" s="125" t="s">
        <v>884</v>
      </c>
      <c r="D495" s="125" t="s">
        <v>885</v>
      </c>
      <c r="E495" s="126" t="s">
        <v>336</v>
      </c>
      <c r="F495" s="171"/>
      <c r="G495" s="68">
        <v>0</v>
      </c>
      <c r="H495" s="25">
        <f t="shared" si="32"/>
        <v>0</v>
      </c>
    </row>
    <row r="496" customHeight="1" spans="1:8">
      <c r="B496" s="124"/>
      <c r="C496" s="125" t="s">
        <v>896</v>
      </c>
      <c r="D496" s="125" t="s">
        <v>897</v>
      </c>
      <c r="E496" s="126" t="s">
        <v>336</v>
      </c>
      <c r="F496" s="172"/>
      <c r="G496" s="68">
        <v>0</v>
      </c>
      <c r="H496" s="25">
        <f t="shared" si="32"/>
        <v>0</v>
      </c>
    </row>
    <row r="497" customHeight="1" spans="1:8">
      <c r="B497" s="124"/>
      <c r="C497" s="125" t="s">
        <v>460</v>
      </c>
      <c r="D497" s="125" t="s">
        <v>461</v>
      </c>
      <c r="E497" s="126" t="s">
        <v>329</v>
      </c>
      <c r="F497" s="172"/>
      <c r="G497" s="68">
        <v>0</v>
      </c>
      <c r="H497" s="25">
        <f t="shared" si="32"/>
        <v>0</v>
      </c>
    </row>
    <row r="498" customHeight="1" spans="1:8">
      <c r="B498" s="124"/>
      <c r="C498" s="125" t="s">
        <v>454</v>
      </c>
      <c r="D498" s="125" t="s">
        <v>463</v>
      </c>
      <c r="E498" s="126" t="s">
        <v>464</v>
      </c>
      <c r="F498" s="172"/>
      <c r="G498" s="68">
        <v>0</v>
      </c>
      <c r="H498" s="25">
        <f t="shared" si="32"/>
        <v>0</v>
      </c>
    </row>
    <row r="499" customHeight="1" spans="1:8">
      <c r="B499" s="124"/>
      <c r="C499" s="125" t="s">
        <v>465</v>
      </c>
      <c r="D499" s="125" t="s">
        <v>466</v>
      </c>
      <c r="E499" s="126" t="s">
        <v>329</v>
      </c>
      <c r="F499" s="172"/>
      <c r="G499" s="68">
        <v>0</v>
      </c>
      <c r="H499" s="25">
        <f t="shared" si="32"/>
        <v>0</v>
      </c>
    </row>
    <row r="500" customHeight="1" spans="1:8">
      <c r="B500" s="84" t="s">
        <v>915</v>
      </c>
      <c r="C500" s="89" t="s">
        <v>916</v>
      </c>
      <c r="D500" s="90" t="s">
        <v>917</v>
      </c>
      <c r="E500" s="86"/>
      <c r="F500" s="170"/>
      <c r="G500" s="68">
        <v>0</v>
      </c>
      <c r="H500" s="25">
        <f t="shared" si="32"/>
        <v>0</v>
      </c>
    </row>
    <row r="501" customHeight="1" spans="1:8">
      <c r="A501" s="8">
        <f ca="1">COUNTA(OFFSET(A$1,0,0,ROW()-1,1))+1</f>
        <v>197</v>
      </c>
      <c r="B501" s="84" t="s">
        <v>918</v>
      </c>
      <c r="C501" s="89" t="s">
        <v>919</v>
      </c>
      <c r="D501" s="89" t="s">
        <v>920</v>
      </c>
      <c r="E501" s="86" t="s">
        <v>225</v>
      </c>
      <c r="F501" s="170">
        <v>270</v>
      </c>
      <c r="G501" s="68">
        <v>97.1968855444155</v>
      </c>
      <c r="H501" s="25">
        <f t="shared" si="32"/>
        <v>26243</v>
      </c>
    </row>
    <row r="502" customHeight="1" spans="1:8">
      <c r="B502" s="124"/>
      <c r="C502" s="125" t="s">
        <v>877</v>
      </c>
      <c r="D502" s="125" t="s">
        <v>878</v>
      </c>
      <c r="E502" s="126" t="s">
        <v>336</v>
      </c>
      <c r="F502" s="171"/>
      <c r="G502" s="68">
        <v>0</v>
      </c>
      <c r="H502" s="25">
        <f t="shared" si="32"/>
        <v>0</v>
      </c>
    </row>
    <row r="503" customHeight="1" spans="1:8">
      <c r="B503" s="124"/>
      <c r="C503" s="125" t="s">
        <v>879</v>
      </c>
      <c r="D503" s="125" t="s">
        <v>644</v>
      </c>
      <c r="E503" s="126" t="s">
        <v>336</v>
      </c>
      <c r="F503" s="171"/>
      <c r="G503" s="68">
        <v>0</v>
      </c>
      <c r="H503" s="25">
        <f t="shared" si="32"/>
        <v>0</v>
      </c>
    </row>
    <row r="504" customHeight="1" spans="1:8">
      <c r="B504" s="124"/>
      <c r="C504" s="125" t="s">
        <v>880</v>
      </c>
      <c r="D504" s="125" t="s">
        <v>881</v>
      </c>
      <c r="E504" s="126" t="s">
        <v>336</v>
      </c>
      <c r="F504" s="171"/>
      <c r="G504" s="68">
        <v>0</v>
      </c>
      <c r="H504" s="25">
        <f t="shared" si="32"/>
        <v>0</v>
      </c>
    </row>
    <row r="505" customHeight="1" spans="1:8">
      <c r="B505" s="124"/>
      <c r="C505" s="125" t="s">
        <v>882</v>
      </c>
      <c r="D505" s="125" t="s">
        <v>883</v>
      </c>
      <c r="E505" s="126" t="s">
        <v>336</v>
      </c>
      <c r="F505" s="171"/>
      <c r="G505" s="68">
        <v>0</v>
      </c>
      <c r="H505" s="25">
        <f t="shared" si="32"/>
        <v>0</v>
      </c>
    </row>
    <row r="506" customHeight="1" spans="1:8">
      <c r="B506" s="124"/>
      <c r="C506" s="125" t="s">
        <v>884</v>
      </c>
      <c r="D506" s="125" t="s">
        <v>885</v>
      </c>
      <c r="E506" s="126" t="s">
        <v>336</v>
      </c>
      <c r="F506" s="171"/>
      <c r="G506" s="68">
        <v>0</v>
      </c>
      <c r="H506" s="25">
        <f t="shared" si="32"/>
        <v>0</v>
      </c>
    </row>
    <row r="507" customHeight="1" spans="1:8">
      <c r="B507" s="124"/>
      <c r="C507" s="125" t="s">
        <v>896</v>
      </c>
      <c r="D507" s="125" t="s">
        <v>897</v>
      </c>
      <c r="E507" s="126" t="s">
        <v>336</v>
      </c>
      <c r="F507" s="172"/>
      <c r="G507" s="68">
        <v>0</v>
      </c>
      <c r="H507" s="25">
        <f t="shared" si="32"/>
        <v>0</v>
      </c>
    </row>
    <row r="508" customHeight="1" spans="1:8">
      <c r="B508" s="124"/>
      <c r="C508" s="125" t="s">
        <v>460</v>
      </c>
      <c r="D508" s="125" t="s">
        <v>461</v>
      </c>
      <c r="E508" s="126" t="s">
        <v>329</v>
      </c>
      <c r="F508" s="172"/>
      <c r="G508" s="68">
        <v>0</v>
      </c>
      <c r="H508" s="25">
        <f t="shared" si="32"/>
        <v>0</v>
      </c>
    </row>
    <row r="509" customHeight="1" spans="1:8">
      <c r="B509" s="124"/>
      <c r="C509" s="125" t="s">
        <v>454</v>
      </c>
      <c r="D509" s="125" t="s">
        <v>463</v>
      </c>
      <c r="E509" s="126" t="s">
        <v>464</v>
      </c>
      <c r="F509" s="172"/>
      <c r="G509" s="68">
        <v>0</v>
      </c>
      <c r="H509" s="25">
        <f t="shared" si="32"/>
        <v>0</v>
      </c>
    </row>
    <row r="510" customHeight="1" spans="1:8">
      <c r="B510" s="124"/>
      <c r="C510" s="125" t="s">
        <v>465</v>
      </c>
      <c r="D510" s="125" t="s">
        <v>466</v>
      </c>
      <c r="E510" s="126" t="s">
        <v>329</v>
      </c>
      <c r="F510" s="172"/>
      <c r="G510" s="68">
        <v>0</v>
      </c>
      <c r="H510" s="25">
        <f t="shared" si="32"/>
        <v>0</v>
      </c>
    </row>
    <row r="511" customHeight="1" spans="1:8">
      <c r="A511" s="8">
        <f ca="1">COUNTA(OFFSET(A$1,0,0,ROW()-1,1))+1</f>
        <v>198</v>
      </c>
      <c r="B511" s="84" t="s">
        <v>921</v>
      </c>
      <c r="C511" s="89" t="s">
        <v>922</v>
      </c>
      <c r="D511" s="89" t="s">
        <v>923</v>
      </c>
      <c r="E511" s="86" t="s">
        <v>225</v>
      </c>
      <c r="F511" s="170">
        <v>330</v>
      </c>
      <c r="G511" s="68">
        <v>265.518330879989</v>
      </c>
      <c r="H511" s="25">
        <f t="shared" si="32"/>
        <v>87621</v>
      </c>
    </row>
    <row r="512" customHeight="1" spans="1:8">
      <c r="B512" s="124"/>
      <c r="C512" s="125" t="s">
        <v>877</v>
      </c>
      <c r="D512" s="125" t="s">
        <v>878</v>
      </c>
      <c r="E512" s="126" t="s">
        <v>336</v>
      </c>
      <c r="F512" s="171"/>
      <c r="G512" s="68">
        <v>0</v>
      </c>
      <c r="H512" s="25">
        <f t="shared" si="32"/>
        <v>0</v>
      </c>
    </row>
    <row r="513" customHeight="1" spans="1:8">
      <c r="B513" s="124"/>
      <c r="C513" s="125" t="s">
        <v>879</v>
      </c>
      <c r="D513" s="125" t="s">
        <v>644</v>
      </c>
      <c r="E513" s="126" t="s">
        <v>336</v>
      </c>
      <c r="F513" s="171"/>
      <c r="G513" s="68">
        <v>0</v>
      </c>
      <c r="H513" s="25">
        <f t="shared" si="32"/>
        <v>0</v>
      </c>
    </row>
    <row r="514" customHeight="1" spans="1:8">
      <c r="B514" s="124"/>
      <c r="C514" s="125" t="s">
        <v>880</v>
      </c>
      <c r="D514" s="125" t="s">
        <v>881</v>
      </c>
      <c r="E514" s="126" t="s">
        <v>336</v>
      </c>
      <c r="F514" s="171"/>
      <c r="G514" s="68">
        <v>0</v>
      </c>
      <c r="H514" s="25">
        <f t="shared" si="32"/>
        <v>0</v>
      </c>
    </row>
    <row r="515" customHeight="1" spans="1:8">
      <c r="B515" s="124"/>
      <c r="C515" s="125" t="s">
        <v>882</v>
      </c>
      <c r="D515" s="125" t="s">
        <v>883</v>
      </c>
      <c r="E515" s="126" t="s">
        <v>336</v>
      </c>
      <c r="F515" s="171"/>
      <c r="G515" s="68">
        <v>0</v>
      </c>
      <c r="H515" s="25">
        <f t="shared" si="32"/>
        <v>0</v>
      </c>
    </row>
    <row r="516" customHeight="1" spans="1:8">
      <c r="B516" s="124"/>
      <c r="C516" s="125" t="s">
        <v>884</v>
      </c>
      <c r="D516" s="125" t="s">
        <v>885</v>
      </c>
      <c r="E516" s="126" t="s">
        <v>336</v>
      </c>
      <c r="F516" s="171"/>
      <c r="G516" s="68">
        <v>0</v>
      </c>
      <c r="H516" s="25">
        <f t="shared" si="32"/>
        <v>0</v>
      </c>
    </row>
    <row r="517" customHeight="1" spans="1:8">
      <c r="B517" s="124"/>
      <c r="C517" s="125" t="s">
        <v>896</v>
      </c>
      <c r="D517" s="125" t="s">
        <v>897</v>
      </c>
      <c r="E517" s="126" t="s">
        <v>336</v>
      </c>
      <c r="F517" s="172"/>
      <c r="G517" s="68">
        <v>0</v>
      </c>
      <c r="H517" s="25">
        <f t="shared" si="32"/>
        <v>0</v>
      </c>
    </row>
    <row r="518" customHeight="1" spans="1:8">
      <c r="B518" s="124"/>
      <c r="C518" s="125" t="s">
        <v>460</v>
      </c>
      <c r="D518" s="125" t="s">
        <v>461</v>
      </c>
      <c r="E518" s="126" t="s">
        <v>329</v>
      </c>
      <c r="F518" s="172"/>
      <c r="G518" s="68">
        <v>0</v>
      </c>
      <c r="H518" s="25">
        <f t="shared" si="32"/>
        <v>0</v>
      </c>
    </row>
    <row r="519" customHeight="1" spans="1:8">
      <c r="B519" s="124"/>
      <c r="C519" s="125" t="s">
        <v>454</v>
      </c>
      <c r="D519" s="125" t="s">
        <v>463</v>
      </c>
      <c r="E519" s="126" t="s">
        <v>464</v>
      </c>
      <c r="F519" s="172"/>
      <c r="G519" s="68">
        <v>0</v>
      </c>
      <c r="H519" s="25">
        <f t="shared" si="32"/>
        <v>0</v>
      </c>
    </row>
    <row r="520" customHeight="1" spans="1:8">
      <c r="B520" s="124"/>
      <c r="C520" s="125" t="s">
        <v>465</v>
      </c>
      <c r="D520" s="125" t="s">
        <v>466</v>
      </c>
      <c r="E520" s="126" t="s">
        <v>329</v>
      </c>
      <c r="F520" s="172"/>
      <c r="G520" s="68">
        <v>0</v>
      </c>
      <c r="H520" s="25">
        <f t="shared" ref="H520:H583" si="36">IFERROR(ROUND(G520*F520,0),0)</f>
        <v>0</v>
      </c>
    </row>
    <row r="521" customHeight="1" spans="1:8">
      <c r="A521" s="8">
        <f ca="1">COUNTA(OFFSET(A$1,0,0,ROW()-1,1))+1</f>
        <v>199</v>
      </c>
      <c r="B521" s="84" t="s">
        <v>924</v>
      </c>
      <c r="C521" s="89" t="s">
        <v>925</v>
      </c>
      <c r="D521" s="89" t="s">
        <v>926</v>
      </c>
      <c r="E521" s="86" t="s">
        <v>225</v>
      </c>
      <c r="F521" s="170">
        <v>150</v>
      </c>
      <c r="G521" s="68">
        <v>386.351379969791</v>
      </c>
      <c r="H521" s="25">
        <f t="shared" si="36"/>
        <v>57953</v>
      </c>
    </row>
    <row r="522" customHeight="1" spans="1:8">
      <c r="B522" s="124"/>
      <c r="C522" s="125" t="s">
        <v>877</v>
      </c>
      <c r="D522" s="125" t="s">
        <v>878</v>
      </c>
      <c r="E522" s="126" t="s">
        <v>336</v>
      </c>
      <c r="F522" s="171"/>
      <c r="G522" s="68">
        <v>0</v>
      </c>
      <c r="H522" s="25">
        <f t="shared" si="36"/>
        <v>0</v>
      </c>
    </row>
    <row r="523" customHeight="1" spans="1:8">
      <c r="B523" s="124"/>
      <c r="C523" s="125" t="s">
        <v>879</v>
      </c>
      <c r="D523" s="125" t="s">
        <v>644</v>
      </c>
      <c r="E523" s="126" t="s">
        <v>336</v>
      </c>
      <c r="F523" s="171"/>
      <c r="G523" s="68">
        <v>0</v>
      </c>
      <c r="H523" s="25">
        <f t="shared" si="36"/>
        <v>0</v>
      </c>
    </row>
    <row r="524" customHeight="1" spans="1:8">
      <c r="B524" s="124"/>
      <c r="C524" s="125" t="s">
        <v>880</v>
      </c>
      <c r="D524" s="125" t="s">
        <v>881</v>
      </c>
      <c r="E524" s="126" t="s">
        <v>336</v>
      </c>
      <c r="F524" s="171"/>
      <c r="G524" s="68">
        <v>0</v>
      </c>
      <c r="H524" s="25">
        <f t="shared" si="36"/>
        <v>0</v>
      </c>
    </row>
    <row r="525" customHeight="1" spans="1:8">
      <c r="B525" s="124"/>
      <c r="C525" s="125" t="s">
        <v>882</v>
      </c>
      <c r="D525" s="125" t="s">
        <v>883</v>
      </c>
      <c r="E525" s="126" t="s">
        <v>336</v>
      </c>
      <c r="F525" s="171"/>
      <c r="G525" s="68">
        <v>0</v>
      </c>
      <c r="H525" s="25">
        <f t="shared" si="36"/>
        <v>0</v>
      </c>
    </row>
    <row r="526" customHeight="1" spans="1:8">
      <c r="B526" s="124"/>
      <c r="C526" s="125" t="s">
        <v>884</v>
      </c>
      <c r="D526" s="125" t="s">
        <v>885</v>
      </c>
      <c r="E526" s="126" t="s">
        <v>336</v>
      </c>
      <c r="F526" s="171"/>
      <c r="G526" s="68">
        <v>0</v>
      </c>
      <c r="H526" s="25">
        <f t="shared" si="36"/>
        <v>0</v>
      </c>
    </row>
    <row r="527" customHeight="1" spans="1:8">
      <c r="B527" s="124"/>
      <c r="C527" s="125" t="s">
        <v>896</v>
      </c>
      <c r="D527" s="125" t="s">
        <v>897</v>
      </c>
      <c r="E527" s="126" t="s">
        <v>336</v>
      </c>
      <c r="F527" s="172"/>
      <c r="G527" s="68">
        <v>0</v>
      </c>
      <c r="H527" s="25">
        <f t="shared" si="36"/>
        <v>0</v>
      </c>
    </row>
    <row r="528" customHeight="1" spans="1:8">
      <c r="B528" s="124"/>
      <c r="C528" s="125" t="s">
        <v>460</v>
      </c>
      <c r="D528" s="125" t="s">
        <v>461</v>
      </c>
      <c r="E528" s="126" t="s">
        <v>329</v>
      </c>
      <c r="F528" s="172"/>
      <c r="G528" s="68">
        <v>0</v>
      </c>
      <c r="H528" s="25">
        <f t="shared" si="36"/>
        <v>0</v>
      </c>
    </row>
    <row r="529" customHeight="1" spans="1:8">
      <c r="B529" s="124"/>
      <c r="C529" s="125" t="s">
        <v>454</v>
      </c>
      <c r="D529" s="125" t="s">
        <v>463</v>
      </c>
      <c r="E529" s="126" t="s">
        <v>464</v>
      </c>
      <c r="F529" s="172"/>
      <c r="G529" s="68">
        <v>0</v>
      </c>
      <c r="H529" s="25">
        <f t="shared" si="36"/>
        <v>0</v>
      </c>
    </row>
    <row r="530" customHeight="1" spans="1:8">
      <c r="B530" s="124"/>
      <c r="C530" s="125" t="s">
        <v>465</v>
      </c>
      <c r="D530" s="125" t="s">
        <v>466</v>
      </c>
      <c r="E530" s="126" t="s">
        <v>329</v>
      </c>
      <c r="F530" s="172"/>
      <c r="G530" s="68">
        <v>0</v>
      </c>
      <c r="H530" s="25">
        <f t="shared" si="36"/>
        <v>0</v>
      </c>
    </row>
    <row r="531" customHeight="1" spans="1:8">
      <c r="A531" s="8">
        <f ca="1">COUNTA(OFFSET(A$1,0,0,ROW()-1,1))+1</f>
        <v>200</v>
      </c>
      <c r="B531" s="84" t="s">
        <v>927</v>
      </c>
      <c r="C531" s="89" t="s">
        <v>928</v>
      </c>
      <c r="D531" s="89" t="s">
        <v>929</v>
      </c>
      <c r="E531" s="86" t="s">
        <v>225</v>
      </c>
      <c r="F531" s="170">
        <v>150</v>
      </c>
      <c r="G531" s="68">
        <v>525.652138710726</v>
      </c>
      <c r="H531" s="25">
        <f t="shared" si="36"/>
        <v>78848</v>
      </c>
    </row>
    <row r="532" customHeight="1" spans="1:8">
      <c r="B532" s="124"/>
      <c r="C532" s="125" t="s">
        <v>877</v>
      </c>
      <c r="D532" s="125" t="s">
        <v>878</v>
      </c>
      <c r="E532" s="126" t="s">
        <v>336</v>
      </c>
      <c r="F532" s="171"/>
      <c r="G532" s="68">
        <v>0</v>
      </c>
      <c r="H532" s="25">
        <f t="shared" si="36"/>
        <v>0</v>
      </c>
    </row>
    <row r="533" customHeight="1" spans="1:8">
      <c r="B533" s="124"/>
      <c r="C533" s="125" t="s">
        <v>879</v>
      </c>
      <c r="D533" s="125" t="s">
        <v>644</v>
      </c>
      <c r="E533" s="126" t="s">
        <v>336</v>
      </c>
      <c r="F533" s="171"/>
      <c r="G533" s="68">
        <v>0</v>
      </c>
      <c r="H533" s="25">
        <f t="shared" si="36"/>
        <v>0</v>
      </c>
    </row>
    <row r="534" customHeight="1" spans="1:8">
      <c r="B534" s="124"/>
      <c r="C534" s="125" t="s">
        <v>880</v>
      </c>
      <c r="D534" s="125" t="s">
        <v>881</v>
      </c>
      <c r="E534" s="126" t="s">
        <v>336</v>
      </c>
      <c r="F534" s="171"/>
      <c r="G534" s="68">
        <v>0</v>
      </c>
      <c r="H534" s="25">
        <f t="shared" si="36"/>
        <v>0</v>
      </c>
    </row>
    <row r="535" customHeight="1" spans="1:8">
      <c r="B535" s="124"/>
      <c r="C535" s="125" t="s">
        <v>882</v>
      </c>
      <c r="D535" s="125" t="s">
        <v>883</v>
      </c>
      <c r="E535" s="126" t="s">
        <v>336</v>
      </c>
      <c r="F535" s="171"/>
      <c r="G535" s="68">
        <v>0</v>
      </c>
      <c r="H535" s="25">
        <f t="shared" si="36"/>
        <v>0</v>
      </c>
    </row>
    <row r="536" customHeight="1" spans="1:8">
      <c r="B536" s="124"/>
      <c r="C536" s="125" t="s">
        <v>884</v>
      </c>
      <c r="D536" s="125" t="s">
        <v>885</v>
      </c>
      <c r="E536" s="126" t="s">
        <v>336</v>
      </c>
      <c r="F536" s="171"/>
      <c r="G536" s="68">
        <v>0</v>
      </c>
      <c r="H536" s="25">
        <f t="shared" si="36"/>
        <v>0</v>
      </c>
    </row>
    <row r="537" customHeight="1" spans="1:8">
      <c r="B537" s="124"/>
      <c r="C537" s="125" t="s">
        <v>896</v>
      </c>
      <c r="D537" s="125" t="s">
        <v>897</v>
      </c>
      <c r="E537" s="126" t="s">
        <v>336</v>
      </c>
      <c r="F537" s="172"/>
      <c r="G537" s="68">
        <v>0</v>
      </c>
      <c r="H537" s="25">
        <f t="shared" si="36"/>
        <v>0</v>
      </c>
    </row>
    <row r="538" customHeight="1" spans="1:8">
      <c r="B538" s="124"/>
      <c r="C538" s="125" t="s">
        <v>460</v>
      </c>
      <c r="D538" s="125" t="s">
        <v>461</v>
      </c>
      <c r="E538" s="126" t="s">
        <v>329</v>
      </c>
      <c r="F538" s="172"/>
      <c r="G538" s="68">
        <v>0</v>
      </c>
      <c r="H538" s="25">
        <f t="shared" si="36"/>
        <v>0</v>
      </c>
    </row>
    <row r="539" customHeight="1" spans="1:8">
      <c r="B539" s="124"/>
      <c r="C539" s="125" t="s">
        <v>454</v>
      </c>
      <c r="D539" s="125" t="s">
        <v>463</v>
      </c>
      <c r="E539" s="126" t="s">
        <v>464</v>
      </c>
      <c r="F539" s="172"/>
      <c r="G539" s="68">
        <v>0</v>
      </c>
      <c r="H539" s="25">
        <f t="shared" si="36"/>
        <v>0</v>
      </c>
    </row>
    <row r="540" customHeight="1" spans="1:8">
      <c r="B540" s="124"/>
      <c r="C540" s="125" t="s">
        <v>465</v>
      </c>
      <c r="D540" s="125" t="s">
        <v>466</v>
      </c>
      <c r="E540" s="126" t="s">
        <v>329</v>
      </c>
      <c r="F540" s="172"/>
      <c r="G540" s="68">
        <v>0</v>
      </c>
      <c r="H540" s="25">
        <f t="shared" si="36"/>
        <v>0</v>
      </c>
    </row>
    <row r="541" customHeight="1" spans="1:8">
      <c r="A541" s="8">
        <f ca="1">COUNTA(OFFSET(A$1,0,0,ROW()-1,1))+1</f>
        <v>201</v>
      </c>
      <c r="B541" s="84" t="s">
        <v>930</v>
      </c>
      <c r="C541" s="89" t="s">
        <v>931</v>
      </c>
      <c r="D541" s="89" t="s">
        <v>932</v>
      </c>
      <c r="E541" s="86" t="s">
        <v>225</v>
      </c>
      <c r="F541" s="170">
        <v>250</v>
      </c>
      <c r="G541" s="68">
        <v>662.550737451662</v>
      </c>
      <c r="H541" s="25">
        <f t="shared" si="36"/>
        <v>165638</v>
      </c>
    </row>
    <row r="542" customHeight="1" spans="1:8">
      <c r="B542" s="124"/>
      <c r="C542" s="125" t="s">
        <v>877</v>
      </c>
      <c r="D542" s="125" t="s">
        <v>878</v>
      </c>
      <c r="E542" s="126" t="s">
        <v>336</v>
      </c>
      <c r="F542" s="171"/>
      <c r="G542" s="68">
        <v>0</v>
      </c>
      <c r="H542" s="25">
        <f t="shared" si="36"/>
        <v>0</v>
      </c>
    </row>
    <row r="543" customHeight="1" spans="1:8">
      <c r="B543" s="124"/>
      <c r="C543" s="125" t="s">
        <v>879</v>
      </c>
      <c r="D543" s="125" t="s">
        <v>644</v>
      </c>
      <c r="E543" s="126" t="s">
        <v>336</v>
      </c>
      <c r="F543" s="171"/>
      <c r="G543" s="68">
        <v>0</v>
      </c>
      <c r="H543" s="25">
        <f t="shared" si="36"/>
        <v>0</v>
      </c>
    </row>
    <row r="544" customHeight="1" spans="1:8">
      <c r="B544" s="124"/>
      <c r="C544" s="125" t="s">
        <v>880</v>
      </c>
      <c r="D544" s="125" t="s">
        <v>881</v>
      </c>
      <c r="E544" s="126" t="s">
        <v>336</v>
      </c>
      <c r="F544" s="171"/>
      <c r="G544" s="68">
        <v>0</v>
      </c>
      <c r="H544" s="25">
        <f t="shared" si="36"/>
        <v>0</v>
      </c>
    </row>
    <row r="545" customHeight="1" spans="1:8">
      <c r="B545" s="124"/>
      <c r="C545" s="125" t="s">
        <v>882</v>
      </c>
      <c r="D545" s="125" t="s">
        <v>883</v>
      </c>
      <c r="E545" s="126" t="s">
        <v>336</v>
      </c>
      <c r="F545" s="171"/>
      <c r="G545" s="68">
        <v>0</v>
      </c>
      <c r="H545" s="25">
        <f t="shared" si="36"/>
        <v>0</v>
      </c>
    </row>
    <row r="546" customHeight="1" spans="1:8">
      <c r="B546" s="124"/>
      <c r="C546" s="125" t="s">
        <v>884</v>
      </c>
      <c r="D546" s="125" t="s">
        <v>885</v>
      </c>
      <c r="E546" s="126" t="s">
        <v>336</v>
      </c>
      <c r="F546" s="171"/>
      <c r="G546" s="68">
        <v>0</v>
      </c>
      <c r="H546" s="25">
        <f t="shared" si="36"/>
        <v>0</v>
      </c>
    </row>
    <row r="547" customHeight="1" spans="1:8">
      <c r="B547" s="124"/>
      <c r="C547" s="125" t="s">
        <v>896</v>
      </c>
      <c r="D547" s="125" t="s">
        <v>897</v>
      </c>
      <c r="E547" s="126" t="s">
        <v>336</v>
      </c>
      <c r="F547" s="172"/>
      <c r="G547" s="68">
        <v>0</v>
      </c>
      <c r="H547" s="25">
        <f t="shared" si="36"/>
        <v>0</v>
      </c>
    </row>
    <row r="548" customHeight="1" spans="1:8">
      <c r="B548" s="124"/>
      <c r="C548" s="125" t="s">
        <v>460</v>
      </c>
      <c r="D548" s="125" t="s">
        <v>461</v>
      </c>
      <c r="E548" s="126" t="s">
        <v>329</v>
      </c>
      <c r="F548" s="172"/>
      <c r="G548" s="68">
        <v>0</v>
      </c>
      <c r="H548" s="25">
        <f t="shared" si="36"/>
        <v>0</v>
      </c>
    </row>
    <row r="549" customHeight="1" spans="1:8">
      <c r="B549" s="124"/>
      <c r="C549" s="125" t="s">
        <v>454</v>
      </c>
      <c r="D549" s="125" t="s">
        <v>463</v>
      </c>
      <c r="E549" s="126" t="s">
        <v>464</v>
      </c>
      <c r="F549" s="172"/>
      <c r="G549" s="68">
        <v>0</v>
      </c>
      <c r="H549" s="25">
        <f t="shared" si="36"/>
        <v>0</v>
      </c>
    </row>
    <row r="550" customHeight="1" spans="1:8">
      <c r="B550" s="124"/>
      <c r="C550" s="125" t="s">
        <v>465</v>
      </c>
      <c r="D550" s="125" t="s">
        <v>466</v>
      </c>
      <c r="E550" s="126" t="s">
        <v>329</v>
      </c>
      <c r="F550" s="172"/>
      <c r="G550" s="68">
        <v>0</v>
      </c>
      <c r="H550" s="25">
        <f t="shared" si="36"/>
        <v>0</v>
      </c>
    </row>
    <row r="551" customHeight="1" spans="1:8">
      <c r="A551" s="8">
        <f ca="1">COUNTA(OFFSET(A$1,0,0,ROW()-1,1))+1</f>
        <v>202</v>
      </c>
      <c r="B551" s="84" t="s">
        <v>933</v>
      </c>
      <c r="C551" s="89" t="s">
        <v>934</v>
      </c>
      <c r="D551" s="89" t="s">
        <v>935</v>
      </c>
      <c r="E551" s="86" t="s">
        <v>225</v>
      </c>
      <c r="F551" s="170">
        <v>100</v>
      </c>
      <c r="G551" s="68">
        <v>729.406351196828</v>
      </c>
      <c r="H551" s="25">
        <f t="shared" si="36"/>
        <v>72941</v>
      </c>
    </row>
    <row r="552" customHeight="1" spans="1:8">
      <c r="B552" s="124"/>
      <c r="C552" s="125" t="s">
        <v>877</v>
      </c>
      <c r="D552" s="125" t="s">
        <v>878</v>
      </c>
      <c r="E552" s="126" t="s">
        <v>336</v>
      </c>
      <c r="F552" s="171"/>
      <c r="G552" s="68">
        <v>0</v>
      </c>
      <c r="H552" s="25">
        <f t="shared" si="36"/>
        <v>0</v>
      </c>
    </row>
    <row r="553" customHeight="1" spans="1:8">
      <c r="B553" s="124"/>
      <c r="C553" s="125" t="s">
        <v>879</v>
      </c>
      <c r="D553" s="125" t="s">
        <v>644</v>
      </c>
      <c r="E553" s="126" t="s">
        <v>336</v>
      </c>
      <c r="F553" s="171"/>
      <c r="G553" s="68">
        <v>0</v>
      </c>
      <c r="H553" s="25">
        <f t="shared" si="36"/>
        <v>0</v>
      </c>
    </row>
    <row r="554" customHeight="1" spans="1:8">
      <c r="B554" s="124"/>
      <c r="C554" s="125" t="s">
        <v>880</v>
      </c>
      <c r="D554" s="125" t="s">
        <v>881</v>
      </c>
      <c r="E554" s="126" t="s">
        <v>336</v>
      </c>
      <c r="F554" s="171"/>
      <c r="G554" s="68">
        <v>0</v>
      </c>
      <c r="H554" s="25">
        <f t="shared" si="36"/>
        <v>0</v>
      </c>
    </row>
    <row r="555" customHeight="1" spans="1:8">
      <c r="B555" s="124"/>
      <c r="C555" s="125" t="s">
        <v>882</v>
      </c>
      <c r="D555" s="125" t="s">
        <v>883</v>
      </c>
      <c r="E555" s="126" t="s">
        <v>336</v>
      </c>
      <c r="F555" s="171"/>
      <c r="G555" s="68">
        <v>0</v>
      </c>
      <c r="H555" s="25">
        <f t="shared" si="36"/>
        <v>0</v>
      </c>
    </row>
    <row r="556" customHeight="1" spans="1:8">
      <c r="B556" s="124"/>
      <c r="C556" s="125" t="s">
        <v>884</v>
      </c>
      <c r="D556" s="125" t="s">
        <v>885</v>
      </c>
      <c r="E556" s="126" t="s">
        <v>336</v>
      </c>
      <c r="F556" s="171"/>
      <c r="G556" s="68">
        <v>0</v>
      </c>
      <c r="H556" s="25">
        <f t="shared" si="36"/>
        <v>0</v>
      </c>
    </row>
    <row r="557" customHeight="1" spans="1:8">
      <c r="B557" s="124"/>
      <c r="C557" s="125" t="s">
        <v>896</v>
      </c>
      <c r="D557" s="125" t="s">
        <v>897</v>
      </c>
      <c r="E557" s="126" t="s">
        <v>336</v>
      </c>
      <c r="F557" s="172"/>
      <c r="G557" s="68">
        <v>0</v>
      </c>
      <c r="H557" s="25">
        <f t="shared" si="36"/>
        <v>0</v>
      </c>
    </row>
    <row r="558" customHeight="1" spans="1:8">
      <c r="B558" s="124"/>
      <c r="C558" s="125" t="s">
        <v>460</v>
      </c>
      <c r="D558" s="125" t="s">
        <v>461</v>
      </c>
      <c r="E558" s="126" t="s">
        <v>329</v>
      </c>
      <c r="F558" s="172"/>
      <c r="G558" s="68">
        <v>0</v>
      </c>
      <c r="H558" s="25">
        <f t="shared" si="36"/>
        <v>0</v>
      </c>
    </row>
    <row r="559" customHeight="1" spans="1:8">
      <c r="B559" s="124"/>
      <c r="C559" s="125" t="s">
        <v>454</v>
      </c>
      <c r="D559" s="125" t="s">
        <v>463</v>
      </c>
      <c r="E559" s="126" t="s">
        <v>464</v>
      </c>
      <c r="F559" s="172"/>
      <c r="G559" s="68">
        <v>0</v>
      </c>
      <c r="H559" s="25">
        <f t="shared" si="36"/>
        <v>0</v>
      </c>
    </row>
    <row r="560" customHeight="1" spans="1:8">
      <c r="B560" s="124"/>
      <c r="C560" s="125" t="s">
        <v>465</v>
      </c>
      <c r="D560" s="125" t="s">
        <v>466</v>
      </c>
      <c r="E560" s="126" t="s">
        <v>329</v>
      </c>
      <c r="F560" s="172"/>
      <c r="G560" s="68">
        <v>0</v>
      </c>
      <c r="H560" s="25">
        <f t="shared" si="36"/>
        <v>0</v>
      </c>
    </row>
    <row r="561" customHeight="1" spans="1:8">
      <c r="B561" s="84" t="s">
        <v>936</v>
      </c>
      <c r="C561" s="89" t="s">
        <v>937</v>
      </c>
      <c r="D561" s="90" t="s">
        <v>938</v>
      </c>
      <c r="E561" s="86" t="s">
        <v>238</v>
      </c>
      <c r="F561" s="170"/>
      <c r="G561" s="68">
        <v>0</v>
      </c>
      <c r="H561" s="25">
        <f t="shared" si="36"/>
        <v>0</v>
      </c>
    </row>
    <row r="562" customHeight="1" spans="1:8">
      <c r="A562" s="8">
        <f ca="1" t="shared" ref="A562:A572" si="37">COUNTA(OFFSET(A$1,0,0,ROW()-1,1))+1</f>
        <v>203</v>
      </c>
      <c r="B562" s="84"/>
      <c r="C562" s="89" t="s">
        <v>939</v>
      </c>
      <c r="D562" s="90" t="s">
        <v>940</v>
      </c>
      <c r="E562" s="86" t="s">
        <v>238</v>
      </c>
      <c r="F562" s="170">
        <v>200</v>
      </c>
      <c r="G562" s="68">
        <v>0</v>
      </c>
      <c r="H562" s="25">
        <f t="shared" si="36"/>
        <v>0</v>
      </c>
    </row>
    <row r="563" customHeight="1" spans="1:8">
      <c r="A563" s="8">
        <f ca="1" t="shared" si="37"/>
        <v>204</v>
      </c>
      <c r="B563" s="129"/>
      <c r="C563" s="173" t="s">
        <v>941</v>
      </c>
      <c r="D563" s="174" t="s">
        <v>942</v>
      </c>
      <c r="E563" s="138" t="s">
        <v>452</v>
      </c>
      <c r="F563" s="166">
        <v>14392.1236461427</v>
      </c>
      <c r="G563" s="68">
        <v>1.4533068</v>
      </c>
      <c r="H563" s="25">
        <f t="shared" si="36"/>
        <v>20916</v>
      </c>
    </row>
    <row r="564" customHeight="1" spans="1:8">
      <c r="A564" s="8">
        <f ca="1" t="shared" si="37"/>
        <v>205</v>
      </c>
      <c r="B564" s="129"/>
      <c r="C564" s="173" t="s">
        <v>943</v>
      </c>
      <c r="D564" s="174" t="s">
        <v>944</v>
      </c>
      <c r="E564" s="138" t="s">
        <v>452</v>
      </c>
      <c r="F564" s="166">
        <v>11553.3236461427</v>
      </c>
      <c r="G564" s="68">
        <v>1.92551195142655</v>
      </c>
      <c r="H564" s="25">
        <f t="shared" si="36"/>
        <v>22246</v>
      </c>
    </row>
    <row r="565" customHeight="1" spans="1:8">
      <c r="A565" s="8">
        <f ca="1" t="shared" si="37"/>
        <v>206</v>
      </c>
      <c r="B565" s="129"/>
      <c r="C565" s="173" t="s">
        <v>945</v>
      </c>
      <c r="D565" s="174" t="s">
        <v>946</v>
      </c>
      <c r="E565" s="138" t="s">
        <v>452</v>
      </c>
      <c r="F565" s="166">
        <v>2838.8</v>
      </c>
      <c r="G565" s="68">
        <v>0</v>
      </c>
      <c r="H565" s="25">
        <f t="shared" si="36"/>
        <v>0</v>
      </c>
    </row>
    <row r="566" customHeight="1" spans="1:8">
      <c r="A566" s="8">
        <f ca="1" t="shared" si="37"/>
        <v>207</v>
      </c>
      <c r="B566" s="129"/>
      <c r="C566" s="173" t="s">
        <v>947</v>
      </c>
      <c r="D566" s="174" t="s">
        <v>948</v>
      </c>
      <c r="E566" s="138" t="s">
        <v>452</v>
      </c>
      <c r="F566" s="166">
        <v>118.8</v>
      </c>
      <c r="G566" s="68">
        <v>179.847851041431</v>
      </c>
      <c r="H566" s="25">
        <f t="shared" si="36"/>
        <v>21366</v>
      </c>
    </row>
    <row r="567" customHeight="1" spans="1:8">
      <c r="A567" s="8">
        <f ca="1" t="shared" si="37"/>
        <v>208</v>
      </c>
      <c r="B567" s="129"/>
      <c r="C567" s="173" t="s">
        <v>949</v>
      </c>
      <c r="D567" s="174" t="s">
        <v>950</v>
      </c>
      <c r="E567" s="138" t="s">
        <v>329</v>
      </c>
      <c r="F567" s="166">
        <v>196</v>
      </c>
      <c r="G567" s="68">
        <v>0</v>
      </c>
      <c r="H567" s="25">
        <f t="shared" si="36"/>
        <v>0</v>
      </c>
    </row>
    <row r="568" customHeight="1" spans="1:8">
      <c r="A568" s="8">
        <f ca="1" t="shared" si="37"/>
        <v>209</v>
      </c>
      <c r="B568" s="129"/>
      <c r="C568" s="173" t="s">
        <v>951</v>
      </c>
      <c r="D568" s="174" t="s">
        <v>952</v>
      </c>
      <c r="E568" s="138" t="s">
        <v>452</v>
      </c>
      <c r="F568" s="166">
        <v>1349.8416</v>
      </c>
      <c r="G568" s="68">
        <v>214.487041540365</v>
      </c>
      <c r="H568" s="25">
        <f t="shared" si="36"/>
        <v>289524</v>
      </c>
    </row>
    <row r="569" customHeight="1" spans="1:8">
      <c r="A569" s="8">
        <f ca="1" t="shared" si="37"/>
        <v>210</v>
      </c>
      <c r="B569" s="129"/>
      <c r="C569" s="173" t="s">
        <v>953</v>
      </c>
      <c r="D569" s="174" t="s">
        <v>954</v>
      </c>
      <c r="E569" s="138" t="s">
        <v>329</v>
      </c>
      <c r="F569" s="166">
        <v>7474.792</v>
      </c>
      <c r="G569" s="68">
        <v>0</v>
      </c>
      <c r="H569" s="25">
        <f t="shared" si="36"/>
        <v>0</v>
      </c>
    </row>
    <row r="570" customHeight="1" spans="1:8">
      <c r="A570" s="8">
        <f ca="1" t="shared" si="37"/>
        <v>211</v>
      </c>
      <c r="B570" s="129"/>
      <c r="C570" s="173" t="s">
        <v>955</v>
      </c>
      <c r="D570" s="174" t="s">
        <v>956</v>
      </c>
      <c r="E570" s="138" t="s">
        <v>445</v>
      </c>
      <c r="F570" s="166">
        <v>225.819778666667</v>
      </c>
      <c r="G570" s="68">
        <v>1175.84395400994</v>
      </c>
      <c r="H570" s="25">
        <f t="shared" si="36"/>
        <v>265529</v>
      </c>
    </row>
    <row r="571" customHeight="1" spans="1:8">
      <c r="A571" s="8">
        <f ca="1" t="shared" si="37"/>
        <v>212</v>
      </c>
      <c r="B571" s="129"/>
      <c r="C571" s="173" t="s">
        <v>957</v>
      </c>
      <c r="D571" s="174" t="s">
        <v>958</v>
      </c>
      <c r="E571" s="175" t="s">
        <v>959</v>
      </c>
      <c r="F571" s="166">
        <v>200</v>
      </c>
      <c r="G571" s="68">
        <v>0</v>
      </c>
      <c r="H571" s="25">
        <f t="shared" si="36"/>
        <v>0</v>
      </c>
    </row>
    <row r="572" customHeight="1" spans="1:8">
      <c r="A572" s="8">
        <f ca="1" t="shared" si="37"/>
        <v>213</v>
      </c>
      <c r="B572" s="129"/>
      <c r="C572" s="173" t="s">
        <v>960</v>
      </c>
      <c r="D572" s="174" t="s">
        <v>961</v>
      </c>
      <c r="E572" s="138" t="s">
        <v>445</v>
      </c>
      <c r="F572" s="166">
        <v>4</v>
      </c>
      <c r="G572" s="68">
        <v>2228.8486720608</v>
      </c>
      <c r="H572" s="25">
        <f t="shared" si="36"/>
        <v>8915</v>
      </c>
    </row>
    <row r="573" customHeight="1" spans="1:8">
      <c r="B573" s="129"/>
      <c r="C573" s="173" t="s">
        <v>962</v>
      </c>
      <c r="D573" s="174" t="s">
        <v>963</v>
      </c>
      <c r="E573" s="138" t="s">
        <v>329</v>
      </c>
      <c r="F573" s="166"/>
      <c r="G573" s="68">
        <v>0</v>
      </c>
      <c r="H573" s="25">
        <f t="shared" si="36"/>
        <v>0</v>
      </c>
    </row>
    <row r="574" customHeight="1" spans="1:8">
      <c r="A574" s="8">
        <f ca="1" t="shared" ref="A574:A584" si="38">COUNTA(OFFSET(A$1,0,0,ROW()-1,1))+1</f>
        <v>214</v>
      </c>
      <c r="B574" s="84"/>
      <c r="C574" s="89" t="s">
        <v>964</v>
      </c>
      <c r="D574" s="90" t="s">
        <v>965</v>
      </c>
      <c r="E574" s="86" t="s">
        <v>238</v>
      </c>
      <c r="F574" s="170">
        <v>26</v>
      </c>
      <c r="G574" s="68">
        <v>0</v>
      </c>
      <c r="H574" s="25">
        <f t="shared" si="36"/>
        <v>0</v>
      </c>
    </row>
    <row r="575" customHeight="1" spans="1:8">
      <c r="A575" s="8">
        <f ca="1" t="shared" si="38"/>
        <v>215</v>
      </c>
      <c r="B575" s="129"/>
      <c r="C575" s="173" t="s">
        <v>941</v>
      </c>
      <c r="D575" s="174" t="s">
        <v>942</v>
      </c>
      <c r="E575" s="138" t="s">
        <v>452</v>
      </c>
      <c r="F575" s="166">
        <v>3017.06935163164</v>
      </c>
      <c r="G575" s="68">
        <v>1.4533068</v>
      </c>
      <c r="H575" s="25">
        <f t="shared" si="36"/>
        <v>4385</v>
      </c>
    </row>
    <row r="576" customHeight="1" spans="1:8">
      <c r="A576" s="8">
        <f ca="1" t="shared" si="38"/>
        <v>216</v>
      </c>
      <c r="B576" s="129"/>
      <c r="C576" s="173" t="s">
        <v>943</v>
      </c>
      <c r="D576" s="174" t="s">
        <v>944</v>
      </c>
      <c r="E576" s="138" t="s">
        <v>452</v>
      </c>
      <c r="F576" s="166">
        <v>2685.89175163164</v>
      </c>
      <c r="G576" s="68">
        <v>1.92551195142655</v>
      </c>
      <c r="H576" s="25">
        <f t="shared" si="36"/>
        <v>5172</v>
      </c>
    </row>
    <row r="577" customHeight="1" spans="1:8">
      <c r="A577" s="8">
        <f ca="1" t="shared" si="38"/>
        <v>217</v>
      </c>
      <c r="B577" s="129"/>
      <c r="C577" s="173" t="s">
        <v>945</v>
      </c>
      <c r="D577" s="174" t="s">
        <v>946</v>
      </c>
      <c r="E577" s="138" t="s">
        <v>452</v>
      </c>
      <c r="F577" s="166">
        <v>331.1776</v>
      </c>
      <c r="G577" s="68">
        <v>0</v>
      </c>
      <c r="H577" s="25">
        <f t="shared" si="36"/>
        <v>0</v>
      </c>
    </row>
    <row r="578" customHeight="1" spans="1:8">
      <c r="A578" s="8">
        <f ca="1" t="shared" si="38"/>
        <v>218</v>
      </c>
      <c r="B578" s="129"/>
      <c r="C578" s="173" t="s">
        <v>947</v>
      </c>
      <c r="D578" s="174" t="s">
        <v>948</v>
      </c>
      <c r="E578" s="138" t="s">
        <v>452</v>
      </c>
      <c r="F578" s="166">
        <v>10.374</v>
      </c>
      <c r="G578" s="68">
        <v>179.847851041431</v>
      </c>
      <c r="H578" s="25">
        <f t="shared" si="36"/>
        <v>1866</v>
      </c>
    </row>
    <row r="579" customHeight="1" spans="1:8">
      <c r="A579" s="8">
        <f ca="1" t="shared" si="38"/>
        <v>219</v>
      </c>
      <c r="B579" s="129"/>
      <c r="C579" s="173" t="s">
        <v>949</v>
      </c>
      <c r="D579" s="174" t="s">
        <v>950</v>
      </c>
      <c r="E579" s="138" t="s">
        <v>329</v>
      </c>
      <c r="F579" s="166">
        <v>20.8</v>
      </c>
      <c r="G579" s="68">
        <v>0</v>
      </c>
      <c r="H579" s="25">
        <f t="shared" si="36"/>
        <v>0</v>
      </c>
    </row>
    <row r="580" customHeight="1" spans="1:8">
      <c r="A580" s="8">
        <f ca="1" t="shared" si="38"/>
        <v>220</v>
      </c>
      <c r="B580" s="129"/>
      <c r="C580" s="173" t="s">
        <v>951</v>
      </c>
      <c r="D580" s="174" t="s">
        <v>952</v>
      </c>
      <c r="E580" s="138" t="s">
        <v>452</v>
      </c>
      <c r="F580" s="166">
        <v>169.967408</v>
      </c>
      <c r="G580" s="68">
        <v>249.748251769181</v>
      </c>
      <c r="H580" s="25">
        <f t="shared" si="36"/>
        <v>42449</v>
      </c>
    </row>
    <row r="581" customHeight="1" spans="1:8">
      <c r="A581" s="8">
        <f ca="1" t="shared" si="38"/>
        <v>221</v>
      </c>
      <c r="B581" s="129"/>
      <c r="C581" s="173" t="s">
        <v>953</v>
      </c>
      <c r="D581" s="174" t="s">
        <v>954</v>
      </c>
      <c r="E581" s="138" t="s">
        <v>329</v>
      </c>
      <c r="F581" s="166">
        <v>1120.44296</v>
      </c>
      <c r="G581" s="68">
        <v>0</v>
      </c>
      <c r="H581" s="25">
        <f t="shared" si="36"/>
        <v>0</v>
      </c>
    </row>
    <row r="582" customHeight="1" spans="1:8">
      <c r="A582" s="8">
        <f ca="1" t="shared" si="38"/>
        <v>222</v>
      </c>
      <c r="B582" s="129"/>
      <c r="C582" s="173" t="s">
        <v>955</v>
      </c>
      <c r="D582" s="174" t="s">
        <v>956</v>
      </c>
      <c r="E582" s="138" t="s">
        <v>445</v>
      </c>
      <c r="F582" s="166">
        <v>26.0792740693333</v>
      </c>
      <c r="G582" s="68">
        <v>1426.23600027515</v>
      </c>
      <c r="H582" s="25">
        <f t="shared" si="36"/>
        <v>37195</v>
      </c>
    </row>
    <row r="583" customHeight="1" spans="1:8">
      <c r="A583" s="8">
        <f ca="1" t="shared" si="38"/>
        <v>223</v>
      </c>
      <c r="B583" s="129"/>
      <c r="C583" s="173" t="s">
        <v>957</v>
      </c>
      <c r="D583" s="174" t="s">
        <v>958</v>
      </c>
      <c r="E583" s="175" t="s">
        <v>959</v>
      </c>
      <c r="F583" s="166">
        <v>26</v>
      </c>
      <c r="G583" s="68">
        <v>0</v>
      </c>
      <c r="H583" s="25">
        <f t="shared" si="36"/>
        <v>0</v>
      </c>
    </row>
    <row r="584" customHeight="1" spans="1:8">
      <c r="A584" s="8">
        <f ca="1" t="shared" si="38"/>
        <v>224</v>
      </c>
      <c r="B584" s="129"/>
      <c r="C584" s="173" t="s">
        <v>960</v>
      </c>
      <c r="D584" s="174" t="s">
        <v>961</v>
      </c>
      <c r="E584" s="138" t="s">
        <v>445</v>
      </c>
      <c r="F584" s="166">
        <v>0.52</v>
      </c>
      <c r="G584" s="68">
        <v>2228.8486720608</v>
      </c>
      <c r="H584" s="25">
        <f t="shared" ref="H584:H647" si="39">IFERROR(ROUND(G584*F584,0),0)</f>
        <v>1159</v>
      </c>
    </row>
    <row r="585" customHeight="1" spans="1:8">
      <c r="B585" s="129"/>
      <c r="C585" s="173" t="s">
        <v>962</v>
      </c>
      <c r="D585" s="174" t="s">
        <v>963</v>
      </c>
      <c r="E585" s="138" t="s">
        <v>329</v>
      </c>
      <c r="F585" s="166"/>
      <c r="G585" s="68">
        <v>0</v>
      </c>
      <c r="H585" s="25">
        <f t="shared" si="39"/>
        <v>0</v>
      </c>
    </row>
    <row r="586" customHeight="1" spans="1:8">
      <c r="A586" s="8">
        <f ca="1" t="shared" ref="A586:A596" si="40">COUNTA(OFFSET(A$1,0,0,ROW()-1,1))+1</f>
        <v>225</v>
      </c>
      <c r="B586" s="84"/>
      <c r="C586" s="89" t="s">
        <v>966</v>
      </c>
      <c r="D586" s="90" t="s">
        <v>967</v>
      </c>
      <c r="E586" s="86" t="s">
        <v>238</v>
      </c>
      <c r="F586" s="170">
        <v>15</v>
      </c>
      <c r="G586" s="68">
        <v>0</v>
      </c>
      <c r="H586" s="25">
        <f t="shared" si="39"/>
        <v>0</v>
      </c>
    </row>
    <row r="587" customHeight="1" spans="1:8">
      <c r="A587" s="8">
        <f ca="1" t="shared" si="40"/>
        <v>226</v>
      </c>
      <c r="B587" s="129"/>
      <c r="C587" s="173" t="s">
        <v>941</v>
      </c>
      <c r="D587" s="174" t="s">
        <v>942</v>
      </c>
      <c r="E587" s="138" t="s">
        <v>452</v>
      </c>
      <c r="F587" s="166">
        <v>1995.89804148598</v>
      </c>
      <c r="G587" s="68">
        <v>1.4533068</v>
      </c>
      <c r="H587" s="25">
        <f t="shared" si="39"/>
        <v>2901</v>
      </c>
    </row>
    <row r="588" customHeight="1" spans="1:8">
      <c r="A588" s="8">
        <f ca="1" t="shared" si="40"/>
        <v>227</v>
      </c>
      <c r="B588" s="129"/>
      <c r="C588" s="173" t="s">
        <v>943</v>
      </c>
      <c r="D588" s="174" t="s">
        <v>944</v>
      </c>
      <c r="E588" s="138" t="s">
        <v>452</v>
      </c>
      <c r="F588" s="166">
        <v>1710.51404148598</v>
      </c>
      <c r="G588" s="68">
        <v>1.92551195142655</v>
      </c>
      <c r="H588" s="25">
        <f t="shared" si="39"/>
        <v>3294</v>
      </c>
    </row>
    <row r="589" customHeight="1" spans="1:8">
      <c r="A589" s="8">
        <f ca="1" t="shared" si="40"/>
        <v>228</v>
      </c>
      <c r="B589" s="129"/>
      <c r="C589" s="173" t="s">
        <v>945</v>
      </c>
      <c r="D589" s="174" t="s">
        <v>946</v>
      </c>
      <c r="E589" s="138" t="s">
        <v>452</v>
      </c>
      <c r="F589" s="166">
        <v>285.384</v>
      </c>
      <c r="G589" s="68">
        <v>0</v>
      </c>
      <c r="H589" s="25">
        <f t="shared" si="39"/>
        <v>0</v>
      </c>
    </row>
    <row r="590" customHeight="1" spans="1:8">
      <c r="A590" s="8">
        <f ca="1" t="shared" si="40"/>
        <v>229</v>
      </c>
      <c r="B590" s="129"/>
      <c r="C590" s="173" t="s">
        <v>947</v>
      </c>
      <c r="D590" s="174" t="s">
        <v>948</v>
      </c>
      <c r="E590" s="138" t="s">
        <v>452</v>
      </c>
      <c r="F590" s="166">
        <v>8.625</v>
      </c>
      <c r="G590" s="68">
        <v>179.847851041431</v>
      </c>
      <c r="H590" s="25">
        <f t="shared" si="39"/>
        <v>1551</v>
      </c>
    </row>
    <row r="591" customHeight="1" spans="1:8">
      <c r="A591" s="8">
        <f ca="1" t="shared" si="40"/>
        <v>230</v>
      </c>
      <c r="B591" s="129"/>
      <c r="C591" s="173" t="s">
        <v>949</v>
      </c>
      <c r="D591" s="174" t="s">
        <v>950</v>
      </c>
      <c r="E591" s="138" t="s">
        <v>329</v>
      </c>
      <c r="F591" s="166">
        <v>14.4</v>
      </c>
      <c r="G591" s="68">
        <v>0</v>
      </c>
      <c r="H591" s="25">
        <f t="shared" si="39"/>
        <v>0</v>
      </c>
    </row>
    <row r="592" customHeight="1" spans="1:8">
      <c r="A592" s="8">
        <f ca="1" t="shared" si="40"/>
        <v>231</v>
      </c>
      <c r="B592" s="129"/>
      <c r="C592" s="173" t="s">
        <v>951</v>
      </c>
      <c r="D592" s="174" t="s">
        <v>952</v>
      </c>
      <c r="E592" s="138" t="s">
        <v>452</v>
      </c>
      <c r="F592" s="166">
        <v>130.45812</v>
      </c>
      <c r="G592" s="68">
        <v>214.487041540365</v>
      </c>
      <c r="H592" s="25">
        <f t="shared" si="39"/>
        <v>27982</v>
      </c>
    </row>
    <row r="593" customHeight="1" spans="1:8">
      <c r="A593" s="8">
        <f ca="1" t="shared" si="40"/>
        <v>232</v>
      </c>
      <c r="B593" s="129"/>
      <c r="C593" s="173" t="s">
        <v>953</v>
      </c>
      <c r="D593" s="174" t="s">
        <v>954</v>
      </c>
      <c r="E593" s="138" t="s">
        <v>329</v>
      </c>
      <c r="F593" s="166">
        <v>804.8094</v>
      </c>
      <c r="G593" s="68">
        <v>0</v>
      </c>
      <c r="H593" s="25">
        <f t="shared" si="39"/>
        <v>0</v>
      </c>
    </row>
    <row r="594" customHeight="1" spans="1:8">
      <c r="A594" s="8">
        <f ca="1" t="shared" si="40"/>
        <v>233</v>
      </c>
      <c r="B594" s="129"/>
      <c r="C594" s="173" t="s">
        <v>955</v>
      </c>
      <c r="D594" s="174" t="s">
        <v>956</v>
      </c>
      <c r="E594" s="138" t="s">
        <v>445</v>
      </c>
      <c r="F594" s="166">
        <v>20.68159424</v>
      </c>
      <c r="G594" s="68">
        <v>1175.84395400994</v>
      </c>
      <c r="H594" s="25">
        <f t="shared" si="39"/>
        <v>24318</v>
      </c>
    </row>
    <row r="595" customHeight="1" spans="1:8">
      <c r="A595" s="8">
        <f ca="1" t="shared" si="40"/>
        <v>234</v>
      </c>
      <c r="B595" s="129"/>
      <c r="C595" s="173" t="s">
        <v>957</v>
      </c>
      <c r="D595" s="174" t="s">
        <v>958</v>
      </c>
      <c r="E595" s="175" t="s">
        <v>959</v>
      </c>
      <c r="F595" s="166">
        <v>15</v>
      </c>
      <c r="G595" s="68">
        <v>0</v>
      </c>
      <c r="H595" s="25">
        <f t="shared" si="39"/>
        <v>0</v>
      </c>
    </row>
    <row r="596" customHeight="1" spans="1:8">
      <c r="A596" s="8">
        <f ca="1" t="shared" si="40"/>
        <v>235</v>
      </c>
      <c r="B596" s="129"/>
      <c r="C596" s="173" t="s">
        <v>960</v>
      </c>
      <c r="D596" s="174" t="s">
        <v>961</v>
      </c>
      <c r="E596" s="138" t="s">
        <v>445</v>
      </c>
      <c r="F596" s="166">
        <v>0.3</v>
      </c>
      <c r="G596" s="68">
        <v>2228.8486720608</v>
      </c>
      <c r="H596" s="25">
        <f t="shared" si="39"/>
        <v>669</v>
      </c>
    </row>
    <row r="597" customHeight="1" spans="1:8">
      <c r="B597" s="129"/>
      <c r="C597" s="173" t="s">
        <v>962</v>
      </c>
      <c r="D597" s="174" t="s">
        <v>963</v>
      </c>
      <c r="E597" s="138" t="s">
        <v>329</v>
      </c>
      <c r="F597" s="166"/>
      <c r="G597" s="68">
        <v>0</v>
      </c>
      <c r="H597" s="25">
        <f t="shared" si="39"/>
        <v>0</v>
      </c>
    </row>
    <row r="598" customHeight="1" spans="1:8">
      <c r="A598" s="8">
        <f ca="1" t="shared" ref="A598:A608" si="41">COUNTA(OFFSET(A$1,0,0,ROW()-1,1))+1</f>
        <v>236</v>
      </c>
      <c r="B598" s="84" t="s">
        <v>968</v>
      </c>
      <c r="C598" s="89" t="s">
        <v>969</v>
      </c>
      <c r="D598" s="90" t="s">
        <v>970</v>
      </c>
      <c r="E598" s="86" t="s">
        <v>238</v>
      </c>
      <c r="F598" s="170">
        <v>100</v>
      </c>
      <c r="G598" s="68">
        <v>0</v>
      </c>
      <c r="H598" s="25">
        <f t="shared" si="39"/>
        <v>0</v>
      </c>
    </row>
    <row r="599" customHeight="1" spans="1:8">
      <c r="A599" s="8">
        <f ca="1" t="shared" si="41"/>
        <v>237</v>
      </c>
      <c r="B599" s="129"/>
      <c r="C599" s="173" t="s">
        <v>941</v>
      </c>
      <c r="D599" s="174" t="s">
        <v>942</v>
      </c>
      <c r="E599" s="138" t="s">
        <v>452</v>
      </c>
      <c r="F599" s="166">
        <v>1798.33196965127</v>
      </c>
      <c r="G599" s="68">
        <v>1.4533068</v>
      </c>
      <c r="H599" s="25">
        <f t="shared" si="39"/>
        <v>2614</v>
      </c>
    </row>
    <row r="600" customHeight="1" spans="1:8">
      <c r="A600" s="8">
        <f ca="1" t="shared" si="41"/>
        <v>238</v>
      </c>
      <c r="B600" s="129"/>
      <c r="C600" s="173" t="s">
        <v>943</v>
      </c>
      <c r="D600" s="174" t="s">
        <v>944</v>
      </c>
      <c r="E600" s="138" t="s">
        <v>452</v>
      </c>
      <c r="F600" s="166">
        <v>1656.09196965127</v>
      </c>
      <c r="G600" s="68">
        <v>1.92551195142655</v>
      </c>
      <c r="H600" s="25">
        <f t="shared" si="39"/>
        <v>3189</v>
      </c>
    </row>
    <row r="601" customHeight="1" spans="1:8">
      <c r="A601" s="8">
        <f ca="1" t="shared" si="41"/>
        <v>239</v>
      </c>
      <c r="B601" s="129"/>
      <c r="C601" s="173" t="s">
        <v>945</v>
      </c>
      <c r="D601" s="174" t="s">
        <v>946</v>
      </c>
      <c r="E601" s="138" t="s">
        <v>452</v>
      </c>
      <c r="F601" s="166">
        <v>142.24</v>
      </c>
      <c r="G601" s="68">
        <v>0</v>
      </c>
      <c r="H601" s="25">
        <f t="shared" si="39"/>
        <v>0</v>
      </c>
    </row>
    <row r="602" customHeight="1" spans="1:8">
      <c r="A602" s="8">
        <f ca="1" t="shared" si="41"/>
        <v>240</v>
      </c>
      <c r="B602" s="129"/>
      <c r="C602" s="173" t="s">
        <v>947</v>
      </c>
      <c r="D602" s="174" t="s">
        <v>948</v>
      </c>
      <c r="E602" s="138" t="s">
        <v>452</v>
      </c>
      <c r="F602" s="166">
        <v>11.2</v>
      </c>
      <c r="G602" s="68">
        <v>179.847851041431</v>
      </c>
      <c r="H602" s="25">
        <f t="shared" si="39"/>
        <v>2014</v>
      </c>
    </row>
    <row r="603" customHeight="1" spans="1:8">
      <c r="A603" s="8">
        <f ca="1" t="shared" si="41"/>
        <v>241</v>
      </c>
      <c r="B603" s="129"/>
      <c r="C603" s="173" t="s">
        <v>949</v>
      </c>
      <c r="D603" s="174" t="s">
        <v>950</v>
      </c>
      <c r="E603" s="138" t="s">
        <v>329</v>
      </c>
      <c r="F603" s="166">
        <v>44</v>
      </c>
      <c r="G603" s="68">
        <v>0</v>
      </c>
      <c r="H603" s="25">
        <f t="shared" si="39"/>
        <v>0</v>
      </c>
    </row>
    <row r="604" customHeight="1" spans="1:8">
      <c r="A604" s="8">
        <f ca="1" t="shared" si="41"/>
        <v>242</v>
      </c>
      <c r="B604" s="129"/>
      <c r="C604" s="173" t="s">
        <v>951</v>
      </c>
      <c r="D604" s="174" t="s">
        <v>952</v>
      </c>
      <c r="E604" s="138" t="s">
        <v>452</v>
      </c>
      <c r="F604" s="166">
        <v>103.1208</v>
      </c>
      <c r="G604" s="68">
        <v>214.487041540365</v>
      </c>
      <c r="H604" s="25">
        <f t="shared" si="39"/>
        <v>22118</v>
      </c>
    </row>
    <row r="605" customHeight="1" spans="1:8">
      <c r="A605" s="8">
        <f ca="1" t="shared" si="41"/>
        <v>243</v>
      </c>
      <c r="B605" s="129"/>
      <c r="C605" s="173" t="s">
        <v>953</v>
      </c>
      <c r="D605" s="174" t="s">
        <v>954</v>
      </c>
      <c r="E605" s="138" t="s">
        <v>329</v>
      </c>
      <c r="F605" s="166">
        <v>893.396</v>
      </c>
      <c r="G605" s="68">
        <v>0</v>
      </c>
      <c r="H605" s="25">
        <f t="shared" si="39"/>
        <v>0</v>
      </c>
    </row>
    <row r="606" customHeight="1" spans="1:8">
      <c r="A606" s="8">
        <f ca="1" t="shared" si="41"/>
        <v>244</v>
      </c>
      <c r="B606" s="129"/>
      <c r="C606" s="173" t="s">
        <v>955</v>
      </c>
      <c r="D606" s="174" t="s">
        <v>956</v>
      </c>
      <c r="E606" s="138" t="s">
        <v>445</v>
      </c>
      <c r="F606" s="166">
        <v>13.2016984</v>
      </c>
      <c r="G606" s="68">
        <v>1175.84395400994</v>
      </c>
      <c r="H606" s="25">
        <f t="shared" si="39"/>
        <v>15523</v>
      </c>
    </row>
    <row r="607" customHeight="1" spans="1:8">
      <c r="A607" s="8">
        <f ca="1" t="shared" si="41"/>
        <v>245</v>
      </c>
      <c r="B607" s="129"/>
      <c r="C607" s="173" t="s">
        <v>957</v>
      </c>
      <c r="D607" s="174" t="s">
        <v>958</v>
      </c>
      <c r="E607" s="175" t="s">
        <v>959</v>
      </c>
      <c r="F607" s="166">
        <v>100</v>
      </c>
      <c r="G607" s="68">
        <v>0</v>
      </c>
      <c r="H607" s="25">
        <f t="shared" si="39"/>
        <v>0</v>
      </c>
    </row>
    <row r="608" customHeight="1" spans="1:8">
      <c r="A608" s="8">
        <f ca="1" t="shared" si="41"/>
        <v>246</v>
      </c>
      <c r="B608" s="129"/>
      <c r="C608" s="173" t="s">
        <v>960</v>
      </c>
      <c r="D608" s="174" t="s">
        <v>961</v>
      </c>
      <c r="E608" s="138" t="s">
        <v>445</v>
      </c>
      <c r="F608" s="166">
        <v>2</v>
      </c>
      <c r="G608" s="68">
        <v>2228.8486720608</v>
      </c>
      <c r="H608" s="25">
        <f t="shared" si="39"/>
        <v>4458</v>
      </c>
    </row>
    <row r="609" customHeight="1" spans="1:8">
      <c r="B609" s="129"/>
      <c r="C609" s="173" t="s">
        <v>962</v>
      </c>
      <c r="D609" s="174" t="s">
        <v>963</v>
      </c>
      <c r="E609" s="138" t="s">
        <v>329</v>
      </c>
      <c r="F609" s="166"/>
      <c r="G609" s="68">
        <v>0</v>
      </c>
      <c r="H609" s="25">
        <f t="shared" si="39"/>
        <v>0</v>
      </c>
    </row>
    <row r="610" customHeight="1" spans="1:8">
      <c r="B610" s="84" t="s">
        <v>971</v>
      </c>
      <c r="C610" s="89" t="s">
        <v>972</v>
      </c>
      <c r="D610" s="90" t="s">
        <v>973</v>
      </c>
      <c r="E610" s="86"/>
      <c r="F610" s="170"/>
      <c r="G610" s="68">
        <v>0</v>
      </c>
      <c r="H610" s="25">
        <f t="shared" si="39"/>
        <v>0</v>
      </c>
    </row>
    <row r="611" customHeight="1" spans="1:8">
      <c r="A611" s="8">
        <f ca="1" t="shared" ref="A611:A623" si="42">COUNTA(OFFSET(A$1,0,0,ROW()-1,1))+1</f>
        <v>247</v>
      </c>
      <c r="B611" s="84" t="s">
        <v>974</v>
      </c>
      <c r="C611" s="89" t="s">
        <v>975</v>
      </c>
      <c r="D611" s="90" t="s">
        <v>976</v>
      </c>
      <c r="E611" s="86" t="s">
        <v>238</v>
      </c>
      <c r="F611" s="170">
        <v>1</v>
      </c>
      <c r="G611" s="68">
        <v>0</v>
      </c>
      <c r="H611" s="25">
        <f t="shared" si="39"/>
        <v>0</v>
      </c>
    </row>
    <row r="612" customHeight="1" spans="1:8">
      <c r="A612" s="8">
        <f ca="1" t="shared" si="42"/>
        <v>248</v>
      </c>
      <c r="B612" s="84" t="s">
        <v>977</v>
      </c>
      <c r="C612" s="89" t="s">
        <v>978</v>
      </c>
      <c r="D612" s="90" t="s">
        <v>979</v>
      </c>
      <c r="E612" s="86" t="s">
        <v>238</v>
      </c>
      <c r="F612" s="170">
        <v>2</v>
      </c>
      <c r="G612" s="68">
        <v>0</v>
      </c>
      <c r="H612" s="25">
        <f t="shared" si="39"/>
        <v>0</v>
      </c>
    </row>
    <row r="613" customHeight="1" spans="1:8">
      <c r="A613" s="8">
        <f ca="1" t="shared" si="42"/>
        <v>249</v>
      </c>
      <c r="B613" s="84" t="s">
        <v>980</v>
      </c>
      <c r="C613" s="89" t="s">
        <v>981</v>
      </c>
      <c r="D613" s="90" t="s">
        <v>982</v>
      </c>
      <c r="E613" s="86" t="s">
        <v>238</v>
      </c>
      <c r="F613" s="170">
        <v>3</v>
      </c>
      <c r="G613" s="68">
        <v>0</v>
      </c>
      <c r="H613" s="25">
        <f t="shared" si="39"/>
        <v>0</v>
      </c>
    </row>
    <row r="614" customHeight="1" spans="1:8">
      <c r="A614" s="8">
        <f ca="1" t="shared" si="42"/>
        <v>250</v>
      </c>
      <c r="B614" s="129"/>
      <c r="C614" s="173" t="s">
        <v>941</v>
      </c>
      <c r="D614" s="174" t="s">
        <v>942</v>
      </c>
      <c r="E614" s="138" t="s">
        <v>452</v>
      </c>
      <c r="F614" s="166">
        <v>627.1654680928</v>
      </c>
      <c r="G614" s="68">
        <v>1.4533068</v>
      </c>
      <c r="H614" s="25">
        <f t="shared" si="39"/>
        <v>911</v>
      </c>
    </row>
    <row r="615" customHeight="1" spans="1:8">
      <c r="A615" s="8">
        <f ca="1" t="shared" si="42"/>
        <v>251</v>
      </c>
      <c r="B615" s="129"/>
      <c r="C615" s="173" t="s">
        <v>943</v>
      </c>
      <c r="D615" s="174" t="s">
        <v>944</v>
      </c>
      <c r="E615" s="138" t="s">
        <v>452</v>
      </c>
      <c r="F615" s="166">
        <v>515.2888680928</v>
      </c>
      <c r="G615" s="68">
        <v>1.92551195142655</v>
      </c>
      <c r="H615" s="25">
        <f t="shared" si="39"/>
        <v>992</v>
      </c>
    </row>
    <row r="616" customHeight="1" spans="1:8">
      <c r="A616" s="8">
        <f ca="1" t="shared" si="42"/>
        <v>252</v>
      </c>
      <c r="B616" s="129"/>
      <c r="C616" s="173" t="s">
        <v>945</v>
      </c>
      <c r="D616" s="174" t="s">
        <v>946</v>
      </c>
      <c r="E616" s="138" t="s">
        <v>452</v>
      </c>
      <c r="F616" s="166">
        <v>111.8766</v>
      </c>
      <c r="G616" s="68">
        <v>0</v>
      </c>
      <c r="H616" s="25">
        <f t="shared" si="39"/>
        <v>0</v>
      </c>
    </row>
    <row r="617" customHeight="1" spans="1:8">
      <c r="A617" s="8">
        <f ca="1" t="shared" si="42"/>
        <v>253</v>
      </c>
      <c r="B617" s="129"/>
      <c r="C617" s="173" t="s">
        <v>947</v>
      </c>
      <c r="D617" s="174" t="s">
        <v>948</v>
      </c>
      <c r="E617" s="138" t="s">
        <v>452</v>
      </c>
      <c r="F617" s="166">
        <v>2.883</v>
      </c>
      <c r="G617" s="68">
        <v>179.847851041431</v>
      </c>
      <c r="H617" s="25">
        <f t="shared" si="39"/>
        <v>519</v>
      </c>
    </row>
    <row r="618" customHeight="1" spans="1:8">
      <c r="A618" s="8">
        <f ca="1" t="shared" si="42"/>
        <v>254</v>
      </c>
      <c r="B618" s="129"/>
      <c r="C618" s="173" t="s">
        <v>949</v>
      </c>
      <c r="D618" s="174" t="s">
        <v>950</v>
      </c>
      <c r="E618" s="138" t="s">
        <v>329</v>
      </c>
      <c r="F618" s="166">
        <v>3.72</v>
      </c>
      <c r="G618" s="68">
        <v>0</v>
      </c>
      <c r="H618" s="25">
        <f t="shared" si="39"/>
        <v>0</v>
      </c>
    </row>
    <row r="619" customHeight="1" spans="1:8">
      <c r="A619" s="8">
        <f ca="1" t="shared" si="42"/>
        <v>255</v>
      </c>
      <c r="B619" s="129"/>
      <c r="C619" s="173" t="s">
        <v>951</v>
      </c>
      <c r="D619" s="174" t="s">
        <v>952</v>
      </c>
      <c r="E619" s="138" t="s">
        <v>452</v>
      </c>
      <c r="F619" s="166">
        <v>42.810624</v>
      </c>
      <c r="G619" s="68">
        <v>214.487041540365</v>
      </c>
      <c r="H619" s="25">
        <f t="shared" si="39"/>
        <v>9182</v>
      </c>
    </row>
    <row r="620" customHeight="1" spans="1:8">
      <c r="A620" s="8">
        <f ca="1" t="shared" si="42"/>
        <v>256</v>
      </c>
      <c r="B620" s="129"/>
      <c r="C620" s="173" t="s">
        <v>953</v>
      </c>
      <c r="D620" s="174" t="s">
        <v>954</v>
      </c>
      <c r="E620" s="138" t="s">
        <v>329</v>
      </c>
      <c r="F620" s="166">
        <v>248.20188</v>
      </c>
      <c r="G620" s="68">
        <v>0</v>
      </c>
      <c r="H620" s="25">
        <f t="shared" si="39"/>
        <v>0</v>
      </c>
    </row>
    <row r="621" customHeight="1" spans="1:8">
      <c r="A621" s="8">
        <f ca="1" t="shared" si="42"/>
        <v>257</v>
      </c>
      <c r="B621" s="129"/>
      <c r="C621" s="173" t="s">
        <v>955</v>
      </c>
      <c r="D621" s="174" t="s">
        <v>956</v>
      </c>
      <c r="E621" s="138" t="s">
        <v>445</v>
      </c>
      <c r="F621" s="166">
        <v>6.953612816</v>
      </c>
      <c r="G621" s="68">
        <v>1175.84395400994</v>
      </c>
      <c r="H621" s="25">
        <f t="shared" si="39"/>
        <v>8176</v>
      </c>
    </row>
    <row r="622" customHeight="1" spans="1:8">
      <c r="A622" s="8">
        <f ca="1" t="shared" si="42"/>
        <v>258</v>
      </c>
      <c r="B622" s="129"/>
      <c r="C622" s="173" t="s">
        <v>957</v>
      </c>
      <c r="D622" s="174" t="s">
        <v>958</v>
      </c>
      <c r="E622" s="175" t="s">
        <v>959</v>
      </c>
      <c r="F622" s="166">
        <v>3</v>
      </c>
      <c r="G622" s="68">
        <v>0</v>
      </c>
      <c r="H622" s="25">
        <f t="shared" si="39"/>
        <v>0</v>
      </c>
    </row>
    <row r="623" customHeight="1" spans="1:8">
      <c r="A623" s="8">
        <f ca="1" t="shared" si="42"/>
        <v>259</v>
      </c>
      <c r="B623" s="129"/>
      <c r="C623" s="173" t="s">
        <v>960</v>
      </c>
      <c r="D623" s="174" t="s">
        <v>961</v>
      </c>
      <c r="E623" s="138" t="s">
        <v>445</v>
      </c>
      <c r="F623" s="166">
        <v>0.06</v>
      </c>
      <c r="G623" s="68">
        <v>2228.8486720608</v>
      </c>
      <c r="H623" s="25">
        <f t="shared" si="39"/>
        <v>134</v>
      </c>
    </row>
    <row r="624" customHeight="1" spans="1:8">
      <c r="B624" s="129"/>
      <c r="C624" s="173" t="s">
        <v>962</v>
      </c>
      <c r="D624" s="174" t="s">
        <v>963</v>
      </c>
      <c r="E624" s="138" t="s">
        <v>329</v>
      </c>
      <c r="F624" s="166"/>
      <c r="G624" s="68">
        <v>0</v>
      </c>
      <c r="H624" s="25">
        <f t="shared" si="39"/>
        <v>0</v>
      </c>
    </row>
    <row r="625" customHeight="1" spans="1:8">
      <c r="B625" s="84" t="s">
        <v>983</v>
      </c>
      <c r="C625" s="89" t="s">
        <v>984</v>
      </c>
      <c r="D625" s="90" t="s">
        <v>985</v>
      </c>
      <c r="E625" s="89"/>
      <c r="F625" s="170"/>
      <c r="G625" s="68">
        <v>0</v>
      </c>
      <c r="H625" s="25">
        <f t="shared" si="39"/>
        <v>0</v>
      </c>
    </row>
    <row r="626" customHeight="1" spans="1:8">
      <c r="A626" s="8">
        <f ca="1" t="shared" ref="A626:A648" si="43">COUNTA(OFFSET(A$1,0,0,ROW()-1,1))+1</f>
        <v>260</v>
      </c>
      <c r="B626" s="84" t="s">
        <v>986</v>
      </c>
      <c r="C626" s="89" t="s">
        <v>987</v>
      </c>
      <c r="D626" s="89" t="s">
        <v>988</v>
      </c>
      <c r="E626" s="86" t="s">
        <v>238</v>
      </c>
      <c r="F626" s="170">
        <v>1</v>
      </c>
      <c r="G626" s="68">
        <v>781.052791196828</v>
      </c>
      <c r="H626" s="25">
        <f t="shared" si="39"/>
        <v>781</v>
      </c>
    </row>
    <row r="627" customHeight="1" spans="1:8">
      <c r="A627" s="8">
        <f ca="1" t="shared" si="43"/>
        <v>261</v>
      </c>
      <c r="B627" s="84" t="s">
        <v>989</v>
      </c>
      <c r="C627" s="89" t="s">
        <v>990</v>
      </c>
      <c r="D627" s="89" t="s">
        <v>991</v>
      </c>
      <c r="E627" s="86" t="s">
        <v>238</v>
      </c>
      <c r="F627" s="170">
        <v>2</v>
      </c>
      <c r="G627" s="68">
        <v>0</v>
      </c>
      <c r="H627" s="25">
        <f t="shared" si="39"/>
        <v>0</v>
      </c>
    </row>
    <row r="628" customHeight="1" spans="1:8">
      <c r="A628" s="8">
        <f ca="1" t="shared" si="43"/>
        <v>262</v>
      </c>
      <c r="B628" s="84" t="s">
        <v>992</v>
      </c>
      <c r="C628" s="89" t="s">
        <v>993</v>
      </c>
      <c r="D628" s="90" t="s">
        <v>994</v>
      </c>
      <c r="E628" s="86" t="s">
        <v>238</v>
      </c>
      <c r="F628" s="107">
        <v>3</v>
      </c>
      <c r="G628" s="68">
        <v>0</v>
      </c>
      <c r="H628" s="25">
        <f t="shared" si="39"/>
        <v>0</v>
      </c>
    </row>
    <row r="629" customHeight="1" spans="1:8">
      <c r="A629" s="8">
        <f ca="1" t="shared" si="43"/>
        <v>263</v>
      </c>
      <c r="B629" s="84" t="s">
        <v>995</v>
      </c>
      <c r="C629" s="89" t="s">
        <v>996</v>
      </c>
      <c r="D629" s="90" t="s">
        <v>997</v>
      </c>
      <c r="E629" s="86" t="s">
        <v>225</v>
      </c>
      <c r="F629" s="107">
        <v>80</v>
      </c>
      <c r="G629" s="68">
        <v>0</v>
      </c>
      <c r="H629" s="25">
        <f t="shared" si="39"/>
        <v>0</v>
      </c>
    </row>
    <row r="630" customHeight="1" spans="1:8">
      <c r="A630" s="8">
        <f ca="1" t="shared" si="43"/>
        <v>264</v>
      </c>
      <c r="B630" s="129"/>
      <c r="C630" s="130" t="s">
        <v>877</v>
      </c>
      <c r="D630" s="130" t="s">
        <v>878</v>
      </c>
      <c r="E630" s="138" t="s">
        <v>336</v>
      </c>
      <c r="F630" s="166">
        <f>1.6*F635</f>
        <v>908.8</v>
      </c>
      <c r="G630" s="68">
        <v>1.4533068</v>
      </c>
      <c r="H630" s="25">
        <f t="shared" si="39"/>
        <v>1321</v>
      </c>
    </row>
    <row r="631" customHeight="1" spans="1:8">
      <c r="A631" s="8">
        <f ca="1" t="shared" si="43"/>
        <v>265</v>
      </c>
      <c r="B631" s="129"/>
      <c r="C631" s="130" t="s">
        <v>879</v>
      </c>
      <c r="D631" s="130" t="s">
        <v>644</v>
      </c>
      <c r="E631" s="138" t="s">
        <v>336</v>
      </c>
      <c r="F631" s="166">
        <f>F630-F635</f>
        <v>340.8</v>
      </c>
      <c r="G631" s="68">
        <v>1.92551195142655</v>
      </c>
      <c r="H631" s="25">
        <f t="shared" si="39"/>
        <v>656</v>
      </c>
    </row>
    <row r="632" customHeight="1" spans="1:8">
      <c r="A632" s="8">
        <f ca="1" t="shared" si="43"/>
        <v>266</v>
      </c>
      <c r="B632" s="129"/>
      <c r="C632" s="130" t="s">
        <v>880</v>
      </c>
      <c r="D632" s="130" t="s">
        <v>881</v>
      </c>
      <c r="E632" s="138" t="s">
        <v>336</v>
      </c>
      <c r="F632" s="166">
        <f>F635</f>
        <v>568</v>
      </c>
      <c r="G632" s="68">
        <v>0</v>
      </c>
      <c r="H632" s="25">
        <f t="shared" si="39"/>
        <v>0</v>
      </c>
    </row>
    <row r="633" customHeight="1" spans="1:8">
      <c r="A633" s="8">
        <f ca="1" t="shared" si="43"/>
        <v>267</v>
      </c>
      <c r="B633" s="129"/>
      <c r="C633" s="130" t="s">
        <v>882</v>
      </c>
      <c r="D633" s="130" t="s">
        <v>883</v>
      </c>
      <c r="E633" s="138" t="s">
        <v>336</v>
      </c>
      <c r="F633" s="166">
        <v>100</v>
      </c>
      <c r="G633" s="68">
        <v>55.1731414424243</v>
      </c>
      <c r="H633" s="25">
        <f t="shared" si="39"/>
        <v>5517</v>
      </c>
    </row>
    <row r="634" customHeight="1" spans="1:8">
      <c r="A634" s="8">
        <f ca="1" t="shared" si="43"/>
        <v>268</v>
      </c>
      <c r="B634" s="129"/>
      <c r="C634" s="130" t="s">
        <v>884</v>
      </c>
      <c r="D634" s="130" t="s">
        <v>885</v>
      </c>
      <c r="E634" s="138" t="s">
        <v>336</v>
      </c>
      <c r="F634" s="166">
        <v>50</v>
      </c>
      <c r="G634" s="68">
        <v>187.554368510487</v>
      </c>
      <c r="H634" s="25">
        <f t="shared" si="39"/>
        <v>9378</v>
      </c>
    </row>
    <row r="635" customHeight="1" spans="1:8">
      <c r="A635" s="8">
        <f ca="1" t="shared" si="43"/>
        <v>269</v>
      </c>
      <c r="B635" s="129"/>
      <c r="C635" s="130" t="s">
        <v>998</v>
      </c>
      <c r="D635" s="130" t="s">
        <v>999</v>
      </c>
      <c r="E635" s="138" t="s">
        <v>336</v>
      </c>
      <c r="F635" s="163">
        <v>568</v>
      </c>
      <c r="G635" s="68">
        <v>214.487041540365</v>
      </c>
      <c r="H635" s="25">
        <f t="shared" si="39"/>
        <v>121829</v>
      </c>
    </row>
    <row r="636" customHeight="1" spans="1:8">
      <c r="A636" s="8">
        <f ca="1" t="shared" si="43"/>
        <v>270</v>
      </c>
      <c r="B636" s="129"/>
      <c r="C636" s="130" t="s">
        <v>460</v>
      </c>
      <c r="D636" s="130" t="s">
        <v>461</v>
      </c>
      <c r="E636" s="138" t="s">
        <v>329</v>
      </c>
      <c r="F636" s="176"/>
      <c r="G636" s="68">
        <v>0</v>
      </c>
      <c r="H636" s="25">
        <f t="shared" si="39"/>
        <v>0</v>
      </c>
    </row>
    <row r="637" customHeight="1" spans="1:8">
      <c r="A637" s="8">
        <f ca="1" t="shared" si="43"/>
        <v>271</v>
      </c>
      <c r="B637" s="129"/>
      <c r="C637" s="130" t="s">
        <v>454</v>
      </c>
      <c r="D637" s="130" t="s">
        <v>463</v>
      </c>
      <c r="E637" s="138" t="s">
        <v>464</v>
      </c>
      <c r="F637" s="163">
        <v>73840</v>
      </c>
      <c r="G637" s="68">
        <v>1.42623600027515</v>
      </c>
      <c r="H637" s="25">
        <f t="shared" si="39"/>
        <v>105313</v>
      </c>
    </row>
    <row r="638" customHeight="1" spans="1:8">
      <c r="A638" s="8">
        <f ca="1" t="shared" si="43"/>
        <v>272</v>
      </c>
      <c r="B638" s="129"/>
      <c r="C638" s="130" t="s">
        <v>465</v>
      </c>
      <c r="D638" s="130" t="s">
        <v>466</v>
      </c>
      <c r="E638" s="138" t="s">
        <v>329</v>
      </c>
      <c r="F638" s="176"/>
      <c r="G638" s="68">
        <v>0</v>
      </c>
      <c r="H638" s="25">
        <f t="shared" si="39"/>
        <v>0</v>
      </c>
    </row>
    <row r="639" customHeight="1" spans="1:8">
      <c r="A639" s="8">
        <f ca="1" t="shared" si="43"/>
        <v>273</v>
      </c>
      <c r="B639" s="84" t="s">
        <v>1000</v>
      </c>
      <c r="C639" s="89" t="s">
        <v>1001</v>
      </c>
      <c r="D639" s="90" t="s">
        <v>1002</v>
      </c>
      <c r="E639" s="86" t="s">
        <v>225</v>
      </c>
      <c r="F639" s="107">
        <v>169</v>
      </c>
      <c r="G639" s="68">
        <v>0</v>
      </c>
      <c r="H639" s="25">
        <f t="shared" si="39"/>
        <v>0</v>
      </c>
    </row>
    <row r="640" customHeight="1" spans="1:8">
      <c r="A640" s="8">
        <f ca="1" t="shared" si="43"/>
        <v>274</v>
      </c>
      <c r="B640" s="129"/>
      <c r="C640" s="130" t="s">
        <v>877</v>
      </c>
      <c r="D640" s="130" t="s">
        <v>878</v>
      </c>
      <c r="E640" s="138" t="s">
        <v>336</v>
      </c>
      <c r="F640" s="166">
        <f>1.6*F645</f>
        <v>1647.2</v>
      </c>
      <c r="G640" s="68">
        <v>1.4533068</v>
      </c>
      <c r="H640" s="25">
        <f t="shared" si="39"/>
        <v>2394</v>
      </c>
    </row>
    <row r="641" customHeight="1" spans="1:8">
      <c r="A641" s="8">
        <f ca="1" t="shared" si="43"/>
        <v>275</v>
      </c>
      <c r="B641" s="129"/>
      <c r="C641" s="130" t="s">
        <v>879</v>
      </c>
      <c r="D641" s="130" t="s">
        <v>644</v>
      </c>
      <c r="E641" s="138" t="s">
        <v>336</v>
      </c>
      <c r="F641" s="166">
        <f>F640-F645</f>
        <v>617.7</v>
      </c>
      <c r="G641" s="68">
        <v>1.92551195142655</v>
      </c>
      <c r="H641" s="25">
        <f t="shared" si="39"/>
        <v>1189</v>
      </c>
    </row>
    <row r="642" customHeight="1" spans="1:8">
      <c r="A642" s="8">
        <f ca="1" t="shared" si="43"/>
        <v>276</v>
      </c>
      <c r="B642" s="129"/>
      <c r="C642" s="130" t="s">
        <v>880</v>
      </c>
      <c r="D642" s="130" t="s">
        <v>881</v>
      </c>
      <c r="E642" s="138" t="s">
        <v>336</v>
      </c>
      <c r="F642" s="166">
        <f>F645</f>
        <v>1029.5</v>
      </c>
      <c r="G642" s="68">
        <v>0</v>
      </c>
      <c r="H642" s="25">
        <f t="shared" si="39"/>
        <v>0</v>
      </c>
    </row>
    <row r="643" customHeight="1" spans="1:8">
      <c r="A643" s="8">
        <f ca="1" t="shared" si="43"/>
        <v>277</v>
      </c>
      <c r="B643" s="129"/>
      <c r="C643" s="130" t="s">
        <v>882</v>
      </c>
      <c r="D643" s="130" t="s">
        <v>883</v>
      </c>
      <c r="E643" s="138" t="s">
        <v>336</v>
      </c>
      <c r="F643" s="166">
        <v>181</v>
      </c>
      <c r="G643" s="68">
        <v>55.1731414424243</v>
      </c>
      <c r="H643" s="25">
        <f t="shared" si="39"/>
        <v>9986</v>
      </c>
    </row>
    <row r="644" customHeight="1" spans="1:8">
      <c r="A644" s="8">
        <f ca="1" t="shared" si="43"/>
        <v>278</v>
      </c>
      <c r="B644" s="129"/>
      <c r="C644" s="130" t="s">
        <v>884</v>
      </c>
      <c r="D644" s="130" t="s">
        <v>885</v>
      </c>
      <c r="E644" s="138" t="s">
        <v>336</v>
      </c>
      <c r="F644" s="166">
        <v>91</v>
      </c>
      <c r="G644" s="68">
        <v>187.554368510487</v>
      </c>
      <c r="H644" s="25">
        <f t="shared" si="39"/>
        <v>17067</v>
      </c>
    </row>
    <row r="645" customHeight="1" spans="1:8">
      <c r="A645" s="8">
        <f ca="1" t="shared" si="43"/>
        <v>279</v>
      </c>
      <c r="B645" s="129"/>
      <c r="C645" s="130" t="s">
        <v>998</v>
      </c>
      <c r="D645" s="130" t="s">
        <v>999</v>
      </c>
      <c r="E645" s="138" t="s">
        <v>336</v>
      </c>
      <c r="F645" s="163">
        <v>1029.5</v>
      </c>
      <c r="G645" s="68">
        <v>214.487041540365</v>
      </c>
      <c r="H645" s="25">
        <f t="shared" si="39"/>
        <v>220814</v>
      </c>
    </row>
    <row r="646" customHeight="1" spans="1:8">
      <c r="A646" s="8">
        <f ca="1" t="shared" si="43"/>
        <v>280</v>
      </c>
      <c r="B646" s="129"/>
      <c r="C646" s="130" t="s">
        <v>460</v>
      </c>
      <c r="D646" s="130" t="s">
        <v>461</v>
      </c>
      <c r="E646" s="138" t="s">
        <v>329</v>
      </c>
      <c r="F646" s="176"/>
      <c r="G646" s="68">
        <v>0</v>
      </c>
      <c r="H646" s="25">
        <f t="shared" si="39"/>
        <v>0</v>
      </c>
    </row>
    <row r="647" customHeight="1" spans="1:8">
      <c r="A647" s="8">
        <f ca="1" t="shared" si="43"/>
        <v>281</v>
      </c>
      <c r="B647" s="129"/>
      <c r="C647" s="130" t="s">
        <v>454</v>
      </c>
      <c r="D647" s="130" t="s">
        <v>463</v>
      </c>
      <c r="E647" s="138" t="s">
        <v>464</v>
      </c>
      <c r="F647" s="163">
        <v>133835</v>
      </c>
      <c r="G647" s="68">
        <v>1.17584395400994</v>
      </c>
      <c r="H647" s="25">
        <f t="shared" si="39"/>
        <v>157369</v>
      </c>
    </row>
    <row r="648" customHeight="1" spans="1:8">
      <c r="A648" s="8">
        <f ca="1" t="shared" si="43"/>
        <v>282</v>
      </c>
      <c r="B648" s="129"/>
      <c r="C648" s="130" t="s">
        <v>465</v>
      </c>
      <c r="D648" s="130" t="s">
        <v>466</v>
      </c>
      <c r="E648" s="138" t="s">
        <v>329</v>
      </c>
      <c r="F648" s="176"/>
      <c r="G648" s="68">
        <v>0</v>
      </c>
      <c r="H648" s="25">
        <f t="shared" ref="H648:H711" si="44">IFERROR(ROUND(G648*F648,0),0)</f>
        <v>0</v>
      </c>
    </row>
    <row r="649" customHeight="1" spans="1:8">
      <c r="A649" s="8">
        <f ca="1">COUNTA(OFFSET(A$1,0,0,ROW()-1,1))+1</f>
        <v>283</v>
      </c>
      <c r="B649" s="84" t="s">
        <v>1003</v>
      </c>
      <c r="C649" s="89" t="s">
        <v>1004</v>
      </c>
      <c r="D649" s="90" t="s">
        <v>1005</v>
      </c>
      <c r="E649" s="86" t="s">
        <v>225</v>
      </c>
      <c r="F649" s="107">
        <v>220</v>
      </c>
      <c r="G649" s="68">
        <v>600.54</v>
      </c>
      <c r="H649" s="25">
        <f t="shared" si="44"/>
        <v>132119</v>
      </c>
    </row>
    <row r="650" customHeight="1" spans="1:8">
      <c r="B650" s="124"/>
      <c r="C650" s="125" t="s">
        <v>877</v>
      </c>
      <c r="D650" s="125" t="s">
        <v>878</v>
      </c>
      <c r="E650" s="126" t="s">
        <v>336</v>
      </c>
      <c r="F650" s="171"/>
      <c r="G650" s="68">
        <v>0</v>
      </c>
      <c r="H650" s="25">
        <f t="shared" si="44"/>
        <v>0</v>
      </c>
    </row>
    <row r="651" customHeight="1" spans="1:8">
      <c r="B651" s="124"/>
      <c r="C651" s="125" t="s">
        <v>879</v>
      </c>
      <c r="D651" s="125" t="s">
        <v>644</v>
      </c>
      <c r="E651" s="126" t="s">
        <v>336</v>
      </c>
      <c r="F651" s="171"/>
      <c r="G651" s="68">
        <v>0</v>
      </c>
      <c r="H651" s="25">
        <f t="shared" si="44"/>
        <v>0</v>
      </c>
    </row>
    <row r="652" customHeight="1" spans="1:8">
      <c r="B652" s="124"/>
      <c r="C652" s="125" t="s">
        <v>880</v>
      </c>
      <c r="D652" s="125" t="s">
        <v>881</v>
      </c>
      <c r="E652" s="126" t="s">
        <v>336</v>
      </c>
      <c r="F652" s="171"/>
      <c r="G652" s="68">
        <v>0</v>
      </c>
      <c r="H652" s="25">
        <f t="shared" si="44"/>
        <v>0</v>
      </c>
    </row>
    <row r="653" customHeight="1" spans="1:8">
      <c r="B653" s="124"/>
      <c r="C653" s="125" t="s">
        <v>882</v>
      </c>
      <c r="D653" s="125" t="s">
        <v>883</v>
      </c>
      <c r="E653" s="126" t="s">
        <v>336</v>
      </c>
      <c r="F653" s="171"/>
      <c r="G653" s="68">
        <v>0</v>
      </c>
      <c r="H653" s="25">
        <f t="shared" si="44"/>
        <v>0</v>
      </c>
    </row>
    <row r="654" customHeight="1" spans="1:8">
      <c r="B654" s="124"/>
      <c r="C654" s="125" t="s">
        <v>884</v>
      </c>
      <c r="D654" s="125" t="s">
        <v>885</v>
      </c>
      <c r="E654" s="126" t="s">
        <v>336</v>
      </c>
      <c r="F654" s="171"/>
      <c r="G654" s="68">
        <v>0</v>
      </c>
      <c r="H654" s="25">
        <f t="shared" si="44"/>
        <v>0</v>
      </c>
    </row>
    <row r="655" customHeight="1" spans="1:8">
      <c r="B655" s="124"/>
      <c r="C655" s="125" t="s">
        <v>896</v>
      </c>
      <c r="D655" s="125" t="s">
        <v>897</v>
      </c>
      <c r="E655" s="126" t="s">
        <v>336</v>
      </c>
      <c r="F655" s="172"/>
      <c r="G655" s="68">
        <v>0</v>
      </c>
      <c r="H655" s="25">
        <f t="shared" si="44"/>
        <v>0</v>
      </c>
    </row>
    <row r="656" customHeight="1" spans="1:8">
      <c r="B656" s="124"/>
      <c r="C656" s="125" t="s">
        <v>460</v>
      </c>
      <c r="D656" s="125" t="s">
        <v>461</v>
      </c>
      <c r="E656" s="126" t="s">
        <v>329</v>
      </c>
      <c r="F656" s="172"/>
      <c r="G656" s="68">
        <v>0</v>
      </c>
      <c r="H656" s="25">
        <f t="shared" si="44"/>
        <v>0</v>
      </c>
    </row>
    <row r="657" customHeight="1" spans="1:8">
      <c r="B657" s="124"/>
      <c r="C657" s="125" t="s">
        <v>454</v>
      </c>
      <c r="D657" s="125" t="s">
        <v>463</v>
      </c>
      <c r="E657" s="126" t="s">
        <v>464</v>
      </c>
      <c r="F657" s="172"/>
      <c r="G657" s="68">
        <v>0</v>
      </c>
      <c r="H657" s="25">
        <f t="shared" si="44"/>
        <v>0</v>
      </c>
    </row>
    <row r="658" customHeight="1" spans="1:8">
      <c r="B658" s="124"/>
      <c r="C658" s="125" t="s">
        <v>465</v>
      </c>
      <c r="D658" s="125" t="s">
        <v>466</v>
      </c>
      <c r="E658" s="126" t="s">
        <v>329</v>
      </c>
      <c r="F658" s="172"/>
      <c r="G658" s="68">
        <v>0</v>
      </c>
      <c r="H658" s="25">
        <f t="shared" si="44"/>
        <v>0</v>
      </c>
    </row>
    <row r="659" customHeight="1" spans="1:8">
      <c r="A659" s="8">
        <f ca="1">COUNTA(OFFSET(A$1,0,0,ROW()-1,1))+1</f>
        <v>284</v>
      </c>
      <c r="B659" s="84" t="s">
        <v>1006</v>
      </c>
      <c r="C659" s="89" t="s">
        <v>1007</v>
      </c>
      <c r="D659" s="90" t="s">
        <v>1008</v>
      </c>
      <c r="E659" s="86" t="s">
        <v>225</v>
      </c>
      <c r="F659" s="107">
        <v>20</v>
      </c>
      <c r="G659" s="68">
        <v>1201.08</v>
      </c>
      <c r="H659" s="25">
        <f t="shared" si="44"/>
        <v>24022</v>
      </c>
    </row>
    <row r="660" customHeight="1" spans="1:8">
      <c r="B660" s="124"/>
      <c r="C660" s="125" t="s">
        <v>877</v>
      </c>
      <c r="D660" s="125" t="s">
        <v>878</v>
      </c>
      <c r="E660" s="126" t="s">
        <v>336</v>
      </c>
      <c r="F660" s="171"/>
      <c r="G660" s="68">
        <v>0</v>
      </c>
      <c r="H660" s="25">
        <f t="shared" si="44"/>
        <v>0</v>
      </c>
    </row>
    <row r="661" customHeight="1" spans="1:8">
      <c r="B661" s="124"/>
      <c r="C661" s="125" t="s">
        <v>879</v>
      </c>
      <c r="D661" s="125" t="s">
        <v>644</v>
      </c>
      <c r="E661" s="126" t="s">
        <v>336</v>
      </c>
      <c r="F661" s="171"/>
      <c r="G661" s="68">
        <v>0</v>
      </c>
      <c r="H661" s="25">
        <f t="shared" si="44"/>
        <v>0</v>
      </c>
    </row>
    <row r="662" customHeight="1" spans="1:8">
      <c r="B662" s="124"/>
      <c r="C662" s="125" t="s">
        <v>880</v>
      </c>
      <c r="D662" s="125" t="s">
        <v>881</v>
      </c>
      <c r="E662" s="126" t="s">
        <v>336</v>
      </c>
      <c r="F662" s="171"/>
      <c r="G662" s="68">
        <v>0</v>
      </c>
      <c r="H662" s="25">
        <f t="shared" si="44"/>
        <v>0</v>
      </c>
    </row>
    <row r="663" customHeight="1" spans="1:8">
      <c r="B663" s="124"/>
      <c r="C663" s="125" t="s">
        <v>882</v>
      </c>
      <c r="D663" s="125" t="s">
        <v>883</v>
      </c>
      <c r="E663" s="126" t="s">
        <v>336</v>
      </c>
      <c r="F663" s="171"/>
      <c r="G663" s="68">
        <v>0</v>
      </c>
      <c r="H663" s="25">
        <f t="shared" si="44"/>
        <v>0</v>
      </c>
    </row>
    <row r="664" customHeight="1" spans="1:8">
      <c r="B664" s="124"/>
      <c r="C664" s="125" t="s">
        <v>884</v>
      </c>
      <c r="D664" s="125" t="s">
        <v>885</v>
      </c>
      <c r="E664" s="126" t="s">
        <v>336</v>
      </c>
      <c r="F664" s="171"/>
      <c r="G664" s="68">
        <v>0</v>
      </c>
      <c r="H664" s="25">
        <f t="shared" si="44"/>
        <v>0</v>
      </c>
    </row>
    <row r="665" customHeight="1" spans="1:8">
      <c r="B665" s="124"/>
      <c r="C665" s="125" t="s">
        <v>896</v>
      </c>
      <c r="D665" s="125" t="s">
        <v>897</v>
      </c>
      <c r="E665" s="126" t="s">
        <v>336</v>
      </c>
      <c r="F665" s="172"/>
      <c r="G665" s="68">
        <v>0</v>
      </c>
      <c r="H665" s="25">
        <f t="shared" si="44"/>
        <v>0</v>
      </c>
    </row>
    <row r="666" customHeight="1" spans="1:8">
      <c r="B666" s="124"/>
      <c r="C666" s="125" t="s">
        <v>460</v>
      </c>
      <c r="D666" s="125" t="s">
        <v>461</v>
      </c>
      <c r="E666" s="126" t="s">
        <v>329</v>
      </c>
      <c r="F666" s="172"/>
      <c r="G666" s="68">
        <v>0</v>
      </c>
      <c r="H666" s="25">
        <f t="shared" si="44"/>
        <v>0</v>
      </c>
    </row>
    <row r="667" customHeight="1" spans="1:8">
      <c r="B667" s="124"/>
      <c r="C667" s="125" t="s">
        <v>454</v>
      </c>
      <c r="D667" s="125" t="s">
        <v>463</v>
      </c>
      <c r="E667" s="126" t="s">
        <v>464</v>
      </c>
      <c r="F667" s="172"/>
      <c r="G667" s="68">
        <v>0</v>
      </c>
      <c r="H667" s="25">
        <f t="shared" si="44"/>
        <v>0</v>
      </c>
    </row>
    <row r="668" customHeight="1" spans="1:8">
      <c r="B668" s="124"/>
      <c r="C668" s="125" t="s">
        <v>465</v>
      </c>
      <c r="D668" s="125" t="s">
        <v>466</v>
      </c>
      <c r="E668" s="126" t="s">
        <v>329</v>
      </c>
      <c r="F668" s="172"/>
      <c r="G668" s="68">
        <v>0</v>
      </c>
      <c r="H668" s="25">
        <f t="shared" si="44"/>
        <v>0</v>
      </c>
    </row>
    <row r="669" customHeight="1" spans="1:8">
      <c r="B669" s="45"/>
      <c r="C669" s="46" t="s">
        <v>1009</v>
      </c>
      <c r="D669" s="47" t="s">
        <v>1010</v>
      </c>
      <c r="E669" s="29"/>
      <c r="F669" s="111"/>
      <c r="G669" s="68">
        <v>0</v>
      </c>
      <c r="H669" s="25">
        <f t="shared" si="44"/>
        <v>0</v>
      </c>
    </row>
    <row r="670" customHeight="1" spans="1:8">
      <c r="B670" s="26"/>
      <c r="C670" s="38"/>
      <c r="D670" s="38"/>
      <c r="E670" s="29"/>
      <c r="F670" s="107"/>
      <c r="G670" s="68">
        <v>0</v>
      </c>
      <c r="H670" s="25">
        <f t="shared" si="44"/>
        <v>0</v>
      </c>
    </row>
    <row r="671" customHeight="1" spans="1:8">
      <c r="B671" s="26" t="s">
        <v>1011</v>
      </c>
      <c r="C671" s="132" t="s">
        <v>1012</v>
      </c>
      <c r="D671" s="133" t="s">
        <v>1013</v>
      </c>
      <c r="E671" s="29"/>
      <c r="F671" s="107"/>
      <c r="G671" s="68">
        <v>0</v>
      </c>
      <c r="H671" s="25">
        <f t="shared" si="44"/>
        <v>0</v>
      </c>
    </row>
    <row r="672" customHeight="1" spans="1:8">
      <c r="B672" s="84" t="s">
        <v>1014</v>
      </c>
      <c r="C672" s="89" t="s">
        <v>1015</v>
      </c>
      <c r="D672" s="90" t="s">
        <v>1016</v>
      </c>
      <c r="E672" s="86" t="s">
        <v>225</v>
      </c>
      <c r="F672" s="107"/>
      <c r="G672" s="68">
        <v>0</v>
      </c>
      <c r="H672" s="25">
        <f t="shared" si="44"/>
        <v>0</v>
      </c>
    </row>
    <row r="673" customHeight="1" spans="1:8">
      <c r="A673" s="8">
        <f ca="1" t="shared" ref="A673:A681" si="45">COUNTA(OFFSET(A$1,0,0,ROW()-1,1))+1</f>
        <v>285</v>
      </c>
      <c r="B673" s="84" t="s">
        <v>1017</v>
      </c>
      <c r="C673" s="89" t="s">
        <v>1018</v>
      </c>
      <c r="D673" s="90" t="s">
        <v>1019</v>
      </c>
      <c r="E673" s="86" t="s">
        <v>225</v>
      </c>
      <c r="F673" s="107">
        <v>200</v>
      </c>
      <c r="G673" s="68">
        <v>0</v>
      </c>
      <c r="H673" s="25">
        <f t="shared" si="44"/>
        <v>0</v>
      </c>
    </row>
    <row r="674" customHeight="1" spans="1:8">
      <c r="A674" s="8">
        <f ca="1" t="shared" si="45"/>
        <v>286</v>
      </c>
      <c r="B674" s="129"/>
      <c r="C674" s="173" t="s">
        <v>941</v>
      </c>
      <c r="D674" s="174" t="s">
        <v>942</v>
      </c>
      <c r="E674" s="138" t="s">
        <v>452</v>
      </c>
      <c r="F674" s="166">
        <v>1157.4226</v>
      </c>
      <c r="G674" s="68">
        <v>1.4533068</v>
      </c>
      <c r="H674" s="25">
        <f t="shared" si="44"/>
        <v>1682</v>
      </c>
    </row>
    <row r="675" customHeight="1" spans="1:8">
      <c r="A675" s="8">
        <f ca="1" t="shared" si="45"/>
        <v>287</v>
      </c>
      <c r="B675" s="129"/>
      <c r="C675" s="173" t="s">
        <v>943</v>
      </c>
      <c r="D675" s="174" t="s">
        <v>944</v>
      </c>
      <c r="E675" s="138" t="s">
        <v>452</v>
      </c>
      <c r="F675" s="166">
        <v>501.8226</v>
      </c>
      <c r="G675" s="68">
        <v>1.92551195142655</v>
      </c>
      <c r="H675" s="25">
        <f t="shared" si="44"/>
        <v>966</v>
      </c>
    </row>
    <row r="676" customHeight="1" spans="1:8">
      <c r="A676" s="8">
        <f ca="1" t="shared" si="45"/>
        <v>288</v>
      </c>
      <c r="B676" s="129"/>
      <c r="C676" s="173" t="s">
        <v>945</v>
      </c>
      <c r="D676" s="174" t="s">
        <v>946</v>
      </c>
      <c r="E676" s="138" t="s">
        <v>452</v>
      </c>
      <c r="F676" s="166">
        <v>655.6</v>
      </c>
      <c r="G676" s="68">
        <v>2.40216</v>
      </c>
      <c r="H676" s="25">
        <f t="shared" si="44"/>
        <v>1575</v>
      </c>
    </row>
    <row r="677" customHeight="1" spans="1:8">
      <c r="A677" s="8">
        <f ca="1" t="shared" si="45"/>
        <v>289</v>
      </c>
      <c r="B677" s="129"/>
      <c r="C677" s="173" t="s">
        <v>947</v>
      </c>
      <c r="D677" s="174" t="s">
        <v>948</v>
      </c>
      <c r="E677" s="138" t="s">
        <v>452</v>
      </c>
      <c r="F677" s="166">
        <v>40</v>
      </c>
      <c r="G677" s="68">
        <v>179.847851041431</v>
      </c>
      <c r="H677" s="25">
        <f t="shared" si="44"/>
        <v>7194</v>
      </c>
    </row>
    <row r="678" customHeight="1" spans="1:8">
      <c r="A678" s="8">
        <f ca="1" t="shared" si="45"/>
        <v>290</v>
      </c>
      <c r="B678" s="129"/>
      <c r="C678" s="173" t="s">
        <v>949</v>
      </c>
      <c r="D678" s="174" t="s">
        <v>950</v>
      </c>
      <c r="E678" s="138" t="s">
        <v>329</v>
      </c>
      <c r="F678" s="166">
        <v>40</v>
      </c>
      <c r="G678" s="68">
        <v>0</v>
      </c>
      <c r="H678" s="25">
        <f t="shared" si="44"/>
        <v>0</v>
      </c>
    </row>
    <row r="679" customHeight="1" spans="1:8">
      <c r="A679" s="8">
        <f ca="1" t="shared" si="45"/>
        <v>291</v>
      </c>
      <c r="B679" s="129"/>
      <c r="C679" s="173" t="s">
        <v>951</v>
      </c>
      <c r="D679" s="174" t="s">
        <v>952</v>
      </c>
      <c r="E679" s="138" t="s">
        <v>452</v>
      </c>
      <c r="F679" s="166">
        <v>325.32</v>
      </c>
      <c r="G679" s="68">
        <v>214.487041540365</v>
      </c>
      <c r="H679" s="25">
        <f t="shared" si="44"/>
        <v>69777</v>
      </c>
    </row>
    <row r="680" customHeight="1" spans="1:8">
      <c r="A680" s="8">
        <f ca="1" t="shared" si="45"/>
        <v>292</v>
      </c>
      <c r="B680" s="129"/>
      <c r="C680" s="173" t="s">
        <v>953</v>
      </c>
      <c r="D680" s="174" t="s">
        <v>954</v>
      </c>
      <c r="E680" s="138" t="s">
        <v>329</v>
      </c>
      <c r="F680" s="166">
        <v>1732.8</v>
      </c>
      <c r="G680" s="68">
        <v>0</v>
      </c>
      <c r="H680" s="25">
        <f t="shared" si="44"/>
        <v>0</v>
      </c>
    </row>
    <row r="681" customHeight="1" spans="1:8">
      <c r="A681" s="8">
        <f ca="1" t="shared" si="45"/>
        <v>293</v>
      </c>
      <c r="B681" s="129"/>
      <c r="C681" s="173" t="s">
        <v>955</v>
      </c>
      <c r="D681" s="174" t="s">
        <v>956</v>
      </c>
      <c r="E681" s="138" t="s">
        <v>445</v>
      </c>
      <c r="F681" s="166">
        <v>40.0036606293333</v>
      </c>
      <c r="G681" s="68">
        <v>1175.84395400994</v>
      </c>
      <c r="H681" s="25">
        <f t="shared" si="44"/>
        <v>47038</v>
      </c>
    </row>
    <row r="682" customHeight="1" spans="1:8">
      <c r="B682" s="129"/>
      <c r="C682" s="173" t="s">
        <v>957</v>
      </c>
      <c r="D682" s="174" t="s">
        <v>958</v>
      </c>
      <c r="E682" s="175" t="s">
        <v>959</v>
      </c>
      <c r="F682" s="166">
        <v>0</v>
      </c>
      <c r="G682" s="68">
        <v>0</v>
      </c>
      <c r="H682" s="25">
        <f t="shared" si="44"/>
        <v>0</v>
      </c>
    </row>
    <row r="683" customHeight="1" spans="1:8">
      <c r="A683" s="8">
        <f ca="1" t="shared" ref="A683:A695" si="46">COUNTA(OFFSET(A$1,0,0,ROW()-1,1))+1</f>
        <v>294</v>
      </c>
      <c r="B683" s="129"/>
      <c r="C683" s="173" t="s">
        <v>960</v>
      </c>
      <c r="D683" s="174" t="s">
        <v>961</v>
      </c>
      <c r="E683" s="138" t="s">
        <v>445</v>
      </c>
      <c r="F683" s="166">
        <v>20</v>
      </c>
      <c r="G683" s="68">
        <v>2228.8486720608</v>
      </c>
      <c r="H683" s="25">
        <f t="shared" si="44"/>
        <v>44577</v>
      </c>
    </row>
    <row r="684" customHeight="1" spans="1:8">
      <c r="B684" s="129"/>
      <c r="C684" s="173" t="s">
        <v>962</v>
      </c>
      <c r="D684" s="174" t="s">
        <v>963</v>
      </c>
      <c r="E684" s="138" t="s">
        <v>329</v>
      </c>
      <c r="F684" s="166"/>
      <c r="G684" s="68">
        <v>0</v>
      </c>
      <c r="H684" s="25">
        <f t="shared" si="44"/>
        <v>0</v>
      </c>
    </row>
    <row r="685" customHeight="1" spans="1:8">
      <c r="A685" s="8">
        <f ca="1" t="shared" si="46"/>
        <v>295</v>
      </c>
      <c r="B685" s="84" t="s">
        <v>1020</v>
      </c>
      <c r="C685" s="89" t="s">
        <v>1021</v>
      </c>
      <c r="D685" s="90" t="s">
        <v>1022</v>
      </c>
      <c r="E685" s="86" t="s">
        <v>225</v>
      </c>
      <c r="F685" s="107">
        <v>15000</v>
      </c>
      <c r="G685" s="68">
        <v>0</v>
      </c>
      <c r="H685" s="25">
        <f t="shared" si="44"/>
        <v>0</v>
      </c>
    </row>
    <row r="686" customHeight="1" spans="1:8">
      <c r="B686" s="84" t="s">
        <v>1023</v>
      </c>
      <c r="C686" s="89" t="s">
        <v>1024</v>
      </c>
      <c r="D686" s="90" t="s">
        <v>1025</v>
      </c>
      <c r="E686" s="86" t="s">
        <v>225</v>
      </c>
      <c r="F686" s="107"/>
      <c r="G686" s="68">
        <v>0</v>
      </c>
      <c r="H686" s="25">
        <f t="shared" si="44"/>
        <v>0</v>
      </c>
    </row>
    <row r="687" customHeight="1" spans="1:8">
      <c r="A687" s="8">
        <f ca="1" t="shared" si="46"/>
        <v>296</v>
      </c>
      <c r="B687" s="84" t="s">
        <v>1026</v>
      </c>
      <c r="C687" s="89" t="s">
        <v>1027</v>
      </c>
      <c r="D687" s="90" t="s">
        <v>1028</v>
      </c>
      <c r="E687" s="86" t="s">
        <v>225</v>
      </c>
      <c r="F687" s="107">
        <v>200</v>
      </c>
      <c r="G687" s="68">
        <v>0</v>
      </c>
      <c r="H687" s="25">
        <f t="shared" si="44"/>
        <v>0</v>
      </c>
    </row>
    <row r="688" customHeight="1" spans="1:8">
      <c r="A688" s="8">
        <f ca="1" t="shared" si="46"/>
        <v>297</v>
      </c>
      <c r="B688" s="129"/>
      <c r="C688" s="173" t="s">
        <v>941</v>
      </c>
      <c r="D688" s="174" t="s">
        <v>942</v>
      </c>
      <c r="E688" s="138" t="s">
        <v>452</v>
      </c>
      <c r="F688" s="166">
        <v>1157.4226</v>
      </c>
      <c r="G688" s="68">
        <v>1.4533068</v>
      </c>
      <c r="H688" s="25">
        <f t="shared" si="44"/>
        <v>1682</v>
      </c>
    </row>
    <row r="689" customHeight="1" spans="1:8">
      <c r="A689" s="8">
        <f ca="1" t="shared" si="46"/>
        <v>298</v>
      </c>
      <c r="B689" s="129"/>
      <c r="C689" s="173" t="s">
        <v>943</v>
      </c>
      <c r="D689" s="174" t="s">
        <v>944</v>
      </c>
      <c r="E689" s="138" t="s">
        <v>452</v>
      </c>
      <c r="F689" s="166">
        <v>501.8226</v>
      </c>
      <c r="G689" s="68">
        <v>1.92551195142655</v>
      </c>
      <c r="H689" s="25">
        <f t="shared" si="44"/>
        <v>966</v>
      </c>
    </row>
    <row r="690" customHeight="1" spans="1:8">
      <c r="A690" s="8">
        <f ca="1" t="shared" si="46"/>
        <v>299</v>
      </c>
      <c r="B690" s="129"/>
      <c r="C690" s="173" t="s">
        <v>945</v>
      </c>
      <c r="D690" s="174" t="s">
        <v>946</v>
      </c>
      <c r="E690" s="138" t="s">
        <v>452</v>
      </c>
      <c r="F690" s="166">
        <v>655.6</v>
      </c>
      <c r="G690" s="68">
        <v>2.40216</v>
      </c>
      <c r="H690" s="25">
        <f t="shared" si="44"/>
        <v>1575</v>
      </c>
    </row>
    <row r="691" customHeight="1" spans="1:8">
      <c r="A691" s="8">
        <f ca="1" t="shared" si="46"/>
        <v>300</v>
      </c>
      <c r="B691" s="129"/>
      <c r="C691" s="173" t="s">
        <v>947</v>
      </c>
      <c r="D691" s="174" t="s">
        <v>948</v>
      </c>
      <c r="E691" s="138" t="s">
        <v>452</v>
      </c>
      <c r="F691" s="166">
        <v>40</v>
      </c>
      <c r="G691" s="68">
        <v>179.847851041431</v>
      </c>
      <c r="H691" s="25">
        <f t="shared" si="44"/>
        <v>7194</v>
      </c>
    </row>
    <row r="692" customHeight="1" spans="1:8">
      <c r="A692" s="8">
        <f ca="1" t="shared" si="46"/>
        <v>301</v>
      </c>
      <c r="B692" s="129"/>
      <c r="C692" s="173" t="s">
        <v>949</v>
      </c>
      <c r="D692" s="174" t="s">
        <v>950</v>
      </c>
      <c r="E692" s="138" t="s">
        <v>329</v>
      </c>
      <c r="F692" s="166">
        <v>40</v>
      </c>
      <c r="G692" s="68">
        <v>0</v>
      </c>
      <c r="H692" s="25">
        <f t="shared" si="44"/>
        <v>0</v>
      </c>
    </row>
    <row r="693" customHeight="1" spans="1:8">
      <c r="A693" s="8">
        <f ca="1" t="shared" si="46"/>
        <v>302</v>
      </c>
      <c r="B693" s="129"/>
      <c r="C693" s="173" t="s">
        <v>951</v>
      </c>
      <c r="D693" s="174" t="s">
        <v>952</v>
      </c>
      <c r="E693" s="138" t="s">
        <v>452</v>
      </c>
      <c r="F693" s="166">
        <v>325.32</v>
      </c>
      <c r="G693" s="68">
        <v>214.487041540365</v>
      </c>
      <c r="H693" s="25">
        <f t="shared" si="44"/>
        <v>69777</v>
      </c>
    </row>
    <row r="694" customHeight="1" spans="1:8">
      <c r="A694" s="8">
        <f ca="1" t="shared" si="46"/>
        <v>303</v>
      </c>
      <c r="B694" s="129"/>
      <c r="C694" s="173" t="s">
        <v>953</v>
      </c>
      <c r="D694" s="174" t="s">
        <v>954</v>
      </c>
      <c r="E694" s="138" t="s">
        <v>329</v>
      </c>
      <c r="F694" s="166">
        <v>1732.8</v>
      </c>
      <c r="G694" s="68">
        <v>0</v>
      </c>
      <c r="H694" s="25">
        <f t="shared" si="44"/>
        <v>0</v>
      </c>
    </row>
    <row r="695" customHeight="1" spans="1:8">
      <c r="A695" s="8">
        <f ca="1" t="shared" si="46"/>
        <v>304</v>
      </c>
      <c r="B695" s="129"/>
      <c r="C695" s="173" t="s">
        <v>955</v>
      </c>
      <c r="D695" s="174" t="s">
        <v>956</v>
      </c>
      <c r="E695" s="138" t="s">
        <v>445</v>
      </c>
      <c r="F695" s="166">
        <v>40.0036606293333</v>
      </c>
      <c r="G695" s="68">
        <v>1175.84395400994</v>
      </c>
      <c r="H695" s="25">
        <f t="shared" si="44"/>
        <v>47038</v>
      </c>
    </row>
    <row r="696" customHeight="1" spans="1:8">
      <c r="B696" s="129"/>
      <c r="C696" s="173" t="s">
        <v>957</v>
      </c>
      <c r="D696" s="174" t="s">
        <v>958</v>
      </c>
      <c r="E696" s="175" t="s">
        <v>959</v>
      </c>
      <c r="F696" s="166">
        <v>0</v>
      </c>
      <c r="G696" s="68">
        <v>0</v>
      </c>
      <c r="H696" s="25">
        <f t="shared" si="44"/>
        <v>0</v>
      </c>
    </row>
    <row r="697" customHeight="1" spans="1:8">
      <c r="A697" s="8">
        <f ca="1">COUNTA(OFFSET(A$1,0,0,ROW()-1,1))+1</f>
        <v>305</v>
      </c>
      <c r="B697" s="129"/>
      <c r="C697" s="173" t="s">
        <v>960</v>
      </c>
      <c r="D697" s="174" t="s">
        <v>961</v>
      </c>
      <c r="E697" s="138" t="s">
        <v>445</v>
      </c>
      <c r="F697" s="166">
        <v>20</v>
      </c>
      <c r="G697" s="68">
        <v>2228.8486720608</v>
      </c>
      <c r="H697" s="25">
        <f t="shared" si="44"/>
        <v>44577</v>
      </c>
    </row>
    <row r="698" customHeight="1" spans="1:8">
      <c r="B698" s="129"/>
      <c r="C698" s="173" t="s">
        <v>962</v>
      </c>
      <c r="D698" s="174" t="s">
        <v>963</v>
      </c>
      <c r="E698" s="138" t="s">
        <v>329</v>
      </c>
      <c r="F698" s="166"/>
      <c r="G698" s="68">
        <v>0</v>
      </c>
      <c r="H698" s="25">
        <f t="shared" si="44"/>
        <v>0</v>
      </c>
    </row>
    <row r="699" customHeight="1" spans="1:8">
      <c r="A699" s="8">
        <f ca="1">COUNTA(OFFSET(A$1,0,0,ROW()-1,1))+1</f>
        <v>306</v>
      </c>
      <c r="B699" s="84" t="s">
        <v>1029</v>
      </c>
      <c r="C699" s="89" t="s">
        <v>1030</v>
      </c>
      <c r="D699" s="90" t="s">
        <v>1031</v>
      </c>
      <c r="E699" s="86" t="s">
        <v>225</v>
      </c>
      <c r="F699" s="107">
        <v>40000</v>
      </c>
      <c r="G699" s="68">
        <v>0</v>
      </c>
      <c r="H699" s="25">
        <f t="shared" si="44"/>
        <v>0</v>
      </c>
    </row>
    <row r="700" customHeight="1" spans="1:8">
      <c r="B700" s="84" t="s">
        <v>1032</v>
      </c>
      <c r="C700" s="89" t="s">
        <v>1033</v>
      </c>
      <c r="D700" s="90" t="s">
        <v>1034</v>
      </c>
      <c r="E700" s="86" t="s">
        <v>225</v>
      </c>
      <c r="F700" s="107"/>
      <c r="G700" s="68">
        <v>0</v>
      </c>
      <c r="H700" s="25">
        <f t="shared" si="44"/>
        <v>0</v>
      </c>
    </row>
    <row r="701" customHeight="1" spans="1:8">
      <c r="B701" s="129"/>
      <c r="C701" s="130" t="s">
        <v>877</v>
      </c>
      <c r="D701" s="130" t="s">
        <v>878</v>
      </c>
      <c r="E701" s="138" t="s">
        <v>336</v>
      </c>
      <c r="F701" s="166"/>
      <c r="G701" s="68">
        <v>0</v>
      </c>
      <c r="H701" s="25">
        <f t="shared" si="44"/>
        <v>0</v>
      </c>
    </row>
    <row r="702" customHeight="1" spans="1:8">
      <c r="B702" s="129"/>
      <c r="C702" s="130" t="s">
        <v>879</v>
      </c>
      <c r="D702" s="130" t="s">
        <v>644</v>
      </c>
      <c r="E702" s="138" t="s">
        <v>336</v>
      </c>
      <c r="F702" s="166"/>
      <c r="G702" s="68">
        <v>0</v>
      </c>
      <c r="H702" s="25">
        <f t="shared" si="44"/>
        <v>0</v>
      </c>
    </row>
    <row r="703" customHeight="1" spans="1:8">
      <c r="B703" s="129"/>
      <c r="C703" s="130" t="s">
        <v>1035</v>
      </c>
      <c r="D703" s="130" t="s">
        <v>1036</v>
      </c>
      <c r="E703" s="138" t="s">
        <v>336</v>
      </c>
      <c r="F703" s="166"/>
      <c r="G703" s="68">
        <v>0</v>
      </c>
      <c r="H703" s="25">
        <f t="shared" si="44"/>
        <v>0</v>
      </c>
    </row>
    <row r="704" customHeight="1" spans="1:8">
      <c r="B704" s="129"/>
      <c r="C704" s="130" t="s">
        <v>880</v>
      </c>
      <c r="D704" s="130" t="s">
        <v>881</v>
      </c>
      <c r="E704" s="138" t="s">
        <v>336</v>
      </c>
      <c r="F704" s="166"/>
      <c r="G704" s="68">
        <v>0</v>
      </c>
      <c r="H704" s="25">
        <f t="shared" si="44"/>
        <v>0</v>
      </c>
    </row>
    <row r="705" customHeight="1" spans="1:8">
      <c r="B705" s="129"/>
      <c r="C705" s="130" t="s">
        <v>882</v>
      </c>
      <c r="D705" s="130" t="s">
        <v>883</v>
      </c>
      <c r="E705" s="138" t="s">
        <v>336</v>
      </c>
      <c r="F705" s="166"/>
      <c r="G705" s="68">
        <v>0</v>
      </c>
      <c r="H705" s="25">
        <f t="shared" si="44"/>
        <v>0</v>
      </c>
    </row>
    <row r="706" customHeight="1" spans="1:8">
      <c r="B706" s="129"/>
      <c r="C706" s="130" t="s">
        <v>1037</v>
      </c>
      <c r="D706" s="130" t="s">
        <v>1038</v>
      </c>
      <c r="E706" s="138" t="s">
        <v>225</v>
      </c>
      <c r="F706" s="166"/>
      <c r="G706" s="68">
        <v>0</v>
      </c>
      <c r="H706" s="25">
        <f t="shared" si="44"/>
        <v>0</v>
      </c>
    </row>
    <row r="707" customHeight="1" spans="1:8">
      <c r="B707" s="84" t="s">
        <v>1039</v>
      </c>
      <c r="C707" s="89" t="s">
        <v>1040</v>
      </c>
      <c r="D707" s="90" t="s">
        <v>1041</v>
      </c>
      <c r="E707" s="86" t="s">
        <v>238</v>
      </c>
      <c r="F707" s="107"/>
      <c r="G707" s="68">
        <v>0</v>
      </c>
      <c r="H707" s="25">
        <f t="shared" si="44"/>
        <v>0</v>
      </c>
    </row>
    <row r="708" customHeight="1" spans="1:8">
      <c r="A708" s="8">
        <f ca="1" t="shared" ref="A708:A718" si="47">COUNTA(OFFSET(A$1,0,0,ROW()-1,1))+1</f>
        <v>307</v>
      </c>
      <c r="B708" s="84" t="s">
        <v>1042</v>
      </c>
      <c r="C708" s="89" t="s">
        <v>1043</v>
      </c>
      <c r="D708" s="90" t="s">
        <v>1044</v>
      </c>
      <c r="E708" s="86" t="s">
        <v>238</v>
      </c>
      <c r="F708" s="107">
        <v>33</v>
      </c>
      <c r="G708" s="68">
        <v>0</v>
      </c>
      <c r="H708" s="25">
        <f t="shared" si="44"/>
        <v>0</v>
      </c>
    </row>
    <row r="709" customHeight="1" spans="1:8">
      <c r="A709" s="8">
        <f ca="1" t="shared" si="47"/>
        <v>308</v>
      </c>
      <c r="B709" s="129"/>
      <c r="C709" s="173" t="s">
        <v>941</v>
      </c>
      <c r="D709" s="174" t="s">
        <v>942</v>
      </c>
      <c r="E709" s="138" t="s">
        <v>452</v>
      </c>
      <c r="F709" s="166">
        <v>2374.70040161354</v>
      </c>
      <c r="G709" s="68">
        <v>1.4533068</v>
      </c>
      <c r="H709" s="25">
        <f t="shared" si="44"/>
        <v>3451</v>
      </c>
    </row>
    <row r="710" customHeight="1" spans="1:8">
      <c r="A710" s="8">
        <f ca="1" t="shared" si="47"/>
        <v>309</v>
      </c>
      <c r="B710" s="129"/>
      <c r="C710" s="173" t="s">
        <v>943</v>
      </c>
      <c r="D710" s="174" t="s">
        <v>944</v>
      </c>
      <c r="E710" s="138" t="s">
        <v>452</v>
      </c>
      <c r="F710" s="166">
        <v>1906.29840161354</v>
      </c>
      <c r="G710" s="68">
        <v>1.92551195142655</v>
      </c>
      <c r="H710" s="25">
        <f t="shared" si="44"/>
        <v>3671</v>
      </c>
    </row>
    <row r="711" customHeight="1" spans="1:8">
      <c r="A711" s="8">
        <f ca="1" t="shared" si="47"/>
        <v>310</v>
      </c>
      <c r="B711" s="129"/>
      <c r="C711" s="173" t="s">
        <v>945</v>
      </c>
      <c r="D711" s="174" t="s">
        <v>946</v>
      </c>
      <c r="E711" s="138" t="s">
        <v>452</v>
      </c>
      <c r="F711" s="166">
        <v>468.402</v>
      </c>
      <c r="G711" s="68">
        <v>0</v>
      </c>
      <c r="H711" s="25">
        <f t="shared" si="44"/>
        <v>0</v>
      </c>
    </row>
    <row r="712" customHeight="1" spans="1:8">
      <c r="A712" s="8">
        <f ca="1" t="shared" si="47"/>
        <v>311</v>
      </c>
      <c r="B712" s="129"/>
      <c r="C712" s="173" t="s">
        <v>947</v>
      </c>
      <c r="D712" s="174" t="s">
        <v>948</v>
      </c>
      <c r="E712" s="138" t="s">
        <v>452</v>
      </c>
      <c r="F712" s="166">
        <v>19.602</v>
      </c>
      <c r="G712" s="68">
        <v>179.847851041431</v>
      </c>
      <c r="H712" s="25">
        <f t="shared" ref="H712:H775" si="48">IFERROR(ROUND(G712*F712,0),0)</f>
        <v>3525</v>
      </c>
    </row>
    <row r="713" customHeight="1" spans="1:8">
      <c r="A713" s="8">
        <f ca="1" t="shared" si="47"/>
        <v>312</v>
      </c>
      <c r="B713" s="129"/>
      <c r="C713" s="173" t="s">
        <v>949</v>
      </c>
      <c r="D713" s="174" t="s">
        <v>950</v>
      </c>
      <c r="E713" s="138" t="s">
        <v>329</v>
      </c>
      <c r="F713" s="166">
        <v>32.34</v>
      </c>
      <c r="G713" s="68">
        <v>0</v>
      </c>
      <c r="H713" s="25">
        <f t="shared" si="48"/>
        <v>0</v>
      </c>
    </row>
    <row r="714" customHeight="1" spans="1:8">
      <c r="A714" s="8">
        <f ca="1" t="shared" si="47"/>
        <v>313</v>
      </c>
      <c r="B714" s="129"/>
      <c r="C714" s="173" t="s">
        <v>951</v>
      </c>
      <c r="D714" s="174" t="s">
        <v>952</v>
      </c>
      <c r="E714" s="138" t="s">
        <v>452</v>
      </c>
      <c r="F714" s="166">
        <v>222.723864</v>
      </c>
      <c r="G714" s="68">
        <v>214.487041540365</v>
      </c>
      <c r="H714" s="25">
        <f t="shared" si="48"/>
        <v>47771</v>
      </c>
    </row>
    <row r="715" customHeight="1" spans="1:8">
      <c r="A715" s="8">
        <f ca="1" t="shared" si="47"/>
        <v>314</v>
      </c>
      <c r="B715" s="129"/>
      <c r="C715" s="173" t="s">
        <v>953</v>
      </c>
      <c r="D715" s="174" t="s">
        <v>954</v>
      </c>
      <c r="E715" s="138" t="s">
        <v>329</v>
      </c>
      <c r="F715" s="166">
        <v>1233.34068</v>
      </c>
      <c r="G715" s="68">
        <v>0</v>
      </c>
      <c r="H715" s="25">
        <f t="shared" si="48"/>
        <v>0</v>
      </c>
    </row>
    <row r="716" customHeight="1" spans="1:8">
      <c r="A716" s="8">
        <f ca="1" t="shared" si="47"/>
        <v>315</v>
      </c>
      <c r="B716" s="129"/>
      <c r="C716" s="173" t="s">
        <v>955</v>
      </c>
      <c r="D716" s="174" t="s">
        <v>956</v>
      </c>
      <c r="E716" s="138" t="s">
        <v>445</v>
      </c>
      <c r="F716" s="166">
        <v>37.26026348</v>
      </c>
      <c r="G716" s="68">
        <v>1175.84395400994</v>
      </c>
      <c r="H716" s="25">
        <f t="shared" si="48"/>
        <v>43812</v>
      </c>
    </row>
    <row r="717" customHeight="1" spans="1:8">
      <c r="A717" s="8">
        <f ca="1" t="shared" si="47"/>
        <v>316</v>
      </c>
      <c r="B717" s="129"/>
      <c r="C717" s="173" t="s">
        <v>957</v>
      </c>
      <c r="D717" s="174" t="s">
        <v>958</v>
      </c>
      <c r="E717" s="175" t="s">
        <v>959</v>
      </c>
      <c r="F717" s="166">
        <v>33</v>
      </c>
      <c r="G717" s="68">
        <v>0</v>
      </c>
      <c r="H717" s="25">
        <f t="shared" si="48"/>
        <v>0</v>
      </c>
    </row>
    <row r="718" customHeight="1" spans="1:8">
      <c r="A718" s="8">
        <f ca="1" t="shared" si="47"/>
        <v>317</v>
      </c>
      <c r="B718" s="129"/>
      <c r="C718" s="173" t="s">
        <v>960</v>
      </c>
      <c r="D718" s="174" t="s">
        <v>961</v>
      </c>
      <c r="E718" s="138" t="s">
        <v>445</v>
      </c>
      <c r="F718" s="166">
        <v>0.66</v>
      </c>
      <c r="G718" s="68">
        <v>2228.8486720608</v>
      </c>
      <c r="H718" s="25">
        <f t="shared" si="48"/>
        <v>1471</v>
      </c>
    </row>
    <row r="719" customHeight="1" spans="1:8">
      <c r="B719" s="129"/>
      <c r="C719" s="173" t="s">
        <v>962</v>
      </c>
      <c r="D719" s="174" t="s">
        <v>963</v>
      </c>
      <c r="E719" s="138" t="s">
        <v>329</v>
      </c>
      <c r="F719" s="166"/>
      <c r="G719" s="68">
        <v>0</v>
      </c>
      <c r="H719" s="25">
        <f t="shared" si="48"/>
        <v>0</v>
      </c>
    </row>
    <row r="720" customHeight="1" spans="1:8">
      <c r="B720" s="84" t="s">
        <v>1045</v>
      </c>
      <c r="C720" s="89" t="s">
        <v>1046</v>
      </c>
      <c r="D720" s="90" t="s">
        <v>1047</v>
      </c>
      <c r="E720" s="86" t="s">
        <v>238</v>
      </c>
      <c r="F720" s="107"/>
      <c r="G720" s="68">
        <v>0</v>
      </c>
      <c r="H720" s="25">
        <f t="shared" si="48"/>
        <v>0</v>
      </c>
    </row>
    <row r="721" customHeight="1" spans="1:8">
      <c r="A721" s="8">
        <f ca="1" t="shared" ref="A721:A731" si="49">COUNTA(OFFSET(A$1,0,0,ROW()-1,1))+1</f>
        <v>318</v>
      </c>
      <c r="B721" s="84" t="s">
        <v>1048</v>
      </c>
      <c r="C721" s="89" t="s">
        <v>1049</v>
      </c>
      <c r="D721" s="90" t="s">
        <v>1050</v>
      </c>
      <c r="E721" s="86" t="s">
        <v>238</v>
      </c>
      <c r="F721" s="107">
        <v>68</v>
      </c>
      <c r="G721" s="68">
        <v>0</v>
      </c>
      <c r="H721" s="25">
        <f t="shared" si="48"/>
        <v>0</v>
      </c>
    </row>
    <row r="722" customHeight="1" spans="1:8">
      <c r="A722" s="8">
        <f ca="1" t="shared" si="49"/>
        <v>319</v>
      </c>
      <c r="B722" s="129"/>
      <c r="C722" s="173" t="s">
        <v>941</v>
      </c>
      <c r="D722" s="174" t="s">
        <v>942</v>
      </c>
      <c r="E722" s="138" t="s">
        <v>452</v>
      </c>
      <c r="F722" s="166">
        <v>4893.32203968851</v>
      </c>
      <c r="G722" s="68">
        <v>1.4533068</v>
      </c>
      <c r="H722" s="25">
        <f t="shared" si="48"/>
        <v>7111</v>
      </c>
    </row>
    <row r="723" customHeight="1" spans="1:8">
      <c r="A723" s="8">
        <f ca="1" t="shared" si="49"/>
        <v>320</v>
      </c>
      <c r="B723" s="129"/>
      <c r="C723" s="173" t="s">
        <v>943</v>
      </c>
      <c r="D723" s="174" t="s">
        <v>944</v>
      </c>
      <c r="E723" s="138" t="s">
        <v>452</v>
      </c>
      <c r="F723" s="166">
        <v>3928.13003968851</v>
      </c>
      <c r="G723" s="68">
        <v>1.92551195142655</v>
      </c>
      <c r="H723" s="25">
        <f t="shared" si="48"/>
        <v>7564</v>
      </c>
    </row>
    <row r="724" customHeight="1" spans="1:8">
      <c r="A724" s="8">
        <f ca="1" t="shared" si="49"/>
        <v>321</v>
      </c>
      <c r="B724" s="129"/>
      <c r="C724" s="173" t="s">
        <v>945</v>
      </c>
      <c r="D724" s="174" t="s">
        <v>946</v>
      </c>
      <c r="E724" s="138" t="s">
        <v>452</v>
      </c>
      <c r="F724" s="166">
        <v>965.191999999999</v>
      </c>
      <c r="G724" s="68">
        <v>0</v>
      </c>
      <c r="H724" s="25">
        <f t="shared" si="48"/>
        <v>0</v>
      </c>
    </row>
    <row r="725" customHeight="1" spans="1:8">
      <c r="A725" s="8">
        <f ca="1" t="shared" si="49"/>
        <v>322</v>
      </c>
      <c r="B725" s="129"/>
      <c r="C725" s="173" t="s">
        <v>947</v>
      </c>
      <c r="D725" s="174" t="s">
        <v>948</v>
      </c>
      <c r="E725" s="138" t="s">
        <v>452</v>
      </c>
      <c r="F725" s="166">
        <v>40.392</v>
      </c>
      <c r="G725" s="68">
        <v>179.847851041431</v>
      </c>
      <c r="H725" s="25">
        <f t="shared" si="48"/>
        <v>7264</v>
      </c>
    </row>
    <row r="726" customHeight="1" spans="1:8">
      <c r="A726" s="8">
        <f ca="1" t="shared" si="49"/>
        <v>323</v>
      </c>
      <c r="B726" s="129"/>
      <c r="C726" s="173" t="s">
        <v>949</v>
      </c>
      <c r="D726" s="174" t="s">
        <v>950</v>
      </c>
      <c r="E726" s="138" t="s">
        <v>329</v>
      </c>
      <c r="F726" s="166">
        <v>66.64</v>
      </c>
      <c r="G726" s="68">
        <v>0</v>
      </c>
      <c r="H726" s="25">
        <f t="shared" si="48"/>
        <v>0</v>
      </c>
    </row>
    <row r="727" customHeight="1" spans="1:8">
      <c r="A727" s="8">
        <f ca="1" t="shared" si="49"/>
        <v>324</v>
      </c>
      <c r="B727" s="129"/>
      <c r="C727" s="173" t="s">
        <v>951</v>
      </c>
      <c r="D727" s="174" t="s">
        <v>952</v>
      </c>
      <c r="E727" s="138" t="s">
        <v>452</v>
      </c>
      <c r="F727" s="166">
        <v>458.946144</v>
      </c>
      <c r="G727" s="68">
        <v>214.487041540365</v>
      </c>
      <c r="H727" s="25">
        <f t="shared" si="48"/>
        <v>98438</v>
      </c>
    </row>
    <row r="728" customHeight="1" spans="1:8">
      <c r="A728" s="8">
        <f ca="1" t="shared" si="49"/>
        <v>325</v>
      </c>
      <c r="B728" s="129"/>
      <c r="C728" s="173" t="s">
        <v>953</v>
      </c>
      <c r="D728" s="174" t="s">
        <v>954</v>
      </c>
      <c r="E728" s="138" t="s">
        <v>329</v>
      </c>
      <c r="F728" s="166">
        <v>2541.42928</v>
      </c>
      <c r="G728" s="68">
        <v>0</v>
      </c>
      <c r="H728" s="25">
        <f t="shared" si="48"/>
        <v>0</v>
      </c>
    </row>
    <row r="729" customHeight="1" spans="1:8">
      <c r="A729" s="8">
        <f ca="1" t="shared" si="49"/>
        <v>326</v>
      </c>
      <c r="B729" s="129"/>
      <c r="C729" s="173" t="s">
        <v>955</v>
      </c>
      <c r="D729" s="174" t="s">
        <v>956</v>
      </c>
      <c r="E729" s="138" t="s">
        <v>445</v>
      </c>
      <c r="F729" s="166">
        <v>76.7787247466667</v>
      </c>
      <c r="G729" s="68">
        <v>1175.84395400994</v>
      </c>
      <c r="H729" s="25">
        <f t="shared" si="48"/>
        <v>90280</v>
      </c>
    </row>
    <row r="730" customHeight="1" spans="1:8">
      <c r="A730" s="8">
        <f ca="1" t="shared" si="49"/>
        <v>327</v>
      </c>
      <c r="B730" s="129"/>
      <c r="C730" s="173" t="s">
        <v>957</v>
      </c>
      <c r="D730" s="174" t="s">
        <v>958</v>
      </c>
      <c r="E730" s="175" t="s">
        <v>959</v>
      </c>
      <c r="F730" s="166">
        <v>68</v>
      </c>
      <c r="G730" s="68">
        <v>0</v>
      </c>
      <c r="H730" s="25">
        <f t="shared" si="48"/>
        <v>0</v>
      </c>
    </row>
    <row r="731" customHeight="1" spans="1:8">
      <c r="A731" s="8">
        <f ca="1" t="shared" si="49"/>
        <v>328</v>
      </c>
      <c r="B731" s="129"/>
      <c r="C731" s="173" t="s">
        <v>960</v>
      </c>
      <c r="D731" s="174" t="s">
        <v>961</v>
      </c>
      <c r="E731" s="138" t="s">
        <v>445</v>
      </c>
      <c r="F731" s="166">
        <v>1.36</v>
      </c>
      <c r="G731" s="68">
        <v>2228.8486720608</v>
      </c>
      <c r="H731" s="25">
        <f t="shared" si="48"/>
        <v>3031</v>
      </c>
    </row>
    <row r="732" customHeight="1" spans="1:8">
      <c r="B732" s="129"/>
      <c r="C732" s="173" t="s">
        <v>962</v>
      </c>
      <c r="D732" s="174" t="s">
        <v>963</v>
      </c>
      <c r="E732" s="138" t="s">
        <v>329</v>
      </c>
      <c r="F732" s="166"/>
      <c r="G732" s="68">
        <v>0</v>
      </c>
      <c r="H732" s="25">
        <f t="shared" si="48"/>
        <v>0</v>
      </c>
    </row>
    <row r="733" customHeight="1" spans="1:8">
      <c r="A733" s="8">
        <f ca="1" t="shared" ref="A733:A743" si="50">COUNTA(OFFSET(A$1,0,0,ROW()-1,1))+1</f>
        <v>329</v>
      </c>
      <c r="B733" s="84" t="s">
        <v>1051</v>
      </c>
      <c r="C733" s="89" t="s">
        <v>1052</v>
      </c>
      <c r="D733" s="90" t="s">
        <v>1053</v>
      </c>
      <c r="E733" s="86" t="s">
        <v>238</v>
      </c>
      <c r="F733" s="107">
        <v>40</v>
      </c>
      <c r="G733" s="68">
        <v>0</v>
      </c>
      <c r="H733" s="25">
        <f t="shared" si="48"/>
        <v>0</v>
      </c>
    </row>
    <row r="734" customHeight="1" spans="1:8">
      <c r="A734" s="8">
        <f ca="1" t="shared" si="50"/>
        <v>330</v>
      </c>
      <c r="B734" s="129"/>
      <c r="C734" s="173" t="s">
        <v>941</v>
      </c>
      <c r="D734" s="174" t="s">
        <v>942</v>
      </c>
      <c r="E734" s="138" t="s">
        <v>452</v>
      </c>
      <c r="F734" s="166">
        <v>1848.50645908086</v>
      </c>
      <c r="G734" s="68">
        <v>1.4533068</v>
      </c>
      <c r="H734" s="25">
        <f t="shared" si="48"/>
        <v>2686</v>
      </c>
    </row>
    <row r="735" customHeight="1" spans="1:8">
      <c r="A735" s="8">
        <f ca="1" t="shared" si="50"/>
        <v>331</v>
      </c>
      <c r="B735" s="129"/>
      <c r="C735" s="173" t="s">
        <v>943</v>
      </c>
      <c r="D735" s="174" t="s">
        <v>944</v>
      </c>
      <c r="E735" s="138" t="s">
        <v>452</v>
      </c>
      <c r="F735" s="166">
        <v>1516.26645908086</v>
      </c>
      <c r="G735" s="68">
        <v>1.92551195142655</v>
      </c>
      <c r="H735" s="25">
        <f t="shared" si="48"/>
        <v>2920</v>
      </c>
    </row>
    <row r="736" customHeight="1" spans="1:8">
      <c r="A736" s="8">
        <f ca="1" t="shared" si="50"/>
        <v>332</v>
      </c>
      <c r="B736" s="129"/>
      <c r="C736" s="173" t="s">
        <v>945</v>
      </c>
      <c r="D736" s="174" t="s">
        <v>946</v>
      </c>
      <c r="E736" s="138" t="s">
        <v>452</v>
      </c>
      <c r="F736" s="166">
        <v>332.24</v>
      </c>
      <c r="G736" s="68">
        <v>0</v>
      </c>
      <c r="H736" s="25">
        <f t="shared" si="48"/>
        <v>0</v>
      </c>
    </row>
    <row r="737" customHeight="1" spans="1:8">
      <c r="A737" s="8">
        <f ca="1" t="shared" si="50"/>
        <v>333</v>
      </c>
      <c r="B737" s="129"/>
      <c r="C737" s="173" t="s">
        <v>947</v>
      </c>
      <c r="D737" s="174" t="s">
        <v>948</v>
      </c>
      <c r="E737" s="138" t="s">
        <v>452</v>
      </c>
      <c r="F737" s="166">
        <v>16.72</v>
      </c>
      <c r="G737" s="68">
        <v>179.847851041431</v>
      </c>
      <c r="H737" s="25">
        <f t="shared" si="48"/>
        <v>3007</v>
      </c>
    </row>
    <row r="738" customHeight="1" spans="1:8">
      <c r="A738" s="8">
        <f ca="1" t="shared" si="50"/>
        <v>334</v>
      </c>
      <c r="B738" s="129"/>
      <c r="C738" s="173" t="s">
        <v>949</v>
      </c>
      <c r="D738" s="174" t="s">
        <v>950</v>
      </c>
      <c r="E738" s="138" t="s">
        <v>329</v>
      </c>
      <c r="F738" s="166">
        <v>32.8</v>
      </c>
      <c r="G738" s="68">
        <v>0</v>
      </c>
      <c r="H738" s="25">
        <f t="shared" si="48"/>
        <v>0</v>
      </c>
    </row>
    <row r="739" customHeight="1" spans="1:8">
      <c r="A739" s="8">
        <f ca="1" t="shared" si="50"/>
        <v>335</v>
      </c>
      <c r="B739" s="129"/>
      <c r="C739" s="173" t="s">
        <v>951</v>
      </c>
      <c r="D739" s="174" t="s">
        <v>952</v>
      </c>
      <c r="E739" s="138" t="s">
        <v>452</v>
      </c>
      <c r="F739" s="166">
        <v>175.56832</v>
      </c>
      <c r="G739" s="68">
        <v>214.487041540365</v>
      </c>
      <c r="H739" s="25">
        <f t="shared" si="48"/>
        <v>37657</v>
      </c>
    </row>
    <row r="740" customHeight="1" spans="1:8">
      <c r="A740" s="8">
        <f ca="1" t="shared" si="50"/>
        <v>336</v>
      </c>
      <c r="B740" s="129"/>
      <c r="C740" s="173" t="s">
        <v>953</v>
      </c>
      <c r="D740" s="174" t="s">
        <v>954</v>
      </c>
      <c r="E740" s="138" t="s">
        <v>329</v>
      </c>
      <c r="F740" s="166">
        <v>1008.5584</v>
      </c>
      <c r="G740" s="68">
        <v>0</v>
      </c>
      <c r="H740" s="25">
        <f t="shared" si="48"/>
        <v>0</v>
      </c>
    </row>
    <row r="741" customHeight="1" spans="1:8">
      <c r="A741" s="8">
        <f ca="1" t="shared" si="50"/>
        <v>337</v>
      </c>
      <c r="B741" s="129"/>
      <c r="C741" s="173" t="s">
        <v>955</v>
      </c>
      <c r="D741" s="174" t="s">
        <v>956</v>
      </c>
      <c r="E741" s="138" t="s">
        <v>445</v>
      </c>
      <c r="F741" s="166">
        <v>29.0710448</v>
      </c>
      <c r="G741" s="68">
        <v>1175.84395400994</v>
      </c>
      <c r="H741" s="25">
        <f t="shared" si="48"/>
        <v>34183</v>
      </c>
    </row>
    <row r="742" customHeight="1" spans="1:8">
      <c r="A742" s="8">
        <f ca="1" t="shared" si="50"/>
        <v>338</v>
      </c>
      <c r="B742" s="129"/>
      <c r="C742" s="173" t="s">
        <v>957</v>
      </c>
      <c r="D742" s="174" t="s">
        <v>958</v>
      </c>
      <c r="E742" s="175" t="s">
        <v>959</v>
      </c>
      <c r="F742" s="166">
        <v>40</v>
      </c>
      <c r="G742" s="68">
        <v>0</v>
      </c>
      <c r="H742" s="25">
        <f t="shared" si="48"/>
        <v>0</v>
      </c>
    </row>
    <row r="743" customHeight="1" spans="1:8">
      <c r="A743" s="8">
        <f ca="1" t="shared" si="50"/>
        <v>339</v>
      </c>
      <c r="B743" s="129"/>
      <c r="C743" s="173" t="s">
        <v>960</v>
      </c>
      <c r="D743" s="174" t="s">
        <v>961</v>
      </c>
      <c r="E743" s="138" t="s">
        <v>445</v>
      </c>
      <c r="F743" s="166">
        <v>0.8</v>
      </c>
      <c r="G743" s="68">
        <v>2228.8486720608</v>
      </c>
      <c r="H743" s="25">
        <f t="shared" si="48"/>
        <v>1783</v>
      </c>
    </row>
    <row r="744" customHeight="1" spans="1:8">
      <c r="B744" s="129"/>
      <c r="C744" s="173" t="s">
        <v>962</v>
      </c>
      <c r="D744" s="174" t="s">
        <v>963</v>
      </c>
      <c r="E744" s="138" t="s">
        <v>329</v>
      </c>
      <c r="F744" s="166"/>
      <c r="G744" s="68">
        <v>0</v>
      </c>
      <c r="H744" s="25">
        <f t="shared" si="48"/>
        <v>0</v>
      </c>
    </row>
    <row r="745" customHeight="1" spans="1:8">
      <c r="B745" s="84" t="s">
        <v>1054</v>
      </c>
      <c r="C745" s="89" t="s">
        <v>1055</v>
      </c>
      <c r="D745" s="90" t="s">
        <v>1056</v>
      </c>
      <c r="E745" s="86" t="s">
        <v>238</v>
      </c>
      <c r="F745" s="107"/>
      <c r="G745" s="68">
        <v>0</v>
      </c>
      <c r="H745" s="25">
        <f t="shared" si="48"/>
        <v>0</v>
      </c>
    </row>
    <row r="746" customHeight="1" spans="1:8">
      <c r="A746" s="8">
        <f ca="1" t="shared" ref="A746:A756" si="51">COUNTA(OFFSET(A$1,0,0,ROW()-1,1))+1</f>
        <v>340</v>
      </c>
      <c r="B746" s="84" t="s">
        <v>1057</v>
      </c>
      <c r="C746" s="89" t="s">
        <v>1058</v>
      </c>
      <c r="D746" s="90" t="s">
        <v>1059</v>
      </c>
      <c r="E746" s="86" t="s">
        <v>238</v>
      </c>
      <c r="F746" s="107">
        <v>10</v>
      </c>
      <c r="G746" s="68">
        <v>0</v>
      </c>
      <c r="H746" s="25">
        <f t="shared" si="48"/>
        <v>0</v>
      </c>
    </row>
    <row r="747" customHeight="1" spans="1:8">
      <c r="A747" s="8">
        <f ca="1" t="shared" si="51"/>
        <v>341</v>
      </c>
      <c r="B747" s="129"/>
      <c r="C747" s="173" t="s">
        <v>941</v>
      </c>
      <c r="D747" s="174" t="s">
        <v>942</v>
      </c>
      <c r="E747" s="138" t="s">
        <v>452</v>
      </c>
      <c r="F747" s="166">
        <v>554.491881216</v>
      </c>
      <c r="G747" s="68">
        <v>1.4533068</v>
      </c>
      <c r="H747" s="25">
        <f t="shared" si="48"/>
        <v>806</v>
      </c>
    </row>
    <row r="748" customHeight="1" spans="1:8">
      <c r="A748" s="8">
        <f ca="1" t="shared" si="51"/>
        <v>342</v>
      </c>
      <c r="B748" s="129"/>
      <c r="C748" s="173" t="s">
        <v>943</v>
      </c>
      <c r="D748" s="174" t="s">
        <v>944</v>
      </c>
      <c r="E748" s="138" t="s">
        <v>452</v>
      </c>
      <c r="F748" s="166">
        <v>442.479881216</v>
      </c>
      <c r="G748" s="68">
        <v>1.92551195142655</v>
      </c>
      <c r="H748" s="25">
        <f t="shared" si="48"/>
        <v>852</v>
      </c>
    </row>
    <row r="749" customHeight="1" spans="1:8">
      <c r="A749" s="8">
        <f ca="1" t="shared" si="51"/>
        <v>343</v>
      </c>
      <c r="B749" s="129"/>
      <c r="C749" s="173" t="s">
        <v>945</v>
      </c>
      <c r="D749" s="174" t="s">
        <v>946</v>
      </c>
      <c r="E749" s="138" t="s">
        <v>452</v>
      </c>
      <c r="F749" s="166">
        <v>112.012</v>
      </c>
      <c r="G749" s="68">
        <v>0</v>
      </c>
      <c r="H749" s="25">
        <f t="shared" si="48"/>
        <v>0</v>
      </c>
    </row>
    <row r="750" customHeight="1" spans="1:8">
      <c r="A750" s="8">
        <f ca="1" t="shared" si="51"/>
        <v>344</v>
      </c>
      <c r="B750" s="129"/>
      <c r="C750" s="173" t="s">
        <v>947</v>
      </c>
      <c r="D750" s="174" t="s">
        <v>948</v>
      </c>
      <c r="E750" s="138" t="s">
        <v>452</v>
      </c>
      <c r="F750" s="166">
        <v>5.29</v>
      </c>
      <c r="G750" s="68">
        <v>179.847851041431</v>
      </c>
      <c r="H750" s="25">
        <f t="shared" si="48"/>
        <v>951</v>
      </c>
    </row>
    <row r="751" customHeight="1" spans="1:8">
      <c r="A751" s="8">
        <f ca="1" t="shared" si="51"/>
        <v>345</v>
      </c>
      <c r="B751" s="129"/>
      <c r="C751" s="173" t="s">
        <v>949</v>
      </c>
      <c r="D751" s="174" t="s">
        <v>950</v>
      </c>
      <c r="E751" s="138" t="s">
        <v>329</v>
      </c>
      <c r="F751" s="166">
        <v>9.2</v>
      </c>
      <c r="G751" s="68">
        <v>0</v>
      </c>
      <c r="H751" s="25">
        <f t="shared" si="48"/>
        <v>0</v>
      </c>
    </row>
    <row r="752" customHeight="1" spans="1:8">
      <c r="A752" s="8">
        <f ca="1" t="shared" si="51"/>
        <v>346</v>
      </c>
      <c r="B752" s="129"/>
      <c r="C752" s="173" t="s">
        <v>951</v>
      </c>
      <c r="D752" s="174" t="s">
        <v>952</v>
      </c>
      <c r="E752" s="138" t="s">
        <v>452</v>
      </c>
      <c r="F752" s="166">
        <v>55.55208</v>
      </c>
      <c r="G752" s="68">
        <v>214.487041540365</v>
      </c>
      <c r="H752" s="25">
        <f t="shared" si="48"/>
        <v>11915</v>
      </c>
    </row>
    <row r="753" customHeight="1" spans="1:8">
      <c r="A753" s="8">
        <f ca="1" t="shared" si="51"/>
        <v>347</v>
      </c>
      <c r="B753" s="129"/>
      <c r="C753" s="173" t="s">
        <v>953</v>
      </c>
      <c r="D753" s="174" t="s">
        <v>954</v>
      </c>
      <c r="E753" s="138" t="s">
        <v>329</v>
      </c>
      <c r="F753" s="166">
        <v>302.9396</v>
      </c>
      <c r="G753" s="68">
        <v>0</v>
      </c>
      <c r="H753" s="25">
        <f t="shared" si="48"/>
        <v>0</v>
      </c>
    </row>
    <row r="754" customHeight="1" spans="1:8">
      <c r="A754" s="8">
        <f ca="1" t="shared" si="51"/>
        <v>348</v>
      </c>
      <c r="B754" s="129"/>
      <c r="C754" s="173" t="s">
        <v>955</v>
      </c>
      <c r="D754" s="174" t="s">
        <v>956</v>
      </c>
      <c r="E754" s="138" t="s">
        <v>445</v>
      </c>
      <c r="F754" s="166">
        <v>9.3768552</v>
      </c>
      <c r="G754" s="68">
        <v>1175.84395400994</v>
      </c>
      <c r="H754" s="25">
        <f t="shared" si="48"/>
        <v>11026</v>
      </c>
    </row>
    <row r="755" customHeight="1" spans="1:8">
      <c r="A755" s="8">
        <f ca="1" t="shared" si="51"/>
        <v>349</v>
      </c>
      <c r="B755" s="129"/>
      <c r="C755" s="173" t="s">
        <v>957</v>
      </c>
      <c r="D755" s="174" t="s">
        <v>958</v>
      </c>
      <c r="E755" s="175" t="s">
        <v>959</v>
      </c>
      <c r="F755" s="166">
        <v>10</v>
      </c>
      <c r="G755" s="68">
        <v>0</v>
      </c>
      <c r="H755" s="25">
        <f t="shared" si="48"/>
        <v>0</v>
      </c>
    </row>
    <row r="756" customHeight="1" spans="1:8">
      <c r="A756" s="8">
        <f ca="1" t="shared" si="51"/>
        <v>350</v>
      </c>
      <c r="B756" s="129"/>
      <c r="C756" s="173" t="s">
        <v>960</v>
      </c>
      <c r="D756" s="174" t="s">
        <v>961</v>
      </c>
      <c r="E756" s="138" t="s">
        <v>445</v>
      </c>
      <c r="F756" s="166">
        <v>0.2</v>
      </c>
      <c r="G756" s="68">
        <v>2228.8486720608</v>
      </c>
      <c r="H756" s="25">
        <f t="shared" si="48"/>
        <v>446</v>
      </c>
    </row>
    <row r="757" customHeight="1" spans="1:8">
      <c r="B757" s="129"/>
      <c r="C757" s="173" t="s">
        <v>962</v>
      </c>
      <c r="D757" s="174" t="s">
        <v>963</v>
      </c>
      <c r="E757" s="138" t="s">
        <v>329</v>
      </c>
      <c r="F757" s="166"/>
      <c r="G757" s="68">
        <v>0</v>
      </c>
      <c r="H757" s="25">
        <f t="shared" si="48"/>
        <v>0</v>
      </c>
    </row>
    <row r="758" customHeight="1" spans="1:8">
      <c r="A758" s="8">
        <f ca="1" t="shared" ref="A758:A768" si="52">COUNTA(OFFSET(A$1,0,0,ROW()-1,1))+1</f>
        <v>351</v>
      </c>
      <c r="B758" s="84" t="s">
        <v>1060</v>
      </c>
      <c r="C758" s="89" t="s">
        <v>1061</v>
      </c>
      <c r="D758" s="90" t="s">
        <v>1062</v>
      </c>
      <c r="E758" s="86" t="s">
        <v>238</v>
      </c>
      <c r="F758" s="107">
        <v>80</v>
      </c>
      <c r="G758" s="68">
        <v>0</v>
      </c>
      <c r="H758" s="25">
        <f t="shared" si="48"/>
        <v>0</v>
      </c>
    </row>
    <row r="759" customHeight="1" spans="1:8">
      <c r="A759" s="8">
        <f ca="1" t="shared" si="52"/>
        <v>352</v>
      </c>
      <c r="B759" s="129"/>
      <c r="C759" s="173" t="s">
        <v>941</v>
      </c>
      <c r="D759" s="174" t="s">
        <v>942</v>
      </c>
      <c r="E759" s="138" t="s">
        <v>452</v>
      </c>
      <c r="F759" s="166">
        <v>9926.10698230368</v>
      </c>
      <c r="G759" s="68">
        <v>1.4533068</v>
      </c>
      <c r="H759" s="25">
        <f t="shared" si="48"/>
        <v>14426</v>
      </c>
    </row>
    <row r="760" customHeight="1" spans="1:8">
      <c r="A760" s="8">
        <f ca="1" t="shared" si="52"/>
        <v>353</v>
      </c>
      <c r="B760" s="129"/>
      <c r="C760" s="173" t="s">
        <v>943</v>
      </c>
      <c r="D760" s="174" t="s">
        <v>944</v>
      </c>
      <c r="E760" s="138" t="s">
        <v>452</v>
      </c>
      <c r="F760" s="166">
        <v>7815.57898230368</v>
      </c>
      <c r="G760" s="68">
        <v>1.92551195142655</v>
      </c>
      <c r="H760" s="25">
        <f t="shared" si="48"/>
        <v>15049</v>
      </c>
    </row>
    <row r="761" customHeight="1" spans="1:8">
      <c r="A761" s="8">
        <f ca="1" t="shared" si="52"/>
        <v>354</v>
      </c>
      <c r="B761" s="129"/>
      <c r="C761" s="173" t="s">
        <v>945</v>
      </c>
      <c r="D761" s="174" t="s">
        <v>946</v>
      </c>
      <c r="E761" s="138" t="s">
        <v>452</v>
      </c>
      <c r="F761" s="166">
        <v>2110.528</v>
      </c>
      <c r="G761" s="68">
        <v>0</v>
      </c>
      <c r="H761" s="25">
        <f t="shared" si="48"/>
        <v>0</v>
      </c>
    </row>
    <row r="762" customHeight="1" spans="1:8">
      <c r="A762" s="8">
        <f ca="1" t="shared" si="52"/>
        <v>355</v>
      </c>
      <c r="B762" s="129"/>
      <c r="C762" s="173" t="s">
        <v>947</v>
      </c>
      <c r="D762" s="174" t="s">
        <v>948</v>
      </c>
      <c r="E762" s="138" t="s">
        <v>452</v>
      </c>
      <c r="F762" s="166">
        <v>70.72</v>
      </c>
      <c r="G762" s="68">
        <v>151.054061514873</v>
      </c>
      <c r="H762" s="25">
        <f t="shared" si="48"/>
        <v>10683</v>
      </c>
    </row>
    <row r="763" customHeight="1" spans="1:8">
      <c r="A763" s="8">
        <f ca="1" t="shared" si="52"/>
        <v>356</v>
      </c>
      <c r="B763" s="129"/>
      <c r="C763" s="173" t="s">
        <v>949</v>
      </c>
      <c r="D763" s="174" t="s">
        <v>950</v>
      </c>
      <c r="E763" s="138" t="s">
        <v>329</v>
      </c>
      <c r="F763" s="166">
        <v>96</v>
      </c>
      <c r="G763" s="68">
        <v>0</v>
      </c>
      <c r="H763" s="25">
        <f t="shared" si="48"/>
        <v>0</v>
      </c>
    </row>
    <row r="764" customHeight="1" spans="1:8">
      <c r="A764" s="8">
        <f ca="1" t="shared" si="52"/>
        <v>357</v>
      </c>
      <c r="B764" s="129"/>
      <c r="C764" s="173" t="s">
        <v>951</v>
      </c>
      <c r="D764" s="174" t="s">
        <v>952</v>
      </c>
      <c r="E764" s="138" t="s">
        <v>452</v>
      </c>
      <c r="F764" s="166">
        <v>874.57664</v>
      </c>
      <c r="G764" s="68">
        <v>200.777403995642</v>
      </c>
      <c r="H764" s="25">
        <f t="shared" si="48"/>
        <v>175595</v>
      </c>
    </row>
    <row r="765" customHeight="1" spans="1:8">
      <c r="A765" s="8">
        <f ca="1" t="shared" si="52"/>
        <v>358</v>
      </c>
      <c r="B765" s="129"/>
      <c r="C765" s="173" t="s">
        <v>953</v>
      </c>
      <c r="D765" s="174" t="s">
        <v>954</v>
      </c>
      <c r="E765" s="138" t="s">
        <v>329</v>
      </c>
      <c r="F765" s="166">
        <v>4743.5168</v>
      </c>
      <c r="G765" s="68">
        <v>0</v>
      </c>
      <c r="H765" s="25">
        <f t="shared" si="48"/>
        <v>0</v>
      </c>
    </row>
    <row r="766" customHeight="1" spans="1:8">
      <c r="A766" s="8">
        <f ca="1" t="shared" si="52"/>
        <v>359</v>
      </c>
      <c r="B766" s="129"/>
      <c r="C766" s="173" t="s">
        <v>955</v>
      </c>
      <c r="D766" s="174" t="s">
        <v>956</v>
      </c>
      <c r="E766" s="138" t="s">
        <v>445</v>
      </c>
      <c r="F766" s="166">
        <v>146.686255146667</v>
      </c>
      <c r="G766" s="68">
        <v>1234.06320027515</v>
      </c>
      <c r="H766" s="25">
        <f t="shared" si="48"/>
        <v>181020</v>
      </c>
    </row>
    <row r="767" customHeight="1" spans="1:8">
      <c r="A767" s="8">
        <f ca="1" t="shared" si="52"/>
        <v>360</v>
      </c>
      <c r="B767" s="129"/>
      <c r="C767" s="173" t="s">
        <v>957</v>
      </c>
      <c r="D767" s="174" t="s">
        <v>958</v>
      </c>
      <c r="E767" s="175" t="s">
        <v>959</v>
      </c>
      <c r="F767" s="166">
        <v>80</v>
      </c>
      <c r="G767" s="68">
        <v>0</v>
      </c>
      <c r="H767" s="25">
        <f t="shared" si="48"/>
        <v>0</v>
      </c>
    </row>
    <row r="768" customHeight="1" spans="1:8">
      <c r="A768" s="8">
        <f ca="1" t="shared" si="52"/>
        <v>361</v>
      </c>
      <c r="B768" s="129"/>
      <c r="C768" s="173" t="s">
        <v>960</v>
      </c>
      <c r="D768" s="174" t="s">
        <v>961</v>
      </c>
      <c r="E768" s="138" t="s">
        <v>445</v>
      </c>
      <c r="F768" s="166">
        <v>1.6</v>
      </c>
      <c r="G768" s="68">
        <v>2228.8486720608</v>
      </c>
      <c r="H768" s="25">
        <f t="shared" si="48"/>
        <v>3566</v>
      </c>
    </row>
    <row r="769" customHeight="1" spans="1:8">
      <c r="B769" s="129"/>
      <c r="C769" s="173" t="s">
        <v>962</v>
      </c>
      <c r="D769" s="174" t="s">
        <v>963</v>
      </c>
      <c r="E769" s="138" t="s">
        <v>329</v>
      </c>
      <c r="F769" s="166"/>
      <c r="G769" s="68">
        <v>0</v>
      </c>
      <c r="H769" s="25">
        <f t="shared" si="48"/>
        <v>0</v>
      </c>
    </row>
    <row r="770" customHeight="1" spans="1:8">
      <c r="A770" s="8">
        <f ca="1">COUNTA(OFFSET(A$1,0,0,ROW()-1,1))+1</f>
        <v>362</v>
      </c>
      <c r="B770" s="84" t="s">
        <v>1063</v>
      </c>
      <c r="C770" s="89" t="s">
        <v>1064</v>
      </c>
      <c r="D770" s="89" t="s">
        <v>1065</v>
      </c>
      <c r="E770" s="86" t="s">
        <v>225</v>
      </c>
      <c r="F770" s="170">
        <v>15000</v>
      </c>
      <c r="G770" s="68">
        <v>0.960864</v>
      </c>
      <c r="H770" s="25">
        <f t="shared" si="48"/>
        <v>14413</v>
      </c>
    </row>
    <row r="771" customHeight="1" spans="1:8">
      <c r="A771" s="8">
        <f ca="1">COUNTA(OFFSET(A$1,0,0,ROW()-1,1))+1</f>
        <v>363</v>
      </c>
      <c r="B771" s="84" t="s">
        <v>1066</v>
      </c>
      <c r="C771" s="89" t="s">
        <v>1067</v>
      </c>
      <c r="D771" s="89" t="s">
        <v>1068</v>
      </c>
      <c r="E771" s="86" t="s">
        <v>225</v>
      </c>
      <c r="F771" s="170">
        <v>8000</v>
      </c>
      <c r="G771" s="68">
        <v>0.480432</v>
      </c>
      <c r="H771" s="25">
        <f t="shared" si="48"/>
        <v>3843</v>
      </c>
    </row>
    <row r="772" customHeight="1" spans="1:8">
      <c r="B772" s="21"/>
      <c r="C772" s="103" t="s">
        <v>1069</v>
      </c>
      <c r="D772" s="104" t="s">
        <v>1070</v>
      </c>
      <c r="E772" s="86"/>
      <c r="F772" s="106"/>
      <c r="G772" s="68">
        <v>0</v>
      </c>
      <c r="H772" s="25">
        <f t="shared" si="48"/>
        <v>0</v>
      </c>
    </row>
    <row r="773" customHeight="1" spans="1:8">
      <c r="B773" s="26"/>
      <c r="C773" s="38"/>
      <c r="D773" s="38"/>
      <c r="E773" s="29"/>
      <c r="F773" s="107"/>
      <c r="G773" s="68">
        <v>0</v>
      </c>
      <c r="H773" s="25">
        <f t="shared" si="48"/>
        <v>0</v>
      </c>
    </row>
    <row r="774" customHeight="1" spans="1:8">
      <c r="B774" s="84" t="s">
        <v>1071</v>
      </c>
      <c r="C774" s="177" t="s">
        <v>1072</v>
      </c>
      <c r="D774" s="178" t="s">
        <v>1073</v>
      </c>
      <c r="E774" s="86"/>
      <c r="F774" s="107"/>
      <c r="G774" s="68">
        <v>0</v>
      </c>
      <c r="H774" s="25">
        <f t="shared" si="48"/>
        <v>0</v>
      </c>
    </row>
    <row r="775" customHeight="1" spans="1:8">
      <c r="B775" s="84" t="s">
        <v>1074</v>
      </c>
      <c r="C775" s="177" t="s">
        <v>127</v>
      </c>
      <c r="D775" s="178" t="s">
        <v>128</v>
      </c>
      <c r="E775" s="86"/>
      <c r="F775" s="107"/>
      <c r="G775" s="68">
        <v>0</v>
      </c>
      <c r="H775" s="25">
        <f t="shared" si="48"/>
        <v>0</v>
      </c>
    </row>
    <row r="776" customHeight="1" spans="1:8">
      <c r="A776" s="8">
        <f ca="1" t="shared" ref="A776:A793" si="53">COUNTA(OFFSET(A$1,0,0,ROW()-1,1))+1</f>
        <v>364</v>
      </c>
      <c r="B776" s="84" t="s">
        <v>1075</v>
      </c>
      <c r="C776" s="89" t="s">
        <v>1076</v>
      </c>
      <c r="D776" s="90" t="s">
        <v>1077</v>
      </c>
      <c r="E776" s="86" t="s">
        <v>238</v>
      </c>
      <c r="F776" s="107">
        <v>24</v>
      </c>
      <c r="G776" s="68">
        <v>0</v>
      </c>
      <c r="H776" s="25">
        <f t="shared" ref="H776:H839" si="54">IFERROR(ROUND(G776*F776,0),0)</f>
        <v>0</v>
      </c>
    </row>
    <row r="777" customHeight="1" spans="1:8">
      <c r="A777" s="8">
        <f ca="1" t="shared" si="53"/>
        <v>365</v>
      </c>
      <c r="B777" s="124"/>
      <c r="C777" s="179" t="s">
        <v>1078</v>
      </c>
      <c r="D777" s="180" t="s">
        <v>1079</v>
      </c>
      <c r="E777" s="126" t="s">
        <v>445</v>
      </c>
      <c r="F777" s="166">
        <f>2.11*24</f>
        <v>50.64</v>
      </c>
      <c r="G777" s="68">
        <v>2228.8486720608</v>
      </c>
      <c r="H777" s="25">
        <f t="shared" si="54"/>
        <v>112869</v>
      </c>
    </row>
    <row r="778" customHeight="1" spans="1:8">
      <c r="A778" s="8">
        <f ca="1" t="shared" si="53"/>
        <v>366</v>
      </c>
      <c r="B778" s="124"/>
      <c r="C778" s="179" t="s">
        <v>1080</v>
      </c>
      <c r="D778" s="180" t="s">
        <v>1081</v>
      </c>
      <c r="E778" s="126" t="s">
        <v>445</v>
      </c>
      <c r="F778" s="166">
        <f>5.02*24</f>
        <v>120.48</v>
      </c>
      <c r="G778" s="68">
        <v>2228.8486720608</v>
      </c>
      <c r="H778" s="25">
        <f t="shared" si="54"/>
        <v>268532</v>
      </c>
    </row>
    <row r="779" customHeight="1" spans="1:8">
      <c r="A779" s="8">
        <f ca="1" t="shared" si="53"/>
        <v>367</v>
      </c>
      <c r="B779" s="124"/>
      <c r="C779" s="179" t="s">
        <v>1082</v>
      </c>
      <c r="D779" s="180" t="s">
        <v>1083</v>
      </c>
      <c r="E779" s="126" t="s">
        <v>445</v>
      </c>
      <c r="F779" s="166">
        <f>0.18*24</f>
        <v>4.32</v>
      </c>
      <c r="G779" s="68">
        <v>360.324</v>
      </c>
      <c r="H779" s="25">
        <f t="shared" si="54"/>
        <v>1557</v>
      </c>
    </row>
    <row r="780" customHeight="1" spans="1:8">
      <c r="A780" s="8">
        <f ca="1" t="shared" si="53"/>
        <v>368</v>
      </c>
      <c r="B780" s="124"/>
      <c r="C780" s="179" t="s">
        <v>1084</v>
      </c>
      <c r="D780" s="180" t="s">
        <v>1085</v>
      </c>
      <c r="E780" s="126" t="s">
        <v>225</v>
      </c>
      <c r="F780" s="166">
        <f>104.55*24</f>
        <v>2509.2</v>
      </c>
      <c r="G780" s="68">
        <v>25.785640474439</v>
      </c>
      <c r="H780" s="25">
        <f t="shared" si="54"/>
        <v>64701</v>
      </c>
    </row>
    <row r="781" customHeight="1" spans="1:8">
      <c r="A781" s="8">
        <f ca="1" t="shared" si="53"/>
        <v>369</v>
      </c>
      <c r="B781" s="124"/>
      <c r="C781" s="179" t="s">
        <v>1086</v>
      </c>
      <c r="D781" s="180" t="s">
        <v>1087</v>
      </c>
      <c r="E781" s="126" t="s">
        <v>445</v>
      </c>
      <c r="F781" s="166">
        <f>2.58*24</f>
        <v>61.92</v>
      </c>
      <c r="G781" s="68">
        <v>2228.8486720608</v>
      </c>
      <c r="H781" s="25">
        <f t="shared" si="54"/>
        <v>138010</v>
      </c>
    </row>
    <row r="782" customHeight="1" spans="1:8">
      <c r="A782" s="8">
        <f ca="1" t="shared" si="53"/>
        <v>370</v>
      </c>
      <c r="B782" s="124"/>
      <c r="C782" s="125" t="s">
        <v>960</v>
      </c>
      <c r="D782" s="181" t="s">
        <v>961</v>
      </c>
      <c r="E782" s="126" t="s">
        <v>445</v>
      </c>
      <c r="F782" s="171">
        <f>0.336*24</f>
        <v>8.064</v>
      </c>
      <c r="G782" s="68">
        <v>2228.8486720608</v>
      </c>
      <c r="H782" s="25">
        <f t="shared" si="54"/>
        <v>17973</v>
      </c>
    </row>
    <row r="783" customHeight="1" spans="1:8">
      <c r="A783" s="8">
        <f ca="1" t="shared" si="53"/>
        <v>371</v>
      </c>
      <c r="B783" s="129"/>
      <c r="C783" s="130" t="s">
        <v>951</v>
      </c>
      <c r="D783" s="131" t="s">
        <v>952</v>
      </c>
      <c r="E783" s="138" t="s">
        <v>452</v>
      </c>
      <c r="F783" s="166">
        <f>1.15*24</f>
        <v>27.6</v>
      </c>
      <c r="G783" s="68">
        <v>214.487041540365</v>
      </c>
      <c r="H783" s="25">
        <f t="shared" si="54"/>
        <v>5920</v>
      </c>
    </row>
    <row r="784" customHeight="1" spans="1:8">
      <c r="A784" s="8">
        <f ca="1" t="shared" si="53"/>
        <v>372</v>
      </c>
      <c r="B784" s="129"/>
      <c r="C784" s="130" t="s">
        <v>955</v>
      </c>
      <c r="D784" s="131" t="s">
        <v>956</v>
      </c>
      <c r="E784" s="138" t="s">
        <v>445</v>
      </c>
      <c r="F784" s="166">
        <f>1.09*24</f>
        <v>26.16</v>
      </c>
      <c r="G784" s="68">
        <v>983.863326809938</v>
      </c>
      <c r="H784" s="25">
        <f t="shared" si="54"/>
        <v>25738</v>
      </c>
    </row>
    <row r="785" customHeight="1" spans="1:8">
      <c r="A785" s="8">
        <f ca="1" t="shared" si="53"/>
        <v>373</v>
      </c>
      <c r="B785" s="84" t="s">
        <v>1088</v>
      </c>
      <c r="C785" s="89" t="s">
        <v>1089</v>
      </c>
      <c r="D785" s="90" t="s">
        <v>1090</v>
      </c>
      <c r="E785" s="86" t="s">
        <v>238</v>
      </c>
      <c r="F785" s="107">
        <v>24</v>
      </c>
      <c r="G785" s="68">
        <v>0</v>
      </c>
      <c r="H785" s="25">
        <f t="shared" si="54"/>
        <v>0</v>
      </c>
    </row>
    <row r="786" customHeight="1" spans="1:8">
      <c r="A786" s="8">
        <f ca="1" t="shared" si="53"/>
        <v>374</v>
      </c>
      <c r="B786" s="129"/>
      <c r="C786" s="130" t="s">
        <v>941</v>
      </c>
      <c r="D786" s="131" t="s">
        <v>942</v>
      </c>
      <c r="E786" s="138" t="s">
        <v>452</v>
      </c>
      <c r="F786" s="166">
        <f>268.43*24</f>
        <v>6442.32</v>
      </c>
      <c r="G786" s="68">
        <v>1.44939404624973</v>
      </c>
      <c r="H786" s="25">
        <f t="shared" si="54"/>
        <v>9337</v>
      </c>
    </row>
    <row r="787" customHeight="1" spans="1:8">
      <c r="A787" s="8">
        <f ca="1" t="shared" si="53"/>
        <v>375</v>
      </c>
      <c r="B787" s="129"/>
      <c r="C787" s="130" t="s">
        <v>943</v>
      </c>
      <c r="D787" s="131" t="s">
        <v>944</v>
      </c>
      <c r="E787" s="138" t="s">
        <v>452</v>
      </c>
      <c r="F787" s="166">
        <f>218.12*24</f>
        <v>5234.88</v>
      </c>
      <c r="G787" s="68">
        <v>55.4508293290599</v>
      </c>
      <c r="H787" s="25">
        <f t="shared" si="54"/>
        <v>290278</v>
      </c>
    </row>
    <row r="788" customHeight="1" spans="1:8">
      <c r="A788" s="8">
        <f ca="1" t="shared" si="53"/>
        <v>376</v>
      </c>
      <c r="B788" s="129"/>
      <c r="C788" s="130" t="s">
        <v>945</v>
      </c>
      <c r="D788" s="131" t="s">
        <v>946</v>
      </c>
      <c r="E788" s="138" t="s">
        <v>452</v>
      </c>
      <c r="F788" s="166">
        <f>50.31*24</f>
        <v>1207.44</v>
      </c>
      <c r="G788" s="68">
        <v>0</v>
      </c>
      <c r="H788" s="25">
        <f t="shared" si="54"/>
        <v>0</v>
      </c>
    </row>
    <row r="789" customHeight="1" spans="1:8">
      <c r="A789" s="8">
        <f ca="1" t="shared" si="53"/>
        <v>377</v>
      </c>
      <c r="B789" s="129"/>
      <c r="C789" s="130" t="s">
        <v>947</v>
      </c>
      <c r="D789" s="131" t="s">
        <v>948</v>
      </c>
      <c r="E789" s="138" t="s">
        <v>452</v>
      </c>
      <c r="F789" s="166">
        <f>3.14*24</f>
        <v>75.36</v>
      </c>
      <c r="G789" s="68">
        <v>179.847851041431</v>
      </c>
      <c r="H789" s="25">
        <f t="shared" si="54"/>
        <v>13553</v>
      </c>
    </row>
    <row r="790" customHeight="1" spans="1:8">
      <c r="A790" s="8">
        <f ca="1" t="shared" si="53"/>
        <v>378</v>
      </c>
      <c r="B790" s="129"/>
      <c r="C790" s="130" t="s">
        <v>949</v>
      </c>
      <c r="D790" s="131" t="s">
        <v>950</v>
      </c>
      <c r="E790" s="138" t="s">
        <v>329</v>
      </c>
      <c r="F790" s="166">
        <f>10.45*24</f>
        <v>250.8</v>
      </c>
      <c r="G790" s="68">
        <v>0</v>
      </c>
      <c r="H790" s="25">
        <f t="shared" si="54"/>
        <v>0</v>
      </c>
    </row>
    <row r="791" customHeight="1" spans="1:8">
      <c r="A791" s="8">
        <f ca="1" t="shared" si="53"/>
        <v>379</v>
      </c>
      <c r="B791" s="129"/>
      <c r="C791" s="130" t="s">
        <v>951</v>
      </c>
      <c r="D791" s="131" t="s">
        <v>952</v>
      </c>
      <c r="E791" s="138" t="s">
        <v>452</v>
      </c>
      <c r="F791" s="166">
        <f>19.54*24</f>
        <v>468.96</v>
      </c>
      <c r="G791" s="68">
        <v>214.487041540365</v>
      </c>
      <c r="H791" s="25">
        <f t="shared" si="54"/>
        <v>100586</v>
      </c>
    </row>
    <row r="792" customHeight="1" spans="1:8">
      <c r="A792" s="8">
        <f ca="1" t="shared" si="53"/>
        <v>380</v>
      </c>
      <c r="B792" s="129"/>
      <c r="C792" s="130" t="s">
        <v>953</v>
      </c>
      <c r="D792" s="131" t="s">
        <v>954</v>
      </c>
      <c r="E792" s="138" t="s">
        <v>329</v>
      </c>
      <c r="F792" s="166">
        <f>65.15*24</f>
        <v>1563.6</v>
      </c>
      <c r="G792" s="68">
        <v>0</v>
      </c>
      <c r="H792" s="25">
        <f t="shared" si="54"/>
        <v>0</v>
      </c>
    </row>
    <row r="793" customHeight="1" spans="1:8">
      <c r="A793" s="8">
        <f ca="1" t="shared" si="53"/>
        <v>381</v>
      </c>
      <c r="B793" s="129"/>
      <c r="C793" s="130" t="s">
        <v>955</v>
      </c>
      <c r="D793" s="131" t="s">
        <v>956</v>
      </c>
      <c r="E793" s="138" t="s">
        <v>445</v>
      </c>
      <c r="F793" s="166">
        <f>2.54*24</f>
        <v>60.96</v>
      </c>
      <c r="G793" s="68">
        <v>1175.84395400994</v>
      </c>
      <c r="H793" s="25">
        <f t="shared" si="54"/>
        <v>71679</v>
      </c>
    </row>
    <row r="794" customHeight="1" spans="1:8">
      <c r="B794" s="124"/>
      <c r="C794" s="125" t="s">
        <v>957</v>
      </c>
      <c r="D794" s="181" t="s">
        <v>958</v>
      </c>
      <c r="E794" s="182" t="s">
        <v>959</v>
      </c>
      <c r="F794" s="171"/>
      <c r="G794" s="68">
        <v>0</v>
      </c>
      <c r="H794" s="25">
        <f t="shared" si="54"/>
        <v>0</v>
      </c>
    </row>
    <row r="795" customHeight="1" spans="1:8">
      <c r="A795" s="8">
        <f ca="1">COUNTA(OFFSET(A$1,0,0,ROW()-1,1))+1</f>
        <v>382</v>
      </c>
      <c r="B795" s="124"/>
      <c r="C795" s="125" t="s">
        <v>960</v>
      </c>
      <c r="D795" s="181" t="s">
        <v>961</v>
      </c>
      <c r="E795" s="126" t="s">
        <v>445</v>
      </c>
      <c r="F795" s="171">
        <f>0.336*24</f>
        <v>8.064</v>
      </c>
      <c r="G795" s="68">
        <v>2228.8486720608</v>
      </c>
      <c r="H795" s="25">
        <f t="shared" si="54"/>
        <v>17973</v>
      </c>
    </row>
    <row r="796" customHeight="1" spans="1:8">
      <c r="B796" s="124"/>
      <c r="C796" s="125" t="s">
        <v>962</v>
      </c>
      <c r="D796" s="181" t="s">
        <v>963</v>
      </c>
      <c r="E796" s="126" t="s">
        <v>329</v>
      </c>
      <c r="F796" s="171"/>
      <c r="G796" s="68">
        <v>0</v>
      </c>
      <c r="H796" s="25">
        <f t="shared" si="54"/>
        <v>0</v>
      </c>
    </row>
    <row r="797" customHeight="1" spans="1:8">
      <c r="A797" s="8">
        <f ca="1">COUNTA(OFFSET(A$1,0,0,ROW()-1,1))+1</f>
        <v>383</v>
      </c>
      <c r="B797" s="84" t="s">
        <v>1091</v>
      </c>
      <c r="C797" s="89" t="s">
        <v>1092</v>
      </c>
      <c r="D797" s="90" t="s">
        <v>1093</v>
      </c>
      <c r="E797" s="86" t="s">
        <v>238</v>
      </c>
      <c r="F797" s="107">
        <v>24</v>
      </c>
      <c r="G797" s="68">
        <v>4783.541316</v>
      </c>
      <c r="H797" s="25">
        <f t="shared" si="54"/>
        <v>114805</v>
      </c>
    </row>
    <row r="798" customHeight="1" spans="1:8">
      <c r="B798" s="129"/>
      <c r="C798" s="183" t="s">
        <v>1094</v>
      </c>
      <c r="D798" s="184" t="s">
        <v>1095</v>
      </c>
      <c r="E798" s="138" t="s">
        <v>464</v>
      </c>
      <c r="F798" s="166"/>
      <c r="G798" s="68">
        <v>0</v>
      </c>
      <c r="H798" s="25">
        <f t="shared" si="54"/>
        <v>0</v>
      </c>
    </row>
    <row r="799" customHeight="1" spans="1:8">
      <c r="B799" s="129"/>
      <c r="C799" s="183" t="s">
        <v>1096</v>
      </c>
      <c r="D799" s="184" t="s">
        <v>1097</v>
      </c>
      <c r="E799" s="138" t="s">
        <v>464</v>
      </c>
      <c r="F799" s="166"/>
      <c r="G799" s="68">
        <v>0</v>
      </c>
      <c r="H799" s="25">
        <f t="shared" si="54"/>
        <v>0</v>
      </c>
    </row>
    <row r="800" customHeight="1" spans="1:8">
      <c r="B800" s="129"/>
      <c r="C800" s="183" t="s">
        <v>1098</v>
      </c>
      <c r="D800" s="184" t="s">
        <v>1081</v>
      </c>
      <c r="E800" s="138" t="s">
        <v>464</v>
      </c>
      <c r="F800" s="166"/>
      <c r="G800" s="68">
        <v>0</v>
      </c>
      <c r="H800" s="25">
        <f t="shared" si="54"/>
        <v>0</v>
      </c>
    </row>
    <row r="801" customHeight="1" spans="1:8">
      <c r="B801" s="129"/>
      <c r="C801" s="183" t="s">
        <v>1099</v>
      </c>
      <c r="D801" s="184" t="s">
        <v>1100</v>
      </c>
      <c r="E801" s="138" t="s">
        <v>464</v>
      </c>
      <c r="F801" s="166"/>
      <c r="G801" s="68">
        <v>0</v>
      </c>
      <c r="H801" s="25">
        <f t="shared" si="54"/>
        <v>0</v>
      </c>
    </row>
    <row r="802" customHeight="1" spans="1:8">
      <c r="B802" s="129"/>
      <c r="C802" s="183" t="s">
        <v>1101</v>
      </c>
      <c r="D802" s="184" t="s">
        <v>1102</v>
      </c>
      <c r="E802" s="138" t="s">
        <v>329</v>
      </c>
      <c r="F802" s="166"/>
      <c r="G802" s="68">
        <v>0</v>
      </c>
      <c r="H802" s="25">
        <f t="shared" si="54"/>
        <v>0</v>
      </c>
    </row>
    <row r="803" customHeight="1" spans="1:8">
      <c r="B803" s="129"/>
      <c r="C803" s="183" t="s">
        <v>1103</v>
      </c>
      <c r="D803" s="184" t="s">
        <v>1104</v>
      </c>
      <c r="E803" s="138" t="s">
        <v>329</v>
      </c>
      <c r="F803" s="166"/>
      <c r="G803" s="68">
        <v>0</v>
      </c>
      <c r="H803" s="25">
        <f t="shared" si="54"/>
        <v>0</v>
      </c>
    </row>
    <row r="804" customHeight="1" spans="1:8">
      <c r="B804" s="129"/>
      <c r="C804" s="183" t="s">
        <v>1105</v>
      </c>
      <c r="D804" s="184" t="s">
        <v>1106</v>
      </c>
      <c r="E804" s="138" t="s">
        <v>329</v>
      </c>
      <c r="F804" s="166"/>
      <c r="G804" s="68">
        <v>0</v>
      </c>
      <c r="H804" s="25">
        <f t="shared" si="54"/>
        <v>0</v>
      </c>
    </row>
    <row r="805" customHeight="1" spans="1:8">
      <c r="B805" s="129"/>
      <c r="C805" s="183" t="s">
        <v>1107</v>
      </c>
      <c r="D805" s="184" t="s">
        <v>1108</v>
      </c>
      <c r="E805" s="138" t="s">
        <v>892</v>
      </c>
      <c r="F805" s="166"/>
      <c r="G805" s="68">
        <v>0</v>
      </c>
      <c r="H805" s="25">
        <f t="shared" si="54"/>
        <v>0</v>
      </c>
    </row>
    <row r="806" customHeight="1" spans="1:8">
      <c r="B806" s="129"/>
      <c r="C806" s="183" t="s">
        <v>1109</v>
      </c>
      <c r="D806" s="184" t="s">
        <v>1110</v>
      </c>
      <c r="E806" s="138" t="s">
        <v>329</v>
      </c>
      <c r="F806" s="166"/>
      <c r="G806" s="68">
        <v>0</v>
      </c>
      <c r="H806" s="25">
        <f t="shared" si="54"/>
        <v>0</v>
      </c>
    </row>
    <row r="807" customHeight="1" spans="1:8">
      <c r="B807" s="129"/>
      <c r="C807" s="183" t="s">
        <v>1111</v>
      </c>
      <c r="D807" s="184" t="s">
        <v>1112</v>
      </c>
      <c r="E807" s="138" t="s">
        <v>329</v>
      </c>
      <c r="F807" s="166"/>
      <c r="G807" s="68">
        <v>0</v>
      </c>
      <c r="H807" s="25">
        <f t="shared" si="54"/>
        <v>0</v>
      </c>
    </row>
    <row r="808" customHeight="1" spans="1:8">
      <c r="A808" s="8">
        <f ca="1">COUNTA(OFFSET(A$1,0,0,ROW()-1,1))+1</f>
        <v>384</v>
      </c>
      <c r="B808" s="84" t="s">
        <v>1113</v>
      </c>
      <c r="C808" s="89" t="s">
        <v>1114</v>
      </c>
      <c r="D808" s="90" t="s">
        <v>1115</v>
      </c>
      <c r="E808" s="86" t="s">
        <v>238</v>
      </c>
      <c r="F808" s="107">
        <v>4</v>
      </c>
      <c r="G808" s="68">
        <v>3523.9446984</v>
      </c>
      <c r="H808" s="25">
        <f t="shared" si="54"/>
        <v>14096</v>
      </c>
    </row>
    <row r="809" customHeight="1" spans="1:8">
      <c r="B809" s="26"/>
      <c r="C809" s="38" t="s">
        <v>1116</v>
      </c>
      <c r="D809" s="39" t="s">
        <v>1117</v>
      </c>
      <c r="E809" s="29"/>
      <c r="F809" s="107"/>
      <c r="G809" s="68">
        <v>0</v>
      </c>
      <c r="H809" s="25">
        <f t="shared" si="54"/>
        <v>0</v>
      </c>
    </row>
    <row r="810" customHeight="1" spans="1:8">
      <c r="B810" s="124"/>
      <c r="C810" s="179" t="s">
        <v>1094</v>
      </c>
      <c r="D810" s="180" t="s">
        <v>1095</v>
      </c>
      <c r="E810" s="126" t="s">
        <v>464</v>
      </c>
      <c r="F810" s="171"/>
      <c r="G810" s="68">
        <v>0</v>
      </c>
      <c r="H810" s="25">
        <f t="shared" si="54"/>
        <v>0</v>
      </c>
    </row>
    <row r="811" customHeight="1" spans="1:8">
      <c r="B811" s="124"/>
      <c r="C811" s="179" t="s">
        <v>1096</v>
      </c>
      <c r="D811" s="180" t="s">
        <v>1097</v>
      </c>
      <c r="E811" s="126" t="s">
        <v>464</v>
      </c>
      <c r="F811" s="171"/>
      <c r="G811" s="68">
        <v>0</v>
      </c>
      <c r="H811" s="25">
        <f t="shared" si="54"/>
        <v>0</v>
      </c>
    </row>
    <row r="812" customHeight="1" spans="1:8">
      <c r="B812" s="124"/>
      <c r="C812" s="179" t="s">
        <v>1098</v>
      </c>
      <c r="D812" s="180" t="s">
        <v>1081</v>
      </c>
      <c r="E812" s="126" t="s">
        <v>464</v>
      </c>
      <c r="F812" s="171"/>
      <c r="G812" s="68">
        <v>0</v>
      </c>
      <c r="H812" s="25">
        <f t="shared" si="54"/>
        <v>0</v>
      </c>
    </row>
    <row r="813" customHeight="1" spans="1:8">
      <c r="B813" s="124"/>
      <c r="C813" s="179" t="s">
        <v>1099</v>
      </c>
      <c r="D813" s="180" t="s">
        <v>1100</v>
      </c>
      <c r="E813" s="126" t="s">
        <v>464</v>
      </c>
      <c r="F813" s="171"/>
      <c r="G813" s="68">
        <v>0</v>
      </c>
      <c r="H813" s="25">
        <f t="shared" si="54"/>
        <v>0</v>
      </c>
    </row>
    <row r="814" customHeight="1" spans="1:8">
      <c r="B814" s="124"/>
      <c r="C814" s="179" t="s">
        <v>1101</v>
      </c>
      <c r="D814" s="180" t="s">
        <v>1102</v>
      </c>
      <c r="E814" s="126" t="s">
        <v>329</v>
      </c>
      <c r="F814" s="171"/>
      <c r="G814" s="68">
        <v>0</v>
      </c>
      <c r="H814" s="25">
        <f t="shared" si="54"/>
        <v>0</v>
      </c>
    </row>
    <row r="815" customHeight="1" spans="1:8">
      <c r="B815" s="124"/>
      <c r="C815" s="179" t="s">
        <v>1103</v>
      </c>
      <c r="D815" s="180" t="s">
        <v>1104</v>
      </c>
      <c r="E815" s="126" t="s">
        <v>329</v>
      </c>
      <c r="F815" s="171"/>
      <c r="G815" s="68">
        <v>0</v>
      </c>
      <c r="H815" s="25">
        <f t="shared" si="54"/>
        <v>0</v>
      </c>
    </row>
    <row r="816" customHeight="1" spans="1:8">
      <c r="B816" s="124"/>
      <c r="C816" s="179" t="s">
        <v>1105</v>
      </c>
      <c r="D816" s="180" t="s">
        <v>1106</v>
      </c>
      <c r="E816" s="126" t="s">
        <v>329</v>
      </c>
      <c r="F816" s="171"/>
      <c r="G816" s="68">
        <v>0</v>
      </c>
      <c r="H816" s="25">
        <f t="shared" si="54"/>
        <v>0</v>
      </c>
    </row>
    <row r="817" customHeight="1" spans="1:8">
      <c r="B817" s="124"/>
      <c r="C817" s="179" t="s">
        <v>1107</v>
      </c>
      <c r="D817" s="180" t="s">
        <v>1108</v>
      </c>
      <c r="E817" s="126" t="s">
        <v>892</v>
      </c>
      <c r="F817" s="171"/>
      <c r="G817" s="68">
        <v>0</v>
      </c>
      <c r="H817" s="25">
        <f t="shared" si="54"/>
        <v>0</v>
      </c>
    </row>
    <row r="818" customHeight="1" spans="1:8">
      <c r="B818" s="124"/>
      <c r="C818" s="179" t="s">
        <v>1109</v>
      </c>
      <c r="D818" s="180" t="s">
        <v>1110</v>
      </c>
      <c r="E818" s="126" t="s">
        <v>329</v>
      </c>
      <c r="F818" s="171"/>
      <c r="G818" s="68">
        <v>0</v>
      </c>
      <c r="H818" s="25">
        <f t="shared" si="54"/>
        <v>0</v>
      </c>
    </row>
    <row r="819" customHeight="1" spans="1:8">
      <c r="B819" s="124"/>
      <c r="C819" s="179" t="s">
        <v>1111</v>
      </c>
      <c r="D819" s="180" t="s">
        <v>1112</v>
      </c>
      <c r="E819" s="126" t="s">
        <v>329</v>
      </c>
      <c r="F819" s="171"/>
      <c r="G819" s="68">
        <v>0</v>
      </c>
      <c r="H819" s="25">
        <f t="shared" si="54"/>
        <v>0</v>
      </c>
    </row>
    <row r="820" customHeight="1" spans="1:8">
      <c r="B820" s="84" t="s">
        <v>1118</v>
      </c>
      <c r="C820" s="177" t="s">
        <v>1119</v>
      </c>
      <c r="D820" s="178" t="s">
        <v>1120</v>
      </c>
      <c r="E820" s="86"/>
      <c r="F820" s="107"/>
      <c r="G820" s="68">
        <v>0</v>
      </c>
      <c r="H820" s="25">
        <f t="shared" si="54"/>
        <v>0</v>
      </c>
    </row>
    <row r="821" customHeight="1" spans="1:8">
      <c r="A821" s="8">
        <f ca="1">COUNTA(OFFSET(A$1,0,0,ROW()-1,1))+1</f>
        <v>385</v>
      </c>
      <c r="B821" s="84" t="s">
        <v>1121</v>
      </c>
      <c r="C821" s="89" t="s">
        <v>1122</v>
      </c>
      <c r="D821" s="90" t="s">
        <v>1123</v>
      </c>
      <c r="E821" s="86" t="s">
        <v>238</v>
      </c>
      <c r="F821" s="107">
        <v>1</v>
      </c>
      <c r="G821" s="68">
        <v>0</v>
      </c>
      <c r="H821" s="25">
        <f t="shared" si="54"/>
        <v>0</v>
      </c>
    </row>
    <row r="822" customHeight="1" spans="1:8">
      <c r="B822" s="129"/>
      <c r="C822" s="173" t="s">
        <v>941</v>
      </c>
      <c r="D822" s="174" t="s">
        <v>942</v>
      </c>
      <c r="E822" s="138" t="s">
        <v>452</v>
      </c>
      <c r="F822" s="166"/>
      <c r="G822" s="68">
        <v>0</v>
      </c>
      <c r="H822" s="25">
        <f t="shared" si="54"/>
        <v>0</v>
      </c>
    </row>
    <row r="823" customHeight="1" spans="1:8">
      <c r="B823" s="129"/>
      <c r="C823" s="173" t="s">
        <v>943</v>
      </c>
      <c r="D823" s="174" t="s">
        <v>944</v>
      </c>
      <c r="E823" s="138" t="s">
        <v>452</v>
      </c>
      <c r="F823" s="166"/>
      <c r="G823" s="68">
        <v>0</v>
      </c>
      <c r="H823" s="25">
        <f t="shared" si="54"/>
        <v>0</v>
      </c>
    </row>
    <row r="824" customHeight="1" spans="1:8">
      <c r="B824" s="129"/>
      <c r="C824" s="173" t="s">
        <v>945</v>
      </c>
      <c r="D824" s="174" t="s">
        <v>946</v>
      </c>
      <c r="E824" s="138" t="s">
        <v>452</v>
      </c>
      <c r="F824" s="166"/>
      <c r="G824" s="68">
        <v>0</v>
      </c>
      <c r="H824" s="25">
        <f t="shared" si="54"/>
        <v>0</v>
      </c>
    </row>
    <row r="825" customHeight="1" spans="1:8">
      <c r="B825" s="129"/>
      <c r="C825" s="173" t="s">
        <v>947</v>
      </c>
      <c r="D825" s="174" t="s">
        <v>948</v>
      </c>
      <c r="E825" s="138" t="s">
        <v>452</v>
      </c>
      <c r="F825" s="166"/>
      <c r="G825" s="68">
        <v>0</v>
      </c>
      <c r="H825" s="25">
        <f t="shared" si="54"/>
        <v>0</v>
      </c>
    </row>
    <row r="826" customHeight="1" spans="1:8">
      <c r="B826" s="129"/>
      <c r="C826" s="173" t="s">
        <v>949</v>
      </c>
      <c r="D826" s="174" t="s">
        <v>950</v>
      </c>
      <c r="E826" s="138" t="s">
        <v>329</v>
      </c>
      <c r="F826" s="166"/>
      <c r="G826" s="68">
        <v>0</v>
      </c>
      <c r="H826" s="25">
        <f t="shared" si="54"/>
        <v>0</v>
      </c>
    </row>
    <row r="827" customHeight="1" spans="1:8">
      <c r="B827" s="129"/>
      <c r="C827" s="173" t="s">
        <v>951</v>
      </c>
      <c r="D827" s="174" t="s">
        <v>952</v>
      </c>
      <c r="E827" s="138" t="s">
        <v>452</v>
      </c>
      <c r="F827" s="166"/>
      <c r="G827" s="68">
        <v>0</v>
      </c>
      <c r="H827" s="25">
        <f t="shared" si="54"/>
        <v>0</v>
      </c>
    </row>
    <row r="828" customHeight="1" spans="1:8">
      <c r="B828" s="129"/>
      <c r="C828" s="173" t="s">
        <v>953</v>
      </c>
      <c r="D828" s="174" t="s">
        <v>954</v>
      </c>
      <c r="E828" s="138" t="s">
        <v>329</v>
      </c>
      <c r="F828" s="166"/>
      <c r="G828" s="68">
        <v>0</v>
      </c>
      <c r="H828" s="25">
        <f t="shared" si="54"/>
        <v>0</v>
      </c>
    </row>
    <row r="829" customHeight="1" spans="1:8">
      <c r="B829" s="129"/>
      <c r="C829" s="173" t="s">
        <v>955</v>
      </c>
      <c r="D829" s="174" t="s">
        <v>956</v>
      </c>
      <c r="E829" s="138" t="s">
        <v>445</v>
      </c>
      <c r="F829" s="166"/>
      <c r="G829" s="68">
        <v>0</v>
      </c>
      <c r="H829" s="25">
        <f t="shared" si="54"/>
        <v>0</v>
      </c>
    </row>
    <row r="830" customHeight="1" spans="1:8">
      <c r="B830" s="129"/>
      <c r="C830" s="173" t="s">
        <v>957</v>
      </c>
      <c r="D830" s="174" t="s">
        <v>958</v>
      </c>
      <c r="E830" s="175" t="s">
        <v>959</v>
      </c>
      <c r="F830" s="166"/>
      <c r="G830" s="68">
        <v>0</v>
      </c>
      <c r="H830" s="25">
        <f t="shared" si="54"/>
        <v>0</v>
      </c>
    </row>
    <row r="831" customHeight="1" spans="1:8">
      <c r="B831" s="129"/>
      <c r="C831" s="173" t="s">
        <v>960</v>
      </c>
      <c r="D831" s="174" t="s">
        <v>961</v>
      </c>
      <c r="E831" s="138" t="s">
        <v>445</v>
      </c>
      <c r="F831" s="166"/>
      <c r="G831" s="68">
        <v>0</v>
      </c>
      <c r="H831" s="25">
        <f t="shared" si="54"/>
        <v>0</v>
      </c>
    </row>
    <row r="832" customHeight="1" spans="1:8">
      <c r="B832" s="129"/>
      <c r="C832" s="173" t="s">
        <v>962</v>
      </c>
      <c r="D832" s="174" t="s">
        <v>963</v>
      </c>
      <c r="E832" s="138" t="s">
        <v>329</v>
      </c>
      <c r="F832" s="166"/>
      <c r="G832" s="68">
        <v>0</v>
      </c>
      <c r="H832" s="25">
        <f t="shared" si="54"/>
        <v>0</v>
      </c>
    </row>
    <row r="833" customHeight="1" spans="1:8">
      <c r="A833" s="8">
        <f ca="1">COUNTA(OFFSET(A$1,0,0,ROW()-1,1))+1</f>
        <v>386</v>
      </c>
      <c r="B833" s="84" t="s">
        <v>1124</v>
      </c>
      <c r="C833" s="89" t="s">
        <v>1125</v>
      </c>
      <c r="D833" s="90" t="s">
        <v>1126</v>
      </c>
      <c r="E833" s="86" t="s">
        <v>238</v>
      </c>
      <c r="F833" s="107">
        <v>4</v>
      </c>
      <c r="G833" s="68">
        <v>0</v>
      </c>
      <c r="H833" s="25">
        <f t="shared" si="54"/>
        <v>0</v>
      </c>
    </row>
    <row r="834" customHeight="1" spans="1:8">
      <c r="B834" s="129"/>
      <c r="C834" s="173" t="s">
        <v>941</v>
      </c>
      <c r="D834" s="174" t="s">
        <v>942</v>
      </c>
      <c r="E834" s="138" t="s">
        <v>452</v>
      </c>
      <c r="F834" s="166"/>
      <c r="G834" s="68">
        <v>0</v>
      </c>
      <c r="H834" s="25">
        <f t="shared" si="54"/>
        <v>0</v>
      </c>
    </row>
    <row r="835" customHeight="1" spans="1:8">
      <c r="B835" s="129"/>
      <c r="C835" s="173" t="s">
        <v>943</v>
      </c>
      <c r="D835" s="174" t="s">
        <v>944</v>
      </c>
      <c r="E835" s="138" t="s">
        <v>452</v>
      </c>
      <c r="F835" s="166"/>
      <c r="G835" s="68">
        <v>0</v>
      </c>
      <c r="H835" s="25">
        <f t="shared" si="54"/>
        <v>0</v>
      </c>
    </row>
    <row r="836" customHeight="1" spans="1:8">
      <c r="B836" s="129"/>
      <c r="C836" s="173" t="s">
        <v>945</v>
      </c>
      <c r="D836" s="174" t="s">
        <v>946</v>
      </c>
      <c r="E836" s="138" t="s">
        <v>452</v>
      </c>
      <c r="F836" s="166"/>
      <c r="G836" s="68">
        <v>0</v>
      </c>
      <c r="H836" s="25">
        <f t="shared" si="54"/>
        <v>0</v>
      </c>
    </row>
    <row r="837" customHeight="1" spans="1:8">
      <c r="B837" s="129"/>
      <c r="C837" s="173" t="s">
        <v>947</v>
      </c>
      <c r="D837" s="174" t="s">
        <v>948</v>
      </c>
      <c r="E837" s="138" t="s">
        <v>452</v>
      </c>
      <c r="F837" s="166"/>
      <c r="G837" s="68">
        <v>0</v>
      </c>
      <c r="H837" s="25">
        <f t="shared" si="54"/>
        <v>0</v>
      </c>
    </row>
    <row r="838" customHeight="1" spans="1:8">
      <c r="B838" s="129"/>
      <c r="C838" s="173" t="s">
        <v>949</v>
      </c>
      <c r="D838" s="174" t="s">
        <v>950</v>
      </c>
      <c r="E838" s="138" t="s">
        <v>329</v>
      </c>
      <c r="F838" s="166"/>
      <c r="G838" s="68">
        <v>0</v>
      </c>
      <c r="H838" s="25">
        <f t="shared" si="54"/>
        <v>0</v>
      </c>
    </row>
    <row r="839" customHeight="1" spans="1:8">
      <c r="B839" s="129"/>
      <c r="C839" s="173" t="s">
        <v>951</v>
      </c>
      <c r="D839" s="174" t="s">
        <v>952</v>
      </c>
      <c r="E839" s="138" t="s">
        <v>452</v>
      </c>
      <c r="F839" s="166"/>
      <c r="G839" s="68">
        <v>0</v>
      </c>
      <c r="H839" s="25">
        <f t="shared" si="54"/>
        <v>0</v>
      </c>
    </row>
    <row r="840" customHeight="1" spans="1:8">
      <c r="B840" s="129"/>
      <c r="C840" s="173" t="s">
        <v>953</v>
      </c>
      <c r="D840" s="174" t="s">
        <v>954</v>
      </c>
      <c r="E840" s="138" t="s">
        <v>329</v>
      </c>
      <c r="F840" s="166"/>
      <c r="G840" s="68">
        <v>0</v>
      </c>
      <c r="H840" s="25">
        <f t="shared" ref="H840:H903" si="55">IFERROR(ROUND(G840*F840,0),0)</f>
        <v>0</v>
      </c>
    </row>
    <row r="841" customHeight="1" spans="1:8">
      <c r="B841" s="129"/>
      <c r="C841" s="173" t="s">
        <v>955</v>
      </c>
      <c r="D841" s="174" t="s">
        <v>956</v>
      </c>
      <c r="E841" s="138" t="s">
        <v>445</v>
      </c>
      <c r="F841" s="166"/>
      <c r="G841" s="68">
        <v>0</v>
      </c>
      <c r="H841" s="25">
        <f t="shared" si="55"/>
        <v>0</v>
      </c>
    </row>
    <row r="842" customHeight="1" spans="1:8">
      <c r="B842" s="129"/>
      <c r="C842" s="173" t="s">
        <v>957</v>
      </c>
      <c r="D842" s="174" t="s">
        <v>958</v>
      </c>
      <c r="E842" s="175" t="s">
        <v>959</v>
      </c>
      <c r="F842" s="166"/>
      <c r="G842" s="68">
        <v>0</v>
      </c>
      <c r="H842" s="25">
        <f t="shared" si="55"/>
        <v>0</v>
      </c>
    </row>
    <row r="843" customHeight="1" spans="1:8">
      <c r="B843" s="129"/>
      <c r="C843" s="173" t="s">
        <v>960</v>
      </c>
      <c r="D843" s="174" t="s">
        <v>961</v>
      </c>
      <c r="E843" s="138" t="s">
        <v>445</v>
      </c>
      <c r="F843" s="166"/>
      <c r="G843" s="68">
        <v>0</v>
      </c>
      <c r="H843" s="25">
        <f t="shared" si="55"/>
        <v>0</v>
      </c>
    </row>
    <row r="844" customHeight="1" spans="1:8">
      <c r="B844" s="129"/>
      <c r="C844" s="173" t="s">
        <v>962</v>
      </c>
      <c r="D844" s="174" t="s">
        <v>963</v>
      </c>
      <c r="E844" s="138" t="s">
        <v>329</v>
      </c>
      <c r="F844" s="166"/>
      <c r="G844" s="68">
        <v>0</v>
      </c>
      <c r="H844" s="25">
        <f t="shared" si="55"/>
        <v>0</v>
      </c>
    </row>
    <row r="845" customHeight="1" spans="1:8">
      <c r="A845" s="8">
        <f ca="1">COUNTA(OFFSET(A$1,0,0,ROW()-1,1))+1</f>
        <v>387</v>
      </c>
      <c r="B845" s="84" t="s">
        <v>1127</v>
      </c>
      <c r="C845" s="89" t="s">
        <v>1128</v>
      </c>
      <c r="D845" s="89" t="s">
        <v>1129</v>
      </c>
      <c r="E845" s="86" t="s">
        <v>238</v>
      </c>
      <c r="F845" s="107">
        <v>4</v>
      </c>
      <c r="G845" s="68">
        <v>0</v>
      </c>
      <c r="H845" s="25">
        <f t="shared" si="55"/>
        <v>0</v>
      </c>
    </row>
    <row r="846" customHeight="1" spans="1:8">
      <c r="B846" s="129"/>
      <c r="C846" s="173" t="s">
        <v>941</v>
      </c>
      <c r="D846" s="174" t="s">
        <v>942</v>
      </c>
      <c r="E846" s="138" t="s">
        <v>452</v>
      </c>
      <c r="F846" s="166"/>
      <c r="G846" s="68">
        <v>0</v>
      </c>
      <c r="H846" s="25">
        <f t="shared" si="55"/>
        <v>0</v>
      </c>
    </row>
    <row r="847" customHeight="1" spans="1:8">
      <c r="B847" s="129"/>
      <c r="C847" s="173" t="s">
        <v>943</v>
      </c>
      <c r="D847" s="174" t="s">
        <v>944</v>
      </c>
      <c r="E847" s="138" t="s">
        <v>452</v>
      </c>
      <c r="F847" s="166"/>
      <c r="G847" s="68">
        <v>0</v>
      </c>
      <c r="H847" s="25">
        <f t="shared" si="55"/>
        <v>0</v>
      </c>
    </row>
    <row r="848" customHeight="1" spans="1:8">
      <c r="B848" s="129"/>
      <c r="C848" s="173" t="s">
        <v>945</v>
      </c>
      <c r="D848" s="174" t="s">
        <v>946</v>
      </c>
      <c r="E848" s="138" t="s">
        <v>452</v>
      </c>
      <c r="F848" s="166"/>
      <c r="G848" s="68">
        <v>0</v>
      </c>
      <c r="H848" s="25">
        <f t="shared" si="55"/>
        <v>0</v>
      </c>
    </row>
    <row r="849" customHeight="1" spans="1:8">
      <c r="B849" s="129"/>
      <c r="C849" s="173" t="s">
        <v>947</v>
      </c>
      <c r="D849" s="174" t="s">
        <v>948</v>
      </c>
      <c r="E849" s="138" t="s">
        <v>452</v>
      </c>
      <c r="F849" s="166"/>
      <c r="G849" s="68">
        <v>0</v>
      </c>
      <c r="H849" s="25">
        <f t="shared" si="55"/>
        <v>0</v>
      </c>
    </row>
    <row r="850" customHeight="1" spans="1:8">
      <c r="B850" s="129"/>
      <c r="C850" s="173" t="s">
        <v>949</v>
      </c>
      <c r="D850" s="174" t="s">
        <v>950</v>
      </c>
      <c r="E850" s="138" t="s">
        <v>329</v>
      </c>
      <c r="F850" s="166"/>
      <c r="G850" s="68">
        <v>0</v>
      </c>
      <c r="H850" s="25">
        <f t="shared" si="55"/>
        <v>0</v>
      </c>
    </row>
    <row r="851" customHeight="1" spans="1:8">
      <c r="B851" s="129"/>
      <c r="C851" s="173" t="s">
        <v>951</v>
      </c>
      <c r="D851" s="174" t="s">
        <v>952</v>
      </c>
      <c r="E851" s="138" t="s">
        <v>452</v>
      </c>
      <c r="F851" s="166"/>
      <c r="G851" s="68">
        <v>0</v>
      </c>
      <c r="H851" s="25">
        <f t="shared" si="55"/>
        <v>0</v>
      </c>
    </row>
    <row r="852" customHeight="1" spans="1:8">
      <c r="B852" s="129"/>
      <c r="C852" s="173" t="s">
        <v>953</v>
      </c>
      <c r="D852" s="174" t="s">
        <v>954</v>
      </c>
      <c r="E852" s="138" t="s">
        <v>329</v>
      </c>
      <c r="F852" s="166"/>
      <c r="G852" s="68">
        <v>0</v>
      </c>
      <c r="H852" s="25">
        <f t="shared" si="55"/>
        <v>0</v>
      </c>
    </row>
    <row r="853" customHeight="1" spans="1:8">
      <c r="B853" s="129"/>
      <c r="C853" s="173" t="s">
        <v>955</v>
      </c>
      <c r="D853" s="174" t="s">
        <v>956</v>
      </c>
      <c r="E853" s="138" t="s">
        <v>445</v>
      </c>
      <c r="F853" s="166"/>
      <c r="G853" s="68">
        <v>0</v>
      </c>
      <c r="H853" s="25">
        <f t="shared" si="55"/>
        <v>0</v>
      </c>
    </row>
    <row r="854" customHeight="1" spans="1:8">
      <c r="B854" s="129"/>
      <c r="C854" s="173" t="s">
        <v>957</v>
      </c>
      <c r="D854" s="174" t="s">
        <v>958</v>
      </c>
      <c r="E854" s="175" t="s">
        <v>959</v>
      </c>
      <c r="F854" s="166"/>
      <c r="G854" s="68">
        <v>0</v>
      </c>
      <c r="H854" s="25">
        <f t="shared" si="55"/>
        <v>0</v>
      </c>
    </row>
    <row r="855" customHeight="1" spans="1:8">
      <c r="B855" s="129"/>
      <c r="C855" s="173" t="s">
        <v>960</v>
      </c>
      <c r="D855" s="174" t="s">
        <v>961</v>
      </c>
      <c r="E855" s="138" t="s">
        <v>445</v>
      </c>
      <c r="F855" s="166"/>
      <c r="G855" s="68">
        <v>0</v>
      </c>
      <c r="H855" s="25">
        <f t="shared" si="55"/>
        <v>0</v>
      </c>
    </row>
    <row r="856" customHeight="1" spans="1:8">
      <c r="B856" s="129"/>
      <c r="C856" s="173" t="s">
        <v>962</v>
      </c>
      <c r="D856" s="174" t="s">
        <v>963</v>
      </c>
      <c r="E856" s="138" t="s">
        <v>329</v>
      </c>
      <c r="F856" s="166"/>
      <c r="G856" s="68">
        <v>0</v>
      </c>
      <c r="H856" s="25">
        <f t="shared" si="55"/>
        <v>0</v>
      </c>
    </row>
    <row r="857" customHeight="1" spans="1:8">
      <c r="A857" s="8">
        <f ca="1">COUNTA(OFFSET(A$1,0,0,ROW()-1,1))+1</f>
        <v>388</v>
      </c>
      <c r="B857" s="84" t="s">
        <v>1130</v>
      </c>
      <c r="C857" s="89" t="s">
        <v>1131</v>
      </c>
      <c r="D857" s="90" t="s">
        <v>1132</v>
      </c>
      <c r="E857" s="86" t="s">
        <v>238</v>
      </c>
      <c r="F857" s="107">
        <v>3</v>
      </c>
      <c r="G857" s="68">
        <v>0</v>
      </c>
      <c r="H857" s="25">
        <f t="shared" si="55"/>
        <v>0</v>
      </c>
    </row>
    <row r="858" customHeight="1" spans="1:8">
      <c r="B858" s="129"/>
      <c r="C858" s="173" t="s">
        <v>941</v>
      </c>
      <c r="D858" s="174" t="s">
        <v>942</v>
      </c>
      <c r="E858" s="138" t="s">
        <v>452</v>
      </c>
      <c r="F858" s="166"/>
      <c r="G858" s="68">
        <v>0</v>
      </c>
      <c r="H858" s="25">
        <f t="shared" si="55"/>
        <v>0</v>
      </c>
    </row>
    <row r="859" customHeight="1" spans="1:8">
      <c r="B859" s="129"/>
      <c r="C859" s="173" t="s">
        <v>943</v>
      </c>
      <c r="D859" s="174" t="s">
        <v>944</v>
      </c>
      <c r="E859" s="138" t="s">
        <v>452</v>
      </c>
      <c r="F859" s="166"/>
      <c r="G859" s="68">
        <v>0</v>
      </c>
      <c r="H859" s="25">
        <f t="shared" si="55"/>
        <v>0</v>
      </c>
    </row>
    <row r="860" customHeight="1" spans="1:8">
      <c r="B860" s="129"/>
      <c r="C860" s="173" t="s">
        <v>945</v>
      </c>
      <c r="D860" s="174" t="s">
        <v>946</v>
      </c>
      <c r="E860" s="138" t="s">
        <v>452</v>
      </c>
      <c r="F860" s="166"/>
      <c r="G860" s="68">
        <v>0</v>
      </c>
      <c r="H860" s="25">
        <f t="shared" si="55"/>
        <v>0</v>
      </c>
    </row>
    <row r="861" customHeight="1" spans="1:8">
      <c r="B861" s="129"/>
      <c r="C861" s="173" t="s">
        <v>947</v>
      </c>
      <c r="D861" s="174" t="s">
        <v>948</v>
      </c>
      <c r="E861" s="138" t="s">
        <v>452</v>
      </c>
      <c r="F861" s="166"/>
      <c r="G861" s="68">
        <v>0</v>
      </c>
      <c r="H861" s="25">
        <f t="shared" si="55"/>
        <v>0</v>
      </c>
    </row>
    <row r="862" customHeight="1" spans="1:8">
      <c r="B862" s="129"/>
      <c r="C862" s="173" t="s">
        <v>949</v>
      </c>
      <c r="D862" s="174" t="s">
        <v>950</v>
      </c>
      <c r="E862" s="138" t="s">
        <v>329</v>
      </c>
      <c r="F862" s="166"/>
      <c r="G862" s="68">
        <v>0</v>
      </c>
      <c r="H862" s="25">
        <f t="shared" si="55"/>
        <v>0</v>
      </c>
    </row>
    <row r="863" customHeight="1" spans="1:8">
      <c r="B863" s="129"/>
      <c r="C863" s="173" t="s">
        <v>951</v>
      </c>
      <c r="D863" s="174" t="s">
        <v>952</v>
      </c>
      <c r="E863" s="138" t="s">
        <v>452</v>
      </c>
      <c r="F863" s="166"/>
      <c r="G863" s="68">
        <v>0</v>
      </c>
      <c r="H863" s="25">
        <f t="shared" si="55"/>
        <v>0</v>
      </c>
    </row>
    <row r="864" customHeight="1" spans="1:8">
      <c r="B864" s="129"/>
      <c r="C864" s="173" t="s">
        <v>953</v>
      </c>
      <c r="D864" s="174" t="s">
        <v>954</v>
      </c>
      <c r="E864" s="138" t="s">
        <v>329</v>
      </c>
      <c r="F864" s="166"/>
      <c r="G864" s="68">
        <v>0</v>
      </c>
      <c r="H864" s="25">
        <f t="shared" si="55"/>
        <v>0</v>
      </c>
    </row>
    <row r="865" customHeight="1" spans="1:8">
      <c r="B865" s="129"/>
      <c r="C865" s="173" t="s">
        <v>955</v>
      </c>
      <c r="D865" s="174" t="s">
        <v>956</v>
      </c>
      <c r="E865" s="138" t="s">
        <v>445</v>
      </c>
      <c r="F865" s="166"/>
      <c r="G865" s="68">
        <v>0</v>
      </c>
      <c r="H865" s="25">
        <f t="shared" si="55"/>
        <v>0</v>
      </c>
    </row>
    <row r="866" customHeight="1" spans="1:8">
      <c r="B866" s="129"/>
      <c r="C866" s="173" t="s">
        <v>957</v>
      </c>
      <c r="D866" s="174" t="s">
        <v>958</v>
      </c>
      <c r="E866" s="175" t="s">
        <v>959</v>
      </c>
      <c r="F866" s="166"/>
      <c r="G866" s="68">
        <v>0</v>
      </c>
      <c r="H866" s="25">
        <f t="shared" si="55"/>
        <v>0</v>
      </c>
    </row>
    <row r="867" customHeight="1" spans="1:8">
      <c r="B867" s="129"/>
      <c r="C867" s="173" t="s">
        <v>960</v>
      </c>
      <c r="D867" s="174" t="s">
        <v>961</v>
      </c>
      <c r="E867" s="138" t="s">
        <v>445</v>
      </c>
      <c r="F867" s="166"/>
      <c r="G867" s="68">
        <v>0</v>
      </c>
      <c r="H867" s="25">
        <f t="shared" si="55"/>
        <v>0</v>
      </c>
    </row>
    <row r="868" customHeight="1" spans="1:8">
      <c r="B868" s="129"/>
      <c r="C868" s="173" t="s">
        <v>962</v>
      </c>
      <c r="D868" s="174" t="s">
        <v>963</v>
      </c>
      <c r="E868" s="138" t="s">
        <v>329</v>
      </c>
      <c r="F868" s="166"/>
      <c r="G868" s="68">
        <v>0</v>
      </c>
      <c r="H868" s="25">
        <f t="shared" si="55"/>
        <v>0</v>
      </c>
    </row>
    <row r="869" customHeight="1" spans="1:8">
      <c r="A869" s="8">
        <f ca="1">COUNTA(OFFSET(A$1,0,0,ROW()-1,1))+1</f>
        <v>389</v>
      </c>
      <c r="B869" s="84" t="s">
        <v>1133</v>
      </c>
      <c r="C869" s="89" t="s">
        <v>1134</v>
      </c>
      <c r="D869" s="90" t="s">
        <v>1135</v>
      </c>
      <c r="E869" s="86" t="s">
        <v>238</v>
      </c>
      <c r="F869" s="107">
        <v>32</v>
      </c>
      <c r="G869" s="68">
        <v>0</v>
      </c>
      <c r="H869" s="25">
        <f t="shared" si="55"/>
        <v>0</v>
      </c>
    </row>
    <row r="870" customHeight="1" spans="1:8">
      <c r="B870" s="129"/>
      <c r="C870" s="173" t="s">
        <v>941</v>
      </c>
      <c r="D870" s="174" t="s">
        <v>942</v>
      </c>
      <c r="E870" s="138" t="s">
        <v>452</v>
      </c>
      <c r="F870" s="166"/>
      <c r="G870" s="68">
        <v>0</v>
      </c>
      <c r="H870" s="25">
        <f t="shared" si="55"/>
        <v>0</v>
      </c>
    </row>
    <row r="871" customHeight="1" spans="1:8">
      <c r="B871" s="129"/>
      <c r="C871" s="173" t="s">
        <v>943</v>
      </c>
      <c r="D871" s="174" t="s">
        <v>944</v>
      </c>
      <c r="E871" s="138" t="s">
        <v>452</v>
      </c>
      <c r="F871" s="166"/>
      <c r="G871" s="68">
        <v>0</v>
      </c>
      <c r="H871" s="25">
        <f t="shared" si="55"/>
        <v>0</v>
      </c>
    </row>
    <row r="872" customHeight="1" spans="1:8">
      <c r="B872" s="129"/>
      <c r="C872" s="173" t="s">
        <v>945</v>
      </c>
      <c r="D872" s="174" t="s">
        <v>946</v>
      </c>
      <c r="E872" s="138" t="s">
        <v>452</v>
      </c>
      <c r="F872" s="166"/>
      <c r="G872" s="68">
        <v>0</v>
      </c>
      <c r="H872" s="25">
        <f t="shared" si="55"/>
        <v>0</v>
      </c>
    </row>
    <row r="873" customHeight="1" spans="1:8">
      <c r="B873" s="129"/>
      <c r="C873" s="173" t="s">
        <v>947</v>
      </c>
      <c r="D873" s="174" t="s">
        <v>948</v>
      </c>
      <c r="E873" s="138" t="s">
        <v>452</v>
      </c>
      <c r="F873" s="166"/>
      <c r="G873" s="68">
        <v>0</v>
      </c>
      <c r="H873" s="25">
        <f t="shared" si="55"/>
        <v>0</v>
      </c>
    </row>
    <row r="874" customHeight="1" spans="1:8">
      <c r="B874" s="129"/>
      <c r="C874" s="173" t="s">
        <v>949</v>
      </c>
      <c r="D874" s="174" t="s">
        <v>950</v>
      </c>
      <c r="E874" s="138" t="s">
        <v>329</v>
      </c>
      <c r="F874" s="166"/>
      <c r="G874" s="68">
        <v>0</v>
      </c>
      <c r="H874" s="25">
        <f t="shared" si="55"/>
        <v>0</v>
      </c>
    </row>
    <row r="875" customHeight="1" spans="1:8">
      <c r="B875" s="129"/>
      <c r="C875" s="173" t="s">
        <v>951</v>
      </c>
      <c r="D875" s="174" t="s">
        <v>952</v>
      </c>
      <c r="E875" s="138" t="s">
        <v>452</v>
      </c>
      <c r="F875" s="166"/>
      <c r="G875" s="68">
        <v>0</v>
      </c>
      <c r="H875" s="25">
        <f t="shared" si="55"/>
        <v>0</v>
      </c>
    </row>
    <row r="876" customHeight="1" spans="1:8">
      <c r="B876" s="129"/>
      <c r="C876" s="173" t="s">
        <v>953</v>
      </c>
      <c r="D876" s="174" t="s">
        <v>954</v>
      </c>
      <c r="E876" s="138" t="s">
        <v>329</v>
      </c>
      <c r="F876" s="166"/>
      <c r="G876" s="68">
        <v>0</v>
      </c>
      <c r="H876" s="25">
        <f t="shared" si="55"/>
        <v>0</v>
      </c>
    </row>
    <row r="877" customHeight="1" spans="1:8">
      <c r="B877" s="129"/>
      <c r="C877" s="173" t="s">
        <v>955</v>
      </c>
      <c r="D877" s="174" t="s">
        <v>956</v>
      </c>
      <c r="E877" s="138" t="s">
        <v>445</v>
      </c>
      <c r="F877" s="166"/>
      <c r="G877" s="68">
        <v>0</v>
      </c>
      <c r="H877" s="25">
        <f t="shared" si="55"/>
        <v>0</v>
      </c>
    </row>
    <row r="878" customHeight="1" spans="1:8">
      <c r="B878" s="129"/>
      <c r="C878" s="173" t="s">
        <v>957</v>
      </c>
      <c r="D878" s="174" t="s">
        <v>958</v>
      </c>
      <c r="E878" s="175" t="s">
        <v>959</v>
      </c>
      <c r="F878" s="166"/>
      <c r="G878" s="68">
        <v>0</v>
      </c>
      <c r="H878" s="25">
        <f t="shared" si="55"/>
        <v>0</v>
      </c>
    </row>
    <row r="879" customHeight="1" spans="1:8">
      <c r="B879" s="129"/>
      <c r="C879" s="173" t="s">
        <v>960</v>
      </c>
      <c r="D879" s="174" t="s">
        <v>961</v>
      </c>
      <c r="E879" s="138" t="s">
        <v>445</v>
      </c>
      <c r="F879" s="166"/>
      <c r="G879" s="68">
        <v>0</v>
      </c>
      <c r="H879" s="25">
        <f t="shared" si="55"/>
        <v>0</v>
      </c>
    </row>
    <row r="880" customHeight="1" spans="1:8">
      <c r="B880" s="129"/>
      <c r="C880" s="173" t="s">
        <v>962</v>
      </c>
      <c r="D880" s="174" t="s">
        <v>963</v>
      </c>
      <c r="E880" s="138" t="s">
        <v>329</v>
      </c>
      <c r="F880" s="166"/>
      <c r="G880" s="68">
        <v>0</v>
      </c>
      <c r="H880" s="25">
        <f t="shared" si="55"/>
        <v>0</v>
      </c>
    </row>
    <row r="881" customHeight="1" spans="1:8">
      <c r="B881" s="45"/>
      <c r="C881" s="46" t="s">
        <v>1136</v>
      </c>
      <c r="D881" s="47" t="s">
        <v>1137</v>
      </c>
      <c r="E881" s="29"/>
      <c r="F881" s="111"/>
      <c r="G881" s="68">
        <v>0</v>
      </c>
      <c r="H881" s="25">
        <f t="shared" si="55"/>
        <v>0</v>
      </c>
    </row>
    <row r="882" customHeight="1" spans="1:8">
      <c r="B882" s="26"/>
      <c r="C882" s="38"/>
      <c r="D882" s="38"/>
      <c r="E882" s="29"/>
      <c r="F882" s="107"/>
      <c r="G882" s="68">
        <v>0</v>
      </c>
      <c r="H882" s="25">
        <f t="shared" si="55"/>
        <v>0</v>
      </c>
    </row>
    <row r="883" customHeight="1" spans="1:8">
      <c r="A883" s="8">
        <f ca="1">COUNTA(OFFSET(A$1,0,0,ROW()-1,1))+1</f>
        <v>390</v>
      </c>
      <c r="B883" s="26" t="s">
        <v>1138</v>
      </c>
      <c r="C883" s="177" t="s">
        <v>1139</v>
      </c>
      <c r="D883" s="178" t="s">
        <v>1140</v>
      </c>
      <c r="E883" s="29" t="s">
        <v>238</v>
      </c>
      <c r="F883" s="107">
        <v>1</v>
      </c>
      <c r="G883" s="68">
        <v>0</v>
      </c>
      <c r="H883" s="25">
        <f t="shared" si="55"/>
        <v>0</v>
      </c>
    </row>
    <row r="884" customHeight="1" spans="1:8">
      <c r="A884" s="8">
        <f ca="1">COUNTA(OFFSET(A$1,0,0,ROW()-1,1))+1</f>
        <v>391</v>
      </c>
      <c r="B884" s="84" t="s">
        <v>1141</v>
      </c>
      <c r="C884" s="89" t="s">
        <v>1142</v>
      </c>
      <c r="D884" s="90" t="s">
        <v>1143</v>
      </c>
      <c r="E884" s="86" t="s">
        <v>238</v>
      </c>
      <c r="F884" s="107">
        <v>1</v>
      </c>
      <c r="G884" s="68">
        <v>0</v>
      </c>
      <c r="H884" s="25">
        <f t="shared" si="55"/>
        <v>0</v>
      </c>
    </row>
    <row r="885" customHeight="1" spans="1:8">
      <c r="B885" s="94"/>
      <c r="C885" s="95" t="s">
        <v>641</v>
      </c>
      <c r="D885" s="95" t="s">
        <v>642</v>
      </c>
      <c r="E885" s="94" t="s">
        <v>336</v>
      </c>
      <c r="F885" s="97"/>
      <c r="G885" s="68">
        <v>0</v>
      </c>
      <c r="H885" s="25">
        <f t="shared" si="55"/>
        <v>0</v>
      </c>
    </row>
    <row r="886" customHeight="1" spans="1:8">
      <c r="B886" s="94"/>
      <c r="C886" s="95" t="s">
        <v>643</v>
      </c>
      <c r="D886" s="95" t="s">
        <v>644</v>
      </c>
      <c r="E886" s="94" t="s">
        <v>336</v>
      </c>
      <c r="F886" s="97"/>
      <c r="G886" s="68">
        <v>0</v>
      </c>
      <c r="H886" s="25">
        <f t="shared" si="55"/>
        <v>0</v>
      </c>
    </row>
    <row r="887" customHeight="1" spans="1:8">
      <c r="B887" s="94"/>
      <c r="C887" s="95" t="s">
        <v>645</v>
      </c>
      <c r="D887" s="95" t="s">
        <v>646</v>
      </c>
      <c r="E887" s="94" t="s">
        <v>336</v>
      </c>
      <c r="F887" s="97"/>
      <c r="G887" s="68">
        <v>0</v>
      </c>
      <c r="H887" s="25">
        <f t="shared" si="55"/>
        <v>0</v>
      </c>
    </row>
    <row r="888" customHeight="1" spans="1:8">
      <c r="B888" s="94"/>
      <c r="C888" s="95" t="s">
        <v>647</v>
      </c>
      <c r="D888" s="95" t="s">
        <v>648</v>
      </c>
      <c r="E888" s="94" t="s">
        <v>336</v>
      </c>
      <c r="F888" s="97"/>
      <c r="G888" s="68">
        <v>0</v>
      </c>
      <c r="H888" s="25">
        <f t="shared" si="55"/>
        <v>0</v>
      </c>
    </row>
    <row r="889" customHeight="1" spans="1:8">
      <c r="B889" s="94"/>
      <c r="C889" s="95" t="s">
        <v>649</v>
      </c>
      <c r="D889" s="95" t="s">
        <v>650</v>
      </c>
      <c r="E889" s="94" t="s">
        <v>336</v>
      </c>
      <c r="F889" s="97"/>
      <c r="G889" s="68">
        <v>0</v>
      </c>
      <c r="H889" s="25">
        <f t="shared" si="55"/>
        <v>0</v>
      </c>
    </row>
    <row r="890" customHeight="1" spans="1:8">
      <c r="B890" s="94"/>
      <c r="C890" s="95" t="s">
        <v>651</v>
      </c>
      <c r="D890" s="95" t="s">
        <v>652</v>
      </c>
      <c r="E890" s="94" t="s">
        <v>336</v>
      </c>
      <c r="F890" s="97"/>
      <c r="G890" s="68">
        <v>0</v>
      </c>
      <c r="H890" s="25">
        <f t="shared" si="55"/>
        <v>0</v>
      </c>
    </row>
    <row r="891" customHeight="1" spans="1:8">
      <c r="B891" s="94"/>
      <c r="C891" s="95" t="s">
        <v>653</v>
      </c>
      <c r="D891" s="95" t="s">
        <v>461</v>
      </c>
      <c r="E891" s="94" t="s">
        <v>573</v>
      </c>
      <c r="F891" s="97"/>
      <c r="G891" s="68">
        <v>0</v>
      </c>
      <c r="H891" s="25">
        <f t="shared" si="55"/>
        <v>0</v>
      </c>
    </row>
    <row r="892" customHeight="1" spans="1:8">
      <c r="B892" s="94"/>
      <c r="C892" s="95" t="s">
        <v>574</v>
      </c>
      <c r="D892" s="95" t="s">
        <v>463</v>
      </c>
      <c r="E892" s="94" t="s">
        <v>569</v>
      </c>
      <c r="F892" s="97"/>
      <c r="G892" s="68">
        <v>0</v>
      </c>
      <c r="H892" s="25">
        <f t="shared" si="55"/>
        <v>0</v>
      </c>
    </row>
    <row r="893" customHeight="1" spans="1:8">
      <c r="B893" s="94"/>
      <c r="C893" s="95" t="s">
        <v>654</v>
      </c>
      <c r="D893" s="95" t="s">
        <v>655</v>
      </c>
      <c r="E893" s="94" t="s">
        <v>238</v>
      </c>
      <c r="F893" s="97"/>
      <c r="G893" s="68">
        <v>0</v>
      </c>
      <c r="H893" s="25">
        <f t="shared" si="55"/>
        <v>0</v>
      </c>
    </row>
    <row r="894" customHeight="1" spans="1:8">
      <c r="B894" s="94"/>
      <c r="C894" s="95" t="s">
        <v>656</v>
      </c>
      <c r="D894" s="95" t="s">
        <v>657</v>
      </c>
      <c r="E894" s="94" t="s">
        <v>225</v>
      </c>
      <c r="F894" s="97"/>
      <c r="G894" s="68">
        <v>0</v>
      </c>
      <c r="H894" s="25">
        <f t="shared" si="55"/>
        <v>0</v>
      </c>
    </row>
    <row r="895" customHeight="1" spans="1:8">
      <c r="B895" s="94"/>
      <c r="C895" s="95" t="s">
        <v>658</v>
      </c>
      <c r="D895" s="95" t="s">
        <v>659</v>
      </c>
      <c r="E895" s="94" t="s">
        <v>238</v>
      </c>
      <c r="F895" s="97"/>
      <c r="G895" s="68">
        <v>0</v>
      </c>
      <c r="H895" s="25">
        <f t="shared" si="55"/>
        <v>0</v>
      </c>
    </row>
    <row r="896" customHeight="1" spans="1:8">
      <c r="B896" s="94"/>
      <c r="C896" s="95" t="s">
        <v>660</v>
      </c>
      <c r="D896" s="95" t="s">
        <v>661</v>
      </c>
      <c r="E896" s="94" t="s">
        <v>225</v>
      </c>
      <c r="F896" s="97"/>
      <c r="G896" s="68">
        <v>0</v>
      </c>
      <c r="H896" s="25">
        <f t="shared" si="55"/>
        <v>0</v>
      </c>
    </row>
    <row r="897" customHeight="1" spans="1:8">
      <c r="B897" s="94"/>
      <c r="C897" s="95" t="s">
        <v>662</v>
      </c>
      <c r="D897" s="95" t="s">
        <v>663</v>
      </c>
      <c r="E897" s="94" t="s">
        <v>573</v>
      </c>
      <c r="F897" s="97"/>
      <c r="G897" s="68">
        <v>0</v>
      </c>
      <c r="H897" s="25">
        <f t="shared" si="55"/>
        <v>0</v>
      </c>
    </row>
    <row r="898" customHeight="1" spans="1:8">
      <c r="B898" s="94"/>
      <c r="C898" s="95" t="s">
        <v>664</v>
      </c>
      <c r="D898" s="95" t="s">
        <v>665</v>
      </c>
      <c r="E898" s="94" t="s">
        <v>238</v>
      </c>
      <c r="F898" s="97"/>
      <c r="G898" s="68">
        <v>0</v>
      </c>
      <c r="H898" s="25">
        <f t="shared" si="55"/>
        <v>0</v>
      </c>
    </row>
    <row r="899" customHeight="1" spans="1:8">
      <c r="B899" s="94"/>
      <c r="C899" s="95" t="s">
        <v>666</v>
      </c>
      <c r="D899" s="95" t="s">
        <v>667</v>
      </c>
      <c r="E899" s="94" t="s">
        <v>238</v>
      </c>
      <c r="F899" s="97"/>
      <c r="G899" s="68">
        <v>0</v>
      </c>
      <c r="H899" s="25">
        <f t="shared" si="55"/>
        <v>0</v>
      </c>
    </row>
    <row r="900" customHeight="1" spans="1:8">
      <c r="B900" s="94"/>
      <c r="C900" s="95" t="s">
        <v>668</v>
      </c>
      <c r="D900" s="95" t="s">
        <v>669</v>
      </c>
      <c r="E900" s="94" t="s">
        <v>238</v>
      </c>
      <c r="F900" s="97"/>
      <c r="G900" s="68">
        <v>0</v>
      </c>
      <c r="H900" s="25">
        <f t="shared" si="55"/>
        <v>0</v>
      </c>
    </row>
    <row r="901" customHeight="1" spans="1:8">
      <c r="B901" s="94"/>
      <c r="C901" s="95" t="s">
        <v>670</v>
      </c>
      <c r="D901" s="95" t="s">
        <v>671</v>
      </c>
      <c r="E901" s="94" t="s">
        <v>238</v>
      </c>
      <c r="F901" s="97"/>
      <c r="G901" s="68">
        <v>0</v>
      </c>
      <c r="H901" s="25">
        <f t="shared" si="55"/>
        <v>0</v>
      </c>
    </row>
    <row r="902" customHeight="1" spans="1:8">
      <c r="B902" s="94"/>
      <c r="C902" s="95" t="s">
        <v>672</v>
      </c>
      <c r="D902" s="95" t="s">
        <v>673</v>
      </c>
      <c r="E902" s="94" t="s">
        <v>225</v>
      </c>
      <c r="F902" s="97"/>
      <c r="G902" s="68">
        <v>0</v>
      </c>
      <c r="H902" s="25">
        <f t="shared" si="55"/>
        <v>0</v>
      </c>
    </row>
    <row r="903" customHeight="1" spans="1:8">
      <c r="B903" s="94"/>
      <c r="C903" s="95" t="s">
        <v>674</v>
      </c>
      <c r="D903" s="95" t="s">
        <v>675</v>
      </c>
      <c r="E903" s="94" t="s">
        <v>225</v>
      </c>
      <c r="F903" s="97"/>
      <c r="G903" s="68">
        <v>0</v>
      </c>
      <c r="H903" s="25">
        <f t="shared" si="55"/>
        <v>0</v>
      </c>
    </row>
    <row r="904" customHeight="1" spans="1:8">
      <c r="B904" s="94"/>
      <c r="C904" s="95" t="s">
        <v>676</v>
      </c>
      <c r="D904" s="95" t="s">
        <v>677</v>
      </c>
      <c r="E904" s="94" t="s">
        <v>573</v>
      </c>
      <c r="F904" s="97"/>
      <c r="G904" s="68">
        <v>0</v>
      </c>
      <c r="H904" s="25">
        <f t="shared" ref="H904:H967" si="56">IFERROR(ROUND(G904*F904,0),0)</f>
        <v>0</v>
      </c>
    </row>
    <row r="905" customHeight="1" spans="1:8">
      <c r="A905" s="8">
        <f ca="1" t="shared" ref="A905:A908" si="57">COUNTA(OFFSET(A$1,0,0,ROW()-1,1))+1</f>
        <v>392</v>
      </c>
      <c r="B905" s="84" t="s">
        <v>1144</v>
      </c>
      <c r="C905" s="89" t="s">
        <v>1145</v>
      </c>
      <c r="D905" s="90" t="s">
        <v>1146</v>
      </c>
      <c r="E905" s="86" t="s">
        <v>238</v>
      </c>
      <c r="F905" s="107">
        <v>2</v>
      </c>
      <c r="G905" s="68">
        <v>0</v>
      </c>
      <c r="H905" s="25">
        <f t="shared" si="56"/>
        <v>0</v>
      </c>
    </row>
    <row r="906" customHeight="1" spans="1:8">
      <c r="A906" s="8">
        <f ca="1" t="shared" si="57"/>
        <v>393</v>
      </c>
      <c r="B906" s="84" t="s">
        <v>1147</v>
      </c>
      <c r="C906" s="89" t="s">
        <v>1148</v>
      </c>
      <c r="D906" s="89" t="s">
        <v>1149</v>
      </c>
      <c r="E906" s="86" t="s">
        <v>238</v>
      </c>
      <c r="F906" s="107">
        <v>4</v>
      </c>
      <c r="G906" s="68">
        <v>0</v>
      </c>
      <c r="H906" s="25">
        <f t="shared" si="56"/>
        <v>0</v>
      </c>
    </row>
    <row r="907" customHeight="1" spans="1:8">
      <c r="A907" s="8">
        <f ca="1" t="shared" si="57"/>
        <v>394</v>
      </c>
      <c r="B907" s="84" t="s">
        <v>1150</v>
      </c>
      <c r="C907" s="89" t="s">
        <v>1151</v>
      </c>
      <c r="D907" s="90" t="s">
        <v>1152</v>
      </c>
      <c r="E907" s="86" t="s">
        <v>225</v>
      </c>
      <c r="F907" s="107">
        <v>100</v>
      </c>
      <c r="G907" s="68">
        <v>0</v>
      </c>
      <c r="H907" s="25">
        <f t="shared" si="56"/>
        <v>0</v>
      </c>
    </row>
    <row r="908" customHeight="1" spans="1:8">
      <c r="A908" s="8">
        <f ca="1" t="shared" si="57"/>
        <v>395</v>
      </c>
      <c r="B908" s="84" t="s">
        <v>1153</v>
      </c>
      <c r="C908" s="89" t="s">
        <v>1154</v>
      </c>
      <c r="D908" s="90" t="s">
        <v>1155</v>
      </c>
      <c r="E908" s="86" t="s">
        <v>238</v>
      </c>
      <c r="F908" s="107">
        <v>1</v>
      </c>
      <c r="G908" s="68">
        <v>0</v>
      </c>
      <c r="H908" s="25">
        <f t="shared" si="56"/>
        <v>0</v>
      </c>
    </row>
    <row r="909" customHeight="1" spans="1:8">
      <c r="B909" s="26" t="s">
        <v>1156</v>
      </c>
      <c r="C909" s="185" t="s">
        <v>1157</v>
      </c>
      <c r="D909" s="186" t="s">
        <v>1158</v>
      </c>
      <c r="E909" s="29"/>
      <c r="F909" s="93"/>
      <c r="G909" s="68">
        <v>0</v>
      </c>
      <c r="H909" s="25">
        <f t="shared" si="56"/>
        <v>0</v>
      </c>
    </row>
    <row r="910" customHeight="1" spans="1:8">
      <c r="A910" s="8">
        <f ca="1" t="shared" ref="A910:A918" si="58">COUNTA(OFFSET(A$1,0,0,ROW()-1,1))+1</f>
        <v>396</v>
      </c>
      <c r="B910" s="84" t="s">
        <v>1159</v>
      </c>
      <c r="C910" s="187" t="s">
        <v>1160</v>
      </c>
      <c r="D910" s="188" t="s">
        <v>1161</v>
      </c>
      <c r="E910" s="86" t="s">
        <v>238</v>
      </c>
      <c r="F910" s="107">
        <v>21</v>
      </c>
      <c r="G910" s="68">
        <v>0</v>
      </c>
      <c r="H910" s="25">
        <f t="shared" si="56"/>
        <v>0</v>
      </c>
    </row>
    <row r="911" customHeight="1" spans="1:8">
      <c r="A911" s="8">
        <f ca="1" t="shared" si="58"/>
        <v>397</v>
      </c>
      <c r="B911" s="129"/>
      <c r="C911" s="173" t="s">
        <v>941</v>
      </c>
      <c r="D911" s="174" t="s">
        <v>942</v>
      </c>
      <c r="E911" s="138" t="s">
        <v>452</v>
      </c>
      <c r="F911" s="166">
        <v>1969.8</v>
      </c>
      <c r="G911" s="68">
        <v>1.44939404624973</v>
      </c>
      <c r="H911" s="25">
        <f t="shared" si="56"/>
        <v>2855</v>
      </c>
    </row>
    <row r="912" customHeight="1" spans="1:8">
      <c r="A912" s="8">
        <f ca="1" t="shared" si="58"/>
        <v>398</v>
      </c>
      <c r="B912" s="129"/>
      <c r="C912" s="173" t="s">
        <v>943</v>
      </c>
      <c r="D912" s="174" t="s">
        <v>944</v>
      </c>
      <c r="E912" s="138" t="s">
        <v>452</v>
      </c>
      <c r="F912" s="166">
        <v>1506.75</v>
      </c>
      <c r="G912" s="68">
        <v>55.4508293290599</v>
      </c>
      <c r="H912" s="25">
        <f t="shared" si="56"/>
        <v>83551</v>
      </c>
    </row>
    <row r="913" customHeight="1" spans="1:8">
      <c r="A913" s="8">
        <f ca="1" t="shared" si="58"/>
        <v>399</v>
      </c>
      <c r="B913" s="129"/>
      <c r="C913" s="173" t="s">
        <v>945</v>
      </c>
      <c r="D913" s="174" t="s">
        <v>946</v>
      </c>
      <c r="E913" s="138" t="s">
        <v>452</v>
      </c>
      <c r="F913" s="166">
        <v>463.05</v>
      </c>
      <c r="G913" s="68">
        <v>0</v>
      </c>
      <c r="H913" s="25">
        <f t="shared" si="56"/>
        <v>0</v>
      </c>
    </row>
    <row r="914" customHeight="1" spans="1:8">
      <c r="A914" s="8">
        <f ca="1" t="shared" si="58"/>
        <v>400</v>
      </c>
      <c r="B914" s="129"/>
      <c r="C914" s="173" t="s">
        <v>947</v>
      </c>
      <c r="D914" s="174" t="s">
        <v>948</v>
      </c>
      <c r="E914" s="138" t="s">
        <v>452</v>
      </c>
      <c r="F914" s="166">
        <v>40.74</v>
      </c>
      <c r="G914" s="68">
        <v>179.847851041431</v>
      </c>
      <c r="H914" s="25">
        <f t="shared" si="56"/>
        <v>7327</v>
      </c>
    </row>
    <row r="915" customHeight="1" spans="1:8">
      <c r="A915" s="8">
        <f ca="1" t="shared" si="58"/>
        <v>401</v>
      </c>
      <c r="B915" s="129"/>
      <c r="C915" s="173" t="s">
        <v>949</v>
      </c>
      <c r="D915" s="174" t="s">
        <v>950</v>
      </c>
      <c r="E915" s="138" t="s">
        <v>329</v>
      </c>
      <c r="F915" s="166">
        <v>36.96</v>
      </c>
      <c r="G915" s="68">
        <v>0</v>
      </c>
      <c r="H915" s="25">
        <f t="shared" si="56"/>
        <v>0</v>
      </c>
    </row>
    <row r="916" customHeight="1" spans="1:8">
      <c r="A916" s="8">
        <f ca="1" t="shared" si="58"/>
        <v>402</v>
      </c>
      <c r="B916" s="129"/>
      <c r="C916" s="173" t="s">
        <v>951</v>
      </c>
      <c r="D916" s="174" t="s">
        <v>952</v>
      </c>
      <c r="E916" s="138" t="s">
        <v>452</v>
      </c>
      <c r="F916" s="166">
        <v>370.44</v>
      </c>
      <c r="G916" s="68">
        <v>214.487041540365</v>
      </c>
      <c r="H916" s="25">
        <f t="shared" si="56"/>
        <v>79455</v>
      </c>
    </row>
    <row r="917" customHeight="1" spans="1:8">
      <c r="A917" s="8">
        <f ca="1" t="shared" si="58"/>
        <v>403</v>
      </c>
      <c r="B917" s="129"/>
      <c r="C917" s="173" t="s">
        <v>953</v>
      </c>
      <c r="D917" s="174" t="s">
        <v>954</v>
      </c>
      <c r="E917" s="138" t="s">
        <v>329</v>
      </c>
      <c r="F917" s="166">
        <v>352.8</v>
      </c>
      <c r="G917" s="68">
        <v>0</v>
      </c>
      <c r="H917" s="25">
        <f t="shared" si="56"/>
        <v>0</v>
      </c>
    </row>
    <row r="918" customHeight="1" spans="1:8">
      <c r="A918" s="8">
        <f ca="1" t="shared" si="58"/>
        <v>404</v>
      </c>
      <c r="B918" s="129"/>
      <c r="C918" s="173" t="s">
        <v>955</v>
      </c>
      <c r="D918" s="174" t="s">
        <v>956</v>
      </c>
      <c r="E918" s="138" t="s">
        <v>445</v>
      </c>
      <c r="F918" s="166">
        <v>67.8993</v>
      </c>
      <c r="G918" s="68">
        <v>1175.84395400994</v>
      </c>
      <c r="H918" s="25">
        <f t="shared" si="56"/>
        <v>79839</v>
      </c>
    </row>
    <row r="919" customHeight="1" spans="1:8">
      <c r="B919" s="129"/>
      <c r="C919" s="173" t="s">
        <v>957</v>
      </c>
      <c r="D919" s="174" t="s">
        <v>958</v>
      </c>
      <c r="E919" s="175" t="s">
        <v>959</v>
      </c>
      <c r="F919" s="166">
        <v>0</v>
      </c>
      <c r="G919" s="68">
        <v>0</v>
      </c>
      <c r="H919" s="25">
        <f t="shared" si="56"/>
        <v>0</v>
      </c>
    </row>
    <row r="920" customHeight="1" spans="1:8">
      <c r="A920" s="8">
        <f ca="1" t="shared" ref="A920:A932" si="59">COUNTA(OFFSET(A$1,0,0,ROW()-1,1))+1</f>
        <v>405</v>
      </c>
      <c r="B920" s="129"/>
      <c r="C920" s="173" t="s">
        <v>960</v>
      </c>
      <c r="D920" s="174" t="s">
        <v>961</v>
      </c>
      <c r="E920" s="138" t="s">
        <v>445</v>
      </c>
      <c r="F920" s="166">
        <v>9.87</v>
      </c>
      <c r="G920" s="68">
        <v>2228.8486720608</v>
      </c>
      <c r="H920" s="25">
        <f t="shared" si="56"/>
        <v>21999</v>
      </c>
    </row>
    <row r="921" customHeight="1" spans="1:8">
      <c r="B921" s="129"/>
      <c r="C921" s="173" t="s">
        <v>962</v>
      </c>
      <c r="D921" s="174" t="s">
        <v>963</v>
      </c>
      <c r="E921" s="138" t="s">
        <v>329</v>
      </c>
      <c r="F921" s="166"/>
      <c r="G921" s="68">
        <v>0</v>
      </c>
      <c r="H921" s="25">
        <f t="shared" si="56"/>
        <v>0</v>
      </c>
    </row>
    <row r="922" customHeight="1" spans="1:8">
      <c r="A922" s="8">
        <f ca="1" t="shared" si="59"/>
        <v>406</v>
      </c>
      <c r="B922" s="129"/>
      <c r="C922" s="173" t="s">
        <v>1162</v>
      </c>
      <c r="D922" s="174" t="s">
        <v>1163</v>
      </c>
      <c r="E922" s="138" t="s">
        <v>892</v>
      </c>
      <c r="F922" s="166">
        <v>21</v>
      </c>
      <c r="G922" s="68">
        <v>0</v>
      </c>
      <c r="H922" s="25">
        <f t="shared" si="56"/>
        <v>0</v>
      </c>
    </row>
    <row r="923" customHeight="1" spans="1:8">
      <c r="A923" s="8">
        <f ca="1" t="shared" si="59"/>
        <v>407</v>
      </c>
      <c r="B923" s="129"/>
      <c r="C923" s="173" t="s">
        <v>1164</v>
      </c>
      <c r="D923" s="174" t="s">
        <v>1165</v>
      </c>
      <c r="E923" s="138" t="s">
        <v>892</v>
      </c>
      <c r="F923" s="166">
        <v>21</v>
      </c>
      <c r="G923" s="68">
        <v>0</v>
      </c>
      <c r="H923" s="25">
        <f t="shared" si="56"/>
        <v>0</v>
      </c>
    </row>
    <row r="924" customHeight="1" spans="1:8">
      <c r="A924" s="8">
        <f ca="1" t="shared" si="59"/>
        <v>408</v>
      </c>
      <c r="B924" s="84" t="s">
        <v>1166</v>
      </c>
      <c r="C924" s="187" t="s">
        <v>1167</v>
      </c>
      <c r="D924" s="188" t="s">
        <v>1168</v>
      </c>
      <c r="E924" s="86" t="s">
        <v>238</v>
      </c>
      <c r="F924" s="107">
        <v>12</v>
      </c>
      <c r="G924" s="68">
        <v>0</v>
      </c>
      <c r="H924" s="25">
        <f t="shared" si="56"/>
        <v>0</v>
      </c>
    </row>
    <row r="925" customHeight="1" spans="1:8">
      <c r="A925" s="8">
        <f ca="1" t="shared" si="59"/>
        <v>409</v>
      </c>
      <c r="B925" s="129"/>
      <c r="C925" s="173" t="s">
        <v>941</v>
      </c>
      <c r="D925" s="174" t="s">
        <v>942</v>
      </c>
      <c r="E925" s="138" t="s">
        <v>452</v>
      </c>
      <c r="F925" s="166">
        <v>1125.6</v>
      </c>
      <c r="G925" s="68">
        <v>1.44939404624973</v>
      </c>
      <c r="H925" s="25">
        <f t="shared" si="56"/>
        <v>1631</v>
      </c>
    </row>
    <row r="926" customHeight="1" spans="1:8">
      <c r="A926" s="8">
        <f ca="1" t="shared" si="59"/>
        <v>410</v>
      </c>
      <c r="B926" s="129"/>
      <c r="C926" s="173" t="s">
        <v>943</v>
      </c>
      <c r="D926" s="174" t="s">
        <v>944</v>
      </c>
      <c r="E926" s="138" t="s">
        <v>452</v>
      </c>
      <c r="F926" s="166">
        <v>861</v>
      </c>
      <c r="G926" s="68">
        <v>55.4508293290599</v>
      </c>
      <c r="H926" s="25">
        <f t="shared" si="56"/>
        <v>47743</v>
      </c>
    </row>
    <row r="927" customHeight="1" spans="1:8">
      <c r="A927" s="8">
        <f ca="1" t="shared" si="59"/>
        <v>411</v>
      </c>
      <c r="B927" s="129"/>
      <c r="C927" s="173" t="s">
        <v>945</v>
      </c>
      <c r="D927" s="174" t="s">
        <v>946</v>
      </c>
      <c r="E927" s="138" t="s">
        <v>452</v>
      </c>
      <c r="F927" s="166">
        <v>264.6</v>
      </c>
      <c r="G927" s="68">
        <v>0</v>
      </c>
      <c r="H927" s="25">
        <f t="shared" si="56"/>
        <v>0</v>
      </c>
    </row>
    <row r="928" customHeight="1" spans="1:8">
      <c r="A928" s="8">
        <f ca="1" t="shared" si="59"/>
        <v>412</v>
      </c>
      <c r="B928" s="129"/>
      <c r="C928" s="173" t="s">
        <v>947</v>
      </c>
      <c r="D928" s="174" t="s">
        <v>948</v>
      </c>
      <c r="E928" s="138" t="s">
        <v>452</v>
      </c>
      <c r="F928" s="166">
        <v>23.28</v>
      </c>
      <c r="G928" s="68">
        <v>179.847851041431</v>
      </c>
      <c r="H928" s="25">
        <f t="shared" si="56"/>
        <v>4187</v>
      </c>
    </row>
    <row r="929" customHeight="1" spans="1:8">
      <c r="A929" s="8">
        <f ca="1" t="shared" si="59"/>
        <v>413</v>
      </c>
      <c r="B929" s="129"/>
      <c r="C929" s="173" t="s">
        <v>949</v>
      </c>
      <c r="D929" s="174" t="s">
        <v>950</v>
      </c>
      <c r="E929" s="138" t="s">
        <v>329</v>
      </c>
      <c r="F929" s="166">
        <v>21.12</v>
      </c>
      <c r="G929" s="68">
        <v>0</v>
      </c>
      <c r="H929" s="25">
        <f t="shared" si="56"/>
        <v>0</v>
      </c>
    </row>
    <row r="930" customHeight="1" spans="1:8">
      <c r="A930" s="8">
        <f ca="1" t="shared" si="59"/>
        <v>414</v>
      </c>
      <c r="B930" s="129"/>
      <c r="C930" s="173" t="s">
        <v>951</v>
      </c>
      <c r="D930" s="174" t="s">
        <v>952</v>
      </c>
      <c r="E930" s="138" t="s">
        <v>452</v>
      </c>
      <c r="F930" s="166">
        <v>211.68</v>
      </c>
      <c r="G930" s="68">
        <v>214.487041540365</v>
      </c>
      <c r="H930" s="25">
        <f t="shared" si="56"/>
        <v>45403</v>
      </c>
    </row>
    <row r="931" customHeight="1" spans="1:8">
      <c r="A931" s="8">
        <f ca="1" t="shared" si="59"/>
        <v>415</v>
      </c>
      <c r="B931" s="129"/>
      <c r="C931" s="173" t="s">
        <v>953</v>
      </c>
      <c r="D931" s="174" t="s">
        <v>954</v>
      </c>
      <c r="E931" s="138" t="s">
        <v>329</v>
      </c>
      <c r="F931" s="166">
        <v>201.6</v>
      </c>
      <c r="G931" s="68">
        <v>0</v>
      </c>
      <c r="H931" s="25">
        <f t="shared" si="56"/>
        <v>0</v>
      </c>
    </row>
    <row r="932" customHeight="1" spans="1:8">
      <c r="A932" s="8">
        <f ca="1" t="shared" si="59"/>
        <v>416</v>
      </c>
      <c r="B932" s="129"/>
      <c r="C932" s="173" t="s">
        <v>955</v>
      </c>
      <c r="D932" s="174" t="s">
        <v>956</v>
      </c>
      <c r="E932" s="138" t="s">
        <v>445</v>
      </c>
      <c r="F932" s="166">
        <v>38.7996</v>
      </c>
      <c r="G932" s="68">
        <v>1175.84395400994</v>
      </c>
      <c r="H932" s="25">
        <f t="shared" si="56"/>
        <v>45622</v>
      </c>
    </row>
    <row r="933" customHeight="1" spans="1:8">
      <c r="B933" s="129"/>
      <c r="C933" s="173" t="s">
        <v>957</v>
      </c>
      <c r="D933" s="174" t="s">
        <v>958</v>
      </c>
      <c r="E933" s="175" t="s">
        <v>959</v>
      </c>
      <c r="F933" s="166">
        <v>0</v>
      </c>
      <c r="G933" s="68">
        <v>0</v>
      </c>
      <c r="H933" s="25">
        <f t="shared" si="56"/>
        <v>0</v>
      </c>
    </row>
    <row r="934" customHeight="1" spans="1:8">
      <c r="A934" s="8">
        <f ca="1" t="shared" ref="A934:A938" si="60">COUNTA(OFFSET(A$1,0,0,ROW()-1,1))+1</f>
        <v>417</v>
      </c>
      <c r="B934" s="129"/>
      <c r="C934" s="173" t="s">
        <v>960</v>
      </c>
      <c r="D934" s="174" t="s">
        <v>961</v>
      </c>
      <c r="E934" s="138" t="s">
        <v>445</v>
      </c>
      <c r="F934" s="166">
        <v>5.64</v>
      </c>
      <c r="G934" s="68">
        <v>2228.8486720608</v>
      </c>
      <c r="H934" s="25">
        <f t="shared" si="56"/>
        <v>12571</v>
      </c>
    </row>
    <row r="935" customHeight="1" spans="1:8">
      <c r="B935" s="129"/>
      <c r="C935" s="173" t="s">
        <v>962</v>
      </c>
      <c r="D935" s="174" t="s">
        <v>963</v>
      </c>
      <c r="E935" s="138" t="s">
        <v>329</v>
      </c>
      <c r="F935" s="166"/>
      <c r="G935" s="68">
        <v>0</v>
      </c>
      <c r="H935" s="25">
        <f t="shared" si="56"/>
        <v>0</v>
      </c>
    </row>
    <row r="936" customHeight="1" spans="1:8">
      <c r="A936" s="8">
        <f ca="1" t="shared" si="60"/>
        <v>418</v>
      </c>
      <c r="B936" s="129"/>
      <c r="C936" s="173" t="s">
        <v>1162</v>
      </c>
      <c r="D936" s="174" t="s">
        <v>1163</v>
      </c>
      <c r="E936" s="138" t="s">
        <v>892</v>
      </c>
      <c r="F936" s="166">
        <v>12</v>
      </c>
      <c r="G936" s="68">
        <v>0</v>
      </c>
      <c r="H936" s="25">
        <f t="shared" si="56"/>
        <v>0</v>
      </c>
    </row>
    <row r="937" customHeight="1" spans="1:8">
      <c r="A937" s="8">
        <f ca="1" t="shared" si="60"/>
        <v>419</v>
      </c>
      <c r="B937" s="129"/>
      <c r="C937" s="173" t="s">
        <v>1164</v>
      </c>
      <c r="D937" s="174" t="s">
        <v>1165</v>
      </c>
      <c r="E937" s="138" t="s">
        <v>892</v>
      </c>
      <c r="F937" s="166">
        <v>12</v>
      </c>
      <c r="G937" s="68">
        <v>0</v>
      </c>
      <c r="H937" s="25">
        <f t="shared" si="56"/>
        <v>0</v>
      </c>
    </row>
    <row r="938" customHeight="1" spans="1:8">
      <c r="A938" s="8">
        <f ca="1" t="shared" si="60"/>
        <v>420</v>
      </c>
      <c r="B938" s="84" t="s">
        <v>1169</v>
      </c>
      <c r="C938" s="187" t="s">
        <v>1170</v>
      </c>
      <c r="D938" s="188" t="s">
        <v>1171</v>
      </c>
      <c r="E938" s="86" t="s">
        <v>238</v>
      </c>
      <c r="F938" s="107">
        <v>2</v>
      </c>
      <c r="G938" s="68">
        <v>0</v>
      </c>
      <c r="H938" s="25">
        <f t="shared" si="56"/>
        <v>0</v>
      </c>
    </row>
    <row r="939" customHeight="1" spans="1:8">
      <c r="B939" s="129"/>
      <c r="C939" s="130" t="s">
        <v>877</v>
      </c>
      <c r="D939" s="130" t="s">
        <v>878</v>
      </c>
      <c r="E939" s="138" t="s">
        <v>336</v>
      </c>
      <c r="F939" s="166"/>
      <c r="G939" s="68">
        <v>0</v>
      </c>
      <c r="H939" s="25">
        <f t="shared" si="56"/>
        <v>0</v>
      </c>
    </row>
    <row r="940" customHeight="1" spans="1:8">
      <c r="B940" s="129"/>
      <c r="C940" s="130" t="s">
        <v>879</v>
      </c>
      <c r="D940" s="130" t="s">
        <v>644</v>
      </c>
      <c r="E940" s="138" t="s">
        <v>336</v>
      </c>
      <c r="F940" s="166"/>
      <c r="G940" s="68">
        <v>0</v>
      </c>
      <c r="H940" s="25">
        <f t="shared" si="56"/>
        <v>0</v>
      </c>
    </row>
    <row r="941" customHeight="1" spans="1:8">
      <c r="B941" s="129"/>
      <c r="C941" s="130" t="s">
        <v>880</v>
      </c>
      <c r="D941" s="130" t="s">
        <v>881</v>
      </c>
      <c r="E941" s="138" t="s">
        <v>336</v>
      </c>
      <c r="F941" s="166"/>
      <c r="G941" s="68">
        <v>0</v>
      </c>
      <c r="H941" s="25">
        <f t="shared" si="56"/>
        <v>0</v>
      </c>
    </row>
    <row r="942" customHeight="1" spans="1:8">
      <c r="B942" s="129"/>
      <c r="C942" s="130" t="s">
        <v>882</v>
      </c>
      <c r="D942" s="130" t="s">
        <v>883</v>
      </c>
      <c r="E942" s="138" t="s">
        <v>336</v>
      </c>
      <c r="F942" s="166"/>
      <c r="G942" s="68">
        <v>0</v>
      </c>
      <c r="H942" s="25">
        <f t="shared" si="56"/>
        <v>0</v>
      </c>
    </row>
    <row r="943" customHeight="1" spans="1:8">
      <c r="B943" s="129"/>
      <c r="C943" s="130" t="s">
        <v>884</v>
      </c>
      <c r="D943" s="130" t="s">
        <v>885</v>
      </c>
      <c r="E943" s="138" t="s">
        <v>336</v>
      </c>
      <c r="F943" s="166"/>
      <c r="G943" s="68">
        <v>0</v>
      </c>
      <c r="H943" s="25">
        <f t="shared" si="56"/>
        <v>0</v>
      </c>
    </row>
    <row r="944" customHeight="1" spans="1:8">
      <c r="B944" s="129"/>
      <c r="C944" s="130" t="s">
        <v>896</v>
      </c>
      <c r="D944" s="130" t="s">
        <v>897</v>
      </c>
      <c r="E944" s="138" t="s">
        <v>336</v>
      </c>
      <c r="F944" s="163"/>
      <c r="G944" s="68">
        <v>0</v>
      </c>
      <c r="H944" s="25">
        <f t="shared" si="56"/>
        <v>0</v>
      </c>
    </row>
    <row r="945" customHeight="1" spans="2:8">
      <c r="B945" s="129"/>
      <c r="C945" s="130" t="s">
        <v>460</v>
      </c>
      <c r="D945" s="130" t="s">
        <v>461</v>
      </c>
      <c r="E945" s="138" t="s">
        <v>329</v>
      </c>
      <c r="F945" s="163"/>
      <c r="G945" s="68">
        <v>0</v>
      </c>
      <c r="H945" s="25">
        <f t="shared" si="56"/>
        <v>0</v>
      </c>
    </row>
    <row r="946" customHeight="1" spans="2:8">
      <c r="B946" s="129"/>
      <c r="C946" s="130" t="s">
        <v>454</v>
      </c>
      <c r="D946" s="130" t="s">
        <v>463</v>
      </c>
      <c r="E946" s="138" t="s">
        <v>464</v>
      </c>
      <c r="F946" s="163"/>
      <c r="G946" s="68">
        <v>0</v>
      </c>
      <c r="H946" s="25">
        <f t="shared" si="56"/>
        <v>0</v>
      </c>
    </row>
    <row r="947" customHeight="1" spans="2:8">
      <c r="B947" s="129"/>
      <c r="C947" s="130" t="s">
        <v>465</v>
      </c>
      <c r="D947" s="130" t="s">
        <v>466</v>
      </c>
      <c r="E947" s="138" t="s">
        <v>329</v>
      </c>
      <c r="F947" s="163"/>
      <c r="G947" s="68">
        <v>0</v>
      </c>
      <c r="H947" s="25">
        <f t="shared" si="56"/>
        <v>0</v>
      </c>
    </row>
    <row r="948" customHeight="1" spans="2:8">
      <c r="B948" s="129"/>
      <c r="C948" s="130" t="s">
        <v>1172</v>
      </c>
      <c r="D948" s="130" t="s">
        <v>1173</v>
      </c>
      <c r="E948" s="138" t="s">
        <v>510</v>
      </c>
      <c r="F948" s="163"/>
      <c r="G948" s="68">
        <v>0</v>
      </c>
      <c r="H948" s="25">
        <f t="shared" si="56"/>
        <v>0</v>
      </c>
    </row>
    <row r="949" customHeight="1" spans="2:8">
      <c r="B949" s="84" t="s">
        <v>1174</v>
      </c>
      <c r="C949" s="187" t="s">
        <v>1175</v>
      </c>
      <c r="D949" s="188" t="s">
        <v>1176</v>
      </c>
      <c r="E949" s="86" t="s">
        <v>238</v>
      </c>
      <c r="F949" s="107">
        <v>0</v>
      </c>
      <c r="G949" s="68">
        <v>0</v>
      </c>
      <c r="H949" s="25">
        <f t="shared" si="56"/>
        <v>0</v>
      </c>
    </row>
    <row r="950" customHeight="1" spans="2:8">
      <c r="B950" s="129"/>
      <c r="C950" s="130" t="s">
        <v>877</v>
      </c>
      <c r="D950" s="130" t="s">
        <v>878</v>
      </c>
      <c r="E950" s="138" t="s">
        <v>336</v>
      </c>
      <c r="F950" s="166"/>
      <c r="G950" s="68">
        <v>0</v>
      </c>
      <c r="H950" s="25">
        <f t="shared" si="56"/>
        <v>0</v>
      </c>
    </row>
    <row r="951" customHeight="1" spans="2:8">
      <c r="B951" s="129"/>
      <c r="C951" s="130" t="s">
        <v>879</v>
      </c>
      <c r="D951" s="130" t="s">
        <v>644</v>
      </c>
      <c r="E951" s="138" t="s">
        <v>336</v>
      </c>
      <c r="F951" s="166"/>
      <c r="G951" s="68">
        <v>0</v>
      </c>
      <c r="H951" s="25">
        <f t="shared" si="56"/>
        <v>0</v>
      </c>
    </row>
    <row r="952" customHeight="1" spans="2:8">
      <c r="B952" s="129"/>
      <c r="C952" s="130" t="s">
        <v>880</v>
      </c>
      <c r="D952" s="130" t="s">
        <v>881</v>
      </c>
      <c r="E952" s="138" t="s">
        <v>336</v>
      </c>
      <c r="F952" s="166"/>
      <c r="G952" s="68">
        <v>0</v>
      </c>
      <c r="H952" s="25">
        <f t="shared" si="56"/>
        <v>0</v>
      </c>
    </row>
    <row r="953" customHeight="1" spans="2:8">
      <c r="B953" s="129"/>
      <c r="C953" s="130" t="s">
        <v>882</v>
      </c>
      <c r="D953" s="130" t="s">
        <v>883</v>
      </c>
      <c r="E953" s="138" t="s">
        <v>336</v>
      </c>
      <c r="F953" s="166"/>
      <c r="G953" s="68">
        <v>0</v>
      </c>
      <c r="H953" s="25">
        <f t="shared" si="56"/>
        <v>0</v>
      </c>
    </row>
    <row r="954" customHeight="1" spans="2:8">
      <c r="B954" s="129"/>
      <c r="C954" s="130" t="s">
        <v>884</v>
      </c>
      <c r="D954" s="130" t="s">
        <v>885</v>
      </c>
      <c r="E954" s="138" t="s">
        <v>336</v>
      </c>
      <c r="F954" s="166"/>
      <c r="G954" s="68">
        <v>0</v>
      </c>
      <c r="H954" s="25">
        <f t="shared" si="56"/>
        <v>0</v>
      </c>
    </row>
    <row r="955" customHeight="1" spans="2:8">
      <c r="B955" s="129"/>
      <c r="C955" s="130" t="s">
        <v>896</v>
      </c>
      <c r="D955" s="130" t="s">
        <v>897</v>
      </c>
      <c r="E955" s="138" t="s">
        <v>336</v>
      </c>
      <c r="F955" s="163"/>
      <c r="G955" s="68">
        <v>0</v>
      </c>
      <c r="H955" s="25">
        <f t="shared" si="56"/>
        <v>0</v>
      </c>
    </row>
    <row r="956" customHeight="1" spans="2:8">
      <c r="B956" s="129"/>
      <c r="C956" s="130" t="s">
        <v>460</v>
      </c>
      <c r="D956" s="130" t="s">
        <v>461</v>
      </c>
      <c r="E956" s="138" t="s">
        <v>329</v>
      </c>
      <c r="F956" s="163"/>
      <c r="G956" s="68">
        <v>0</v>
      </c>
      <c r="H956" s="25">
        <f t="shared" si="56"/>
        <v>0</v>
      </c>
    </row>
    <row r="957" customHeight="1" spans="2:8">
      <c r="B957" s="129"/>
      <c r="C957" s="130" t="s">
        <v>454</v>
      </c>
      <c r="D957" s="130" t="s">
        <v>463</v>
      </c>
      <c r="E957" s="138" t="s">
        <v>464</v>
      </c>
      <c r="F957" s="163"/>
      <c r="G957" s="68">
        <v>0</v>
      </c>
      <c r="H957" s="25">
        <f t="shared" si="56"/>
        <v>0</v>
      </c>
    </row>
    <row r="958" customHeight="1" spans="2:8">
      <c r="B958" s="129"/>
      <c r="C958" s="130" t="s">
        <v>465</v>
      </c>
      <c r="D958" s="130" t="s">
        <v>466</v>
      </c>
      <c r="E958" s="138" t="s">
        <v>329</v>
      </c>
      <c r="F958" s="163"/>
      <c r="G958" s="68">
        <v>0</v>
      </c>
      <c r="H958" s="25">
        <f t="shared" si="56"/>
        <v>0</v>
      </c>
    </row>
    <row r="959" customHeight="1" spans="2:8">
      <c r="B959" s="129"/>
      <c r="C959" s="130" t="s">
        <v>1172</v>
      </c>
      <c r="D959" s="130" t="s">
        <v>1173</v>
      </c>
      <c r="E959" s="138" t="s">
        <v>510</v>
      </c>
      <c r="F959" s="163"/>
      <c r="G959" s="68">
        <v>0</v>
      </c>
      <c r="H959" s="25">
        <f t="shared" si="56"/>
        <v>0</v>
      </c>
    </row>
    <row r="960" customHeight="1" spans="2:8">
      <c r="B960" s="21"/>
      <c r="C960" s="103" t="s">
        <v>1177</v>
      </c>
      <c r="D960" s="104" t="s">
        <v>1178</v>
      </c>
      <c r="E960" s="86"/>
      <c r="F960" s="106"/>
      <c r="G960" s="68">
        <v>0</v>
      </c>
      <c r="H960" s="25">
        <f t="shared" si="56"/>
        <v>0</v>
      </c>
    </row>
    <row r="961" customHeight="1" spans="1:8">
      <c r="B961" s="26"/>
      <c r="C961" s="187"/>
      <c r="D961" s="187"/>
      <c r="E961" s="29"/>
      <c r="F961" s="107"/>
      <c r="G961" s="68">
        <v>0</v>
      </c>
      <c r="H961" s="25">
        <f t="shared" si="56"/>
        <v>0</v>
      </c>
    </row>
    <row r="962" customHeight="1" spans="1:8">
      <c r="B962" s="84" t="s">
        <v>1179</v>
      </c>
      <c r="C962" s="185" t="s">
        <v>1180</v>
      </c>
      <c r="D962" s="186" t="s">
        <v>1181</v>
      </c>
      <c r="E962" s="86"/>
      <c r="F962" s="107"/>
      <c r="G962" s="68">
        <v>0</v>
      </c>
      <c r="H962" s="25">
        <f t="shared" si="56"/>
        <v>0</v>
      </c>
    </row>
    <row r="963" customHeight="1" spans="1:8">
      <c r="B963" s="84" t="s">
        <v>1182</v>
      </c>
      <c r="C963" s="89" t="s">
        <v>1183</v>
      </c>
      <c r="D963" s="90" t="s">
        <v>1184</v>
      </c>
      <c r="E963" s="86"/>
      <c r="F963" s="107"/>
      <c r="G963" s="68">
        <v>0</v>
      </c>
      <c r="H963" s="25">
        <f t="shared" si="56"/>
        <v>0</v>
      </c>
    </row>
    <row r="964" customHeight="1" spans="1:8">
      <c r="A964" s="8">
        <f ca="1">COUNTA(OFFSET(A$1,0,0,ROW()-1,1))+1</f>
        <v>421</v>
      </c>
      <c r="B964" s="84" t="s">
        <v>1185</v>
      </c>
      <c r="C964" s="168" t="s">
        <v>1186</v>
      </c>
      <c r="D964" s="168" t="s">
        <v>1187</v>
      </c>
      <c r="E964" s="86" t="s">
        <v>225</v>
      </c>
      <c r="F964" s="107">
        <f>796+504+290+280</f>
        <v>1870</v>
      </c>
      <c r="G964" s="68">
        <v>132.1188</v>
      </c>
      <c r="H964" s="25">
        <f t="shared" si="56"/>
        <v>247062</v>
      </c>
    </row>
    <row r="965" customHeight="1" spans="1:8">
      <c r="B965" s="129"/>
      <c r="C965" s="130" t="s">
        <v>877</v>
      </c>
      <c r="D965" s="130" t="s">
        <v>878</v>
      </c>
      <c r="E965" s="138" t="s">
        <v>336</v>
      </c>
      <c r="F965" s="166"/>
      <c r="G965" s="68">
        <v>0</v>
      </c>
      <c r="H965" s="25">
        <f t="shared" si="56"/>
        <v>0</v>
      </c>
    </row>
    <row r="966" customHeight="1" spans="1:8">
      <c r="B966" s="129"/>
      <c r="C966" s="130" t="s">
        <v>879</v>
      </c>
      <c r="D966" s="130" t="s">
        <v>644</v>
      </c>
      <c r="E966" s="138" t="s">
        <v>336</v>
      </c>
      <c r="F966" s="166"/>
      <c r="G966" s="68">
        <v>0</v>
      </c>
      <c r="H966" s="25">
        <f t="shared" si="56"/>
        <v>0</v>
      </c>
    </row>
    <row r="967" customHeight="1" spans="1:8">
      <c r="B967" s="129"/>
      <c r="C967" s="130" t="s">
        <v>880</v>
      </c>
      <c r="D967" s="130" t="s">
        <v>881</v>
      </c>
      <c r="E967" s="138" t="s">
        <v>336</v>
      </c>
      <c r="F967" s="166"/>
      <c r="G967" s="68">
        <v>0</v>
      </c>
      <c r="H967" s="25">
        <f t="shared" si="56"/>
        <v>0</v>
      </c>
    </row>
    <row r="968" customHeight="1" spans="1:8">
      <c r="B968" s="129"/>
      <c r="C968" s="130" t="s">
        <v>882</v>
      </c>
      <c r="D968" s="130" t="s">
        <v>883</v>
      </c>
      <c r="E968" s="138" t="s">
        <v>336</v>
      </c>
      <c r="F968" s="166"/>
      <c r="G968" s="68">
        <v>0</v>
      </c>
      <c r="H968" s="25">
        <f t="shared" ref="H968:H1031" si="61">IFERROR(ROUND(G968*F968,0),0)</f>
        <v>0</v>
      </c>
    </row>
    <row r="969" customHeight="1" spans="1:8">
      <c r="B969" s="129"/>
      <c r="C969" s="130" t="s">
        <v>884</v>
      </c>
      <c r="D969" s="130" t="s">
        <v>885</v>
      </c>
      <c r="E969" s="138" t="s">
        <v>336</v>
      </c>
      <c r="F969" s="166"/>
      <c r="G969" s="68">
        <v>0</v>
      </c>
      <c r="H969" s="25">
        <f t="shared" si="61"/>
        <v>0</v>
      </c>
    </row>
    <row r="970" customHeight="1" spans="1:8">
      <c r="B970" s="129"/>
      <c r="C970" s="130" t="s">
        <v>896</v>
      </c>
      <c r="D970" s="130" t="s">
        <v>897</v>
      </c>
      <c r="E970" s="138" t="s">
        <v>336</v>
      </c>
      <c r="F970" s="163"/>
      <c r="G970" s="68">
        <v>0</v>
      </c>
      <c r="H970" s="25">
        <f t="shared" si="61"/>
        <v>0</v>
      </c>
    </row>
    <row r="971" customHeight="1" spans="1:8">
      <c r="B971" s="129"/>
      <c r="C971" s="130" t="s">
        <v>460</v>
      </c>
      <c r="D971" s="130" t="s">
        <v>461</v>
      </c>
      <c r="E971" s="138" t="s">
        <v>329</v>
      </c>
      <c r="F971" s="163"/>
      <c r="G971" s="68">
        <v>0</v>
      </c>
      <c r="H971" s="25">
        <f t="shared" si="61"/>
        <v>0</v>
      </c>
    </row>
    <row r="972" customHeight="1" spans="1:8">
      <c r="B972" s="129"/>
      <c r="C972" s="130" t="s">
        <v>454</v>
      </c>
      <c r="D972" s="130" t="s">
        <v>463</v>
      </c>
      <c r="E972" s="138" t="s">
        <v>464</v>
      </c>
      <c r="F972" s="163"/>
      <c r="G972" s="68">
        <v>0</v>
      </c>
      <c r="H972" s="25">
        <f t="shared" si="61"/>
        <v>0</v>
      </c>
    </row>
    <row r="973" customHeight="1" spans="1:8">
      <c r="B973" s="129"/>
      <c r="C973" s="130" t="s">
        <v>1188</v>
      </c>
      <c r="D973" s="130" t="s">
        <v>1189</v>
      </c>
      <c r="E973" s="138" t="s">
        <v>892</v>
      </c>
      <c r="F973" s="166"/>
      <c r="G973" s="68">
        <v>0</v>
      </c>
      <c r="H973" s="25">
        <f t="shared" si="61"/>
        <v>0</v>
      </c>
    </row>
    <row r="974" customHeight="1" spans="1:8">
      <c r="B974" s="129"/>
      <c r="C974" s="130" t="s">
        <v>1190</v>
      </c>
      <c r="D974" s="130" t="s">
        <v>1191</v>
      </c>
      <c r="E974" s="138" t="s">
        <v>329</v>
      </c>
      <c r="F974" s="166"/>
      <c r="G974" s="68">
        <v>0</v>
      </c>
      <c r="H974" s="25">
        <f t="shared" si="61"/>
        <v>0</v>
      </c>
    </row>
    <row r="975" customHeight="1" spans="1:8">
      <c r="B975" s="129"/>
      <c r="C975" s="293" t="s">
        <v>1192</v>
      </c>
      <c r="D975" s="293" t="s">
        <v>1193</v>
      </c>
      <c r="E975" s="138" t="s">
        <v>892</v>
      </c>
      <c r="F975" s="166"/>
      <c r="G975" s="68">
        <v>0</v>
      </c>
      <c r="H975" s="25">
        <f t="shared" si="61"/>
        <v>0</v>
      </c>
    </row>
    <row r="976" customHeight="1" spans="1:8">
      <c r="B976" s="129"/>
      <c r="C976" s="293" t="s">
        <v>1194</v>
      </c>
      <c r="D976" s="293" t="s">
        <v>1195</v>
      </c>
      <c r="E976" s="138" t="s">
        <v>225</v>
      </c>
      <c r="F976" s="166"/>
      <c r="G976" s="68">
        <v>0</v>
      </c>
      <c r="H976" s="25">
        <f t="shared" si="61"/>
        <v>0</v>
      </c>
    </row>
    <row r="977" customHeight="1" spans="1:8">
      <c r="A977" s="8">
        <f ca="1">COUNTA(OFFSET(A$1,0,0,ROW()-1,1))+1</f>
        <v>422</v>
      </c>
      <c r="B977" s="84" t="s">
        <v>1196</v>
      </c>
      <c r="C977" s="168" t="s">
        <v>1197</v>
      </c>
      <c r="D977" s="168" t="s">
        <v>1198</v>
      </c>
      <c r="E977" s="86" t="s">
        <v>225</v>
      </c>
      <c r="F977" s="107">
        <f>275+15</f>
        <v>290</v>
      </c>
      <c r="G977" s="68">
        <v>60.054</v>
      </c>
      <c r="H977" s="25">
        <f t="shared" si="61"/>
        <v>17416</v>
      </c>
    </row>
    <row r="978" customHeight="1" spans="1:8">
      <c r="B978" s="124"/>
      <c r="C978" s="125" t="s">
        <v>877</v>
      </c>
      <c r="D978" s="125" t="s">
        <v>878</v>
      </c>
      <c r="E978" s="126" t="s">
        <v>336</v>
      </c>
      <c r="F978" s="171"/>
      <c r="G978" s="68">
        <v>0</v>
      </c>
      <c r="H978" s="25">
        <f t="shared" si="61"/>
        <v>0</v>
      </c>
    </row>
    <row r="979" customHeight="1" spans="1:8">
      <c r="B979" s="124"/>
      <c r="C979" s="125" t="s">
        <v>879</v>
      </c>
      <c r="D979" s="125" t="s">
        <v>644</v>
      </c>
      <c r="E979" s="126" t="s">
        <v>336</v>
      </c>
      <c r="F979" s="171"/>
      <c r="G979" s="68">
        <v>0</v>
      </c>
      <c r="H979" s="25">
        <f t="shared" si="61"/>
        <v>0</v>
      </c>
    </row>
    <row r="980" customHeight="1" spans="1:8">
      <c r="B980" s="124"/>
      <c r="C980" s="125" t="s">
        <v>880</v>
      </c>
      <c r="D980" s="125" t="s">
        <v>881</v>
      </c>
      <c r="E980" s="126" t="s">
        <v>336</v>
      </c>
      <c r="F980" s="171"/>
      <c r="G980" s="68">
        <v>0</v>
      </c>
      <c r="H980" s="25">
        <f t="shared" si="61"/>
        <v>0</v>
      </c>
    </row>
    <row r="981" customHeight="1" spans="1:8">
      <c r="B981" s="124"/>
      <c r="C981" s="125" t="s">
        <v>882</v>
      </c>
      <c r="D981" s="125" t="s">
        <v>883</v>
      </c>
      <c r="E981" s="126" t="s">
        <v>336</v>
      </c>
      <c r="F981" s="171"/>
      <c r="G981" s="68">
        <v>0</v>
      </c>
      <c r="H981" s="25">
        <f t="shared" si="61"/>
        <v>0</v>
      </c>
    </row>
    <row r="982" customHeight="1" spans="1:8">
      <c r="B982" s="124"/>
      <c r="C982" s="125" t="s">
        <v>884</v>
      </c>
      <c r="D982" s="125" t="s">
        <v>885</v>
      </c>
      <c r="E982" s="126" t="s">
        <v>336</v>
      </c>
      <c r="F982" s="171"/>
      <c r="G982" s="68">
        <v>0</v>
      </c>
      <c r="H982" s="25">
        <f t="shared" si="61"/>
        <v>0</v>
      </c>
    </row>
    <row r="983" customHeight="1" spans="1:8">
      <c r="B983" s="124"/>
      <c r="C983" s="125" t="s">
        <v>896</v>
      </c>
      <c r="D983" s="125" t="s">
        <v>897</v>
      </c>
      <c r="E983" s="126" t="s">
        <v>336</v>
      </c>
      <c r="F983" s="172"/>
      <c r="G983" s="68">
        <v>0</v>
      </c>
      <c r="H983" s="25">
        <f t="shared" si="61"/>
        <v>0</v>
      </c>
    </row>
    <row r="984" customHeight="1" spans="1:8">
      <c r="B984" s="124"/>
      <c r="C984" s="125" t="s">
        <v>460</v>
      </c>
      <c r="D984" s="125" t="s">
        <v>461</v>
      </c>
      <c r="E984" s="126" t="s">
        <v>329</v>
      </c>
      <c r="F984" s="172"/>
      <c r="G984" s="68">
        <v>0</v>
      </c>
      <c r="H984" s="25">
        <f t="shared" si="61"/>
        <v>0</v>
      </c>
    </row>
    <row r="985" customHeight="1" spans="1:8">
      <c r="B985" s="124"/>
      <c r="C985" s="125" t="s">
        <v>454</v>
      </c>
      <c r="D985" s="125" t="s">
        <v>463</v>
      </c>
      <c r="E985" s="126" t="s">
        <v>464</v>
      </c>
      <c r="F985" s="172"/>
      <c r="G985" s="68">
        <v>0</v>
      </c>
      <c r="H985" s="25">
        <f t="shared" si="61"/>
        <v>0</v>
      </c>
    </row>
    <row r="986" customHeight="1" spans="1:8">
      <c r="B986" s="124"/>
      <c r="C986" s="294" t="s">
        <v>1199</v>
      </c>
      <c r="D986" s="294" t="s">
        <v>1200</v>
      </c>
      <c r="E986" s="126" t="s">
        <v>238</v>
      </c>
      <c r="F986" s="172"/>
      <c r="G986" s="68">
        <v>0</v>
      </c>
      <c r="H986" s="25">
        <f t="shared" si="61"/>
        <v>0</v>
      </c>
    </row>
    <row r="987" customHeight="1" spans="1:8">
      <c r="B987" s="124"/>
      <c r="C987" s="294" t="s">
        <v>1201</v>
      </c>
      <c r="D987" s="294" t="s">
        <v>1202</v>
      </c>
      <c r="E987" s="126" t="s">
        <v>238</v>
      </c>
      <c r="F987" s="172"/>
      <c r="G987" s="68">
        <v>0</v>
      </c>
      <c r="H987" s="25">
        <f t="shared" si="61"/>
        <v>0</v>
      </c>
    </row>
    <row r="988" customHeight="1" spans="1:8">
      <c r="B988" s="124"/>
      <c r="C988" s="294" t="s">
        <v>1203</v>
      </c>
      <c r="D988" s="294" t="s">
        <v>1204</v>
      </c>
      <c r="E988" s="126" t="s">
        <v>238</v>
      </c>
      <c r="F988" s="172"/>
      <c r="G988" s="68">
        <v>0</v>
      </c>
      <c r="H988" s="25">
        <f t="shared" si="61"/>
        <v>0</v>
      </c>
    </row>
    <row r="989" customHeight="1" spans="1:8">
      <c r="B989" s="124"/>
      <c r="C989" s="294" t="s">
        <v>1205</v>
      </c>
      <c r="D989" s="294" t="s">
        <v>1206</v>
      </c>
      <c r="E989" s="126" t="s">
        <v>238</v>
      </c>
      <c r="F989" s="172"/>
      <c r="G989" s="68">
        <v>0</v>
      </c>
      <c r="H989" s="25">
        <f t="shared" si="61"/>
        <v>0</v>
      </c>
    </row>
    <row r="990" customHeight="1" spans="1:8">
      <c r="B990" s="124"/>
      <c r="C990" s="294" t="s">
        <v>1207</v>
      </c>
      <c r="D990" s="294" t="s">
        <v>1208</v>
      </c>
      <c r="E990" s="126" t="s">
        <v>329</v>
      </c>
      <c r="F990" s="172"/>
      <c r="G990" s="68">
        <v>0</v>
      </c>
      <c r="H990" s="25">
        <f t="shared" si="61"/>
        <v>0</v>
      </c>
    </row>
    <row r="991" customHeight="1" spans="1:8">
      <c r="B991" s="124"/>
      <c r="C991" s="294" t="s">
        <v>1209</v>
      </c>
      <c r="D991" s="294" t="s">
        <v>1210</v>
      </c>
      <c r="E991" s="126" t="s">
        <v>225</v>
      </c>
      <c r="F991" s="172"/>
      <c r="G991" s="68">
        <v>0</v>
      </c>
      <c r="H991" s="25">
        <f t="shared" si="61"/>
        <v>0</v>
      </c>
    </row>
    <row r="992" customHeight="1" spans="1:8">
      <c r="A992" s="8">
        <f ca="1">COUNTA(OFFSET(A$1,0,0,ROW()-1,1))+1</f>
        <v>423</v>
      </c>
      <c r="B992" s="84" t="s">
        <v>1211</v>
      </c>
      <c r="C992" s="168" t="s">
        <v>1212</v>
      </c>
      <c r="D992" s="169" t="s">
        <v>1213</v>
      </c>
      <c r="E992" s="86" t="s">
        <v>225</v>
      </c>
      <c r="F992" s="107">
        <f>90+105+105</f>
        <v>300</v>
      </c>
      <c r="G992" s="68">
        <v>42.0378</v>
      </c>
      <c r="H992" s="25">
        <f t="shared" si="61"/>
        <v>12611</v>
      </c>
    </row>
    <row r="993" customHeight="1" spans="2:8">
      <c r="B993" s="124"/>
      <c r="C993" s="125" t="s">
        <v>877</v>
      </c>
      <c r="D993" s="125" t="s">
        <v>878</v>
      </c>
      <c r="E993" s="126" t="s">
        <v>336</v>
      </c>
      <c r="F993" s="171"/>
      <c r="G993" s="68">
        <v>0</v>
      </c>
      <c r="H993" s="25">
        <f t="shared" si="61"/>
        <v>0</v>
      </c>
    </row>
    <row r="994" customHeight="1" spans="2:8">
      <c r="B994" s="124"/>
      <c r="C994" s="125" t="s">
        <v>879</v>
      </c>
      <c r="D994" s="125" t="s">
        <v>644</v>
      </c>
      <c r="E994" s="126" t="s">
        <v>336</v>
      </c>
      <c r="F994" s="171"/>
      <c r="G994" s="68">
        <v>0</v>
      </c>
      <c r="H994" s="25">
        <f t="shared" si="61"/>
        <v>0</v>
      </c>
    </row>
    <row r="995" customHeight="1" spans="2:8">
      <c r="B995" s="124"/>
      <c r="C995" s="125" t="s">
        <v>880</v>
      </c>
      <c r="D995" s="125" t="s">
        <v>881</v>
      </c>
      <c r="E995" s="126" t="s">
        <v>336</v>
      </c>
      <c r="F995" s="171"/>
      <c r="G995" s="68">
        <v>0</v>
      </c>
      <c r="H995" s="25">
        <f t="shared" si="61"/>
        <v>0</v>
      </c>
    </row>
    <row r="996" customHeight="1" spans="2:8">
      <c r="B996" s="124"/>
      <c r="C996" s="125" t="s">
        <v>882</v>
      </c>
      <c r="D996" s="125" t="s">
        <v>883</v>
      </c>
      <c r="E996" s="126" t="s">
        <v>336</v>
      </c>
      <c r="F996" s="171"/>
      <c r="G996" s="68">
        <v>0</v>
      </c>
      <c r="H996" s="25">
        <f t="shared" si="61"/>
        <v>0</v>
      </c>
    </row>
    <row r="997" customHeight="1" spans="2:8">
      <c r="B997" s="124"/>
      <c r="C997" s="125" t="s">
        <v>884</v>
      </c>
      <c r="D997" s="125" t="s">
        <v>885</v>
      </c>
      <c r="E997" s="126" t="s">
        <v>336</v>
      </c>
      <c r="F997" s="171"/>
      <c r="G997" s="68">
        <v>0</v>
      </c>
      <c r="H997" s="25">
        <f t="shared" si="61"/>
        <v>0</v>
      </c>
    </row>
    <row r="998" customHeight="1" spans="2:8">
      <c r="B998" s="124"/>
      <c r="C998" s="125" t="s">
        <v>896</v>
      </c>
      <c r="D998" s="125" t="s">
        <v>897</v>
      </c>
      <c r="E998" s="126" t="s">
        <v>336</v>
      </c>
      <c r="F998" s="172"/>
      <c r="G998" s="68">
        <v>0</v>
      </c>
      <c r="H998" s="25">
        <f t="shared" si="61"/>
        <v>0</v>
      </c>
    </row>
    <row r="999" customHeight="1" spans="2:8">
      <c r="B999" s="124"/>
      <c r="C999" s="125" t="s">
        <v>460</v>
      </c>
      <c r="D999" s="125" t="s">
        <v>461</v>
      </c>
      <c r="E999" s="126" t="s">
        <v>329</v>
      </c>
      <c r="F999" s="172"/>
      <c r="G999" s="68">
        <v>0</v>
      </c>
      <c r="H999" s="25">
        <f t="shared" si="61"/>
        <v>0</v>
      </c>
    </row>
    <row r="1000" customHeight="1" spans="2:8">
      <c r="B1000" s="124"/>
      <c r="C1000" s="125" t="s">
        <v>454</v>
      </c>
      <c r="D1000" s="125" t="s">
        <v>463</v>
      </c>
      <c r="E1000" s="126" t="s">
        <v>464</v>
      </c>
      <c r="F1000" s="172"/>
      <c r="G1000" s="68">
        <v>0</v>
      </c>
      <c r="H1000" s="25">
        <f t="shared" si="61"/>
        <v>0</v>
      </c>
    </row>
    <row r="1001" customHeight="1" spans="2:8">
      <c r="B1001" s="124"/>
      <c r="C1001" s="294" t="s">
        <v>1199</v>
      </c>
      <c r="D1001" s="294" t="s">
        <v>1200</v>
      </c>
      <c r="E1001" s="126" t="s">
        <v>238</v>
      </c>
      <c r="F1001" s="172"/>
      <c r="G1001" s="68">
        <v>0</v>
      </c>
      <c r="H1001" s="25">
        <f t="shared" si="61"/>
        <v>0</v>
      </c>
    </row>
    <row r="1002" customHeight="1" spans="2:8">
      <c r="B1002" s="124"/>
      <c r="C1002" s="294" t="s">
        <v>1201</v>
      </c>
      <c r="D1002" s="294" t="s">
        <v>1202</v>
      </c>
      <c r="E1002" s="126" t="s">
        <v>238</v>
      </c>
      <c r="F1002" s="172"/>
      <c r="G1002" s="68">
        <v>0</v>
      </c>
      <c r="H1002" s="25">
        <f t="shared" si="61"/>
        <v>0</v>
      </c>
    </row>
    <row r="1003" customHeight="1" spans="2:8">
      <c r="B1003" s="124"/>
      <c r="C1003" s="294" t="s">
        <v>1203</v>
      </c>
      <c r="D1003" s="294" t="s">
        <v>1204</v>
      </c>
      <c r="E1003" s="126" t="s">
        <v>238</v>
      </c>
      <c r="F1003" s="172"/>
      <c r="G1003" s="68">
        <v>0</v>
      </c>
      <c r="H1003" s="25">
        <f t="shared" si="61"/>
        <v>0</v>
      </c>
    </row>
    <row r="1004" customHeight="1" spans="2:8">
      <c r="B1004" s="124"/>
      <c r="C1004" s="294" t="s">
        <v>1205</v>
      </c>
      <c r="D1004" s="294" t="s">
        <v>1206</v>
      </c>
      <c r="E1004" s="126" t="s">
        <v>238</v>
      </c>
      <c r="F1004" s="172"/>
      <c r="G1004" s="68">
        <v>0</v>
      </c>
      <c r="H1004" s="25">
        <f t="shared" si="61"/>
        <v>0</v>
      </c>
    </row>
    <row r="1005" customHeight="1" spans="2:8">
      <c r="B1005" s="124"/>
      <c r="C1005" s="294" t="s">
        <v>1207</v>
      </c>
      <c r="D1005" s="294" t="s">
        <v>1208</v>
      </c>
      <c r="E1005" s="126" t="s">
        <v>329</v>
      </c>
      <c r="F1005" s="172"/>
      <c r="G1005" s="68">
        <v>0</v>
      </c>
      <c r="H1005" s="25">
        <f t="shared" si="61"/>
        <v>0</v>
      </c>
    </row>
    <row r="1006" customHeight="1" spans="2:8">
      <c r="B1006" s="124"/>
      <c r="C1006" s="294" t="s">
        <v>1214</v>
      </c>
      <c r="D1006" s="294" t="s">
        <v>1215</v>
      </c>
      <c r="E1006" s="126" t="s">
        <v>225</v>
      </c>
      <c r="F1006" s="172"/>
      <c r="G1006" s="68">
        <v>0</v>
      </c>
      <c r="H1006" s="25">
        <f t="shared" si="61"/>
        <v>0</v>
      </c>
    </row>
    <row r="1007" customHeight="1" spans="2:8">
      <c r="B1007" s="124"/>
      <c r="C1007" s="125"/>
      <c r="D1007" s="125"/>
      <c r="E1007" s="126"/>
      <c r="F1007" s="172"/>
      <c r="G1007" s="68">
        <v>0</v>
      </c>
      <c r="H1007" s="25">
        <f t="shared" si="61"/>
        <v>0</v>
      </c>
    </row>
    <row r="1008" customHeight="1" spans="2:8">
      <c r="B1008" s="124"/>
      <c r="C1008" s="125" t="s">
        <v>877</v>
      </c>
      <c r="D1008" s="125" t="s">
        <v>878</v>
      </c>
      <c r="E1008" s="126" t="s">
        <v>336</v>
      </c>
      <c r="F1008" s="171"/>
      <c r="G1008" s="68">
        <v>0</v>
      </c>
      <c r="H1008" s="25">
        <f t="shared" si="61"/>
        <v>0</v>
      </c>
    </row>
    <row r="1009" customHeight="1" spans="1:8">
      <c r="B1009" s="124"/>
      <c r="C1009" s="125" t="s">
        <v>879</v>
      </c>
      <c r="D1009" s="125" t="s">
        <v>644</v>
      </c>
      <c r="E1009" s="126" t="s">
        <v>336</v>
      </c>
      <c r="F1009" s="171"/>
      <c r="G1009" s="68">
        <v>0</v>
      </c>
      <c r="H1009" s="25">
        <f t="shared" si="61"/>
        <v>0</v>
      </c>
    </row>
    <row r="1010" customHeight="1" spans="1:8">
      <c r="B1010" s="124"/>
      <c r="C1010" s="125" t="s">
        <v>880</v>
      </c>
      <c r="D1010" s="125" t="s">
        <v>881</v>
      </c>
      <c r="E1010" s="126" t="s">
        <v>336</v>
      </c>
      <c r="F1010" s="171"/>
      <c r="G1010" s="68">
        <v>0</v>
      </c>
      <c r="H1010" s="25">
        <f t="shared" si="61"/>
        <v>0</v>
      </c>
    </row>
    <row r="1011" customHeight="1" spans="1:8">
      <c r="B1011" s="124"/>
      <c r="C1011" s="125" t="s">
        <v>882</v>
      </c>
      <c r="D1011" s="125" t="s">
        <v>883</v>
      </c>
      <c r="E1011" s="126" t="s">
        <v>336</v>
      </c>
      <c r="F1011" s="171"/>
      <c r="G1011" s="68">
        <v>0</v>
      </c>
      <c r="H1011" s="25">
        <f t="shared" si="61"/>
        <v>0</v>
      </c>
    </row>
    <row r="1012" customHeight="1" spans="1:8">
      <c r="B1012" s="124"/>
      <c r="C1012" s="125" t="s">
        <v>884</v>
      </c>
      <c r="D1012" s="125" t="s">
        <v>885</v>
      </c>
      <c r="E1012" s="126" t="s">
        <v>336</v>
      </c>
      <c r="F1012" s="171"/>
      <c r="G1012" s="68">
        <v>0</v>
      </c>
      <c r="H1012" s="25">
        <f t="shared" si="61"/>
        <v>0</v>
      </c>
    </row>
    <row r="1013" customHeight="1" spans="1:8">
      <c r="B1013" s="124"/>
      <c r="C1013" s="125" t="s">
        <v>896</v>
      </c>
      <c r="D1013" s="125" t="s">
        <v>897</v>
      </c>
      <c r="E1013" s="126" t="s">
        <v>336</v>
      </c>
      <c r="F1013" s="172"/>
      <c r="G1013" s="68">
        <v>0</v>
      </c>
      <c r="H1013" s="25">
        <f t="shared" si="61"/>
        <v>0</v>
      </c>
    </row>
    <row r="1014" customHeight="1" spans="1:8">
      <c r="B1014" s="124"/>
      <c r="C1014" s="125" t="s">
        <v>460</v>
      </c>
      <c r="D1014" s="125" t="s">
        <v>461</v>
      </c>
      <c r="E1014" s="126" t="s">
        <v>329</v>
      </c>
      <c r="F1014" s="172"/>
      <c r="G1014" s="68">
        <v>0</v>
      </c>
      <c r="H1014" s="25">
        <f t="shared" si="61"/>
        <v>0</v>
      </c>
    </row>
    <row r="1015" customHeight="1" spans="1:8">
      <c r="B1015" s="124"/>
      <c r="C1015" s="125" t="s">
        <v>454</v>
      </c>
      <c r="D1015" s="125" t="s">
        <v>463</v>
      </c>
      <c r="E1015" s="126" t="s">
        <v>464</v>
      </c>
      <c r="F1015" s="172"/>
      <c r="G1015" s="68">
        <v>0</v>
      </c>
      <c r="H1015" s="25">
        <f t="shared" si="61"/>
        <v>0</v>
      </c>
    </row>
    <row r="1016" customHeight="1" spans="1:8">
      <c r="B1016" s="124"/>
      <c r="C1016" s="294" t="s">
        <v>1199</v>
      </c>
      <c r="D1016" s="294" t="s">
        <v>1200</v>
      </c>
      <c r="E1016" s="126" t="s">
        <v>238</v>
      </c>
      <c r="F1016" s="172"/>
      <c r="G1016" s="68">
        <v>0</v>
      </c>
      <c r="H1016" s="25">
        <f t="shared" si="61"/>
        <v>0</v>
      </c>
    </row>
    <row r="1017" customHeight="1" spans="1:8">
      <c r="B1017" s="124"/>
      <c r="C1017" s="294" t="s">
        <v>1201</v>
      </c>
      <c r="D1017" s="294" t="s">
        <v>1202</v>
      </c>
      <c r="E1017" s="126" t="s">
        <v>238</v>
      </c>
      <c r="F1017" s="172"/>
      <c r="G1017" s="68">
        <v>0</v>
      </c>
      <c r="H1017" s="25">
        <f t="shared" si="61"/>
        <v>0</v>
      </c>
    </row>
    <row r="1018" customHeight="1" spans="1:8">
      <c r="B1018" s="124"/>
      <c r="C1018" s="294" t="s">
        <v>1203</v>
      </c>
      <c r="D1018" s="294" t="s">
        <v>1204</v>
      </c>
      <c r="E1018" s="126" t="s">
        <v>238</v>
      </c>
      <c r="F1018" s="172"/>
      <c r="G1018" s="68">
        <v>0</v>
      </c>
      <c r="H1018" s="25">
        <f t="shared" si="61"/>
        <v>0</v>
      </c>
    </row>
    <row r="1019" customHeight="1" spans="1:8">
      <c r="B1019" s="124"/>
      <c r="C1019" s="294" t="s">
        <v>1205</v>
      </c>
      <c r="D1019" s="294" t="s">
        <v>1206</v>
      </c>
      <c r="E1019" s="126" t="s">
        <v>238</v>
      </c>
      <c r="F1019" s="172"/>
      <c r="G1019" s="68">
        <v>0</v>
      </c>
      <c r="H1019" s="25">
        <f t="shared" si="61"/>
        <v>0</v>
      </c>
    </row>
    <row r="1020" customHeight="1" spans="1:8">
      <c r="B1020" s="124"/>
      <c r="C1020" s="294" t="s">
        <v>1207</v>
      </c>
      <c r="D1020" s="294" t="s">
        <v>1208</v>
      </c>
      <c r="E1020" s="126" t="s">
        <v>329</v>
      </c>
      <c r="F1020" s="172"/>
      <c r="G1020" s="68">
        <v>0</v>
      </c>
      <c r="H1020" s="25">
        <f t="shared" si="61"/>
        <v>0</v>
      </c>
    </row>
    <row r="1021" customHeight="1" spans="1:8">
      <c r="B1021" s="124"/>
      <c r="C1021" s="294" t="s">
        <v>1214</v>
      </c>
      <c r="D1021" s="294" t="s">
        <v>1215</v>
      </c>
      <c r="E1021" s="126" t="s">
        <v>225</v>
      </c>
      <c r="F1021" s="172"/>
      <c r="G1021" s="68">
        <v>0</v>
      </c>
      <c r="H1021" s="25">
        <f t="shared" si="61"/>
        <v>0</v>
      </c>
    </row>
    <row r="1022" customHeight="1" spans="1:8">
      <c r="B1022" s="84" t="s">
        <v>1216</v>
      </c>
      <c r="C1022" s="89" t="s">
        <v>1217</v>
      </c>
      <c r="D1022" s="90" t="s">
        <v>1218</v>
      </c>
      <c r="E1022" s="86"/>
      <c r="F1022" s="107"/>
      <c r="G1022" s="68">
        <v>0</v>
      </c>
      <c r="H1022" s="25">
        <f t="shared" si="61"/>
        <v>0</v>
      </c>
    </row>
    <row r="1023" customHeight="1" spans="1:8">
      <c r="A1023" s="8">
        <f ca="1">COUNTA(OFFSET(A$1,0,0,ROW()-1,1))+1</f>
        <v>424</v>
      </c>
      <c r="B1023" s="84" t="s">
        <v>1219</v>
      </c>
      <c r="C1023" s="168" t="s">
        <v>1220</v>
      </c>
      <c r="D1023" s="169" t="s">
        <v>1221</v>
      </c>
      <c r="E1023" s="86" t="s">
        <v>225</v>
      </c>
      <c r="F1023" s="107">
        <v>90</v>
      </c>
      <c r="G1023" s="68">
        <v>66.0594</v>
      </c>
      <c r="H1023" s="25">
        <f t="shared" si="61"/>
        <v>5945</v>
      </c>
    </row>
    <row r="1024" customHeight="1" spans="1:8">
      <c r="B1024" s="129"/>
      <c r="C1024" s="130" t="s">
        <v>877</v>
      </c>
      <c r="D1024" s="130" t="s">
        <v>878</v>
      </c>
      <c r="E1024" s="138" t="s">
        <v>336</v>
      </c>
      <c r="F1024" s="166"/>
      <c r="G1024" s="68">
        <v>0</v>
      </c>
      <c r="H1024" s="25">
        <f t="shared" si="61"/>
        <v>0</v>
      </c>
    </row>
    <row r="1025" customHeight="1" spans="1:8">
      <c r="B1025" s="129"/>
      <c r="C1025" s="130" t="s">
        <v>879</v>
      </c>
      <c r="D1025" s="130" t="s">
        <v>644</v>
      </c>
      <c r="E1025" s="138" t="s">
        <v>336</v>
      </c>
      <c r="F1025" s="166"/>
      <c r="G1025" s="68">
        <v>0</v>
      </c>
      <c r="H1025" s="25">
        <f t="shared" si="61"/>
        <v>0</v>
      </c>
    </row>
    <row r="1026" customHeight="1" spans="1:8">
      <c r="B1026" s="129"/>
      <c r="C1026" s="130" t="s">
        <v>880</v>
      </c>
      <c r="D1026" s="130" t="s">
        <v>881</v>
      </c>
      <c r="E1026" s="138" t="s">
        <v>336</v>
      </c>
      <c r="F1026" s="166"/>
      <c r="G1026" s="68">
        <v>0</v>
      </c>
      <c r="H1026" s="25">
        <f t="shared" si="61"/>
        <v>0</v>
      </c>
    </row>
    <row r="1027" customHeight="1" spans="1:8">
      <c r="B1027" s="129"/>
      <c r="C1027" s="130" t="s">
        <v>882</v>
      </c>
      <c r="D1027" s="130" t="s">
        <v>883</v>
      </c>
      <c r="E1027" s="138" t="s">
        <v>336</v>
      </c>
      <c r="F1027" s="166"/>
      <c r="G1027" s="68">
        <v>0</v>
      </c>
      <c r="H1027" s="25">
        <f t="shared" si="61"/>
        <v>0</v>
      </c>
    </row>
    <row r="1028" customHeight="1" spans="1:8">
      <c r="B1028" s="129"/>
      <c r="C1028" s="130" t="s">
        <v>884</v>
      </c>
      <c r="D1028" s="130" t="s">
        <v>885</v>
      </c>
      <c r="E1028" s="138" t="s">
        <v>336</v>
      </c>
      <c r="F1028" s="166"/>
      <c r="G1028" s="68">
        <v>0</v>
      </c>
      <c r="H1028" s="25">
        <f t="shared" si="61"/>
        <v>0</v>
      </c>
    </row>
    <row r="1029" customHeight="1" spans="1:8">
      <c r="B1029" s="129"/>
      <c r="C1029" s="130" t="s">
        <v>896</v>
      </c>
      <c r="D1029" s="130" t="s">
        <v>897</v>
      </c>
      <c r="E1029" s="138" t="s">
        <v>336</v>
      </c>
      <c r="F1029" s="163"/>
      <c r="G1029" s="68">
        <v>0</v>
      </c>
      <c r="H1029" s="25">
        <f t="shared" si="61"/>
        <v>0</v>
      </c>
    </row>
    <row r="1030" customHeight="1" spans="1:8">
      <c r="B1030" s="129"/>
      <c r="C1030" s="130" t="s">
        <v>460</v>
      </c>
      <c r="D1030" s="130" t="s">
        <v>461</v>
      </c>
      <c r="E1030" s="138" t="s">
        <v>329</v>
      </c>
      <c r="F1030" s="163"/>
      <c r="G1030" s="68">
        <v>0</v>
      </c>
      <c r="H1030" s="25">
        <f t="shared" si="61"/>
        <v>0</v>
      </c>
    </row>
    <row r="1031" customHeight="1" spans="1:8">
      <c r="B1031" s="129"/>
      <c r="C1031" s="130" t="s">
        <v>454</v>
      </c>
      <c r="D1031" s="130" t="s">
        <v>463</v>
      </c>
      <c r="E1031" s="138" t="s">
        <v>464</v>
      </c>
      <c r="F1031" s="163"/>
      <c r="G1031" s="68">
        <v>0</v>
      </c>
      <c r="H1031" s="25">
        <f t="shared" si="61"/>
        <v>0</v>
      </c>
    </row>
    <row r="1032" customHeight="1" spans="1:8">
      <c r="B1032" s="129"/>
      <c r="C1032" s="130" t="s">
        <v>1222</v>
      </c>
      <c r="D1032" s="130" t="s">
        <v>1223</v>
      </c>
      <c r="E1032" s="138" t="s">
        <v>515</v>
      </c>
      <c r="F1032" s="163"/>
      <c r="G1032" s="68">
        <v>0</v>
      </c>
      <c r="H1032" s="25">
        <f t="shared" ref="H1032:H1095" si="62">IFERROR(ROUND(G1032*F1032,0),0)</f>
        <v>0</v>
      </c>
    </row>
    <row r="1033" customHeight="1" spans="1:8">
      <c r="B1033" s="129"/>
      <c r="C1033" s="130" t="s">
        <v>1224</v>
      </c>
      <c r="D1033" s="130" t="s">
        <v>1225</v>
      </c>
      <c r="E1033" s="138" t="s">
        <v>510</v>
      </c>
      <c r="F1033" s="163"/>
      <c r="G1033" s="68">
        <v>0</v>
      </c>
      <c r="H1033" s="25">
        <f t="shared" si="62"/>
        <v>0</v>
      </c>
    </row>
    <row r="1034" customHeight="1" spans="1:8">
      <c r="A1034" s="8">
        <f ca="1">COUNTA(OFFSET(A$1,0,0,ROW()-1,1))+1</f>
        <v>425</v>
      </c>
      <c r="B1034" s="84" t="s">
        <v>1226</v>
      </c>
      <c r="C1034" s="168" t="s">
        <v>1227</v>
      </c>
      <c r="D1034" s="169" t="s">
        <v>1228</v>
      </c>
      <c r="E1034" s="86" t="s">
        <v>225</v>
      </c>
      <c r="F1034" s="107">
        <f>210+10+24+88+29+29+60</f>
        <v>450</v>
      </c>
      <c r="G1034" s="68">
        <v>84.0756</v>
      </c>
      <c r="H1034" s="25">
        <f t="shared" si="62"/>
        <v>37834</v>
      </c>
    </row>
    <row r="1035" customHeight="1" spans="1:8">
      <c r="B1035" s="129"/>
      <c r="C1035" s="130" t="s">
        <v>896</v>
      </c>
      <c r="D1035" s="130" t="s">
        <v>897</v>
      </c>
      <c r="E1035" s="138" t="s">
        <v>336</v>
      </c>
      <c r="F1035" s="163"/>
      <c r="G1035" s="68">
        <v>0</v>
      </c>
      <c r="H1035" s="25">
        <f t="shared" si="62"/>
        <v>0</v>
      </c>
    </row>
    <row r="1036" customHeight="1" spans="1:8">
      <c r="B1036" s="129"/>
      <c r="C1036" s="130" t="s">
        <v>460</v>
      </c>
      <c r="D1036" s="130" t="s">
        <v>461</v>
      </c>
      <c r="E1036" s="138" t="s">
        <v>329</v>
      </c>
      <c r="F1036" s="163"/>
      <c r="G1036" s="68">
        <v>0</v>
      </c>
      <c r="H1036" s="25">
        <f t="shared" si="62"/>
        <v>0</v>
      </c>
    </row>
    <row r="1037" customHeight="1" spans="1:8">
      <c r="B1037" s="129"/>
      <c r="C1037" s="130" t="s">
        <v>454</v>
      </c>
      <c r="D1037" s="130" t="s">
        <v>463</v>
      </c>
      <c r="E1037" s="138" t="s">
        <v>464</v>
      </c>
      <c r="F1037" s="163"/>
      <c r="G1037" s="68">
        <v>0</v>
      </c>
      <c r="H1037" s="25">
        <f t="shared" si="62"/>
        <v>0</v>
      </c>
    </row>
    <row r="1038" customHeight="1" spans="1:8">
      <c r="A1038" s="8">
        <f ca="1">COUNTA(OFFSET(A$1,0,0,ROW()-1,1))+1</f>
        <v>426</v>
      </c>
      <c r="B1038" s="84" t="s">
        <v>1229</v>
      </c>
      <c r="C1038" s="168" t="s">
        <v>1230</v>
      </c>
      <c r="D1038" s="169" t="s">
        <v>1231</v>
      </c>
      <c r="E1038" s="86" t="s">
        <v>225</v>
      </c>
      <c r="F1038" s="107">
        <f>162+62+32+168+276+276+188+26+50</f>
        <v>1240</v>
      </c>
      <c r="G1038" s="68">
        <v>102.0918</v>
      </c>
      <c r="H1038" s="25">
        <f t="shared" si="62"/>
        <v>126594</v>
      </c>
    </row>
    <row r="1039" customHeight="1" spans="1:8">
      <c r="B1039" s="129"/>
      <c r="C1039" s="130" t="s">
        <v>896</v>
      </c>
      <c r="D1039" s="130" t="s">
        <v>897</v>
      </c>
      <c r="E1039" s="138" t="s">
        <v>336</v>
      </c>
      <c r="F1039" s="163"/>
      <c r="G1039" s="68">
        <v>0</v>
      </c>
      <c r="H1039" s="25">
        <f t="shared" si="62"/>
        <v>0</v>
      </c>
    </row>
    <row r="1040" customHeight="1" spans="1:8">
      <c r="B1040" s="129"/>
      <c r="C1040" s="130" t="s">
        <v>460</v>
      </c>
      <c r="D1040" s="130" t="s">
        <v>461</v>
      </c>
      <c r="E1040" s="138" t="s">
        <v>329</v>
      </c>
      <c r="F1040" s="163"/>
      <c r="G1040" s="68">
        <v>0</v>
      </c>
      <c r="H1040" s="25">
        <f t="shared" si="62"/>
        <v>0</v>
      </c>
    </row>
    <row r="1041" customHeight="1" spans="1:8">
      <c r="B1041" s="129"/>
      <c r="C1041" s="130" t="s">
        <v>454</v>
      </c>
      <c r="D1041" s="130" t="s">
        <v>463</v>
      </c>
      <c r="E1041" s="138" t="s">
        <v>464</v>
      </c>
      <c r="F1041" s="163"/>
      <c r="G1041" s="68">
        <v>0</v>
      </c>
      <c r="H1041" s="25">
        <f t="shared" si="62"/>
        <v>0</v>
      </c>
    </row>
    <row r="1042" customHeight="1" spans="1:8">
      <c r="A1042" s="8">
        <f ca="1">COUNTA(OFFSET(A$1,0,0,ROW()-1,1))+1</f>
        <v>427</v>
      </c>
      <c r="B1042" s="84" t="s">
        <v>1232</v>
      </c>
      <c r="C1042" s="168" t="s">
        <v>1233</v>
      </c>
      <c r="D1042" s="169" t="s">
        <v>1234</v>
      </c>
      <c r="E1042" s="86" t="s">
        <v>225</v>
      </c>
      <c r="F1042" s="107">
        <f>146+74</f>
        <v>220</v>
      </c>
      <c r="G1042" s="68">
        <v>50.44536</v>
      </c>
      <c r="H1042" s="25">
        <f t="shared" si="62"/>
        <v>11098</v>
      </c>
    </row>
    <row r="1043" customHeight="1" spans="1:8">
      <c r="B1043" s="129"/>
      <c r="C1043" s="183" t="s">
        <v>1235</v>
      </c>
      <c r="D1043" s="183" t="s">
        <v>1236</v>
      </c>
      <c r="E1043" s="138" t="s">
        <v>464</v>
      </c>
      <c r="F1043" s="166"/>
      <c r="G1043" s="68">
        <v>0</v>
      </c>
      <c r="H1043" s="25">
        <f t="shared" si="62"/>
        <v>0</v>
      </c>
    </row>
    <row r="1044" customHeight="1" spans="1:8">
      <c r="B1044" s="129"/>
      <c r="C1044" s="183" t="s">
        <v>1237</v>
      </c>
      <c r="D1044" s="183" t="s">
        <v>1238</v>
      </c>
      <c r="E1044" s="138" t="s">
        <v>464</v>
      </c>
      <c r="F1044" s="166"/>
      <c r="G1044" s="68">
        <v>0</v>
      </c>
      <c r="H1044" s="25">
        <f t="shared" si="62"/>
        <v>0</v>
      </c>
    </row>
    <row r="1045" customHeight="1" spans="1:8">
      <c r="B1045" s="129"/>
      <c r="C1045" s="183" t="s">
        <v>559</v>
      </c>
      <c r="D1045" s="183" t="s">
        <v>586</v>
      </c>
      <c r="E1045" s="138" t="s">
        <v>510</v>
      </c>
      <c r="F1045" s="166"/>
      <c r="G1045" s="68">
        <v>0</v>
      </c>
      <c r="H1045" s="25">
        <f t="shared" si="62"/>
        <v>0</v>
      </c>
    </row>
    <row r="1046" customHeight="1" spans="1:8">
      <c r="B1046" s="129"/>
      <c r="C1046" s="183" t="s">
        <v>1239</v>
      </c>
      <c r="D1046" s="183" t="s">
        <v>1240</v>
      </c>
      <c r="E1046" s="138" t="s">
        <v>510</v>
      </c>
      <c r="F1046" s="166"/>
      <c r="G1046" s="68">
        <v>0</v>
      </c>
      <c r="H1046" s="25">
        <f t="shared" si="62"/>
        <v>0</v>
      </c>
    </row>
    <row r="1047" customHeight="1" spans="1:8">
      <c r="B1047" s="129"/>
      <c r="C1047" s="183" t="s">
        <v>588</v>
      </c>
      <c r="D1047" s="183" t="s">
        <v>589</v>
      </c>
      <c r="E1047" s="138" t="s">
        <v>336</v>
      </c>
      <c r="F1047" s="166"/>
      <c r="G1047" s="68">
        <v>0</v>
      </c>
      <c r="H1047" s="25">
        <f t="shared" si="62"/>
        <v>0</v>
      </c>
    </row>
    <row r="1048" customHeight="1" spans="1:8">
      <c r="B1048" s="84" t="s">
        <v>1241</v>
      </c>
      <c r="C1048" s="89" t="s">
        <v>1242</v>
      </c>
      <c r="D1048" s="90" t="s">
        <v>1243</v>
      </c>
      <c r="E1048" s="86"/>
      <c r="F1048" s="107"/>
      <c r="G1048" s="68">
        <v>0</v>
      </c>
      <c r="H1048" s="25">
        <f t="shared" si="62"/>
        <v>0</v>
      </c>
    </row>
    <row r="1049" customHeight="1" spans="1:8">
      <c r="A1049" s="8">
        <f ca="1">COUNTA(OFFSET(A$1,0,0,ROW()-1,1))+1</f>
        <v>428</v>
      </c>
      <c r="B1049" s="84" t="s">
        <v>1244</v>
      </c>
      <c r="C1049" s="168" t="s">
        <v>1245</v>
      </c>
      <c r="D1049" s="168" t="s">
        <v>1246</v>
      </c>
      <c r="E1049" s="86" t="s">
        <v>238</v>
      </c>
      <c r="F1049" s="107">
        <v>1</v>
      </c>
      <c r="G1049" s="68">
        <v>6005.4</v>
      </c>
      <c r="H1049" s="25">
        <f t="shared" si="62"/>
        <v>6005</v>
      </c>
    </row>
    <row r="1050" customHeight="1" spans="1:8">
      <c r="B1050" s="129"/>
      <c r="C1050" s="295" t="s">
        <v>1247</v>
      </c>
      <c r="D1050" s="295" t="s">
        <v>1248</v>
      </c>
      <c r="E1050" s="138" t="s">
        <v>464</v>
      </c>
      <c r="F1050" s="163"/>
      <c r="G1050" s="68">
        <v>0</v>
      </c>
      <c r="H1050" s="25">
        <f t="shared" si="62"/>
        <v>0</v>
      </c>
    </row>
    <row r="1051" customHeight="1" spans="1:8">
      <c r="B1051" s="129"/>
      <c r="C1051" s="295" t="s">
        <v>1207</v>
      </c>
      <c r="D1051" s="295" t="s">
        <v>1208</v>
      </c>
      <c r="E1051" s="138" t="s">
        <v>329</v>
      </c>
      <c r="F1051" s="163"/>
      <c r="G1051" s="68">
        <v>0</v>
      </c>
      <c r="H1051" s="25">
        <f t="shared" si="62"/>
        <v>0</v>
      </c>
    </row>
    <row r="1052" customHeight="1" spans="1:8">
      <c r="B1052" s="129"/>
      <c r="C1052" s="295" t="s">
        <v>1209</v>
      </c>
      <c r="D1052" s="295" t="s">
        <v>1210</v>
      </c>
      <c r="E1052" s="138" t="s">
        <v>225</v>
      </c>
      <c r="F1052" s="163"/>
      <c r="G1052" s="68">
        <v>0</v>
      </c>
      <c r="H1052" s="25">
        <f t="shared" si="62"/>
        <v>0</v>
      </c>
    </row>
    <row r="1053" customHeight="1" spans="1:8">
      <c r="B1053" s="129"/>
      <c r="C1053" s="295" t="s">
        <v>1249</v>
      </c>
      <c r="D1053" s="295" t="s">
        <v>1250</v>
      </c>
      <c r="E1053" s="138" t="s">
        <v>238</v>
      </c>
      <c r="F1053" s="163"/>
      <c r="G1053" s="68">
        <v>0</v>
      </c>
      <c r="H1053" s="25">
        <f t="shared" si="62"/>
        <v>0</v>
      </c>
    </row>
    <row r="1054" customHeight="1" spans="1:8">
      <c r="B1054" s="129"/>
      <c r="C1054" s="295" t="s">
        <v>1251</v>
      </c>
      <c r="D1054" s="295" t="s">
        <v>1252</v>
      </c>
      <c r="E1054" s="138" t="s">
        <v>238</v>
      </c>
      <c r="F1054" s="163"/>
      <c r="G1054" s="68">
        <v>0</v>
      </c>
      <c r="H1054" s="25">
        <f t="shared" si="62"/>
        <v>0</v>
      </c>
    </row>
    <row r="1055" customHeight="1" spans="1:8">
      <c r="A1055" s="8">
        <f ca="1">COUNTA(OFFSET(A$1,0,0,ROW()-1,1))+1</f>
        <v>429</v>
      </c>
      <c r="B1055" s="84" t="s">
        <v>1253</v>
      </c>
      <c r="C1055" s="168" t="s">
        <v>1254</v>
      </c>
      <c r="D1055" s="168" t="s">
        <v>1255</v>
      </c>
      <c r="E1055" s="86" t="s">
        <v>238</v>
      </c>
      <c r="F1055" s="107">
        <v>1</v>
      </c>
      <c r="G1055" s="68">
        <v>8407.56</v>
      </c>
      <c r="H1055" s="25">
        <f t="shared" si="62"/>
        <v>8408</v>
      </c>
    </row>
    <row r="1056" customHeight="1" spans="1:8">
      <c r="B1056" s="129"/>
      <c r="C1056" s="295" t="s">
        <v>1247</v>
      </c>
      <c r="D1056" s="295" t="s">
        <v>1248</v>
      </c>
      <c r="E1056" s="138" t="s">
        <v>464</v>
      </c>
      <c r="F1056" s="163"/>
      <c r="G1056" s="68">
        <v>0</v>
      </c>
      <c r="H1056" s="25">
        <f t="shared" si="62"/>
        <v>0</v>
      </c>
    </row>
    <row r="1057" customHeight="1" spans="1:8">
      <c r="B1057" s="129"/>
      <c r="C1057" s="295" t="s">
        <v>1207</v>
      </c>
      <c r="D1057" s="295" t="s">
        <v>1208</v>
      </c>
      <c r="E1057" s="138" t="s">
        <v>329</v>
      </c>
      <c r="F1057" s="163"/>
      <c r="G1057" s="68">
        <v>0</v>
      </c>
      <c r="H1057" s="25">
        <f t="shared" si="62"/>
        <v>0</v>
      </c>
    </row>
    <row r="1058" customHeight="1" spans="1:8">
      <c r="B1058" s="129"/>
      <c r="C1058" s="295" t="s">
        <v>1209</v>
      </c>
      <c r="D1058" s="295" t="s">
        <v>1210</v>
      </c>
      <c r="E1058" s="138" t="s">
        <v>225</v>
      </c>
      <c r="F1058" s="163"/>
      <c r="G1058" s="68">
        <v>0</v>
      </c>
      <c r="H1058" s="25">
        <f t="shared" si="62"/>
        <v>0</v>
      </c>
    </row>
    <row r="1059" customHeight="1" spans="1:8">
      <c r="B1059" s="129"/>
      <c r="C1059" s="295" t="s">
        <v>1249</v>
      </c>
      <c r="D1059" s="295" t="s">
        <v>1250</v>
      </c>
      <c r="E1059" s="138" t="s">
        <v>238</v>
      </c>
      <c r="F1059" s="163"/>
      <c r="G1059" s="68">
        <v>0</v>
      </c>
      <c r="H1059" s="25">
        <f t="shared" si="62"/>
        <v>0</v>
      </c>
    </row>
    <row r="1060" customHeight="1" spans="1:8">
      <c r="B1060" s="129"/>
      <c r="C1060" s="295" t="s">
        <v>1251</v>
      </c>
      <c r="D1060" s="295" t="s">
        <v>1252</v>
      </c>
      <c r="E1060" s="138" t="s">
        <v>238</v>
      </c>
      <c r="F1060" s="163"/>
      <c r="G1060" s="68">
        <v>0</v>
      </c>
      <c r="H1060" s="25">
        <f t="shared" si="62"/>
        <v>0</v>
      </c>
    </row>
    <row r="1061" customHeight="1" spans="1:8">
      <c r="A1061" s="8">
        <f ca="1">COUNTA(OFFSET(A$1,0,0,ROW()-1,1))+1</f>
        <v>430</v>
      </c>
      <c r="B1061" s="84" t="s">
        <v>1256</v>
      </c>
      <c r="C1061" s="168" t="s">
        <v>1257</v>
      </c>
      <c r="D1061" s="168" t="s">
        <v>1258</v>
      </c>
      <c r="E1061" s="86" t="s">
        <v>238</v>
      </c>
      <c r="F1061" s="107">
        <v>4</v>
      </c>
      <c r="G1061" s="68">
        <v>3122.808</v>
      </c>
      <c r="H1061" s="25">
        <f t="shared" si="62"/>
        <v>12491</v>
      </c>
    </row>
    <row r="1062" customHeight="1" spans="1:8">
      <c r="B1062" s="129"/>
      <c r="C1062" s="295" t="s">
        <v>1247</v>
      </c>
      <c r="D1062" s="295" t="s">
        <v>1248</v>
      </c>
      <c r="E1062" s="138" t="s">
        <v>464</v>
      </c>
      <c r="F1062" s="163"/>
      <c r="G1062" s="68">
        <v>0</v>
      </c>
      <c r="H1062" s="25">
        <f t="shared" si="62"/>
        <v>0</v>
      </c>
    </row>
    <row r="1063" customHeight="1" spans="1:8">
      <c r="B1063" s="129"/>
      <c r="C1063" s="295" t="s">
        <v>1207</v>
      </c>
      <c r="D1063" s="295" t="s">
        <v>1208</v>
      </c>
      <c r="E1063" s="138" t="s">
        <v>329</v>
      </c>
      <c r="F1063" s="163"/>
      <c r="G1063" s="68">
        <v>0</v>
      </c>
      <c r="H1063" s="25">
        <f t="shared" si="62"/>
        <v>0</v>
      </c>
    </row>
    <row r="1064" customHeight="1" spans="1:8">
      <c r="B1064" s="129"/>
      <c r="C1064" s="295" t="s">
        <v>1209</v>
      </c>
      <c r="D1064" s="295" t="s">
        <v>1210</v>
      </c>
      <c r="E1064" s="138" t="s">
        <v>225</v>
      </c>
      <c r="F1064" s="163"/>
      <c r="G1064" s="68">
        <v>0</v>
      </c>
      <c r="H1064" s="25">
        <f t="shared" si="62"/>
        <v>0</v>
      </c>
    </row>
    <row r="1065" customHeight="1" spans="1:8">
      <c r="B1065" s="129"/>
      <c r="C1065" s="295" t="s">
        <v>1249</v>
      </c>
      <c r="D1065" s="295" t="s">
        <v>1250</v>
      </c>
      <c r="E1065" s="138" t="s">
        <v>238</v>
      </c>
      <c r="F1065" s="163"/>
      <c r="G1065" s="68">
        <v>0</v>
      </c>
      <c r="H1065" s="25">
        <f t="shared" si="62"/>
        <v>0</v>
      </c>
    </row>
    <row r="1066" customHeight="1" spans="1:8">
      <c r="B1066" s="129"/>
      <c r="C1066" s="295" t="s">
        <v>1251</v>
      </c>
      <c r="D1066" s="295" t="s">
        <v>1252</v>
      </c>
      <c r="E1066" s="138" t="s">
        <v>238</v>
      </c>
      <c r="F1066" s="163"/>
      <c r="G1066" s="68">
        <v>0</v>
      </c>
      <c r="H1066" s="25">
        <f t="shared" si="62"/>
        <v>0</v>
      </c>
    </row>
    <row r="1067" customHeight="1" spans="1:8">
      <c r="A1067" s="8">
        <f ca="1">COUNTA(OFFSET(A$1,0,0,ROW()-1,1))+1</f>
        <v>431</v>
      </c>
      <c r="B1067" s="84" t="s">
        <v>1259</v>
      </c>
      <c r="C1067" s="168" t="s">
        <v>1260</v>
      </c>
      <c r="D1067" s="168" t="s">
        <v>1261</v>
      </c>
      <c r="E1067" s="86" t="s">
        <v>238</v>
      </c>
      <c r="F1067" s="107">
        <v>1</v>
      </c>
      <c r="G1067" s="68">
        <v>2161.944</v>
      </c>
      <c r="H1067" s="25">
        <f t="shared" si="62"/>
        <v>2162</v>
      </c>
    </row>
    <row r="1068" customHeight="1" spans="1:8">
      <c r="B1068" s="129"/>
      <c r="C1068" s="295" t="s">
        <v>1247</v>
      </c>
      <c r="D1068" s="295" t="s">
        <v>1248</v>
      </c>
      <c r="E1068" s="138" t="s">
        <v>464</v>
      </c>
      <c r="F1068" s="163"/>
      <c r="G1068" s="68">
        <v>0</v>
      </c>
      <c r="H1068" s="25">
        <f t="shared" si="62"/>
        <v>0</v>
      </c>
    </row>
    <row r="1069" customHeight="1" spans="1:8">
      <c r="B1069" s="129"/>
      <c r="C1069" s="295" t="s">
        <v>1207</v>
      </c>
      <c r="D1069" s="295" t="s">
        <v>1208</v>
      </c>
      <c r="E1069" s="138" t="s">
        <v>329</v>
      </c>
      <c r="F1069" s="163"/>
      <c r="G1069" s="68">
        <v>0</v>
      </c>
      <c r="H1069" s="25">
        <f t="shared" si="62"/>
        <v>0</v>
      </c>
    </row>
    <row r="1070" customHeight="1" spans="1:8">
      <c r="B1070" s="129"/>
      <c r="C1070" s="295" t="s">
        <v>1249</v>
      </c>
      <c r="D1070" s="295" t="s">
        <v>1250</v>
      </c>
      <c r="E1070" s="138" t="s">
        <v>238</v>
      </c>
      <c r="F1070" s="163"/>
      <c r="G1070" s="68">
        <v>0</v>
      </c>
      <c r="H1070" s="25">
        <f t="shared" si="62"/>
        <v>0</v>
      </c>
    </row>
    <row r="1071" customHeight="1" spans="1:8">
      <c r="B1071" s="129"/>
      <c r="C1071" s="295" t="s">
        <v>1251</v>
      </c>
      <c r="D1071" s="295" t="s">
        <v>1252</v>
      </c>
      <c r="E1071" s="138" t="s">
        <v>238</v>
      </c>
      <c r="F1071" s="163"/>
      <c r="G1071" s="68">
        <v>0</v>
      </c>
      <c r="H1071" s="25">
        <f t="shared" si="62"/>
        <v>0</v>
      </c>
    </row>
    <row r="1072" customHeight="1" spans="1:8">
      <c r="A1072" s="8">
        <f ca="1">COUNTA(OFFSET(A$1,0,0,ROW()-1,1))+1</f>
        <v>432</v>
      </c>
      <c r="B1072" s="84" t="s">
        <v>1262</v>
      </c>
      <c r="C1072" s="168" t="s">
        <v>1263</v>
      </c>
      <c r="D1072" s="169" t="s">
        <v>1264</v>
      </c>
      <c r="E1072" s="86" t="s">
        <v>238</v>
      </c>
      <c r="F1072" s="107">
        <v>2</v>
      </c>
      <c r="G1072" s="68">
        <v>1080.972</v>
      </c>
      <c r="H1072" s="25">
        <f t="shared" si="62"/>
        <v>2162</v>
      </c>
    </row>
    <row r="1073" customHeight="1" spans="1:8">
      <c r="B1073" s="129"/>
      <c r="C1073" s="295" t="s">
        <v>1247</v>
      </c>
      <c r="D1073" s="295" t="s">
        <v>1248</v>
      </c>
      <c r="E1073" s="138" t="s">
        <v>464</v>
      </c>
      <c r="F1073" s="163"/>
      <c r="G1073" s="68">
        <v>0</v>
      </c>
      <c r="H1073" s="25">
        <f t="shared" si="62"/>
        <v>0</v>
      </c>
    </row>
    <row r="1074" customHeight="1" spans="1:8">
      <c r="B1074" s="129"/>
      <c r="C1074" s="295" t="s">
        <v>1207</v>
      </c>
      <c r="D1074" s="295" t="s">
        <v>1208</v>
      </c>
      <c r="E1074" s="138" t="s">
        <v>329</v>
      </c>
      <c r="F1074" s="163"/>
      <c r="G1074" s="68">
        <v>0</v>
      </c>
      <c r="H1074" s="25">
        <f t="shared" si="62"/>
        <v>0</v>
      </c>
    </row>
    <row r="1075" customHeight="1" spans="1:8">
      <c r="B1075" s="129"/>
      <c r="C1075" s="295" t="s">
        <v>1249</v>
      </c>
      <c r="D1075" s="295" t="s">
        <v>1250</v>
      </c>
      <c r="E1075" s="138" t="s">
        <v>238</v>
      </c>
      <c r="F1075" s="163"/>
      <c r="G1075" s="68">
        <v>0</v>
      </c>
      <c r="H1075" s="25">
        <f t="shared" si="62"/>
        <v>0</v>
      </c>
    </row>
    <row r="1076" customHeight="1" spans="1:8">
      <c r="B1076" s="129"/>
      <c r="C1076" s="295" t="s">
        <v>1251</v>
      </c>
      <c r="D1076" s="295" t="s">
        <v>1252</v>
      </c>
      <c r="E1076" s="138" t="s">
        <v>238</v>
      </c>
      <c r="F1076" s="163"/>
      <c r="G1076" s="68">
        <v>0</v>
      </c>
      <c r="H1076" s="25">
        <f t="shared" si="62"/>
        <v>0</v>
      </c>
    </row>
    <row r="1077" customHeight="1" spans="1:8">
      <c r="A1077" s="8">
        <f ca="1">COUNTA(OFFSET(A$1,0,0,ROW()-1,1))+1</f>
        <v>433</v>
      </c>
      <c r="B1077" s="84" t="s">
        <v>1265</v>
      </c>
      <c r="C1077" s="168" t="s">
        <v>1266</v>
      </c>
      <c r="D1077" s="169" t="s">
        <v>1267</v>
      </c>
      <c r="E1077" s="86" t="s">
        <v>238</v>
      </c>
      <c r="F1077" s="107">
        <v>1</v>
      </c>
      <c r="G1077" s="68">
        <v>1441.296</v>
      </c>
      <c r="H1077" s="25">
        <f t="shared" si="62"/>
        <v>1441</v>
      </c>
    </row>
    <row r="1078" customHeight="1" spans="1:8">
      <c r="B1078" s="124"/>
      <c r="C1078" s="294" t="s">
        <v>1247</v>
      </c>
      <c r="D1078" s="294" t="s">
        <v>1248</v>
      </c>
      <c r="E1078" s="126" t="s">
        <v>464</v>
      </c>
      <c r="F1078" s="172"/>
      <c r="G1078" s="68">
        <v>0</v>
      </c>
      <c r="H1078" s="25">
        <f t="shared" si="62"/>
        <v>0</v>
      </c>
    </row>
    <row r="1079" customHeight="1" spans="1:8">
      <c r="B1079" s="124"/>
      <c r="C1079" s="294" t="s">
        <v>1207</v>
      </c>
      <c r="D1079" s="294" t="s">
        <v>1208</v>
      </c>
      <c r="E1079" s="126" t="s">
        <v>329</v>
      </c>
      <c r="F1079" s="172"/>
      <c r="G1079" s="68">
        <v>0</v>
      </c>
      <c r="H1079" s="25">
        <f t="shared" si="62"/>
        <v>0</v>
      </c>
    </row>
    <row r="1080" customHeight="1" spans="1:8">
      <c r="B1080" s="124"/>
      <c r="C1080" s="294" t="s">
        <v>1249</v>
      </c>
      <c r="D1080" s="294" t="s">
        <v>1250</v>
      </c>
      <c r="E1080" s="126" t="s">
        <v>238</v>
      </c>
      <c r="F1080" s="172"/>
      <c r="G1080" s="68">
        <v>0</v>
      </c>
      <c r="H1080" s="25">
        <f t="shared" si="62"/>
        <v>0</v>
      </c>
    </row>
    <row r="1081" customHeight="1" spans="1:8">
      <c r="B1081" s="124"/>
      <c r="C1081" s="294" t="s">
        <v>1251</v>
      </c>
      <c r="D1081" s="294" t="s">
        <v>1252</v>
      </c>
      <c r="E1081" s="126" t="s">
        <v>238</v>
      </c>
      <c r="F1081" s="172"/>
      <c r="G1081" s="68">
        <v>0</v>
      </c>
      <c r="H1081" s="25">
        <f t="shared" si="62"/>
        <v>0</v>
      </c>
    </row>
    <row r="1082" customHeight="1" spans="1:8">
      <c r="B1082" s="45"/>
      <c r="C1082" s="46" t="s">
        <v>1268</v>
      </c>
      <c r="D1082" s="47" t="s">
        <v>1269</v>
      </c>
      <c r="E1082" s="29"/>
      <c r="F1082" s="111"/>
      <c r="G1082" s="68">
        <v>0</v>
      </c>
      <c r="H1082" s="25">
        <f t="shared" si="62"/>
        <v>0</v>
      </c>
    </row>
    <row r="1083" customHeight="1" spans="1:8">
      <c r="B1083" s="26"/>
      <c r="C1083" s="43"/>
      <c r="D1083" s="43"/>
      <c r="E1083" s="29"/>
      <c r="F1083" s="107"/>
      <c r="G1083" s="68">
        <v>0</v>
      </c>
      <c r="H1083" s="25">
        <f t="shared" si="62"/>
        <v>0</v>
      </c>
    </row>
    <row r="1084" customHeight="1" spans="1:8">
      <c r="B1084" s="84" t="s">
        <v>1270</v>
      </c>
      <c r="C1084" s="103" t="s">
        <v>1271</v>
      </c>
      <c r="D1084" s="104" t="s">
        <v>1272</v>
      </c>
      <c r="E1084" s="86"/>
      <c r="F1084" s="107"/>
      <c r="G1084" s="68">
        <v>0</v>
      </c>
      <c r="H1084" s="25">
        <f t="shared" si="62"/>
        <v>0</v>
      </c>
    </row>
    <row r="1085" customHeight="1" spans="1:8">
      <c r="B1085" s="84" t="s">
        <v>1273</v>
      </c>
      <c r="C1085" s="89" t="s">
        <v>1274</v>
      </c>
      <c r="D1085" s="90" t="s">
        <v>1275</v>
      </c>
      <c r="E1085" s="86"/>
      <c r="F1085" s="107"/>
      <c r="G1085" s="68">
        <v>0</v>
      </c>
      <c r="H1085" s="25">
        <f t="shared" si="62"/>
        <v>0</v>
      </c>
    </row>
    <row r="1086" customHeight="1" spans="1:8">
      <c r="A1086" s="8">
        <f ca="1" t="shared" ref="A1086:A1101" si="63">COUNTA(OFFSET(A$1,0,0,ROW()-1,1))+1</f>
        <v>434</v>
      </c>
      <c r="B1086" s="84" t="s">
        <v>1276</v>
      </c>
      <c r="C1086" s="168" t="s">
        <v>1277</v>
      </c>
      <c r="D1086" s="169" t="s">
        <v>1278</v>
      </c>
      <c r="E1086" s="86" t="s">
        <v>238</v>
      </c>
      <c r="F1086" s="107">
        <f>448+154+178</f>
        <v>780</v>
      </c>
      <c r="G1086" s="68">
        <v>4.20378</v>
      </c>
      <c r="H1086" s="25">
        <f t="shared" si="62"/>
        <v>3279</v>
      </c>
    </row>
    <row r="1087" customHeight="1" spans="1:8">
      <c r="A1087" s="8">
        <f ca="1" t="shared" si="63"/>
        <v>435</v>
      </c>
      <c r="B1087" s="84" t="s">
        <v>1279</v>
      </c>
      <c r="C1087" s="168" t="s">
        <v>1280</v>
      </c>
      <c r="D1087" s="169" t="s">
        <v>1281</v>
      </c>
      <c r="E1087" s="86" t="s">
        <v>238</v>
      </c>
      <c r="F1087" s="107">
        <f>22+10</f>
        <v>32</v>
      </c>
      <c r="G1087" s="68">
        <v>6.0054</v>
      </c>
      <c r="H1087" s="25">
        <f t="shared" si="62"/>
        <v>192</v>
      </c>
    </row>
    <row r="1088" customHeight="1" spans="1:8">
      <c r="A1088" s="8">
        <f ca="1" t="shared" si="63"/>
        <v>436</v>
      </c>
      <c r="B1088" s="84" t="s">
        <v>1282</v>
      </c>
      <c r="C1088" s="168" t="s">
        <v>1283</v>
      </c>
      <c r="D1088" s="169" t="s">
        <v>1284</v>
      </c>
      <c r="E1088" s="86" t="s">
        <v>238</v>
      </c>
      <c r="F1088" s="107">
        <f>351*7</f>
        <v>2457</v>
      </c>
      <c r="G1088" s="68">
        <v>12.0108</v>
      </c>
      <c r="H1088" s="25">
        <f t="shared" si="62"/>
        <v>29511</v>
      </c>
    </row>
    <row r="1089" customHeight="1" spans="1:8">
      <c r="A1089" s="8">
        <f ca="1" t="shared" si="63"/>
        <v>437</v>
      </c>
      <c r="B1089" s="84" t="s">
        <v>1285</v>
      </c>
      <c r="C1089" s="168" t="s">
        <v>1286</v>
      </c>
      <c r="D1089" s="169" t="s">
        <v>1287</v>
      </c>
      <c r="E1089" s="86" t="s">
        <v>238</v>
      </c>
      <c r="F1089" s="107">
        <f>24*6</f>
        <v>144</v>
      </c>
      <c r="G1089" s="68">
        <v>15.61404</v>
      </c>
      <c r="H1089" s="25">
        <f t="shared" si="62"/>
        <v>2248</v>
      </c>
    </row>
    <row r="1090" customHeight="1" spans="1:8">
      <c r="A1090" s="8">
        <f ca="1" t="shared" si="63"/>
        <v>438</v>
      </c>
      <c r="B1090" s="84" t="s">
        <v>1288</v>
      </c>
      <c r="C1090" s="168" t="s">
        <v>728</v>
      </c>
      <c r="D1090" s="169" t="s">
        <v>729</v>
      </c>
      <c r="E1090" s="86" t="s">
        <v>238</v>
      </c>
      <c r="F1090" s="107">
        <f>110+10+20+4</f>
        <v>144</v>
      </c>
      <c r="G1090" s="68">
        <v>12.0108</v>
      </c>
      <c r="H1090" s="25">
        <f t="shared" si="62"/>
        <v>1730</v>
      </c>
    </row>
    <row r="1091" customHeight="1" spans="1:8">
      <c r="A1091" s="8">
        <f ca="1" t="shared" si="63"/>
        <v>439</v>
      </c>
      <c r="B1091" s="84" t="s">
        <v>1289</v>
      </c>
      <c r="C1091" s="168" t="s">
        <v>1290</v>
      </c>
      <c r="D1091" s="169" t="s">
        <v>1291</v>
      </c>
      <c r="E1091" s="86" t="s">
        <v>225</v>
      </c>
      <c r="F1091" s="107">
        <v>3</v>
      </c>
      <c r="G1091" s="68">
        <v>24.0216</v>
      </c>
      <c r="H1091" s="25">
        <f t="shared" si="62"/>
        <v>72</v>
      </c>
    </row>
    <row r="1092" customHeight="1" spans="1:8">
      <c r="A1092" s="8">
        <f ca="1" t="shared" si="63"/>
        <v>440</v>
      </c>
      <c r="B1092" s="84" t="s">
        <v>1292</v>
      </c>
      <c r="C1092" s="168" t="s">
        <v>1293</v>
      </c>
      <c r="D1092" s="169" t="s">
        <v>1294</v>
      </c>
      <c r="E1092" s="86" t="s">
        <v>225</v>
      </c>
      <c r="F1092" s="107">
        <f>15430</f>
        <v>15430</v>
      </c>
      <c r="G1092" s="68">
        <v>8.647776</v>
      </c>
      <c r="H1092" s="25">
        <f t="shared" si="62"/>
        <v>133435</v>
      </c>
    </row>
    <row r="1093" customHeight="1" spans="1:8">
      <c r="A1093" s="8">
        <f ca="1" t="shared" si="63"/>
        <v>441</v>
      </c>
      <c r="B1093" s="84" t="s">
        <v>1295</v>
      </c>
      <c r="C1093" s="168" t="s">
        <v>1296</v>
      </c>
      <c r="D1093" s="168" t="s">
        <v>1297</v>
      </c>
      <c r="E1093" s="86" t="s">
        <v>225</v>
      </c>
      <c r="F1093" s="107">
        <f>1222+2472+2240+650</f>
        <v>6584</v>
      </c>
      <c r="G1093" s="68">
        <v>11.41026</v>
      </c>
      <c r="H1093" s="25">
        <f t="shared" si="62"/>
        <v>75125</v>
      </c>
    </row>
    <row r="1094" customHeight="1" spans="1:8">
      <c r="A1094" s="8">
        <f ca="1" t="shared" si="63"/>
        <v>442</v>
      </c>
      <c r="B1094" s="84" t="s">
        <v>1298</v>
      </c>
      <c r="C1094" s="168" t="s">
        <v>753</v>
      </c>
      <c r="D1094" s="169" t="s">
        <v>754</v>
      </c>
      <c r="E1094" s="86" t="s">
        <v>238</v>
      </c>
      <c r="F1094" s="107">
        <f>11*2</f>
        <v>22</v>
      </c>
      <c r="G1094" s="68">
        <v>6.0054</v>
      </c>
      <c r="H1094" s="25">
        <f t="shared" si="62"/>
        <v>132</v>
      </c>
    </row>
    <row r="1095" customHeight="1" spans="1:8">
      <c r="A1095" s="8">
        <f ca="1" t="shared" si="63"/>
        <v>443</v>
      </c>
      <c r="B1095" s="84" t="s">
        <v>1299</v>
      </c>
      <c r="C1095" s="168" t="s">
        <v>725</v>
      </c>
      <c r="D1095" s="169" t="s">
        <v>726</v>
      </c>
      <c r="E1095" s="86" t="s">
        <v>573</v>
      </c>
      <c r="F1095" s="107">
        <f>(250*11)+300</f>
        <v>3050</v>
      </c>
      <c r="G1095" s="68">
        <v>4.20378</v>
      </c>
      <c r="H1095" s="25">
        <f t="shared" si="62"/>
        <v>12822</v>
      </c>
    </row>
    <row r="1096" customHeight="1" spans="1:8">
      <c r="A1096" s="8">
        <f ca="1" t="shared" si="63"/>
        <v>444</v>
      </c>
      <c r="B1096" s="84" t="s">
        <v>1300</v>
      </c>
      <c r="C1096" s="168" t="s">
        <v>1301</v>
      </c>
      <c r="D1096" s="169" t="s">
        <v>1302</v>
      </c>
      <c r="E1096" s="86" t="s">
        <v>238</v>
      </c>
      <c r="F1096" s="107">
        <v>3</v>
      </c>
      <c r="G1096" s="68">
        <v>19.21728</v>
      </c>
      <c r="H1096" s="25">
        <f t="shared" ref="H1096:H1159" si="64">IFERROR(ROUND(G1096*F1096,0),0)</f>
        <v>58</v>
      </c>
    </row>
    <row r="1097" customHeight="1" spans="1:8">
      <c r="A1097" s="8">
        <f ca="1" t="shared" si="63"/>
        <v>445</v>
      </c>
      <c r="B1097" s="84" t="s">
        <v>1303</v>
      </c>
      <c r="C1097" s="168" t="s">
        <v>1304</v>
      </c>
      <c r="D1097" s="169" t="s">
        <v>1305</v>
      </c>
      <c r="E1097" s="86" t="s">
        <v>238</v>
      </c>
      <c r="F1097" s="107">
        <v>24</v>
      </c>
      <c r="G1097" s="68">
        <v>27.62484</v>
      </c>
      <c r="H1097" s="25">
        <f t="shared" si="64"/>
        <v>663</v>
      </c>
    </row>
    <row r="1098" customHeight="1" spans="1:8">
      <c r="A1098" s="8">
        <f ca="1" t="shared" si="63"/>
        <v>446</v>
      </c>
      <c r="B1098" s="84" t="s">
        <v>1306</v>
      </c>
      <c r="C1098" s="168" t="s">
        <v>1307</v>
      </c>
      <c r="D1098" s="169" t="s">
        <v>1308</v>
      </c>
      <c r="E1098" s="86" t="s">
        <v>225</v>
      </c>
      <c r="F1098" s="107">
        <v>90</v>
      </c>
      <c r="G1098" s="68">
        <v>2.161944</v>
      </c>
      <c r="H1098" s="25">
        <f t="shared" si="64"/>
        <v>195</v>
      </c>
    </row>
    <row r="1099" customHeight="1" spans="1:8">
      <c r="A1099" s="8">
        <f ca="1" t="shared" si="63"/>
        <v>447</v>
      </c>
      <c r="B1099" s="84" t="s">
        <v>1309</v>
      </c>
      <c r="C1099" s="168" t="s">
        <v>1310</v>
      </c>
      <c r="D1099" s="169" t="s">
        <v>1311</v>
      </c>
      <c r="E1099" s="86" t="s">
        <v>238</v>
      </c>
      <c r="F1099" s="107">
        <v>51</v>
      </c>
      <c r="G1099" s="68">
        <v>6.0054</v>
      </c>
      <c r="H1099" s="25">
        <f t="shared" si="64"/>
        <v>306</v>
      </c>
    </row>
    <row r="1100" customHeight="1" spans="1:8">
      <c r="A1100" s="8">
        <f ca="1" t="shared" si="63"/>
        <v>448</v>
      </c>
      <c r="B1100" s="84" t="s">
        <v>1312</v>
      </c>
      <c r="C1100" s="89" t="s">
        <v>756</v>
      </c>
      <c r="D1100" s="90" t="s">
        <v>757</v>
      </c>
      <c r="E1100" s="86"/>
      <c r="F1100" s="107">
        <v>30</v>
      </c>
      <c r="G1100" s="68">
        <v>14.41296</v>
      </c>
      <c r="H1100" s="25">
        <f t="shared" si="64"/>
        <v>432</v>
      </c>
    </row>
    <row r="1101" customHeight="1" spans="1:8">
      <c r="A1101" s="8">
        <f ca="1" t="shared" si="63"/>
        <v>449</v>
      </c>
      <c r="B1101" s="84" t="s">
        <v>1313</v>
      </c>
      <c r="C1101" s="189" t="s">
        <v>759</v>
      </c>
      <c r="D1101" s="190" t="s">
        <v>760</v>
      </c>
      <c r="E1101" s="86"/>
      <c r="F1101" s="107">
        <v>30</v>
      </c>
      <c r="G1101" s="68">
        <v>14.41296</v>
      </c>
      <c r="H1101" s="25">
        <f t="shared" si="64"/>
        <v>432</v>
      </c>
    </row>
    <row r="1102" customHeight="1" spans="1:8">
      <c r="B1102" s="45"/>
      <c r="C1102" s="46" t="s">
        <v>1314</v>
      </c>
      <c r="D1102" s="47" t="s">
        <v>1315</v>
      </c>
      <c r="E1102" s="29"/>
      <c r="F1102" s="111"/>
      <c r="G1102" s="68">
        <v>0</v>
      </c>
      <c r="H1102" s="25">
        <f t="shared" si="64"/>
        <v>0</v>
      </c>
    </row>
    <row r="1103" customHeight="1" spans="1:8">
      <c r="B1103" s="191"/>
      <c r="C1103" s="55"/>
      <c r="D1103" s="55"/>
      <c r="E1103" s="29"/>
      <c r="F1103" s="107"/>
      <c r="G1103" s="68">
        <v>0</v>
      </c>
      <c r="H1103" s="25">
        <f t="shared" si="64"/>
        <v>0</v>
      </c>
    </row>
    <row r="1104" customHeight="1" spans="1:8">
      <c r="B1104" s="84" t="s">
        <v>1316</v>
      </c>
      <c r="C1104" s="177" t="s">
        <v>1317</v>
      </c>
      <c r="D1104" s="178" t="s">
        <v>1318</v>
      </c>
      <c r="E1104" s="86"/>
      <c r="F1104" s="107"/>
      <c r="G1104" s="68">
        <v>0</v>
      </c>
      <c r="H1104" s="25">
        <f t="shared" si="64"/>
        <v>0</v>
      </c>
    </row>
    <row r="1105" customHeight="1" spans="1:8">
      <c r="A1105" s="8">
        <f ca="1">COUNTA(OFFSET(A$1,0,0,ROW()-1,1))+1</f>
        <v>450</v>
      </c>
      <c r="B1105" s="84" t="s">
        <v>1319</v>
      </c>
      <c r="C1105" s="192" t="s">
        <v>1320</v>
      </c>
      <c r="D1105" s="193" t="s">
        <v>1321</v>
      </c>
      <c r="E1105" s="86" t="s">
        <v>238</v>
      </c>
      <c r="F1105" s="107">
        <v>1</v>
      </c>
      <c r="G1105" s="68">
        <v>0</v>
      </c>
      <c r="H1105" s="25">
        <f t="shared" si="64"/>
        <v>0</v>
      </c>
    </row>
    <row r="1106" customHeight="1" spans="1:8">
      <c r="B1106" s="129"/>
      <c r="C1106" s="112" t="s">
        <v>1322</v>
      </c>
      <c r="D1106" s="112" t="s">
        <v>1323</v>
      </c>
      <c r="E1106" s="138" t="s">
        <v>464</v>
      </c>
      <c r="F1106" s="166"/>
      <c r="G1106" s="68">
        <v>0</v>
      </c>
      <c r="H1106" s="25">
        <f t="shared" si="64"/>
        <v>0</v>
      </c>
    </row>
    <row r="1107" customHeight="1" spans="1:8">
      <c r="B1107" s="129"/>
      <c r="C1107" s="112" t="s">
        <v>1324</v>
      </c>
      <c r="D1107" s="112" t="s">
        <v>1325</v>
      </c>
      <c r="E1107" s="138" t="s">
        <v>329</v>
      </c>
      <c r="F1107" s="166"/>
      <c r="G1107" s="68">
        <v>0</v>
      </c>
      <c r="H1107" s="25">
        <f t="shared" si="64"/>
        <v>0</v>
      </c>
    </row>
    <row r="1108" customHeight="1" spans="1:8">
      <c r="B1108" s="129"/>
      <c r="C1108" s="130" t="s">
        <v>896</v>
      </c>
      <c r="D1108" s="130" t="s">
        <v>897</v>
      </c>
      <c r="E1108" s="138" t="s">
        <v>336</v>
      </c>
      <c r="F1108" s="163"/>
      <c r="G1108" s="68">
        <v>0</v>
      </c>
      <c r="H1108" s="25">
        <f t="shared" si="64"/>
        <v>0</v>
      </c>
    </row>
    <row r="1109" customHeight="1" spans="1:8">
      <c r="B1109" s="129"/>
      <c r="C1109" s="130" t="s">
        <v>460</v>
      </c>
      <c r="D1109" s="130" t="s">
        <v>461</v>
      </c>
      <c r="E1109" s="138" t="s">
        <v>329</v>
      </c>
      <c r="F1109" s="163"/>
      <c r="G1109" s="68">
        <v>0</v>
      </c>
      <c r="H1109" s="25">
        <f t="shared" si="64"/>
        <v>0</v>
      </c>
    </row>
    <row r="1110" customHeight="1" spans="1:8">
      <c r="B1110" s="129"/>
      <c r="C1110" s="130" t="s">
        <v>454</v>
      </c>
      <c r="D1110" s="130" t="s">
        <v>463</v>
      </c>
      <c r="E1110" s="138" t="s">
        <v>464</v>
      </c>
      <c r="F1110" s="163"/>
      <c r="G1110" s="68">
        <v>0</v>
      </c>
      <c r="H1110" s="25">
        <f t="shared" si="64"/>
        <v>0</v>
      </c>
    </row>
    <row r="1111" customHeight="1" spans="1:8">
      <c r="A1111" s="8">
        <f ca="1">COUNTA(OFFSET(A$1,0,0,ROW()-1,1))+1</f>
        <v>451</v>
      </c>
      <c r="B1111" s="84" t="s">
        <v>1326</v>
      </c>
      <c r="C1111" s="192" t="s">
        <v>1327</v>
      </c>
      <c r="D1111" s="193" t="s">
        <v>1328</v>
      </c>
      <c r="E1111" s="86" t="s">
        <v>573</v>
      </c>
      <c r="F1111" s="107">
        <v>208</v>
      </c>
      <c r="G1111" s="68">
        <v>55.3203317647059</v>
      </c>
      <c r="H1111" s="25">
        <f t="shared" si="64"/>
        <v>11507</v>
      </c>
    </row>
    <row r="1112" customHeight="1" spans="1:8">
      <c r="B1112" s="26"/>
      <c r="C1112" s="192"/>
      <c r="D1112" s="192"/>
      <c r="E1112" s="29"/>
      <c r="F1112" s="107"/>
      <c r="G1112" s="68">
        <v>0</v>
      </c>
      <c r="H1112" s="25">
        <f t="shared" si="64"/>
        <v>0</v>
      </c>
    </row>
    <row r="1113" customHeight="1" spans="1:8">
      <c r="B1113" s="194"/>
      <c r="C1113" s="89"/>
      <c r="D1113" s="89"/>
      <c r="E1113" s="86"/>
      <c r="F1113" s="107"/>
      <c r="G1113" s="68">
        <v>0</v>
      </c>
      <c r="H1113" s="25">
        <f t="shared" si="64"/>
        <v>0</v>
      </c>
    </row>
    <row r="1114" customHeight="1" spans="1:8">
      <c r="B1114" s="26"/>
      <c r="C1114" s="27" t="s">
        <v>263</v>
      </c>
      <c r="D1114" s="28" t="s">
        <v>264</v>
      </c>
      <c r="E1114" s="29"/>
      <c r="F1114" s="107"/>
      <c r="G1114" s="68">
        <v>0</v>
      </c>
      <c r="H1114" s="25">
        <f t="shared" si="64"/>
        <v>0</v>
      </c>
    </row>
    <row r="1115" customHeight="1" spans="1:8">
      <c r="B1115" s="94" t="s">
        <v>290</v>
      </c>
      <c r="C1115" s="95" t="s">
        <v>1329</v>
      </c>
      <c r="D1115" s="96" t="s">
        <v>1330</v>
      </c>
      <c r="E1115" s="94" t="s">
        <v>225</v>
      </c>
      <c r="F1115" s="195"/>
      <c r="G1115" s="68">
        <v>0</v>
      </c>
      <c r="H1115" s="25">
        <f t="shared" si="64"/>
        <v>0</v>
      </c>
    </row>
    <row r="1116" customHeight="1" spans="1:8">
      <c r="B1116" s="94" t="s">
        <v>290</v>
      </c>
      <c r="C1116" s="95" t="s">
        <v>1331</v>
      </c>
      <c r="D1116" s="96" t="s">
        <v>1332</v>
      </c>
      <c r="E1116" s="94" t="s">
        <v>238</v>
      </c>
      <c r="F1116" s="195"/>
      <c r="G1116" s="68">
        <v>0</v>
      </c>
      <c r="H1116" s="25">
        <f t="shared" si="64"/>
        <v>0</v>
      </c>
    </row>
    <row r="1117" customHeight="1" spans="1:8">
      <c r="B1117" s="94" t="s">
        <v>290</v>
      </c>
      <c r="C1117" s="95" t="s">
        <v>1139</v>
      </c>
      <c r="D1117" s="96" t="s">
        <v>1333</v>
      </c>
      <c r="E1117" s="94"/>
      <c r="F1117" s="195"/>
      <c r="G1117" s="68">
        <v>0</v>
      </c>
      <c r="H1117" s="25">
        <f t="shared" si="64"/>
        <v>0</v>
      </c>
    </row>
    <row r="1118" customHeight="1" spans="1:8">
      <c r="B1118" s="94" t="s">
        <v>290</v>
      </c>
      <c r="C1118" s="95" t="s">
        <v>1334</v>
      </c>
      <c r="D1118" s="96" t="s">
        <v>1335</v>
      </c>
      <c r="E1118" s="94" t="s">
        <v>225</v>
      </c>
      <c r="F1118" s="195"/>
      <c r="G1118" s="68">
        <v>0</v>
      </c>
      <c r="H1118" s="25">
        <f t="shared" si="64"/>
        <v>0</v>
      </c>
    </row>
    <row r="1119" customHeight="1" spans="1:8">
      <c r="B1119" s="94" t="s">
        <v>290</v>
      </c>
      <c r="C1119" s="95" t="s">
        <v>1336</v>
      </c>
      <c r="D1119" s="96" t="s">
        <v>1337</v>
      </c>
      <c r="E1119" s="94" t="s">
        <v>225</v>
      </c>
      <c r="F1119" s="195"/>
      <c r="G1119" s="68">
        <v>0</v>
      </c>
      <c r="H1119" s="25">
        <f t="shared" si="64"/>
        <v>0</v>
      </c>
    </row>
    <row r="1120" customHeight="1" spans="1:8">
      <c r="B1120" s="94" t="s">
        <v>290</v>
      </c>
      <c r="C1120" s="95" t="s">
        <v>1338</v>
      </c>
      <c r="D1120" s="96" t="s">
        <v>1339</v>
      </c>
      <c r="E1120" s="94"/>
      <c r="F1120" s="195"/>
      <c r="G1120" s="68">
        <v>0</v>
      </c>
      <c r="H1120" s="25">
        <f t="shared" si="64"/>
        <v>0</v>
      </c>
    </row>
    <row r="1121" customHeight="1" spans="1:1024 1025:16349">
      <c r="B1121" s="94" t="s">
        <v>290</v>
      </c>
      <c r="C1121" s="95" t="s">
        <v>1340</v>
      </c>
      <c r="D1121" s="95" t="s">
        <v>1341</v>
      </c>
      <c r="E1121" s="94" t="s">
        <v>225</v>
      </c>
      <c r="F1121" s="195"/>
      <c r="G1121" s="68">
        <v>0</v>
      </c>
      <c r="H1121" s="25">
        <f t="shared" si="64"/>
        <v>0</v>
      </c>
    </row>
    <row r="1122" customHeight="1" spans="1:1024 1025:16349">
      <c r="B1122" s="94" t="s">
        <v>290</v>
      </c>
      <c r="C1122" s="95" t="s">
        <v>1342</v>
      </c>
      <c r="D1122" s="95" t="s">
        <v>1343</v>
      </c>
      <c r="E1122" s="94" t="s">
        <v>238</v>
      </c>
      <c r="F1122" s="195"/>
      <c r="G1122" s="68">
        <v>0</v>
      </c>
      <c r="H1122" s="25">
        <f t="shared" si="64"/>
        <v>0</v>
      </c>
    </row>
    <row r="1123" customHeight="1" spans="1:1024 1025:16349">
      <c r="B1123" s="94" t="s">
        <v>290</v>
      </c>
      <c r="C1123" s="95" t="s">
        <v>1344</v>
      </c>
      <c r="D1123" s="95" t="s">
        <v>1345</v>
      </c>
      <c r="E1123" s="94" t="s">
        <v>238</v>
      </c>
      <c r="F1123" s="195"/>
      <c r="G1123" s="68">
        <v>0</v>
      </c>
      <c r="H1123" s="25">
        <f t="shared" si="64"/>
        <v>0</v>
      </c>
    </row>
    <row r="1124" customHeight="1" spans="1:1024 1025:16349">
      <c r="B1124" s="94" t="s">
        <v>290</v>
      </c>
      <c r="C1124" s="95" t="s">
        <v>1346</v>
      </c>
      <c r="D1124" s="95" t="s">
        <v>1347</v>
      </c>
      <c r="E1124" s="94" t="s">
        <v>238</v>
      </c>
      <c r="F1124" s="195"/>
      <c r="G1124" s="68">
        <v>0</v>
      </c>
      <c r="H1124" s="25">
        <f t="shared" si="64"/>
        <v>0</v>
      </c>
    </row>
    <row r="1125" customHeight="1" spans="1:1024 1025:16349">
      <c r="B1125" s="94" t="s">
        <v>290</v>
      </c>
      <c r="C1125" s="95" t="s">
        <v>1348</v>
      </c>
      <c r="D1125" s="95" t="s">
        <v>1349</v>
      </c>
      <c r="E1125" s="94" t="s">
        <v>238</v>
      </c>
      <c r="F1125" s="195"/>
      <c r="G1125" s="68">
        <v>0</v>
      </c>
      <c r="H1125" s="25">
        <f t="shared" si="64"/>
        <v>0</v>
      </c>
    </row>
    <row r="1126" customHeight="1" spans="1:1024 1025:16349">
      <c r="B1126" s="94" t="s">
        <v>290</v>
      </c>
      <c r="C1126" s="95" t="s">
        <v>1350</v>
      </c>
      <c r="D1126" s="95" t="s">
        <v>1351</v>
      </c>
      <c r="E1126" s="94" t="s">
        <v>225</v>
      </c>
      <c r="F1126" s="195"/>
      <c r="G1126" s="68">
        <v>0</v>
      </c>
      <c r="H1126" s="25">
        <f t="shared" si="64"/>
        <v>0</v>
      </c>
    </row>
    <row r="1127" s="6" customFormat="1" customHeight="1" spans="1:1024 1025:16349">
      <c r="A1127" s="153"/>
      <c r="B1127" s="74"/>
      <c r="C1127" s="75" t="s">
        <v>1352</v>
      </c>
      <c r="D1127" s="76" t="s">
        <v>1353</v>
      </c>
      <c r="E1127" s="77"/>
      <c r="F1127" s="196"/>
      <c r="G1127" s="78">
        <v>0</v>
      </c>
      <c r="H1127" s="79">
        <f>SUM(H419:H1126)</f>
        <v>29471443</v>
      </c>
      <c r="I1127" s="80"/>
      <c r="J1127" s="80"/>
      <c r="K1127" s="80"/>
      <c r="L1127" s="80"/>
      <c r="M1127" s="80"/>
      <c r="N1127" s="80"/>
      <c r="O1127" s="80"/>
      <c r="P1127" s="80"/>
      <c r="Q1127" s="80"/>
      <c r="R1127" s="80"/>
      <c r="S1127" s="80"/>
      <c r="T1127" s="80"/>
      <c r="U1127" s="80"/>
      <c r="V1127" s="80"/>
      <c r="W1127" s="80"/>
      <c r="X1127" s="80"/>
      <c r="Y1127" s="80"/>
      <c r="Z1127" s="80"/>
      <c r="AA1127" s="80"/>
      <c r="AB1127" s="80"/>
      <c r="AC1127" s="80"/>
      <c r="AD1127" s="80"/>
      <c r="AE1127" s="80"/>
      <c r="AF1127" s="80"/>
      <c r="AG1127" s="80"/>
      <c r="AH1127" s="80"/>
      <c r="AI1127" s="80"/>
      <c r="AJ1127" s="80"/>
      <c r="AK1127" s="80"/>
      <c r="AL1127" s="80"/>
      <c r="AM1127" s="80"/>
      <c r="AN1127" s="80"/>
      <c r="AO1127" s="80"/>
      <c r="AP1127" s="80"/>
      <c r="AQ1127" s="80"/>
      <c r="AR1127" s="80"/>
      <c r="AS1127" s="80"/>
      <c r="AT1127" s="80"/>
      <c r="AU1127" s="80"/>
      <c r="AV1127" s="80"/>
      <c r="AW1127" s="80"/>
      <c r="AX1127" s="80"/>
      <c r="AY1127" s="80"/>
      <c r="AZ1127" s="80"/>
      <c r="BA1127" s="80"/>
      <c r="BB1127" s="80"/>
      <c r="BC1127" s="80"/>
      <c r="BD1127" s="80"/>
      <c r="BE1127" s="80"/>
      <c r="BF1127" s="80"/>
      <c r="BG1127" s="80"/>
      <c r="BH1127" s="80"/>
      <c r="BI1127" s="80"/>
      <c r="BJ1127" s="80"/>
      <c r="BK1127" s="80"/>
      <c r="BL1127" s="80"/>
      <c r="BM1127" s="80"/>
      <c r="BN1127" s="80"/>
      <c r="BO1127" s="80"/>
      <c r="BP1127" s="80"/>
      <c r="BQ1127" s="80"/>
      <c r="BR1127" s="80"/>
      <c r="BS1127" s="80"/>
      <c r="BT1127" s="80"/>
      <c r="BU1127" s="80"/>
      <c r="BV1127" s="80"/>
      <c r="BW1127" s="80"/>
      <c r="BX1127" s="80"/>
      <c r="BY1127" s="80"/>
      <c r="BZ1127" s="80"/>
      <c r="CA1127" s="80"/>
      <c r="CB1127" s="80"/>
      <c r="CC1127" s="80"/>
      <c r="CD1127" s="80"/>
      <c r="CE1127" s="80"/>
      <c r="CF1127" s="80"/>
      <c r="CG1127" s="80"/>
      <c r="CH1127" s="80"/>
      <c r="CI1127" s="80"/>
      <c r="CJ1127" s="80"/>
      <c r="CK1127" s="80"/>
      <c r="CL1127" s="80"/>
      <c r="CM1127" s="80"/>
      <c r="CN1127" s="80"/>
      <c r="CO1127" s="80"/>
      <c r="CP1127" s="80"/>
      <c r="CQ1127" s="80"/>
      <c r="CR1127" s="80"/>
      <c r="CS1127" s="80"/>
      <c r="CT1127" s="80"/>
      <c r="CU1127" s="80"/>
      <c r="CV1127" s="80"/>
      <c r="CW1127" s="80"/>
      <c r="CX1127" s="80"/>
      <c r="CY1127" s="80"/>
      <c r="CZ1127" s="80"/>
      <c r="DA1127" s="80"/>
      <c r="DB1127" s="80"/>
      <c r="DC1127" s="80"/>
      <c r="DD1127" s="80"/>
      <c r="DE1127" s="80"/>
      <c r="DF1127" s="80"/>
      <c r="DG1127" s="80"/>
      <c r="DH1127" s="80"/>
      <c r="DI1127" s="80"/>
      <c r="DJ1127" s="80"/>
      <c r="DK1127" s="80"/>
      <c r="DL1127" s="80"/>
      <c r="DM1127" s="80"/>
      <c r="DN1127" s="80"/>
      <c r="DO1127" s="80"/>
      <c r="DP1127" s="80"/>
      <c r="DQ1127" s="80"/>
      <c r="DR1127" s="80"/>
      <c r="DS1127" s="80"/>
      <c r="DT1127" s="80"/>
      <c r="DU1127" s="80"/>
      <c r="DV1127" s="80"/>
      <c r="DW1127" s="80"/>
      <c r="DX1127" s="80"/>
      <c r="DY1127" s="80"/>
      <c r="DZ1127" s="80"/>
      <c r="EA1127" s="80"/>
      <c r="EB1127" s="80"/>
      <c r="EC1127" s="80"/>
      <c r="ED1127" s="80"/>
      <c r="EE1127" s="80"/>
      <c r="EF1127" s="80"/>
      <c r="EG1127" s="80"/>
      <c r="EH1127" s="80"/>
      <c r="EI1127" s="80"/>
      <c r="EJ1127" s="80"/>
      <c r="EK1127" s="80"/>
      <c r="EL1127" s="80"/>
      <c r="EM1127" s="80"/>
      <c r="EN1127" s="80"/>
      <c r="EO1127" s="80"/>
      <c r="EP1127" s="80"/>
      <c r="EQ1127" s="80"/>
      <c r="ER1127" s="80"/>
      <c r="ES1127" s="80"/>
      <c r="ET1127" s="80"/>
      <c r="EU1127" s="80"/>
      <c r="EV1127" s="80"/>
      <c r="EW1127" s="80"/>
      <c r="EX1127" s="80"/>
      <c r="EY1127" s="80"/>
      <c r="EZ1127" s="80"/>
      <c r="FA1127" s="80"/>
      <c r="FB1127" s="80"/>
      <c r="FC1127" s="80"/>
      <c r="FD1127" s="80"/>
      <c r="FE1127" s="80"/>
      <c r="FF1127" s="80"/>
      <c r="FG1127" s="80"/>
      <c r="FH1127" s="80"/>
      <c r="FI1127" s="80"/>
      <c r="FJ1127" s="80"/>
      <c r="FK1127" s="80"/>
      <c r="FL1127" s="80"/>
      <c r="FM1127" s="80"/>
      <c r="FN1127" s="80"/>
      <c r="FO1127" s="80"/>
      <c r="FP1127" s="80"/>
      <c r="FQ1127" s="80"/>
      <c r="FR1127" s="80"/>
      <c r="FS1127" s="80"/>
      <c r="FT1127" s="80"/>
      <c r="FU1127" s="80"/>
      <c r="FV1127" s="80"/>
      <c r="FW1127" s="80"/>
      <c r="FX1127" s="80"/>
      <c r="FY1127" s="80"/>
      <c r="FZ1127" s="80"/>
      <c r="GA1127" s="80"/>
      <c r="GB1127" s="80"/>
      <c r="GC1127" s="80"/>
      <c r="GD1127" s="80"/>
      <c r="GE1127" s="80"/>
      <c r="GF1127" s="80"/>
      <c r="GG1127" s="80"/>
      <c r="GH1127" s="80"/>
      <c r="GI1127" s="80"/>
      <c r="GJ1127" s="80"/>
      <c r="GK1127" s="80"/>
      <c r="GL1127" s="80"/>
      <c r="GM1127" s="80"/>
      <c r="GN1127" s="80"/>
      <c r="GO1127" s="80"/>
      <c r="GP1127" s="80"/>
      <c r="GQ1127" s="80"/>
      <c r="GR1127" s="80"/>
      <c r="GS1127" s="80"/>
      <c r="GT1127" s="80"/>
      <c r="GU1127" s="80"/>
      <c r="GV1127" s="80"/>
      <c r="GW1127" s="80"/>
      <c r="GX1127" s="80"/>
      <c r="GY1127" s="80"/>
      <c r="GZ1127" s="80"/>
      <c r="HA1127" s="80"/>
      <c r="HB1127" s="80"/>
      <c r="HC1127" s="80"/>
      <c r="HD1127" s="80"/>
      <c r="HE1127" s="80"/>
      <c r="HF1127" s="80"/>
      <c r="HG1127" s="80"/>
      <c r="HH1127" s="80"/>
      <c r="HI1127" s="80"/>
      <c r="HJ1127" s="80"/>
      <c r="HK1127" s="80"/>
      <c r="HL1127" s="80"/>
      <c r="HM1127" s="80"/>
      <c r="HN1127" s="80"/>
      <c r="HO1127" s="80"/>
      <c r="HP1127" s="80"/>
      <c r="HQ1127" s="80"/>
      <c r="HR1127" s="80"/>
      <c r="HS1127" s="80"/>
      <c r="HT1127" s="80"/>
      <c r="HU1127" s="80"/>
      <c r="HV1127" s="80"/>
      <c r="HW1127" s="80"/>
      <c r="HX1127" s="80"/>
      <c r="HY1127" s="80"/>
      <c r="HZ1127" s="80"/>
      <c r="IA1127" s="80"/>
      <c r="IB1127" s="80"/>
      <c r="IC1127" s="80"/>
      <c r="ID1127" s="80"/>
      <c r="IE1127" s="80"/>
      <c r="IF1127" s="80"/>
      <c r="IG1127" s="80"/>
      <c r="IH1127" s="80"/>
      <c r="II1127" s="80"/>
      <c r="IJ1127" s="80"/>
      <c r="IK1127" s="80"/>
      <c r="IL1127" s="80"/>
      <c r="IM1127" s="80"/>
      <c r="IN1127" s="80"/>
      <c r="IO1127" s="80"/>
      <c r="IP1127" s="80"/>
      <c r="IQ1127" s="80"/>
      <c r="IR1127" s="80"/>
      <c r="IS1127" s="80"/>
      <c r="IT1127" s="80"/>
      <c r="IU1127" s="80"/>
      <c r="IV1127" s="80"/>
      <c r="IW1127" s="80"/>
      <c r="IX1127" s="80"/>
      <c r="IY1127" s="80"/>
      <c r="IZ1127" s="80"/>
      <c r="JA1127" s="80"/>
      <c r="JB1127" s="80"/>
      <c r="JC1127" s="80"/>
      <c r="JD1127" s="80"/>
      <c r="JE1127" s="80"/>
      <c r="JF1127" s="80"/>
      <c r="JG1127" s="80"/>
      <c r="JH1127" s="80"/>
      <c r="JI1127" s="80"/>
      <c r="JJ1127" s="80"/>
      <c r="JK1127" s="80"/>
      <c r="JL1127" s="80"/>
      <c r="JM1127" s="80"/>
      <c r="JN1127" s="80"/>
      <c r="JO1127" s="80"/>
      <c r="JP1127" s="80"/>
      <c r="JQ1127" s="80"/>
      <c r="JR1127" s="80"/>
      <c r="JS1127" s="80"/>
      <c r="JT1127" s="80"/>
      <c r="JU1127" s="80"/>
      <c r="JV1127" s="80"/>
      <c r="JW1127" s="80"/>
      <c r="JX1127" s="80"/>
      <c r="JY1127" s="80"/>
      <c r="JZ1127" s="80"/>
      <c r="KA1127" s="80"/>
      <c r="KB1127" s="80"/>
      <c r="KC1127" s="80"/>
      <c r="KD1127" s="80"/>
      <c r="KE1127" s="80"/>
      <c r="KF1127" s="80"/>
      <c r="KG1127" s="80"/>
      <c r="KH1127" s="80"/>
      <c r="KI1127" s="80"/>
      <c r="KJ1127" s="80"/>
      <c r="KK1127" s="80"/>
      <c r="KL1127" s="80"/>
      <c r="KM1127" s="80"/>
      <c r="KN1127" s="80"/>
      <c r="KO1127" s="80"/>
      <c r="KP1127" s="80"/>
      <c r="KQ1127" s="80"/>
      <c r="KR1127" s="80"/>
      <c r="KS1127" s="80"/>
      <c r="KT1127" s="80"/>
      <c r="KU1127" s="80"/>
      <c r="KV1127" s="80"/>
      <c r="KW1127" s="80"/>
      <c r="KX1127" s="80"/>
      <c r="KY1127" s="80"/>
      <c r="KZ1127" s="80"/>
      <c r="LA1127" s="80"/>
      <c r="LB1127" s="80"/>
      <c r="LC1127" s="80"/>
      <c r="LD1127" s="80"/>
      <c r="LE1127" s="80"/>
      <c r="LF1127" s="80"/>
      <c r="LG1127" s="80"/>
      <c r="LH1127" s="80"/>
      <c r="LI1127" s="80"/>
      <c r="LJ1127" s="80"/>
      <c r="LK1127" s="80"/>
      <c r="LL1127" s="80"/>
      <c r="LM1127" s="80"/>
      <c r="LN1127" s="80"/>
      <c r="LO1127" s="80"/>
      <c r="LP1127" s="80"/>
      <c r="LQ1127" s="80"/>
      <c r="LR1127" s="80"/>
      <c r="LS1127" s="80"/>
      <c r="LT1127" s="80"/>
      <c r="LU1127" s="80"/>
      <c r="LV1127" s="80"/>
      <c r="LW1127" s="80"/>
      <c r="LX1127" s="80"/>
      <c r="LY1127" s="80"/>
      <c r="LZ1127" s="80"/>
      <c r="MA1127" s="80"/>
      <c r="MB1127" s="80"/>
      <c r="MC1127" s="80"/>
      <c r="MD1127" s="80"/>
      <c r="ME1127" s="80"/>
      <c r="MF1127" s="80"/>
      <c r="MG1127" s="80"/>
      <c r="MH1127" s="80"/>
      <c r="MI1127" s="80"/>
      <c r="MJ1127" s="80"/>
      <c r="MK1127" s="80"/>
      <c r="ML1127" s="80"/>
      <c r="MM1127" s="80"/>
      <c r="MN1127" s="80"/>
      <c r="MO1127" s="80"/>
      <c r="MP1127" s="80"/>
      <c r="MQ1127" s="80"/>
      <c r="MR1127" s="80"/>
      <c r="MS1127" s="80"/>
      <c r="MT1127" s="80"/>
      <c r="MU1127" s="80"/>
      <c r="MV1127" s="80"/>
      <c r="MW1127" s="80"/>
      <c r="MX1127" s="80"/>
      <c r="MY1127" s="80"/>
      <c r="MZ1127" s="80"/>
      <c r="NA1127" s="80"/>
      <c r="NB1127" s="80"/>
      <c r="NC1127" s="80"/>
      <c r="ND1127" s="80"/>
      <c r="NE1127" s="80"/>
      <c r="NF1127" s="80"/>
      <c r="NG1127" s="80"/>
      <c r="NH1127" s="80"/>
      <c r="NI1127" s="80"/>
      <c r="NJ1127" s="80"/>
      <c r="NK1127" s="80"/>
      <c r="NL1127" s="80"/>
      <c r="NM1127" s="80"/>
      <c r="NN1127" s="80"/>
      <c r="NO1127" s="80"/>
      <c r="NP1127" s="80"/>
      <c r="NQ1127" s="80"/>
      <c r="NR1127" s="80"/>
      <c r="NS1127" s="80"/>
      <c r="NT1127" s="80"/>
      <c r="NU1127" s="80"/>
      <c r="NV1127" s="80"/>
      <c r="NW1127" s="80"/>
      <c r="NX1127" s="80"/>
      <c r="NY1127" s="80"/>
      <c r="NZ1127" s="80"/>
      <c r="OA1127" s="80"/>
      <c r="OB1127" s="80"/>
      <c r="OC1127" s="80"/>
      <c r="OD1127" s="80"/>
      <c r="OE1127" s="80"/>
      <c r="OF1127" s="80"/>
      <c r="OG1127" s="80"/>
      <c r="OH1127" s="80"/>
      <c r="OI1127" s="80"/>
      <c r="OJ1127" s="80"/>
      <c r="OK1127" s="80"/>
      <c r="OL1127" s="80"/>
      <c r="OM1127" s="80"/>
      <c r="ON1127" s="80"/>
      <c r="OO1127" s="80"/>
      <c r="OP1127" s="80"/>
      <c r="OQ1127" s="80"/>
      <c r="OR1127" s="80"/>
      <c r="OS1127" s="80"/>
      <c r="OT1127" s="80"/>
      <c r="OU1127" s="80"/>
      <c r="OV1127" s="80"/>
      <c r="OW1127" s="80"/>
      <c r="OX1127" s="80"/>
      <c r="OY1127" s="80"/>
      <c r="OZ1127" s="80"/>
      <c r="PA1127" s="80"/>
      <c r="PB1127" s="80"/>
      <c r="PC1127" s="80"/>
      <c r="PD1127" s="80"/>
      <c r="PE1127" s="80"/>
      <c r="PF1127" s="80"/>
      <c r="PG1127" s="80"/>
      <c r="PH1127" s="80"/>
      <c r="PI1127" s="80"/>
      <c r="PJ1127" s="80"/>
      <c r="PK1127" s="80"/>
      <c r="PL1127" s="80"/>
      <c r="PM1127" s="80"/>
      <c r="PN1127" s="80"/>
      <c r="PO1127" s="80"/>
      <c r="PP1127" s="80"/>
      <c r="PQ1127" s="80"/>
      <c r="PR1127" s="80"/>
      <c r="PS1127" s="80"/>
      <c r="PT1127" s="80"/>
      <c r="PU1127" s="80"/>
      <c r="PV1127" s="80"/>
      <c r="PW1127" s="80"/>
      <c r="PX1127" s="80"/>
      <c r="PY1127" s="80"/>
      <c r="PZ1127" s="80"/>
      <c r="QA1127" s="80"/>
      <c r="QB1127" s="80"/>
      <c r="QC1127" s="80"/>
      <c r="QD1127" s="80"/>
      <c r="QE1127" s="80"/>
      <c r="QF1127" s="80"/>
      <c r="QG1127" s="80"/>
      <c r="QH1127" s="80"/>
      <c r="QI1127" s="80"/>
      <c r="QJ1127" s="80"/>
      <c r="QK1127" s="80"/>
      <c r="QL1127" s="80"/>
      <c r="QM1127" s="80"/>
      <c r="QN1127" s="80"/>
      <c r="QO1127" s="80"/>
      <c r="QP1127" s="80"/>
      <c r="QQ1127" s="80"/>
      <c r="QR1127" s="80"/>
      <c r="QS1127" s="80"/>
      <c r="QT1127" s="80"/>
      <c r="QU1127" s="80"/>
      <c r="QV1127" s="80"/>
      <c r="QW1127" s="80"/>
      <c r="QX1127" s="80"/>
      <c r="QY1127" s="80"/>
      <c r="QZ1127" s="80"/>
      <c r="RA1127" s="80"/>
      <c r="RB1127" s="80"/>
      <c r="RC1127" s="80"/>
      <c r="RD1127" s="80"/>
      <c r="RE1127" s="80"/>
      <c r="RF1127" s="80"/>
      <c r="RG1127" s="80"/>
      <c r="RH1127" s="80"/>
      <c r="RI1127" s="80"/>
      <c r="RJ1127" s="80"/>
      <c r="RK1127" s="80"/>
      <c r="RL1127" s="80"/>
      <c r="RM1127" s="80"/>
      <c r="RN1127" s="80"/>
      <c r="RO1127" s="80"/>
      <c r="RP1127" s="80"/>
      <c r="RQ1127" s="80"/>
      <c r="RR1127" s="80"/>
      <c r="RS1127" s="80"/>
      <c r="RT1127" s="80"/>
      <c r="RU1127" s="80"/>
      <c r="RV1127" s="80"/>
      <c r="RW1127" s="80"/>
      <c r="RX1127" s="80"/>
      <c r="RY1127" s="80"/>
      <c r="RZ1127" s="80"/>
      <c r="SA1127" s="80"/>
      <c r="SB1127" s="80"/>
      <c r="SC1127" s="80"/>
      <c r="SD1127" s="80"/>
      <c r="SE1127" s="80"/>
      <c r="SF1127" s="80"/>
      <c r="SG1127" s="80"/>
      <c r="SH1127" s="80"/>
      <c r="SI1127" s="80"/>
      <c r="SJ1127" s="80"/>
      <c r="SK1127" s="80"/>
      <c r="SL1127" s="80"/>
      <c r="SM1127" s="80"/>
      <c r="SN1127" s="80"/>
      <c r="SO1127" s="80"/>
      <c r="SP1127" s="80"/>
      <c r="SQ1127" s="80"/>
      <c r="SR1127" s="80"/>
      <c r="SS1127" s="80"/>
      <c r="ST1127" s="80"/>
      <c r="SU1127" s="80"/>
      <c r="SV1127" s="80"/>
      <c r="SW1127" s="80"/>
      <c r="SX1127" s="80"/>
      <c r="SY1127" s="80"/>
      <c r="SZ1127" s="80"/>
      <c r="TA1127" s="80"/>
      <c r="TB1127" s="80"/>
      <c r="TC1127" s="80"/>
      <c r="TD1127" s="80"/>
      <c r="TE1127" s="80"/>
      <c r="TF1127" s="80"/>
      <c r="TG1127" s="80"/>
      <c r="TH1127" s="80"/>
      <c r="TI1127" s="80"/>
      <c r="TJ1127" s="80"/>
      <c r="TK1127" s="80"/>
      <c r="TL1127" s="80"/>
      <c r="TM1127" s="80"/>
      <c r="TN1127" s="80"/>
      <c r="TO1127" s="80"/>
      <c r="TP1127" s="80"/>
      <c r="TQ1127" s="80"/>
      <c r="TR1127" s="80"/>
      <c r="TS1127" s="80"/>
      <c r="TT1127" s="80"/>
      <c r="TU1127" s="80"/>
      <c r="TV1127" s="80"/>
      <c r="TW1127" s="80"/>
      <c r="TX1127" s="80"/>
      <c r="TY1127" s="80"/>
      <c r="TZ1127" s="80"/>
      <c r="UA1127" s="80"/>
      <c r="UB1127" s="80"/>
      <c r="UC1127" s="80"/>
      <c r="UD1127" s="80"/>
      <c r="UE1127" s="80"/>
      <c r="UF1127" s="80"/>
      <c r="UG1127" s="80"/>
      <c r="UH1127" s="80"/>
      <c r="UI1127" s="80"/>
      <c r="UJ1127" s="80"/>
      <c r="UK1127" s="80"/>
      <c r="UL1127" s="80"/>
      <c r="UM1127" s="80"/>
      <c r="UN1127" s="80"/>
      <c r="UO1127" s="80"/>
      <c r="UP1127" s="80"/>
      <c r="UQ1127" s="80"/>
      <c r="UR1127" s="80"/>
      <c r="US1127" s="80"/>
      <c r="UT1127" s="80"/>
      <c r="UU1127" s="80"/>
      <c r="UV1127" s="80"/>
      <c r="UW1127" s="80"/>
      <c r="UX1127" s="80"/>
      <c r="UY1127" s="80"/>
      <c r="UZ1127" s="80"/>
      <c r="VA1127" s="80"/>
      <c r="VB1127" s="80"/>
      <c r="VC1127" s="80"/>
      <c r="VD1127" s="80"/>
      <c r="VE1127" s="80"/>
      <c r="VF1127" s="80"/>
      <c r="VG1127" s="80"/>
      <c r="VH1127" s="80"/>
      <c r="VI1127" s="80"/>
      <c r="VJ1127" s="80"/>
      <c r="VK1127" s="80"/>
      <c r="VL1127" s="80"/>
      <c r="VM1127" s="80"/>
      <c r="VN1127" s="80"/>
      <c r="VO1127" s="80"/>
      <c r="VP1127" s="80"/>
      <c r="VQ1127" s="80"/>
      <c r="VR1127" s="80"/>
      <c r="VS1127" s="80"/>
      <c r="VT1127" s="80"/>
      <c r="VU1127" s="80"/>
      <c r="VV1127" s="80"/>
      <c r="VW1127" s="80"/>
      <c r="VX1127" s="80"/>
      <c r="VY1127" s="80"/>
      <c r="VZ1127" s="80"/>
      <c r="WA1127" s="80"/>
      <c r="WB1127" s="80"/>
      <c r="WC1127" s="80"/>
      <c r="WD1127" s="80"/>
      <c r="WE1127" s="80"/>
      <c r="WF1127" s="80"/>
      <c r="WG1127" s="80"/>
      <c r="WH1127" s="80"/>
      <c r="WI1127" s="80"/>
      <c r="WJ1127" s="80"/>
      <c r="WK1127" s="80"/>
      <c r="WL1127" s="80"/>
      <c r="WM1127" s="80"/>
      <c r="WN1127" s="80"/>
      <c r="WO1127" s="80"/>
      <c r="WP1127" s="80"/>
      <c r="WQ1127" s="80"/>
      <c r="WR1127" s="80"/>
      <c r="WS1127" s="80"/>
      <c r="WT1127" s="80"/>
      <c r="WU1127" s="80"/>
      <c r="WV1127" s="80"/>
      <c r="WW1127" s="80"/>
      <c r="WX1127" s="80"/>
      <c r="WY1127" s="80"/>
      <c r="WZ1127" s="80"/>
      <c r="XA1127" s="80"/>
      <c r="XB1127" s="80"/>
      <c r="XC1127" s="80"/>
      <c r="XD1127" s="80"/>
      <c r="XE1127" s="80"/>
      <c r="XF1127" s="80"/>
      <c r="XG1127" s="80"/>
      <c r="XH1127" s="80"/>
      <c r="XI1127" s="80"/>
      <c r="XJ1127" s="80"/>
      <c r="XK1127" s="80"/>
      <c r="XL1127" s="80"/>
      <c r="XM1127" s="80"/>
      <c r="XN1127" s="80"/>
      <c r="XO1127" s="80"/>
      <c r="XP1127" s="80"/>
      <c r="XQ1127" s="80"/>
      <c r="XR1127" s="80"/>
      <c r="XS1127" s="80"/>
      <c r="XT1127" s="80"/>
      <c r="XU1127" s="80"/>
      <c r="XV1127" s="80"/>
      <c r="XW1127" s="80"/>
      <c r="XX1127" s="80"/>
      <c r="XY1127" s="80"/>
      <c r="XZ1127" s="80"/>
      <c r="YA1127" s="80"/>
      <c r="YB1127" s="80"/>
      <c r="YC1127" s="80"/>
      <c r="YD1127" s="80"/>
      <c r="YE1127" s="80"/>
      <c r="YF1127" s="80"/>
      <c r="YG1127" s="80"/>
      <c r="YH1127" s="80"/>
      <c r="YI1127" s="80"/>
      <c r="YJ1127" s="80"/>
      <c r="YK1127" s="80"/>
      <c r="YL1127" s="80"/>
      <c r="YM1127" s="80"/>
      <c r="YN1127" s="80"/>
      <c r="YO1127" s="80"/>
      <c r="YP1127" s="80"/>
      <c r="YQ1127" s="80"/>
      <c r="YR1127" s="80"/>
      <c r="YS1127" s="80"/>
      <c r="YT1127" s="80"/>
      <c r="YU1127" s="80"/>
      <c r="YV1127" s="80"/>
      <c r="YW1127" s="80"/>
      <c r="YX1127" s="80"/>
      <c r="YY1127" s="80"/>
      <c r="YZ1127" s="80"/>
      <c r="ZA1127" s="80"/>
      <c r="ZB1127" s="80"/>
      <c r="ZC1127" s="80"/>
      <c r="ZD1127" s="80"/>
      <c r="ZE1127" s="80"/>
      <c r="ZF1127" s="80"/>
      <c r="ZG1127" s="80"/>
      <c r="ZH1127" s="80"/>
      <c r="ZI1127" s="80"/>
      <c r="ZJ1127" s="80"/>
      <c r="ZK1127" s="80"/>
      <c r="ZL1127" s="80"/>
      <c r="ZM1127" s="80"/>
      <c r="ZN1127" s="80"/>
      <c r="ZO1127" s="80"/>
      <c r="ZP1127" s="80"/>
      <c r="ZQ1127" s="80"/>
      <c r="ZR1127" s="80"/>
      <c r="ZS1127" s="80"/>
      <c r="ZT1127" s="80"/>
      <c r="ZU1127" s="80"/>
      <c r="ZV1127" s="80"/>
      <c r="ZW1127" s="80"/>
      <c r="ZX1127" s="80"/>
      <c r="ZY1127" s="80"/>
      <c r="ZZ1127" s="80"/>
      <c r="AAA1127" s="80"/>
      <c r="AAB1127" s="80"/>
      <c r="AAC1127" s="80"/>
      <c r="AAD1127" s="80"/>
      <c r="AAE1127" s="80"/>
      <c r="AAF1127" s="80"/>
      <c r="AAG1127" s="80"/>
      <c r="AAH1127" s="80"/>
      <c r="AAI1127" s="80"/>
      <c r="AAJ1127" s="80"/>
      <c r="AAK1127" s="80"/>
      <c r="AAL1127" s="80"/>
      <c r="AAM1127" s="80"/>
      <c r="AAN1127" s="80"/>
      <c r="AAO1127" s="80"/>
      <c r="AAP1127" s="80"/>
      <c r="AAQ1127" s="80"/>
      <c r="AAR1127" s="80"/>
      <c r="AAS1127" s="80"/>
      <c r="AAT1127" s="80"/>
      <c r="AAU1127" s="80"/>
      <c r="AAV1127" s="80"/>
      <c r="AAW1127" s="80"/>
      <c r="AAX1127" s="80"/>
      <c r="AAY1127" s="80"/>
      <c r="AAZ1127" s="80"/>
      <c r="ABA1127" s="80"/>
      <c r="ABB1127" s="80"/>
      <c r="ABC1127" s="80"/>
      <c r="ABD1127" s="80"/>
      <c r="ABE1127" s="80"/>
      <c r="ABF1127" s="80"/>
      <c r="ABG1127" s="80"/>
      <c r="ABH1127" s="80"/>
      <c r="ABI1127" s="80"/>
      <c r="ABJ1127" s="80"/>
      <c r="ABK1127" s="80"/>
      <c r="ABL1127" s="80"/>
      <c r="ABM1127" s="80"/>
      <c r="ABN1127" s="80"/>
      <c r="ABO1127" s="80"/>
      <c r="ABP1127" s="80"/>
      <c r="ABQ1127" s="80"/>
      <c r="ABR1127" s="80"/>
      <c r="ABS1127" s="80"/>
      <c r="ABT1127" s="80"/>
      <c r="ABU1127" s="80"/>
      <c r="ABV1127" s="80"/>
      <c r="ABW1127" s="80"/>
      <c r="ABX1127" s="80"/>
      <c r="ABY1127" s="80"/>
      <c r="ABZ1127" s="80"/>
      <c r="ACA1127" s="80"/>
      <c r="ACB1127" s="80"/>
      <c r="ACC1127" s="80"/>
      <c r="ACD1127" s="80"/>
      <c r="ACE1127" s="80"/>
      <c r="ACF1127" s="80"/>
      <c r="ACG1127" s="80"/>
      <c r="ACH1127" s="80"/>
      <c r="ACI1127" s="80"/>
      <c r="ACJ1127" s="80"/>
      <c r="ACK1127" s="80"/>
      <c r="ACL1127" s="80"/>
      <c r="ACM1127" s="80"/>
      <c r="ACN1127" s="80"/>
      <c r="ACO1127" s="80"/>
      <c r="ACP1127" s="80"/>
      <c r="ACQ1127" s="80"/>
      <c r="ACR1127" s="80"/>
      <c r="ACS1127" s="80"/>
      <c r="ACT1127" s="80"/>
      <c r="ACU1127" s="80"/>
      <c r="ACV1127" s="80"/>
      <c r="ACW1127" s="80"/>
      <c r="ACX1127" s="80"/>
      <c r="ACY1127" s="80"/>
      <c r="ACZ1127" s="80"/>
      <c r="ADA1127" s="80"/>
      <c r="ADB1127" s="80"/>
      <c r="ADC1127" s="80"/>
      <c r="ADD1127" s="80"/>
      <c r="ADE1127" s="80"/>
      <c r="ADF1127" s="80"/>
      <c r="ADG1127" s="80"/>
      <c r="ADH1127" s="80"/>
      <c r="ADI1127" s="80"/>
      <c r="ADJ1127" s="80"/>
      <c r="ADK1127" s="80"/>
      <c r="ADL1127" s="80"/>
      <c r="ADM1127" s="80"/>
      <c r="ADN1127" s="80"/>
      <c r="ADO1127" s="80"/>
      <c r="ADP1127" s="80"/>
      <c r="ADQ1127" s="80"/>
      <c r="ADR1127" s="80"/>
      <c r="ADS1127" s="80"/>
      <c r="ADT1127" s="80"/>
      <c r="ADU1127" s="80"/>
      <c r="ADV1127" s="80"/>
      <c r="ADW1127" s="80"/>
      <c r="ADX1127" s="80"/>
      <c r="ADY1127" s="80"/>
      <c r="ADZ1127" s="80"/>
      <c r="AEA1127" s="80"/>
      <c r="AEB1127" s="80"/>
      <c r="AEC1127" s="80"/>
      <c r="AED1127" s="80"/>
      <c r="AEE1127" s="80"/>
      <c r="AEF1127" s="80"/>
      <c r="AEG1127" s="80"/>
      <c r="AEH1127" s="80"/>
      <c r="AEI1127" s="80"/>
      <c r="AEJ1127" s="80"/>
      <c r="AEK1127" s="80"/>
      <c r="AEL1127" s="80"/>
      <c r="AEM1127" s="80"/>
      <c r="AEN1127" s="80"/>
      <c r="AEO1127" s="80"/>
      <c r="AEP1127" s="80"/>
      <c r="AEQ1127" s="80"/>
      <c r="AER1127" s="80"/>
      <c r="AES1127" s="80"/>
      <c r="AET1127" s="80"/>
      <c r="AEU1127" s="80"/>
      <c r="AEV1127" s="80"/>
      <c r="AEW1127" s="80"/>
      <c r="AEX1127" s="80"/>
      <c r="AEY1127" s="80"/>
      <c r="AEZ1127" s="80"/>
      <c r="AFA1127" s="80"/>
      <c r="AFB1127" s="80"/>
      <c r="AFC1127" s="80"/>
      <c r="AFD1127" s="80"/>
      <c r="AFE1127" s="80"/>
      <c r="AFF1127" s="80"/>
      <c r="AFG1127" s="80"/>
      <c r="AFH1127" s="80"/>
      <c r="AFI1127" s="80"/>
      <c r="AFJ1127" s="80"/>
      <c r="AFK1127" s="80"/>
      <c r="AFL1127" s="80"/>
      <c r="AFM1127" s="80"/>
      <c r="AFN1127" s="80"/>
      <c r="AFO1127" s="80"/>
      <c r="AFP1127" s="80"/>
      <c r="AFQ1127" s="80"/>
      <c r="AFR1127" s="80"/>
      <c r="AFS1127" s="80"/>
      <c r="AFT1127" s="80"/>
      <c r="AFU1127" s="80"/>
      <c r="AFV1127" s="80"/>
      <c r="AFW1127" s="80"/>
      <c r="AFX1127" s="80"/>
      <c r="AFY1127" s="80"/>
      <c r="AFZ1127" s="80"/>
      <c r="AGA1127" s="80"/>
      <c r="AGB1127" s="80"/>
      <c r="AGC1127" s="80"/>
      <c r="AGD1127" s="80"/>
      <c r="AGE1127" s="80"/>
      <c r="AGF1127" s="80"/>
      <c r="AGG1127" s="80"/>
      <c r="AGH1127" s="80"/>
      <c r="AGI1127" s="80"/>
      <c r="AGJ1127" s="80"/>
      <c r="AGK1127" s="80"/>
      <c r="AGL1127" s="80"/>
      <c r="AGM1127" s="80"/>
      <c r="AGN1127" s="80"/>
      <c r="AGO1127" s="80"/>
      <c r="AGP1127" s="80"/>
      <c r="AGQ1127" s="80"/>
      <c r="AGR1127" s="80"/>
      <c r="AGS1127" s="80"/>
      <c r="AGT1127" s="80"/>
      <c r="AGU1127" s="80"/>
      <c r="AGV1127" s="80"/>
      <c r="AGW1127" s="80"/>
      <c r="AGX1127" s="80"/>
      <c r="AGY1127" s="80"/>
      <c r="AGZ1127" s="80"/>
      <c r="AHA1127" s="80"/>
      <c r="AHB1127" s="80"/>
      <c r="AHC1127" s="80"/>
      <c r="AHD1127" s="80"/>
      <c r="AHE1127" s="80"/>
      <c r="AHF1127" s="80"/>
      <c r="AHG1127" s="80"/>
      <c r="AHH1127" s="80"/>
      <c r="AHI1127" s="80"/>
      <c r="AHJ1127" s="80"/>
      <c r="AHK1127" s="80"/>
      <c r="AHL1127" s="80"/>
      <c r="AHM1127" s="80"/>
      <c r="AHN1127" s="80"/>
      <c r="AHO1127" s="80"/>
      <c r="AHP1127" s="80"/>
      <c r="AHQ1127" s="80"/>
      <c r="AHR1127" s="80"/>
      <c r="AHS1127" s="80"/>
      <c r="AHT1127" s="80"/>
      <c r="AHU1127" s="80"/>
      <c r="AHV1127" s="80"/>
      <c r="AHW1127" s="80"/>
      <c r="AHX1127" s="80"/>
      <c r="AHY1127" s="80"/>
      <c r="AHZ1127" s="80"/>
      <c r="AIA1127" s="80"/>
      <c r="AIB1127" s="80"/>
      <c r="AIC1127" s="80"/>
      <c r="AID1127" s="80"/>
      <c r="AIE1127" s="80"/>
      <c r="AIF1127" s="80"/>
      <c r="AIG1127" s="80"/>
      <c r="AIH1127" s="80"/>
      <c r="AII1127" s="80"/>
      <c r="AIJ1127" s="80"/>
      <c r="AIK1127" s="80"/>
      <c r="AIL1127" s="80"/>
      <c r="AIM1127" s="80"/>
      <c r="AIN1127" s="80"/>
      <c r="AIO1127" s="80"/>
      <c r="AIP1127" s="80"/>
      <c r="AIQ1127" s="80"/>
      <c r="AIR1127" s="80"/>
      <c r="AIS1127" s="80"/>
      <c r="AIT1127" s="80"/>
      <c r="AIU1127" s="80"/>
      <c r="AIV1127" s="80"/>
      <c r="AIW1127" s="80"/>
      <c r="AIX1127" s="80"/>
      <c r="AIY1127" s="80"/>
      <c r="AIZ1127" s="80"/>
      <c r="AJA1127" s="80"/>
      <c r="AJB1127" s="80"/>
      <c r="AJC1127" s="80"/>
      <c r="AJD1127" s="80"/>
      <c r="AJE1127" s="80"/>
      <c r="AJF1127" s="80"/>
      <c r="AJG1127" s="80"/>
      <c r="AJH1127" s="80"/>
      <c r="AJI1127" s="80"/>
      <c r="AJJ1127" s="80"/>
      <c r="AJK1127" s="80"/>
      <c r="AJL1127" s="80"/>
      <c r="AJM1127" s="80"/>
      <c r="AJN1127" s="80"/>
      <c r="AJO1127" s="80"/>
      <c r="AJP1127" s="80"/>
      <c r="AJQ1127" s="80"/>
      <c r="AJR1127" s="80"/>
      <c r="AJS1127" s="80"/>
      <c r="AJT1127" s="80"/>
      <c r="AJU1127" s="80"/>
      <c r="AJV1127" s="80"/>
      <c r="AJW1127" s="80"/>
      <c r="AJX1127" s="80"/>
      <c r="AJY1127" s="80"/>
      <c r="AJZ1127" s="80"/>
      <c r="AKA1127" s="80"/>
      <c r="AKB1127" s="80"/>
      <c r="AKC1127" s="80"/>
      <c r="AKD1127" s="80"/>
      <c r="AKE1127" s="80"/>
      <c r="AKF1127" s="80"/>
      <c r="AKG1127" s="80"/>
      <c r="AKH1127" s="80"/>
      <c r="AKI1127" s="80"/>
      <c r="AKJ1127" s="80"/>
      <c r="AKK1127" s="80"/>
      <c r="AKL1127" s="80"/>
      <c r="AKM1127" s="80"/>
      <c r="AKN1127" s="80"/>
      <c r="AKO1127" s="80"/>
      <c r="AKP1127" s="80"/>
      <c r="AKQ1127" s="80"/>
      <c r="AKR1127" s="80"/>
      <c r="AKS1127" s="80"/>
      <c r="AKT1127" s="80"/>
      <c r="AKU1127" s="80"/>
      <c r="AKV1127" s="80"/>
      <c r="AKW1127" s="80"/>
      <c r="AKX1127" s="80"/>
      <c r="AKY1127" s="80"/>
      <c r="AKZ1127" s="80"/>
      <c r="ALA1127" s="80"/>
      <c r="ALB1127" s="80"/>
      <c r="ALC1127" s="80"/>
      <c r="ALD1127" s="80"/>
      <c r="ALE1127" s="80"/>
      <c r="ALF1127" s="80"/>
      <c r="ALG1127" s="80"/>
      <c r="ALH1127" s="80"/>
      <c r="ALI1127" s="80"/>
      <c r="ALJ1127" s="80"/>
      <c r="ALK1127" s="80"/>
      <c r="ALL1127" s="80"/>
      <c r="ALM1127" s="80"/>
      <c r="ALN1127" s="80"/>
      <c r="ALO1127" s="80"/>
      <c r="ALP1127" s="80"/>
      <c r="ALQ1127" s="80"/>
      <c r="ALR1127" s="80"/>
      <c r="ALS1127" s="80"/>
      <c r="ALT1127" s="80"/>
      <c r="ALU1127" s="80"/>
      <c r="ALV1127" s="80"/>
      <c r="ALW1127" s="80"/>
      <c r="ALX1127" s="80"/>
      <c r="ALY1127" s="80"/>
      <c r="ALZ1127" s="80"/>
      <c r="AMA1127" s="80"/>
      <c r="AMB1127" s="80"/>
      <c r="AMC1127" s="80"/>
      <c r="AMD1127" s="80"/>
      <c r="AME1127" s="80"/>
      <c r="AMF1127" s="80"/>
      <c r="AMG1127" s="80"/>
      <c r="AMH1127" s="80"/>
      <c r="AMI1127" s="80"/>
      <c r="AMJ1127" s="80"/>
      <c r="AMK1127" s="80"/>
      <c r="AML1127" s="80"/>
      <c r="AMM1127" s="80"/>
      <c r="AMN1127" s="80"/>
      <c r="AMO1127" s="80"/>
      <c r="AMP1127" s="80"/>
      <c r="AMQ1127" s="80"/>
      <c r="AMR1127" s="80"/>
      <c r="AMS1127" s="80"/>
      <c r="AMT1127" s="80"/>
      <c r="AMU1127" s="80"/>
      <c r="AMV1127" s="80"/>
      <c r="AMW1127" s="80"/>
      <c r="AMX1127" s="80"/>
      <c r="AMY1127" s="80"/>
      <c r="AMZ1127" s="80"/>
      <c r="ANA1127" s="80"/>
      <c r="ANB1127" s="80"/>
      <c r="ANC1127" s="80"/>
      <c r="AND1127" s="80"/>
      <c r="ANE1127" s="80"/>
      <c r="ANF1127" s="80"/>
      <c r="ANG1127" s="80"/>
      <c r="ANH1127" s="80"/>
      <c r="ANI1127" s="80"/>
      <c r="ANJ1127" s="80"/>
      <c r="ANK1127" s="80"/>
      <c r="ANL1127" s="80"/>
      <c r="ANM1127" s="80"/>
      <c r="ANN1127" s="80"/>
      <c r="ANO1127" s="80"/>
      <c r="ANP1127" s="80"/>
      <c r="ANQ1127" s="80"/>
      <c r="ANR1127" s="80"/>
      <c r="ANS1127" s="80"/>
      <c r="ANT1127" s="80"/>
      <c r="ANU1127" s="80"/>
      <c r="ANV1127" s="80"/>
      <c r="ANW1127" s="80"/>
      <c r="ANX1127" s="80"/>
      <c r="ANY1127" s="80"/>
      <c r="ANZ1127" s="80"/>
      <c r="AOA1127" s="80"/>
      <c r="AOB1127" s="80"/>
      <c r="AOC1127" s="80"/>
      <c r="AOD1127" s="80"/>
      <c r="AOE1127" s="80"/>
      <c r="AOF1127" s="80"/>
      <c r="AOG1127" s="80"/>
      <c r="AOH1127" s="80"/>
      <c r="AOI1127" s="80"/>
      <c r="AOJ1127" s="80"/>
      <c r="AOK1127" s="80"/>
      <c r="AOL1127" s="80"/>
      <c r="AOM1127" s="80"/>
      <c r="AON1127" s="80"/>
      <c r="AOO1127" s="80"/>
      <c r="AOP1127" s="80"/>
      <c r="AOQ1127" s="80"/>
      <c r="AOR1127" s="80"/>
      <c r="AOS1127" s="80"/>
      <c r="AOT1127" s="80"/>
      <c r="AOU1127" s="80"/>
      <c r="AOV1127" s="80"/>
      <c r="AOW1127" s="80"/>
      <c r="AOX1127" s="80"/>
      <c r="AOY1127" s="80"/>
      <c r="AOZ1127" s="80"/>
      <c r="APA1127" s="80"/>
      <c r="APB1127" s="80"/>
      <c r="APC1127" s="80"/>
      <c r="APD1127" s="80"/>
      <c r="APE1127" s="80"/>
      <c r="APF1127" s="80"/>
      <c r="APG1127" s="80"/>
      <c r="APH1127" s="80"/>
      <c r="API1127" s="80"/>
      <c r="APJ1127" s="80"/>
      <c r="APK1127" s="80"/>
      <c r="APL1127" s="80"/>
      <c r="APM1127" s="80"/>
      <c r="APN1127" s="80"/>
      <c r="APO1127" s="80"/>
      <c r="APP1127" s="80"/>
      <c r="APQ1127" s="80"/>
      <c r="APR1127" s="80"/>
      <c r="APS1127" s="80"/>
      <c r="APT1127" s="80"/>
      <c r="APU1127" s="80"/>
      <c r="APV1127" s="80"/>
      <c r="APW1127" s="80"/>
      <c r="APX1127" s="80"/>
      <c r="APY1127" s="80"/>
      <c r="APZ1127" s="80"/>
      <c r="AQA1127" s="80"/>
      <c r="AQB1127" s="80"/>
      <c r="AQC1127" s="80"/>
      <c r="AQD1127" s="80"/>
      <c r="AQE1127" s="80"/>
      <c r="AQF1127" s="80"/>
      <c r="AQG1127" s="80"/>
      <c r="AQH1127" s="80"/>
      <c r="AQI1127" s="80"/>
      <c r="AQJ1127" s="80"/>
      <c r="AQK1127" s="80"/>
      <c r="AQL1127" s="80"/>
      <c r="AQM1127" s="80"/>
      <c r="AQN1127" s="80"/>
      <c r="AQO1127" s="80"/>
      <c r="AQP1127" s="80"/>
      <c r="AQQ1127" s="80"/>
      <c r="AQR1127" s="80"/>
      <c r="AQS1127" s="80"/>
      <c r="AQT1127" s="80"/>
      <c r="AQU1127" s="80"/>
      <c r="AQV1127" s="80"/>
      <c r="AQW1127" s="80"/>
      <c r="AQX1127" s="80"/>
      <c r="AQY1127" s="80"/>
      <c r="AQZ1127" s="80"/>
      <c r="ARA1127" s="80"/>
      <c r="ARB1127" s="80"/>
      <c r="ARC1127" s="80"/>
      <c r="ARD1127" s="80"/>
      <c r="ARE1127" s="80"/>
      <c r="ARF1127" s="80"/>
      <c r="ARG1127" s="80"/>
      <c r="ARH1127" s="80"/>
      <c r="ARI1127" s="80"/>
      <c r="ARJ1127" s="80"/>
      <c r="ARK1127" s="80"/>
      <c r="ARL1127" s="80"/>
      <c r="ARM1127" s="80"/>
      <c r="ARN1127" s="80"/>
      <c r="ARO1127" s="80"/>
      <c r="ARP1127" s="80"/>
      <c r="ARQ1127" s="80"/>
      <c r="ARR1127" s="80"/>
      <c r="ARS1127" s="80"/>
      <c r="ART1127" s="80"/>
      <c r="ARU1127" s="80"/>
      <c r="ARV1127" s="80"/>
      <c r="ARW1127" s="80"/>
      <c r="ARX1127" s="80"/>
      <c r="ARY1127" s="80"/>
      <c r="ARZ1127" s="80"/>
      <c r="ASA1127" s="80"/>
      <c r="ASB1127" s="80"/>
      <c r="ASC1127" s="80"/>
      <c r="ASD1127" s="80"/>
      <c r="ASE1127" s="80"/>
      <c r="ASF1127" s="80"/>
      <c r="ASG1127" s="80"/>
      <c r="ASH1127" s="80"/>
      <c r="ASI1127" s="80"/>
      <c r="ASJ1127" s="80"/>
      <c r="ASK1127" s="80"/>
      <c r="ASL1127" s="80"/>
      <c r="ASM1127" s="80"/>
      <c r="ASN1127" s="80"/>
      <c r="ASO1127" s="80"/>
      <c r="ASP1127" s="80"/>
      <c r="ASQ1127" s="80"/>
      <c r="ASR1127" s="80"/>
      <c r="ASS1127" s="80"/>
      <c r="AST1127" s="80"/>
      <c r="ASU1127" s="80"/>
      <c r="ASV1127" s="80"/>
      <c r="ASW1127" s="80"/>
      <c r="ASX1127" s="80"/>
      <c r="ASY1127" s="80"/>
      <c r="ASZ1127" s="80"/>
      <c r="ATA1127" s="80"/>
      <c r="ATB1127" s="80"/>
      <c r="ATC1127" s="80"/>
      <c r="ATD1127" s="80"/>
      <c r="ATE1127" s="80"/>
      <c r="ATF1127" s="80"/>
      <c r="ATG1127" s="80"/>
      <c r="ATH1127" s="80"/>
      <c r="ATI1127" s="80"/>
      <c r="ATJ1127" s="80"/>
      <c r="ATK1127" s="80"/>
      <c r="ATL1127" s="80"/>
      <c r="ATM1127" s="80"/>
      <c r="ATN1127" s="80"/>
      <c r="ATO1127" s="80"/>
      <c r="ATP1127" s="80"/>
      <c r="ATQ1127" s="80"/>
      <c r="ATR1127" s="80"/>
      <c r="ATS1127" s="80"/>
      <c r="ATT1127" s="80"/>
      <c r="ATU1127" s="80"/>
      <c r="ATV1127" s="80"/>
      <c r="ATW1127" s="80"/>
      <c r="ATX1127" s="80"/>
      <c r="ATY1127" s="80"/>
      <c r="ATZ1127" s="80"/>
      <c r="AUA1127" s="80"/>
      <c r="AUB1127" s="80"/>
      <c r="AUC1127" s="80"/>
      <c r="AUD1127" s="80"/>
      <c r="AUE1127" s="80"/>
      <c r="AUF1127" s="80"/>
      <c r="AUG1127" s="80"/>
      <c r="AUH1127" s="80"/>
      <c r="AUI1127" s="80"/>
      <c r="AUJ1127" s="80"/>
      <c r="AUK1127" s="80"/>
      <c r="AUL1127" s="80"/>
      <c r="AUM1127" s="80"/>
      <c r="AUN1127" s="80"/>
      <c r="AUO1127" s="80"/>
      <c r="AUP1127" s="80"/>
      <c r="AUQ1127" s="80"/>
      <c r="AUR1127" s="80"/>
      <c r="AUS1127" s="80"/>
      <c r="AUT1127" s="80"/>
      <c r="AUU1127" s="80"/>
      <c r="AUV1127" s="80"/>
      <c r="AUW1127" s="80"/>
      <c r="AUX1127" s="80"/>
      <c r="AUY1127" s="80"/>
      <c r="AUZ1127" s="80"/>
      <c r="AVA1127" s="80"/>
      <c r="AVB1127" s="80"/>
      <c r="AVC1127" s="80"/>
      <c r="AVD1127" s="80"/>
      <c r="AVE1127" s="80"/>
      <c r="AVF1127" s="80"/>
      <c r="AVG1127" s="80"/>
      <c r="AVH1127" s="80"/>
      <c r="AVI1127" s="80"/>
      <c r="AVJ1127" s="80"/>
      <c r="AVK1127" s="80"/>
      <c r="AVL1127" s="80"/>
      <c r="AVM1127" s="80"/>
      <c r="AVN1127" s="80"/>
      <c r="AVO1127" s="80"/>
      <c r="AVP1127" s="80"/>
      <c r="AVQ1127" s="80"/>
      <c r="AVR1127" s="80"/>
      <c r="AVS1127" s="80"/>
      <c r="AVT1127" s="80"/>
      <c r="AVU1127" s="80"/>
      <c r="AVV1127" s="80"/>
      <c r="AVW1127" s="80"/>
      <c r="AVX1127" s="80"/>
      <c r="AVY1127" s="80"/>
      <c r="AVZ1127" s="80"/>
      <c r="AWA1127" s="80"/>
      <c r="AWB1127" s="80"/>
      <c r="AWC1127" s="80"/>
      <c r="AWD1127" s="80"/>
      <c r="AWE1127" s="80"/>
      <c r="AWF1127" s="80"/>
      <c r="AWG1127" s="80"/>
      <c r="AWH1127" s="80"/>
      <c r="AWI1127" s="80"/>
      <c r="AWJ1127" s="80"/>
      <c r="AWK1127" s="80"/>
      <c r="AWL1127" s="80"/>
      <c r="AWM1127" s="80"/>
      <c r="AWN1127" s="80"/>
      <c r="AWO1127" s="80"/>
      <c r="AWP1127" s="80"/>
      <c r="AWQ1127" s="80"/>
      <c r="AWR1127" s="80"/>
      <c r="AWS1127" s="80"/>
      <c r="AWT1127" s="80"/>
      <c r="AWU1127" s="80"/>
      <c r="AWV1127" s="80"/>
      <c r="AWW1127" s="80"/>
      <c r="AWX1127" s="80"/>
      <c r="AWY1127" s="80"/>
      <c r="AWZ1127" s="80"/>
      <c r="AXA1127" s="80"/>
      <c r="AXB1127" s="80"/>
      <c r="AXC1127" s="80"/>
      <c r="AXD1127" s="80"/>
      <c r="AXE1127" s="80"/>
      <c r="AXF1127" s="80"/>
      <c r="AXG1127" s="80"/>
      <c r="AXH1127" s="80"/>
      <c r="AXI1127" s="80"/>
      <c r="AXJ1127" s="80"/>
      <c r="AXK1127" s="80"/>
      <c r="AXL1127" s="80"/>
      <c r="AXM1127" s="80"/>
      <c r="AXN1127" s="80"/>
      <c r="AXO1127" s="80"/>
      <c r="AXP1127" s="80"/>
      <c r="AXQ1127" s="80"/>
      <c r="AXR1127" s="80"/>
      <c r="AXS1127" s="80"/>
      <c r="AXT1127" s="80"/>
      <c r="AXU1127" s="80"/>
      <c r="AXV1127" s="80"/>
      <c r="AXW1127" s="80"/>
      <c r="AXX1127" s="80"/>
      <c r="AXY1127" s="80"/>
      <c r="AXZ1127" s="80"/>
      <c r="AYA1127" s="80"/>
      <c r="AYB1127" s="80"/>
      <c r="AYC1127" s="80"/>
      <c r="AYD1127" s="80"/>
      <c r="AYE1127" s="80"/>
      <c r="AYF1127" s="80"/>
      <c r="AYG1127" s="80"/>
      <c r="AYH1127" s="80"/>
      <c r="AYI1127" s="80"/>
      <c r="AYJ1127" s="80"/>
      <c r="AYK1127" s="80"/>
      <c r="AYL1127" s="80"/>
      <c r="AYM1127" s="80"/>
      <c r="AYN1127" s="80"/>
      <c r="AYO1127" s="80"/>
      <c r="AYP1127" s="80"/>
      <c r="AYQ1127" s="80"/>
      <c r="AYR1127" s="80"/>
      <c r="AYS1127" s="80"/>
      <c r="AYT1127" s="80"/>
      <c r="AYU1127" s="80"/>
      <c r="AYV1127" s="80"/>
      <c r="AYW1127" s="80"/>
      <c r="AYX1127" s="80"/>
      <c r="AYY1127" s="80"/>
      <c r="AYZ1127" s="80"/>
      <c r="AZA1127" s="80"/>
      <c r="AZB1127" s="80"/>
      <c r="AZC1127" s="80"/>
      <c r="AZD1127" s="80"/>
      <c r="AZE1127" s="80"/>
      <c r="AZF1127" s="80"/>
      <c r="AZG1127" s="80"/>
      <c r="AZH1127" s="80"/>
      <c r="AZI1127" s="80"/>
      <c r="AZJ1127" s="80"/>
      <c r="AZK1127" s="80"/>
      <c r="AZL1127" s="80"/>
      <c r="AZM1127" s="80"/>
      <c r="AZN1127" s="80"/>
      <c r="AZO1127" s="80"/>
      <c r="AZP1127" s="80"/>
      <c r="AZQ1127" s="80"/>
      <c r="AZR1127" s="80"/>
      <c r="AZS1127" s="80"/>
      <c r="AZT1127" s="80"/>
      <c r="AZU1127" s="80"/>
      <c r="AZV1127" s="80"/>
      <c r="AZW1127" s="80"/>
      <c r="AZX1127" s="80"/>
      <c r="AZY1127" s="80"/>
      <c r="AZZ1127" s="80"/>
      <c r="BAA1127" s="80"/>
      <c r="BAB1127" s="80"/>
      <c r="BAC1127" s="80"/>
      <c r="BAD1127" s="80"/>
      <c r="BAE1127" s="80"/>
      <c r="BAF1127" s="80"/>
      <c r="BAG1127" s="80"/>
      <c r="BAH1127" s="80"/>
      <c r="BAI1127" s="80"/>
      <c r="BAJ1127" s="80"/>
      <c r="BAK1127" s="80"/>
      <c r="BAL1127" s="80"/>
      <c r="BAM1127" s="80"/>
      <c r="BAN1127" s="80"/>
      <c r="BAO1127" s="80"/>
      <c r="BAP1127" s="80"/>
      <c r="BAQ1127" s="80"/>
      <c r="BAR1127" s="80"/>
      <c r="BAS1127" s="80"/>
      <c r="BAT1127" s="80"/>
      <c r="BAU1127" s="80"/>
      <c r="BAV1127" s="80"/>
      <c r="BAW1127" s="80"/>
      <c r="BAX1127" s="80"/>
      <c r="BAY1127" s="80"/>
      <c r="BAZ1127" s="80"/>
      <c r="BBA1127" s="80"/>
      <c r="BBB1127" s="80"/>
      <c r="BBC1127" s="80"/>
      <c r="BBD1127" s="80"/>
      <c r="BBE1127" s="80"/>
      <c r="BBF1127" s="80"/>
      <c r="BBG1127" s="80"/>
      <c r="BBH1127" s="80"/>
      <c r="BBI1127" s="80"/>
      <c r="BBJ1127" s="80"/>
      <c r="BBK1127" s="80"/>
      <c r="BBL1127" s="80"/>
      <c r="BBM1127" s="80"/>
      <c r="BBN1127" s="80"/>
      <c r="BBO1127" s="80"/>
      <c r="BBP1127" s="80"/>
      <c r="BBQ1127" s="80"/>
      <c r="BBR1127" s="80"/>
      <c r="BBS1127" s="80"/>
      <c r="BBT1127" s="80"/>
      <c r="BBU1127" s="80"/>
      <c r="BBV1127" s="80"/>
      <c r="BBW1127" s="80"/>
      <c r="BBX1127" s="80"/>
      <c r="BBY1127" s="80"/>
      <c r="BBZ1127" s="80"/>
      <c r="BCA1127" s="80"/>
      <c r="BCB1127" s="80"/>
      <c r="BCC1127" s="80"/>
      <c r="BCD1127" s="80"/>
      <c r="BCE1127" s="80"/>
      <c r="BCF1127" s="80"/>
      <c r="BCG1127" s="80"/>
      <c r="BCH1127" s="80"/>
      <c r="BCI1127" s="80"/>
      <c r="BCJ1127" s="80"/>
      <c r="BCK1127" s="80"/>
      <c r="BCL1127" s="80"/>
      <c r="BCM1127" s="80"/>
      <c r="BCN1127" s="80"/>
      <c r="BCO1127" s="80"/>
      <c r="BCP1127" s="80"/>
      <c r="BCQ1127" s="80"/>
      <c r="BCR1127" s="80"/>
      <c r="BCS1127" s="80"/>
      <c r="BCT1127" s="80"/>
      <c r="BCU1127" s="80"/>
      <c r="BCV1127" s="80"/>
      <c r="BCW1127" s="80"/>
      <c r="BCX1127" s="80"/>
      <c r="BCY1127" s="80"/>
      <c r="BCZ1127" s="80"/>
      <c r="BDA1127" s="80"/>
      <c r="BDB1127" s="80"/>
      <c r="BDC1127" s="80"/>
      <c r="BDD1127" s="80"/>
      <c r="BDE1127" s="80"/>
      <c r="BDF1127" s="80"/>
      <c r="BDG1127" s="80"/>
      <c r="BDH1127" s="80"/>
      <c r="BDI1127" s="80"/>
      <c r="BDJ1127" s="80"/>
      <c r="BDK1127" s="80"/>
      <c r="BDL1127" s="80"/>
      <c r="BDM1127" s="80"/>
      <c r="BDN1127" s="80"/>
      <c r="BDO1127" s="80"/>
      <c r="BDP1127" s="80"/>
      <c r="BDQ1127" s="80"/>
      <c r="BDR1127" s="80"/>
      <c r="BDS1127" s="80"/>
      <c r="BDT1127" s="80"/>
      <c r="BDU1127" s="80"/>
      <c r="BDV1127" s="80"/>
      <c r="BDW1127" s="80"/>
      <c r="BDX1127" s="80"/>
      <c r="BDY1127" s="80"/>
      <c r="BDZ1127" s="80"/>
      <c r="BEA1127" s="80"/>
      <c r="BEB1127" s="80"/>
      <c r="BEC1127" s="80"/>
      <c r="BED1127" s="80"/>
      <c r="BEE1127" s="80"/>
      <c r="BEF1127" s="80"/>
      <c r="BEG1127" s="80"/>
      <c r="BEH1127" s="80"/>
      <c r="BEI1127" s="80"/>
      <c r="BEJ1127" s="80"/>
      <c r="BEK1127" s="80"/>
      <c r="BEL1127" s="80"/>
      <c r="BEM1127" s="80"/>
      <c r="BEN1127" s="80"/>
      <c r="BEO1127" s="80"/>
      <c r="BEP1127" s="80"/>
      <c r="BEQ1127" s="80"/>
      <c r="BER1127" s="80"/>
      <c r="BES1127" s="80"/>
      <c r="BET1127" s="80"/>
      <c r="BEU1127" s="80"/>
      <c r="BEV1127" s="80"/>
      <c r="BEW1127" s="80"/>
      <c r="BEX1127" s="80"/>
      <c r="BEY1127" s="80"/>
      <c r="BEZ1127" s="80"/>
      <c r="BFA1127" s="80"/>
      <c r="BFB1127" s="80"/>
      <c r="BFC1127" s="80"/>
      <c r="BFD1127" s="80"/>
      <c r="BFE1127" s="80"/>
      <c r="BFF1127" s="80"/>
      <c r="BFG1127" s="80"/>
      <c r="BFH1127" s="80"/>
      <c r="BFI1127" s="80"/>
      <c r="BFJ1127" s="80"/>
      <c r="BFK1127" s="80"/>
      <c r="BFL1127" s="80"/>
      <c r="BFM1127" s="80"/>
      <c r="BFN1127" s="80"/>
      <c r="BFO1127" s="80"/>
      <c r="BFP1127" s="80"/>
      <c r="BFQ1127" s="80"/>
      <c r="BFR1127" s="80"/>
      <c r="BFS1127" s="80"/>
      <c r="BFT1127" s="80"/>
      <c r="BFU1127" s="80"/>
      <c r="BFV1127" s="80"/>
      <c r="BFW1127" s="80"/>
      <c r="BFX1127" s="80"/>
      <c r="BFY1127" s="80"/>
      <c r="BFZ1127" s="80"/>
      <c r="BGA1127" s="80"/>
      <c r="BGB1127" s="80"/>
      <c r="BGC1127" s="80"/>
      <c r="BGD1127" s="80"/>
      <c r="BGE1127" s="80"/>
      <c r="BGF1127" s="80"/>
      <c r="BGG1127" s="80"/>
      <c r="BGH1127" s="80"/>
      <c r="BGI1127" s="80"/>
      <c r="BGJ1127" s="80"/>
      <c r="BGK1127" s="80"/>
      <c r="BGL1127" s="80"/>
      <c r="BGM1127" s="80"/>
      <c r="BGN1127" s="80"/>
      <c r="BGO1127" s="80"/>
      <c r="BGP1127" s="80"/>
      <c r="BGQ1127" s="80"/>
      <c r="BGR1127" s="80"/>
      <c r="BGS1127" s="80"/>
      <c r="BGT1127" s="80"/>
      <c r="BGU1127" s="80"/>
      <c r="BGV1127" s="80"/>
      <c r="BGW1127" s="80"/>
      <c r="BGX1127" s="80"/>
      <c r="BGY1127" s="80"/>
      <c r="BGZ1127" s="80"/>
      <c r="BHA1127" s="80"/>
      <c r="BHB1127" s="80"/>
      <c r="BHC1127" s="80"/>
      <c r="BHD1127" s="80"/>
      <c r="BHE1127" s="80"/>
      <c r="BHF1127" s="80"/>
      <c r="BHG1127" s="80"/>
      <c r="BHH1127" s="80"/>
      <c r="BHI1127" s="80"/>
      <c r="BHJ1127" s="80"/>
      <c r="BHK1127" s="80"/>
      <c r="BHL1127" s="80"/>
      <c r="BHM1127" s="80"/>
      <c r="BHN1127" s="80"/>
      <c r="BHO1127" s="80"/>
      <c r="BHP1127" s="80"/>
      <c r="BHQ1127" s="80"/>
      <c r="BHR1127" s="80"/>
      <c r="BHS1127" s="80"/>
      <c r="BHT1127" s="80"/>
      <c r="BHU1127" s="80"/>
      <c r="BHV1127" s="80"/>
      <c r="BHW1127" s="80"/>
      <c r="BHX1127" s="80"/>
      <c r="BHY1127" s="80"/>
      <c r="BHZ1127" s="80"/>
      <c r="BIA1127" s="80"/>
      <c r="BIB1127" s="80"/>
      <c r="BIC1127" s="80"/>
      <c r="BID1127" s="80"/>
      <c r="BIE1127" s="80"/>
      <c r="BIF1127" s="80"/>
      <c r="BIG1127" s="80"/>
      <c r="BIH1127" s="80"/>
      <c r="BII1127" s="80"/>
      <c r="BIJ1127" s="80"/>
      <c r="BIK1127" s="80"/>
      <c r="BIL1127" s="80"/>
      <c r="BIM1127" s="80"/>
      <c r="BIN1127" s="80"/>
      <c r="BIO1127" s="80"/>
      <c r="BIP1127" s="80"/>
      <c r="BIQ1127" s="80"/>
      <c r="BIR1127" s="80"/>
      <c r="BIS1127" s="80"/>
      <c r="BIT1127" s="80"/>
      <c r="BIU1127" s="80"/>
      <c r="BIV1127" s="80"/>
      <c r="BIW1127" s="80"/>
      <c r="BIX1127" s="80"/>
      <c r="BIY1127" s="80"/>
      <c r="BIZ1127" s="80"/>
      <c r="BJA1127" s="80"/>
      <c r="BJB1127" s="80"/>
      <c r="BJC1127" s="80"/>
      <c r="BJD1127" s="80"/>
      <c r="BJE1127" s="80"/>
      <c r="BJF1127" s="80"/>
      <c r="BJG1127" s="80"/>
      <c r="BJH1127" s="80"/>
      <c r="BJI1127" s="80"/>
      <c r="BJJ1127" s="80"/>
      <c r="BJK1127" s="80"/>
      <c r="BJL1127" s="80"/>
      <c r="BJM1127" s="80"/>
      <c r="BJN1127" s="80"/>
      <c r="BJO1127" s="80"/>
      <c r="BJP1127" s="80"/>
      <c r="BJQ1127" s="80"/>
      <c r="BJR1127" s="80"/>
      <c r="BJS1127" s="80"/>
      <c r="BJT1127" s="80"/>
      <c r="BJU1127" s="80"/>
      <c r="BJV1127" s="80"/>
      <c r="BJW1127" s="80"/>
      <c r="BJX1127" s="80"/>
      <c r="BJY1127" s="80"/>
      <c r="BJZ1127" s="80"/>
      <c r="BKA1127" s="80"/>
      <c r="BKB1127" s="80"/>
      <c r="BKC1127" s="80"/>
      <c r="BKD1127" s="80"/>
      <c r="BKE1127" s="80"/>
      <c r="BKF1127" s="80"/>
      <c r="BKG1127" s="80"/>
      <c r="BKH1127" s="80"/>
      <c r="BKI1127" s="80"/>
      <c r="BKJ1127" s="80"/>
      <c r="BKK1127" s="80"/>
      <c r="BKL1127" s="80"/>
      <c r="BKM1127" s="80"/>
      <c r="BKN1127" s="80"/>
      <c r="BKO1127" s="80"/>
      <c r="BKP1127" s="80"/>
      <c r="BKQ1127" s="80"/>
      <c r="BKR1127" s="80"/>
      <c r="BKS1127" s="80"/>
      <c r="BKT1127" s="80"/>
      <c r="BKU1127" s="80"/>
      <c r="BKV1127" s="80"/>
      <c r="BKW1127" s="80"/>
      <c r="BKX1127" s="80"/>
      <c r="BKY1127" s="80"/>
      <c r="BKZ1127" s="80"/>
      <c r="BLA1127" s="80"/>
      <c r="BLB1127" s="80"/>
      <c r="BLC1127" s="80"/>
      <c r="BLD1127" s="80"/>
      <c r="BLE1127" s="80"/>
      <c r="BLF1127" s="80"/>
      <c r="BLG1127" s="80"/>
      <c r="BLH1127" s="80"/>
      <c r="BLI1127" s="80"/>
      <c r="BLJ1127" s="80"/>
      <c r="BLK1127" s="80"/>
      <c r="BLL1127" s="80"/>
      <c r="BLM1127" s="80"/>
      <c r="BLN1127" s="80"/>
      <c r="BLO1127" s="80"/>
      <c r="BLP1127" s="80"/>
      <c r="BLQ1127" s="80"/>
      <c r="BLR1127" s="80"/>
      <c r="BLS1127" s="80"/>
      <c r="BLT1127" s="80"/>
      <c r="BLU1127" s="80"/>
      <c r="BLV1127" s="80"/>
      <c r="BLW1127" s="80"/>
      <c r="BLX1127" s="80"/>
      <c r="BLY1127" s="80"/>
      <c r="BLZ1127" s="80"/>
      <c r="BMA1127" s="80"/>
      <c r="BMB1127" s="80"/>
      <c r="BMC1127" s="80"/>
      <c r="BMD1127" s="80"/>
      <c r="BME1127" s="80"/>
      <c r="BMF1127" s="80"/>
      <c r="BMG1127" s="80"/>
      <c r="BMH1127" s="80"/>
      <c r="BMI1127" s="80"/>
      <c r="BMJ1127" s="80"/>
      <c r="BMK1127" s="80"/>
      <c r="BML1127" s="80"/>
      <c r="BMM1127" s="80"/>
      <c r="BMN1127" s="80"/>
      <c r="BMO1127" s="80"/>
      <c r="BMP1127" s="80"/>
      <c r="BMQ1127" s="80"/>
      <c r="BMR1127" s="80"/>
      <c r="BMS1127" s="80"/>
      <c r="BMT1127" s="80"/>
      <c r="BMU1127" s="80"/>
      <c r="BMV1127" s="80"/>
      <c r="BMW1127" s="80"/>
      <c r="BMX1127" s="80"/>
      <c r="BMY1127" s="80"/>
      <c r="BMZ1127" s="80"/>
      <c r="BNA1127" s="80"/>
      <c r="BNB1127" s="80"/>
      <c r="BNC1127" s="80"/>
      <c r="BND1127" s="80"/>
      <c r="BNE1127" s="80"/>
      <c r="BNF1127" s="80"/>
      <c r="BNG1127" s="80"/>
      <c r="BNH1127" s="80"/>
      <c r="BNI1127" s="80"/>
      <c r="BNJ1127" s="80"/>
      <c r="BNK1127" s="80"/>
      <c r="BNL1127" s="80"/>
      <c r="BNM1127" s="80"/>
      <c r="BNN1127" s="80"/>
      <c r="BNO1127" s="80"/>
      <c r="BNP1127" s="80"/>
      <c r="BNQ1127" s="80"/>
      <c r="BNR1127" s="80"/>
      <c r="BNS1127" s="80"/>
      <c r="BNT1127" s="80"/>
      <c r="BNU1127" s="80"/>
      <c r="BNV1127" s="80"/>
      <c r="BNW1127" s="80"/>
      <c r="BNX1127" s="80"/>
      <c r="BNY1127" s="80"/>
      <c r="BNZ1127" s="80"/>
      <c r="BOA1127" s="80"/>
      <c r="BOB1127" s="80"/>
      <c r="BOC1127" s="80"/>
      <c r="BOD1127" s="80"/>
      <c r="BOE1127" s="80"/>
      <c r="BOF1127" s="80"/>
      <c r="BOG1127" s="80"/>
      <c r="BOH1127" s="80"/>
      <c r="BOI1127" s="80"/>
      <c r="BOJ1127" s="80"/>
      <c r="BOK1127" s="80"/>
      <c r="BOL1127" s="80"/>
      <c r="BOM1127" s="80"/>
      <c r="BON1127" s="80"/>
      <c r="BOO1127" s="80"/>
      <c r="BOP1127" s="80"/>
      <c r="BOQ1127" s="80"/>
      <c r="BOR1127" s="80"/>
      <c r="BOS1127" s="80"/>
      <c r="BOT1127" s="80"/>
      <c r="BOU1127" s="80"/>
      <c r="BOV1127" s="80"/>
      <c r="BOW1127" s="80"/>
      <c r="BOX1127" s="80"/>
      <c r="BOY1127" s="80"/>
      <c r="BOZ1127" s="80"/>
      <c r="BPA1127" s="80"/>
      <c r="BPB1127" s="80"/>
      <c r="BPC1127" s="80"/>
      <c r="BPD1127" s="80"/>
      <c r="BPE1127" s="80"/>
      <c r="BPF1127" s="80"/>
      <c r="BPG1127" s="80"/>
      <c r="BPH1127" s="80"/>
      <c r="BPI1127" s="80"/>
      <c r="BPJ1127" s="80"/>
      <c r="BPK1127" s="80"/>
      <c r="BPL1127" s="80"/>
      <c r="BPM1127" s="80"/>
      <c r="BPN1127" s="80"/>
      <c r="BPO1127" s="80"/>
      <c r="BPP1127" s="80"/>
      <c r="BPQ1127" s="80"/>
      <c r="BPR1127" s="80"/>
      <c r="BPS1127" s="80"/>
      <c r="BPT1127" s="80"/>
      <c r="BPU1127" s="80"/>
      <c r="BPV1127" s="80"/>
      <c r="BPW1127" s="80"/>
      <c r="BPX1127" s="80"/>
      <c r="BPY1127" s="80"/>
      <c r="BPZ1127" s="80"/>
      <c r="BQA1127" s="80"/>
      <c r="BQB1127" s="80"/>
      <c r="BQC1127" s="80"/>
      <c r="BQD1127" s="80"/>
      <c r="BQE1127" s="80"/>
      <c r="BQF1127" s="80"/>
      <c r="BQG1127" s="80"/>
      <c r="BQH1127" s="80"/>
      <c r="BQI1127" s="80"/>
      <c r="BQJ1127" s="80"/>
      <c r="BQK1127" s="80"/>
      <c r="BQL1127" s="80"/>
      <c r="BQM1127" s="80"/>
      <c r="BQN1127" s="80"/>
      <c r="BQO1127" s="80"/>
      <c r="BQP1127" s="80"/>
      <c r="BQQ1127" s="80"/>
      <c r="BQR1127" s="80"/>
      <c r="BQS1127" s="80"/>
      <c r="BQT1127" s="80"/>
      <c r="BQU1127" s="80"/>
      <c r="BQV1127" s="80"/>
      <c r="BQW1127" s="80"/>
      <c r="BQX1127" s="80"/>
      <c r="BQY1127" s="80"/>
      <c r="BQZ1127" s="80"/>
      <c r="BRA1127" s="80"/>
      <c r="BRB1127" s="80"/>
      <c r="BRC1127" s="80"/>
      <c r="BRD1127" s="80"/>
      <c r="BRE1127" s="80"/>
      <c r="BRF1127" s="80"/>
      <c r="BRG1127" s="80"/>
      <c r="BRH1127" s="80"/>
      <c r="BRI1127" s="80"/>
      <c r="BRJ1127" s="80"/>
      <c r="BRK1127" s="80"/>
      <c r="BRL1127" s="80"/>
      <c r="BRM1127" s="80"/>
      <c r="BRN1127" s="80"/>
      <c r="BRO1127" s="80"/>
      <c r="BRP1127" s="80"/>
      <c r="BRQ1127" s="80"/>
      <c r="BRR1127" s="80"/>
      <c r="BRS1127" s="80"/>
      <c r="BRT1127" s="80"/>
      <c r="BRU1127" s="80"/>
      <c r="BRV1127" s="80"/>
      <c r="BRW1127" s="80"/>
      <c r="BRX1127" s="80"/>
      <c r="BRY1127" s="80"/>
      <c r="BRZ1127" s="80"/>
      <c r="BSA1127" s="80"/>
      <c r="BSB1127" s="80"/>
      <c r="BSC1127" s="80"/>
      <c r="BSD1127" s="80"/>
      <c r="BSE1127" s="80"/>
      <c r="BSF1127" s="80"/>
      <c r="BSG1127" s="80"/>
      <c r="BSH1127" s="80"/>
      <c r="BSI1127" s="80"/>
      <c r="BSJ1127" s="80"/>
      <c r="BSK1127" s="80"/>
      <c r="BSL1127" s="80"/>
      <c r="BSM1127" s="80"/>
      <c r="BSN1127" s="80"/>
      <c r="BSO1127" s="80"/>
      <c r="BSP1127" s="80"/>
      <c r="BSQ1127" s="80"/>
      <c r="BSR1127" s="80"/>
      <c r="BSS1127" s="80"/>
      <c r="BST1127" s="80"/>
      <c r="BSU1127" s="80"/>
      <c r="BSV1127" s="80"/>
      <c r="BSW1127" s="80"/>
      <c r="BSX1127" s="80"/>
      <c r="BSY1127" s="80"/>
      <c r="BSZ1127" s="80"/>
      <c r="BTA1127" s="80"/>
      <c r="BTB1127" s="80"/>
      <c r="BTC1127" s="80"/>
      <c r="BTD1127" s="80"/>
      <c r="BTE1127" s="80"/>
      <c r="BTF1127" s="80"/>
      <c r="BTG1127" s="80"/>
      <c r="BTH1127" s="80"/>
      <c r="BTI1127" s="80"/>
      <c r="BTJ1127" s="80"/>
      <c r="BTK1127" s="80"/>
      <c r="BTL1127" s="80"/>
      <c r="BTM1127" s="80"/>
      <c r="BTN1127" s="80"/>
      <c r="BTO1127" s="80"/>
      <c r="BTP1127" s="80"/>
      <c r="BTQ1127" s="80"/>
      <c r="BTR1127" s="80"/>
      <c r="BTS1127" s="80"/>
      <c r="BTT1127" s="80"/>
      <c r="BTU1127" s="80"/>
      <c r="BTV1127" s="80"/>
      <c r="BTW1127" s="80"/>
      <c r="BTX1127" s="80"/>
      <c r="BTY1127" s="80"/>
      <c r="BTZ1127" s="80"/>
      <c r="BUA1127" s="80"/>
      <c r="BUB1127" s="80"/>
      <c r="BUC1127" s="80"/>
      <c r="BUD1127" s="80"/>
      <c r="BUE1127" s="80"/>
      <c r="BUF1127" s="80"/>
      <c r="BUG1127" s="80"/>
      <c r="BUH1127" s="80"/>
      <c r="BUI1127" s="80"/>
      <c r="BUJ1127" s="80"/>
      <c r="BUK1127" s="80"/>
      <c r="BUL1127" s="80"/>
      <c r="BUM1127" s="80"/>
      <c r="BUN1127" s="80"/>
      <c r="BUO1127" s="80"/>
      <c r="BUP1127" s="80"/>
      <c r="BUQ1127" s="80"/>
      <c r="BUR1127" s="80"/>
      <c r="BUS1127" s="80"/>
      <c r="BUT1127" s="80"/>
      <c r="BUU1127" s="80"/>
      <c r="BUV1127" s="80"/>
      <c r="BUW1127" s="80"/>
      <c r="BUX1127" s="80"/>
      <c r="BUY1127" s="80"/>
      <c r="BUZ1127" s="80"/>
      <c r="BVA1127" s="80"/>
      <c r="BVB1127" s="80"/>
      <c r="BVC1127" s="80"/>
      <c r="BVD1127" s="80"/>
      <c r="BVE1127" s="80"/>
      <c r="BVF1127" s="80"/>
      <c r="BVG1127" s="80"/>
      <c r="BVH1127" s="80"/>
      <c r="BVI1127" s="80"/>
      <c r="BVJ1127" s="80"/>
      <c r="BVK1127" s="80"/>
      <c r="BVL1127" s="80"/>
      <c r="BVM1127" s="80"/>
      <c r="BVN1127" s="80"/>
      <c r="BVO1127" s="80"/>
      <c r="BVP1127" s="80"/>
      <c r="BVQ1127" s="80"/>
      <c r="BVR1127" s="80"/>
      <c r="BVS1127" s="80"/>
      <c r="BVT1127" s="80"/>
      <c r="BVU1127" s="80"/>
      <c r="BVV1127" s="80"/>
      <c r="BVW1127" s="80"/>
      <c r="BVX1127" s="80"/>
      <c r="BVY1127" s="80"/>
      <c r="BVZ1127" s="80"/>
      <c r="BWA1127" s="80"/>
      <c r="BWB1127" s="80"/>
      <c r="BWC1127" s="80"/>
      <c r="BWD1127" s="80"/>
      <c r="BWE1127" s="80"/>
      <c r="BWF1127" s="80"/>
      <c r="BWG1127" s="80"/>
      <c r="BWH1127" s="80"/>
      <c r="BWI1127" s="80"/>
      <c r="BWJ1127" s="80"/>
      <c r="BWK1127" s="80"/>
      <c r="BWL1127" s="80"/>
      <c r="BWM1127" s="80"/>
      <c r="BWN1127" s="80"/>
      <c r="BWO1127" s="80"/>
      <c r="BWP1127" s="80"/>
      <c r="BWQ1127" s="80"/>
      <c r="BWR1127" s="80"/>
      <c r="BWS1127" s="80"/>
      <c r="BWT1127" s="80"/>
      <c r="BWU1127" s="80"/>
      <c r="BWV1127" s="80"/>
      <c r="BWW1127" s="80"/>
      <c r="BWX1127" s="80"/>
      <c r="BWY1127" s="80"/>
      <c r="BWZ1127" s="80"/>
      <c r="BXA1127" s="80"/>
      <c r="BXB1127" s="80"/>
      <c r="BXC1127" s="80"/>
      <c r="BXD1127" s="80"/>
      <c r="BXE1127" s="80"/>
      <c r="BXF1127" s="80"/>
      <c r="BXG1127" s="80"/>
      <c r="BXH1127" s="80"/>
      <c r="BXI1127" s="80"/>
      <c r="BXJ1127" s="80"/>
      <c r="BXK1127" s="80"/>
      <c r="BXL1127" s="80"/>
      <c r="BXM1127" s="80"/>
      <c r="BXN1127" s="80"/>
      <c r="BXO1127" s="80"/>
      <c r="BXP1127" s="80"/>
      <c r="BXQ1127" s="80"/>
      <c r="BXR1127" s="80"/>
      <c r="BXS1127" s="80"/>
      <c r="BXT1127" s="80"/>
      <c r="BXU1127" s="80"/>
      <c r="BXV1127" s="80"/>
      <c r="BXW1127" s="80"/>
      <c r="BXX1127" s="80"/>
      <c r="BXY1127" s="80"/>
      <c r="BXZ1127" s="80"/>
      <c r="BYA1127" s="80"/>
      <c r="BYB1127" s="80"/>
      <c r="BYC1127" s="80"/>
      <c r="BYD1127" s="80"/>
      <c r="BYE1127" s="80"/>
      <c r="BYF1127" s="80"/>
      <c r="BYG1127" s="80"/>
      <c r="BYH1127" s="80"/>
      <c r="BYI1127" s="80"/>
      <c r="BYJ1127" s="80"/>
      <c r="BYK1127" s="80"/>
      <c r="BYL1127" s="80"/>
      <c r="BYM1127" s="80"/>
      <c r="BYN1127" s="80"/>
      <c r="BYO1127" s="80"/>
      <c r="BYP1127" s="80"/>
      <c r="BYQ1127" s="80"/>
      <c r="BYR1127" s="80"/>
      <c r="BYS1127" s="80"/>
      <c r="BYT1127" s="80"/>
      <c r="BYU1127" s="80"/>
      <c r="BYV1127" s="80"/>
      <c r="BYW1127" s="80"/>
      <c r="BYX1127" s="80"/>
      <c r="BYY1127" s="80"/>
      <c r="BYZ1127" s="80"/>
      <c r="BZA1127" s="80"/>
      <c r="BZB1127" s="80"/>
      <c r="BZC1127" s="80"/>
      <c r="BZD1127" s="80"/>
      <c r="BZE1127" s="80"/>
      <c r="BZF1127" s="80"/>
      <c r="BZG1127" s="80"/>
      <c r="BZH1127" s="80"/>
      <c r="BZI1127" s="80"/>
      <c r="BZJ1127" s="80"/>
      <c r="BZK1127" s="80"/>
      <c r="BZL1127" s="80"/>
      <c r="BZM1127" s="80"/>
      <c r="BZN1127" s="80"/>
      <c r="BZO1127" s="80"/>
      <c r="BZP1127" s="80"/>
      <c r="BZQ1127" s="80"/>
      <c r="BZR1127" s="80"/>
      <c r="BZS1127" s="80"/>
      <c r="BZT1127" s="80"/>
      <c r="BZU1127" s="80"/>
      <c r="BZV1127" s="80"/>
      <c r="BZW1127" s="80"/>
      <c r="BZX1127" s="80"/>
      <c r="BZY1127" s="80"/>
      <c r="BZZ1127" s="80"/>
      <c r="CAA1127" s="80"/>
      <c r="CAB1127" s="80"/>
      <c r="CAC1127" s="80"/>
      <c r="CAD1127" s="80"/>
      <c r="CAE1127" s="80"/>
      <c r="CAF1127" s="80"/>
      <c r="CAG1127" s="80"/>
      <c r="CAH1127" s="80"/>
      <c r="CAI1127" s="80"/>
      <c r="CAJ1127" s="80"/>
      <c r="CAK1127" s="80"/>
      <c r="CAL1127" s="80"/>
      <c r="CAM1127" s="80"/>
      <c r="CAN1127" s="80"/>
      <c r="CAO1127" s="80"/>
      <c r="CAP1127" s="80"/>
      <c r="CAQ1127" s="80"/>
      <c r="CAR1127" s="80"/>
      <c r="CAS1127" s="80"/>
      <c r="CAT1127" s="80"/>
      <c r="CAU1127" s="80"/>
      <c r="CAV1127" s="80"/>
      <c r="CAW1127" s="80"/>
      <c r="CAX1127" s="80"/>
      <c r="CAY1127" s="80"/>
      <c r="CAZ1127" s="80"/>
      <c r="CBA1127" s="80"/>
      <c r="CBB1127" s="80"/>
      <c r="CBC1127" s="80"/>
      <c r="CBD1127" s="80"/>
      <c r="CBE1127" s="80"/>
      <c r="CBF1127" s="80"/>
      <c r="CBG1127" s="80"/>
      <c r="CBH1127" s="80"/>
      <c r="CBI1127" s="80"/>
      <c r="CBJ1127" s="80"/>
      <c r="CBK1127" s="80"/>
      <c r="CBL1127" s="80"/>
      <c r="CBM1127" s="80"/>
      <c r="CBN1127" s="80"/>
      <c r="CBO1127" s="80"/>
      <c r="CBP1127" s="80"/>
      <c r="CBQ1127" s="80"/>
      <c r="CBR1127" s="80"/>
      <c r="CBS1127" s="80"/>
      <c r="CBT1127" s="80"/>
      <c r="CBU1127" s="80"/>
      <c r="CBV1127" s="80"/>
      <c r="CBW1127" s="80"/>
      <c r="CBX1127" s="80"/>
      <c r="CBY1127" s="80"/>
      <c r="CBZ1127" s="80"/>
      <c r="CCA1127" s="80"/>
      <c r="CCB1127" s="80"/>
      <c r="CCC1127" s="80"/>
      <c r="CCD1127" s="80"/>
      <c r="CCE1127" s="80"/>
      <c r="CCF1127" s="80"/>
      <c r="CCG1127" s="80"/>
      <c r="CCH1127" s="80"/>
      <c r="CCI1127" s="80"/>
      <c r="CCJ1127" s="80"/>
      <c r="CCK1127" s="80"/>
      <c r="CCL1127" s="80"/>
      <c r="CCM1127" s="80"/>
      <c r="CCN1127" s="80"/>
      <c r="CCO1127" s="80"/>
      <c r="CCP1127" s="80"/>
      <c r="CCQ1127" s="80"/>
      <c r="CCR1127" s="80"/>
      <c r="CCS1127" s="80"/>
      <c r="CCT1127" s="80"/>
      <c r="CCU1127" s="80"/>
      <c r="CCV1127" s="80"/>
      <c r="CCW1127" s="80"/>
      <c r="CCX1127" s="80"/>
      <c r="CCY1127" s="80"/>
      <c r="CCZ1127" s="80"/>
      <c r="CDA1127" s="80"/>
      <c r="CDB1127" s="80"/>
      <c r="CDC1127" s="80"/>
      <c r="CDD1127" s="80"/>
      <c r="CDE1127" s="80"/>
      <c r="CDF1127" s="80"/>
      <c r="CDG1127" s="80"/>
      <c r="CDH1127" s="80"/>
      <c r="CDI1127" s="80"/>
      <c r="CDJ1127" s="80"/>
      <c r="CDK1127" s="80"/>
      <c r="CDL1127" s="80"/>
      <c r="CDM1127" s="80"/>
      <c r="CDN1127" s="80"/>
      <c r="CDO1127" s="80"/>
      <c r="CDP1127" s="80"/>
      <c r="CDQ1127" s="80"/>
      <c r="CDR1127" s="80"/>
      <c r="CDS1127" s="80"/>
      <c r="CDT1127" s="80"/>
      <c r="CDU1127" s="80"/>
      <c r="CDV1127" s="80"/>
      <c r="CDW1127" s="80"/>
      <c r="CDX1127" s="80"/>
      <c r="CDY1127" s="80"/>
      <c r="CDZ1127" s="80"/>
      <c r="CEA1127" s="80"/>
      <c r="CEB1127" s="80"/>
      <c r="CEC1127" s="80"/>
      <c r="CED1127" s="80"/>
      <c r="CEE1127" s="80"/>
      <c r="CEF1127" s="80"/>
      <c r="CEG1127" s="80"/>
      <c r="CEH1127" s="80"/>
      <c r="CEI1127" s="80"/>
      <c r="CEJ1127" s="80"/>
      <c r="CEK1127" s="80"/>
      <c r="CEL1127" s="80"/>
      <c r="CEM1127" s="80"/>
      <c r="CEN1127" s="80"/>
      <c r="CEO1127" s="80"/>
      <c r="CEP1127" s="80"/>
      <c r="CEQ1127" s="80"/>
      <c r="CER1127" s="80"/>
      <c r="CES1127" s="80"/>
      <c r="CET1127" s="80"/>
      <c r="CEU1127" s="80"/>
      <c r="CEV1127" s="80"/>
      <c r="CEW1127" s="80"/>
      <c r="CEX1127" s="80"/>
      <c r="CEY1127" s="80"/>
      <c r="CEZ1127" s="80"/>
      <c r="CFA1127" s="80"/>
      <c r="CFB1127" s="80"/>
      <c r="CFC1127" s="80"/>
      <c r="CFD1127" s="80"/>
      <c r="CFE1127" s="80"/>
      <c r="CFF1127" s="80"/>
      <c r="CFG1127" s="80"/>
      <c r="CFH1127" s="80"/>
      <c r="CFI1127" s="80"/>
      <c r="CFJ1127" s="80"/>
      <c r="CFK1127" s="80"/>
      <c r="CFL1127" s="80"/>
      <c r="CFM1127" s="80"/>
      <c r="CFN1127" s="80"/>
      <c r="CFO1127" s="80"/>
      <c r="CFP1127" s="80"/>
      <c r="CFQ1127" s="80"/>
      <c r="CFR1127" s="80"/>
      <c r="CFS1127" s="80"/>
      <c r="CFT1127" s="80"/>
      <c r="CFU1127" s="80"/>
      <c r="CFV1127" s="80"/>
      <c r="CFW1127" s="80"/>
      <c r="CFX1127" s="80"/>
      <c r="CFY1127" s="80"/>
      <c r="CFZ1127" s="80"/>
      <c r="CGA1127" s="80"/>
      <c r="CGB1127" s="80"/>
      <c r="CGC1127" s="80"/>
      <c r="CGD1127" s="80"/>
      <c r="CGE1127" s="80"/>
      <c r="CGF1127" s="80"/>
      <c r="CGG1127" s="80"/>
      <c r="CGH1127" s="80"/>
      <c r="CGI1127" s="80"/>
      <c r="CGJ1127" s="80"/>
      <c r="CGK1127" s="80"/>
      <c r="CGL1127" s="80"/>
      <c r="CGM1127" s="80"/>
      <c r="CGN1127" s="80"/>
      <c r="CGO1127" s="80"/>
      <c r="CGP1127" s="80"/>
      <c r="CGQ1127" s="80"/>
      <c r="CGR1127" s="80"/>
      <c r="CGS1127" s="80"/>
      <c r="CGT1127" s="80"/>
      <c r="CGU1127" s="80"/>
      <c r="CGV1127" s="80"/>
      <c r="CGW1127" s="80"/>
      <c r="CGX1127" s="80"/>
      <c r="CGY1127" s="80"/>
      <c r="CGZ1127" s="80"/>
      <c r="CHA1127" s="80"/>
      <c r="CHB1127" s="80"/>
      <c r="CHC1127" s="80"/>
      <c r="CHD1127" s="80"/>
      <c r="CHE1127" s="80"/>
      <c r="CHF1127" s="80"/>
      <c r="CHG1127" s="80"/>
      <c r="CHH1127" s="80"/>
      <c r="CHI1127" s="80"/>
      <c r="CHJ1127" s="80"/>
      <c r="CHK1127" s="80"/>
      <c r="CHL1127" s="80"/>
      <c r="CHM1127" s="80"/>
      <c r="CHN1127" s="80"/>
      <c r="CHO1127" s="80"/>
      <c r="CHP1127" s="80"/>
      <c r="CHQ1127" s="80"/>
      <c r="CHR1127" s="80"/>
      <c r="CHS1127" s="80"/>
      <c r="CHT1127" s="80"/>
      <c r="CHU1127" s="80"/>
      <c r="CHV1127" s="80"/>
      <c r="CHW1127" s="80"/>
      <c r="CHX1127" s="80"/>
      <c r="CHY1127" s="80"/>
      <c r="CHZ1127" s="80"/>
      <c r="CIA1127" s="80"/>
      <c r="CIB1127" s="80"/>
      <c r="CIC1127" s="80"/>
      <c r="CID1127" s="80"/>
      <c r="CIE1127" s="80"/>
      <c r="CIF1127" s="80"/>
      <c r="CIG1127" s="80"/>
      <c r="CIH1127" s="80"/>
      <c r="CII1127" s="80"/>
      <c r="CIJ1127" s="80"/>
      <c r="CIK1127" s="80"/>
      <c r="CIL1127" s="80"/>
      <c r="CIM1127" s="80"/>
      <c r="CIN1127" s="80"/>
      <c r="CIO1127" s="80"/>
      <c r="CIP1127" s="80"/>
      <c r="CIQ1127" s="80"/>
      <c r="CIR1127" s="80"/>
      <c r="CIS1127" s="80"/>
      <c r="CIT1127" s="80"/>
      <c r="CIU1127" s="80"/>
      <c r="CIV1127" s="80"/>
      <c r="CIW1127" s="80"/>
      <c r="CIX1127" s="80"/>
      <c r="CIY1127" s="80"/>
      <c r="CIZ1127" s="80"/>
      <c r="CJA1127" s="80"/>
      <c r="CJB1127" s="80"/>
      <c r="CJC1127" s="80"/>
      <c r="CJD1127" s="80"/>
      <c r="CJE1127" s="80"/>
      <c r="CJF1127" s="80"/>
      <c r="CJG1127" s="80"/>
      <c r="CJH1127" s="80"/>
      <c r="CJI1127" s="80"/>
      <c r="CJJ1127" s="80"/>
      <c r="CJK1127" s="80"/>
      <c r="CJL1127" s="80"/>
      <c r="CJM1127" s="80"/>
      <c r="CJN1127" s="80"/>
      <c r="CJO1127" s="80"/>
      <c r="CJP1127" s="80"/>
      <c r="CJQ1127" s="80"/>
      <c r="CJR1127" s="80"/>
      <c r="CJS1127" s="80"/>
      <c r="CJT1127" s="80"/>
      <c r="CJU1127" s="80"/>
      <c r="CJV1127" s="80"/>
      <c r="CJW1127" s="80"/>
      <c r="CJX1127" s="80"/>
      <c r="CJY1127" s="80"/>
      <c r="CJZ1127" s="80"/>
      <c r="CKA1127" s="80"/>
      <c r="CKB1127" s="80"/>
      <c r="CKC1127" s="80"/>
      <c r="CKD1127" s="80"/>
      <c r="CKE1127" s="80"/>
      <c r="CKF1127" s="80"/>
      <c r="CKG1127" s="80"/>
      <c r="CKH1127" s="80"/>
      <c r="CKI1127" s="80"/>
      <c r="CKJ1127" s="80"/>
      <c r="CKK1127" s="80"/>
      <c r="CKL1127" s="80"/>
      <c r="CKM1127" s="80"/>
      <c r="CKN1127" s="80"/>
      <c r="CKO1127" s="80"/>
      <c r="CKP1127" s="80"/>
      <c r="CKQ1127" s="80"/>
      <c r="CKR1127" s="80"/>
      <c r="CKS1127" s="80"/>
      <c r="CKT1127" s="80"/>
      <c r="CKU1127" s="80"/>
      <c r="CKV1127" s="80"/>
      <c r="CKW1127" s="80"/>
      <c r="CKX1127" s="80"/>
      <c r="CKY1127" s="80"/>
      <c r="CKZ1127" s="80"/>
      <c r="CLA1127" s="80"/>
      <c r="CLB1127" s="80"/>
      <c r="CLC1127" s="80"/>
      <c r="CLD1127" s="80"/>
      <c r="CLE1127" s="80"/>
      <c r="CLF1127" s="80"/>
      <c r="CLG1127" s="80"/>
      <c r="CLH1127" s="80"/>
      <c r="CLI1127" s="80"/>
      <c r="CLJ1127" s="80"/>
      <c r="CLK1127" s="80"/>
      <c r="CLL1127" s="80"/>
      <c r="CLM1127" s="80"/>
      <c r="CLN1127" s="80"/>
      <c r="CLO1127" s="80"/>
      <c r="CLP1127" s="80"/>
      <c r="CLQ1127" s="80"/>
      <c r="CLR1127" s="80"/>
      <c r="CLS1127" s="80"/>
      <c r="CLT1127" s="80"/>
      <c r="CLU1127" s="80"/>
      <c r="CLV1127" s="80"/>
      <c r="CLW1127" s="80"/>
      <c r="CLX1127" s="80"/>
      <c r="CLY1127" s="80"/>
      <c r="CLZ1127" s="80"/>
      <c r="CMA1127" s="80"/>
      <c r="CMB1127" s="80"/>
      <c r="CMC1127" s="80"/>
      <c r="CMD1127" s="80"/>
      <c r="CME1127" s="80"/>
      <c r="CMF1127" s="80"/>
      <c r="CMG1127" s="80"/>
      <c r="CMH1127" s="80"/>
      <c r="CMI1127" s="80"/>
      <c r="CMJ1127" s="80"/>
      <c r="CMK1127" s="80"/>
      <c r="CML1127" s="80"/>
      <c r="CMM1127" s="80"/>
      <c r="CMN1127" s="80"/>
      <c r="CMO1127" s="80"/>
      <c r="CMP1127" s="80"/>
      <c r="CMQ1127" s="80"/>
      <c r="CMR1127" s="80"/>
      <c r="CMS1127" s="80"/>
      <c r="CMT1127" s="80"/>
      <c r="CMU1127" s="80"/>
      <c r="CMV1127" s="80"/>
      <c r="CMW1127" s="80"/>
      <c r="CMX1127" s="80"/>
      <c r="CMY1127" s="80"/>
      <c r="CMZ1127" s="80"/>
      <c r="CNA1127" s="80"/>
      <c r="CNB1127" s="80"/>
      <c r="CNC1127" s="80"/>
      <c r="CND1127" s="80"/>
      <c r="CNE1127" s="80"/>
      <c r="CNF1127" s="80"/>
      <c r="CNG1127" s="80"/>
      <c r="CNH1127" s="80"/>
      <c r="CNI1127" s="80"/>
      <c r="CNJ1127" s="80"/>
      <c r="CNK1127" s="80"/>
      <c r="CNL1127" s="80"/>
      <c r="CNM1127" s="80"/>
      <c r="CNN1127" s="80"/>
      <c r="CNO1127" s="80"/>
      <c r="CNP1127" s="80"/>
      <c r="CNQ1127" s="80"/>
      <c r="CNR1127" s="80"/>
      <c r="CNS1127" s="80"/>
      <c r="CNT1127" s="80"/>
      <c r="CNU1127" s="80"/>
      <c r="CNV1127" s="80"/>
      <c r="CNW1127" s="80"/>
      <c r="CNX1127" s="80"/>
      <c r="CNY1127" s="80"/>
      <c r="CNZ1127" s="80"/>
      <c r="COA1127" s="80"/>
      <c r="COB1127" s="80"/>
      <c r="COC1127" s="80"/>
      <c r="COD1127" s="80"/>
      <c r="COE1127" s="80"/>
      <c r="COF1127" s="80"/>
      <c r="COG1127" s="80"/>
      <c r="COH1127" s="80"/>
      <c r="COI1127" s="80"/>
      <c r="COJ1127" s="80"/>
      <c r="COK1127" s="80"/>
      <c r="COL1127" s="80"/>
      <c r="COM1127" s="80"/>
      <c r="CON1127" s="80"/>
      <c r="COO1127" s="80"/>
      <c r="COP1127" s="80"/>
      <c r="COQ1127" s="80"/>
      <c r="COR1127" s="80"/>
      <c r="COS1127" s="80"/>
      <c r="COT1127" s="80"/>
      <c r="COU1127" s="80"/>
      <c r="COV1127" s="80"/>
      <c r="COW1127" s="80"/>
      <c r="COX1127" s="80"/>
      <c r="COY1127" s="80"/>
      <c r="COZ1127" s="80"/>
      <c r="CPA1127" s="80"/>
      <c r="CPB1127" s="80"/>
      <c r="CPC1127" s="80"/>
      <c r="CPD1127" s="80"/>
      <c r="CPE1127" s="80"/>
      <c r="CPF1127" s="80"/>
      <c r="CPG1127" s="80"/>
      <c r="CPH1127" s="80"/>
      <c r="CPI1127" s="80"/>
      <c r="CPJ1127" s="80"/>
      <c r="CPK1127" s="80"/>
      <c r="CPL1127" s="80"/>
      <c r="CPM1127" s="80"/>
      <c r="CPN1127" s="80"/>
      <c r="CPO1127" s="80"/>
      <c r="CPP1127" s="80"/>
      <c r="CPQ1127" s="80"/>
      <c r="CPR1127" s="80"/>
      <c r="CPS1127" s="80"/>
      <c r="CPT1127" s="80"/>
      <c r="CPU1127" s="80"/>
      <c r="CPV1127" s="80"/>
      <c r="CPW1127" s="80"/>
      <c r="CPX1127" s="80"/>
      <c r="CPY1127" s="80"/>
      <c r="CPZ1127" s="80"/>
      <c r="CQA1127" s="80"/>
      <c r="CQB1127" s="80"/>
      <c r="CQC1127" s="80"/>
      <c r="CQD1127" s="80"/>
      <c r="CQE1127" s="80"/>
      <c r="CQF1127" s="80"/>
      <c r="CQG1127" s="80"/>
      <c r="CQH1127" s="80"/>
      <c r="CQI1127" s="80"/>
      <c r="CQJ1127" s="80"/>
      <c r="CQK1127" s="80"/>
      <c r="CQL1127" s="80"/>
      <c r="CQM1127" s="80"/>
      <c r="CQN1127" s="80"/>
      <c r="CQO1127" s="80"/>
      <c r="CQP1127" s="80"/>
      <c r="CQQ1127" s="80"/>
      <c r="CQR1127" s="80"/>
      <c r="CQS1127" s="80"/>
      <c r="CQT1127" s="80"/>
      <c r="CQU1127" s="80"/>
      <c r="CQV1127" s="80"/>
      <c r="CQW1127" s="80"/>
      <c r="CQX1127" s="80"/>
      <c r="CQY1127" s="80"/>
      <c r="CQZ1127" s="80"/>
      <c r="CRA1127" s="80"/>
      <c r="CRB1127" s="80"/>
      <c r="CRC1127" s="80"/>
      <c r="CRD1127" s="80"/>
      <c r="CRE1127" s="80"/>
      <c r="CRF1127" s="80"/>
      <c r="CRG1127" s="80"/>
      <c r="CRH1127" s="80"/>
      <c r="CRI1127" s="80"/>
      <c r="CRJ1127" s="80"/>
      <c r="CRK1127" s="80"/>
      <c r="CRL1127" s="80"/>
      <c r="CRM1127" s="80"/>
      <c r="CRN1127" s="80"/>
      <c r="CRO1127" s="80"/>
      <c r="CRP1127" s="80"/>
      <c r="CRQ1127" s="80"/>
      <c r="CRR1127" s="80"/>
      <c r="CRS1127" s="80"/>
      <c r="CRT1127" s="80"/>
      <c r="CRU1127" s="80"/>
      <c r="CRV1127" s="80"/>
      <c r="CRW1127" s="80"/>
      <c r="CRX1127" s="80"/>
      <c r="CRY1127" s="80"/>
      <c r="CRZ1127" s="80"/>
      <c r="CSA1127" s="80"/>
      <c r="CSB1127" s="80"/>
      <c r="CSC1127" s="80"/>
      <c r="CSD1127" s="80"/>
      <c r="CSE1127" s="80"/>
      <c r="CSF1127" s="80"/>
      <c r="CSG1127" s="80"/>
      <c r="CSH1127" s="80"/>
      <c r="CSI1127" s="80"/>
      <c r="CSJ1127" s="80"/>
      <c r="CSK1127" s="80"/>
      <c r="CSL1127" s="80"/>
      <c r="CSM1127" s="80"/>
      <c r="CSN1127" s="80"/>
      <c r="CSO1127" s="80"/>
      <c r="CSP1127" s="80"/>
      <c r="CSQ1127" s="80"/>
      <c r="CSR1127" s="80"/>
      <c r="CSS1127" s="80"/>
      <c r="CST1127" s="80"/>
      <c r="CSU1127" s="80"/>
      <c r="CSV1127" s="80"/>
      <c r="CSW1127" s="80"/>
      <c r="CSX1127" s="80"/>
      <c r="CSY1127" s="80"/>
      <c r="CSZ1127" s="80"/>
      <c r="CTA1127" s="80"/>
      <c r="CTB1127" s="80"/>
      <c r="CTC1127" s="80"/>
      <c r="CTD1127" s="80"/>
      <c r="CTE1127" s="80"/>
      <c r="CTF1127" s="80"/>
      <c r="CTG1127" s="80"/>
      <c r="CTH1127" s="80"/>
      <c r="CTI1127" s="80"/>
      <c r="CTJ1127" s="80"/>
      <c r="CTK1127" s="80"/>
      <c r="CTL1127" s="80"/>
      <c r="CTM1127" s="80"/>
      <c r="CTN1127" s="80"/>
      <c r="CTO1127" s="80"/>
      <c r="CTP1127" s="80"/>
      <c r="CTQ1127" s="80"/>
      <c r="CTR1127" s="80"/>
      <c r="CTS1127" s="80"/>
      <c r="CTT1127" s="80"/>
      <c r="CTU1127" s="80"/>
      <c r="CTV1127" s="80"/>
      <c r="CTW1127" s="80"/>
      <c r="CTX1127" s="80"/>
      <c r="CTY1127" s="80"/>
      <c r="CTZ1127" s="80"/>
      <c r="CUA1127" s="80"/>
      <c r="CUB1127" s="80"/>
      <c r="CUC1127" s="80"/>
      <c r="CUD1127" s="80"/>
      <c r="CUE1127" s="80"/>
      <c r="CUF1127" s="80"/>
      <c r="CUG1127" s="80"/>
      <c r="CUH1127" s="80"/>
      <c r="CUI1127" s="80"/>
      <c r="CUJ1127" s="80"/>
      <c r="CUK1127" s="80"/>
      <c r="CUL1127" s="80"/>
      <c r="CUM1127" s="80"/>
      <c r="CUN1127" s="80"/>
      <c r="CUO1127" s="80"/>
      <c r="CUP1127" s="80"/>
      <c r="CUQ1127" s="80"/>
      <c r="CUR1127" s="80"/>
      <c r="CUS1127" s="80"/>
      <c r="CUT1127" s="80"/>
      <c r="CUU1127" s="80"/>
      <c r="CUV1127" s="80"/>
      <c r="CUW1127" s="80"/>
      <c r="CUX1127" s="80"/>
      <c r="CUY1127" s="80"/>
      <c r="CUZ1127" s="80"/>
      <c r="CVA1127" s="80"/>
      <c r="CVB1127" s="80"/>
      <c r="CVC1127" s="80"/>
      <c r="CVD1127" s="80"/>
      <c r="CVE1127" s="80"/>
      <c r="CVF1127" s="80"/>
      <c r="CVG1127" s="80"/>
      <c r="CVH1127" s="80"/>
      <c r="CVI1127" s="80"/>
      <c r="CVJ1127" s="80"/>
      <c r="CVK1127" s="80"/>
      <c r="CVL1127" s="80"/>
      <c r="CVM1127" s="80"/>
      <c r="CVN1127" s="80"/>
      <c r="CVO1127" s="80"/>
      <c r="CVP1127" s="80"/>
      <c r="CVQ1127" s="80"/>
      <c r="CVR1127" s="80"/>
      <c r="CVS1127" s="80"/>
      <c r="CVT1127" s="80"/>
      <c r="CVU1127" s="80"/>
      <c r="CVV1127" s="80"/>
      <c r="CVW1127" s="80"/>
      <c r="CVX1127" s="80"/>
      <c r="CVY1127" s="80"/>
      <c r="CVZ1127" s="80"/>
      <c r="CWA1127" s="80"/>
      <c r="CWB1127" s="80"/>
      <c r="CWC1127" s="80"/>
      <c r="CWD1127" s="80"/>
      <c r="CWE1127" s="80"/>
      <c r="CWF1127" s="80"/>
      <c r="CWG1127" s="80"/>
      <c r="CWH1127" s="80"/>
      <c r="CWI1127" s="80"/>
      <c r="CWJ1127" s="80"/>
      <c r="CWK1127" s="80"/>
      <c r="CWL1127" s="80"/>
      <c r="CWM1127" s="80"/>
      <c r="CWN1127" s="80"/>
      <c r="CWO1127" s="80"/>
      <c r="CWP1127" s="80"/>
      <c r="CWQ1127" s="80"/>
      <c r="CWR1127" s="80"/>
      <c r="CWS1127" s="80"/>
      <c r="CWT1127" s="80"/>
      <c r="CWU1127" s="80"/>
      <c r="CWV1127" s="80"/>
      <c r="CWW1127" s="80"/>
      <c r="CWX1127" s="80"/>
      <c r="CWY1127" s="80"/>
      <c r="CWZ1127" s="80"/>
      <c r="CXA1127" s="80"/>
      <c r="CXB1127" s="80"/>
      <c r="CXC1127" s="80"/>
      <c r="CXD1127" s="80"/>
      <c r="CXE1127" s="80"/>
      <c r="CXF1127" s="80"/>
      <c r="CXG1127" s="80"/>
      <c r="CXH1127" s="80"/>
      <c r="CXI1127" s="80"/>
      <c r="CXJ1127" s="80"/>
      <c r="CXK1127" s="80"/>
      <c r="CXL1127" s="80"/>
      <c r="CXM1127" s="80"/>
      <c r="CXN1127" s="80"/>
      <c r="CXO1127" s="80"/>
      <c r="CXP1127" s="80"/>
      <c r="CXQ1127" s="80"/>
      <c r="CXR1127" s="80"/>
      <c r="CXS1127" s="80"/>
      <c r="CXT1127" s="80"/>
      <c r="CXU1127" s="80"/>
      <c r="CXV1127" s="80"/>
      <c r="CXW1127" s="80"/>
      <c r="CXX1127" s="80"/>
      <c r="CXY1127" s="80"/>
      <c r="CXZ1127" s="80"/>
      <c r="CYA1127" s="80"/>
      <c r="CYB1127" s="80"/>
      <c r="CYC1127" s="80"/>
      <c r="CYD1127" s="80"/>
      <c r="CYE1127" s="80"/>
      <c r="CYF1127" s="80"/>
      <c r="CYG1127" s="80"/>
      <c r="CYH1127" s="80"/>
      <c r="CYI1127" s="80"/>
      <c r="CYJ1127" s="80"/>
      <c r="CYK1127" s="80"/>
      <c r="CYL1127" s="80"/>
      <c r="CYM1127" s="80"/>
      <c r="CYN1127" s="80"/>
      <c r="CYO1127" s="80"/>
      <c r="CYP1127" s="80"/>
      <c r="CYQ1127" s="80"/>
      <c r="CYR1127" s="80"/>
      <c r="CYS1127" s="80"/>
      <c r="CYT1127" s="80"/>
      <c r="CYU1127" s="80"/>
      <c r="CYV1127" s="80"/>
      <c r="CYW1127" s="80"/>
      <c r="CYX1127" s="80"/>
      <c r="CYY1127" s="80"/>
      <c r="CYZ1127" s="80"/>
      <c r="CZA1127" s="80"/>
      <c r="CZB1127" s="80"/>
      <c r="CZC1127" s="80"/>
      <c r="CZD1127" s="80"/>
      <c r="CZE1127" s="80"/>
      <c r="CZF1127" s="80"/>
      <c r="CZG1127" s="80"/>
      <c r="CZH1127" s="80"/>
      <c r="CZI1127" s="80"/>
      <c r="CZJ1127" s="80"/>
      <c r="CZK1127" s="80"/>
      <c r="CZL1127" s="80"/>
      <c r="CZM1127" s="80"/>
      <c r="CZN1127" s="80"/>
      <c r="CZO1127" s="80"/>
      <c r="CZP1127" s="80"/>
      <c r="CZQ1127" s="80"/>
      <c r="CZR1127" s="80"/>
      <c r="CZS1127" s="80"/>
      <c r="CZT1127" s="80"/>
      <c r="CZU1127" s="80"/>
      <c r="CZV1127" s="80"/>
      <c r="CZW1127" s="80"/>
      <c r="CZX1127" s="80"/>
      <c r="CZY1127" s="80"/>
      <c r="CZZ1127" s="80"/>
      <c r="DAA1127" s="80"/>
      <c r="DAB1127" s="80"/>
      <c r="DAC1127" s="80"/>
      <c r="DAD1127" s="80"/>
      <c r="DAE1127" s="80"/>
      <c r="DAF1127" s="80"/>
      <c r="DAG1127" s="80"/>
      <c r="DAH1127" s="80"/>
      <c r="DAI1127" s="80"/>
      <c r="DAJ1127" s="80"/>
      <c r="DAK1127" s="80"/>
      <c r="DAL1127" s="80"/>
      <c r="DAM1127" s="80"/>
      <c r="DAN1127" s="80"/>
      <c r="DAO1127" s="80"/>
      <c r="DAP1127" s="80"/>
      <c r="DAQ1127" s="80"/>
      <c r="DAR1127" s="80"/>
      <c r="DAS1127" s="80"/>
      <c r="DAT1127" s="80"/>
      <c r="DAU1127" s="80"/>
      <c r="DAV1127" s="80"/>
      <c r="DAW1127" s="80"/>
      <c r="DAX1127" s="80"/>
      <c r="DAY1127" s="80"/>
      <c r="DAZ1127" s="80"/>
      <c r="DBA1127" s="80"/>
      <c r="DBB1127" s="80"/>
      <c r="DBC1127" s="80"/>
      <c r="DBD1127" s="80"/>
      <c r="DBE1127" s="80"/>
      <c r="DBF1127" s="80"/>
      <c r="DBG1127" s="80"/>
      <c r="DBH1127" s="80"/>
      <c r="DBI1127" s="80"/>
      <c r="DBJ1127" s="80"/>
      <c r="DBK1127" s="80"/>
      <c r="DBL1127" s="80"/>
      <c r="DBM1127" s="80"/>
      <c r="DBN1127" s="80"/>
      <c r="DBO1127" s="80"/>
      <c r="DBP1127" s="80"/>
      <c r="DBQ1127" s="80"/>
      <c r="DBR1127" s="80"/>
      <c r="DBS1127" s="80"/>
      <c r="DBT1127" s="80"/>
      <c r="DBU1127" s="80"/>
      <c r="DBV1127" s="80"/>
      <c r="DBW1127" s="80"/>
      <c r="DBX1127" s="80"/>
      <c r="DBY1127" s="80"/>
      <c r="DBZ1127" s="80"/>
      <c r="DCA1127" s="80"/>
      <c r="DCB1127" s="80"/>
      <c r="DCC1127" s="80"/>
      <c r="DCD1127" s="80"/>
      <c r="DCE1127" s="80"/>
      <c r="DCF1127" s="80"/>
      <c r="DCG1127" s="80"/>
      <c r="DCH1127" s="80"/>
      <c r="DCI1127" s="80"/>
      <c r="DCJ1127" s="80"/>
      <c r="DCK1127" s="80"/>
      <c r="DCL1127" s="80"/>
      <c r="DCM1127" s="80"/>
      <c r="DCN1127" s="80"/>
      <c r="DCO1127" s="80"/>
      <c r="DCP1127" s="80"/>
      <c r="DCQ1127" s="80"/>
      <c r="DCR1127" s="80"/>
      <c r="DCS1127" s="80"/>
      <c r="DCT1127" s="80"/>
      <c r="DCU1127" s="80"/>
      <c r="DCV1127" s="80"/>
      <c r="DCW1127" s="80"/>
      <c r="DCX1127" s="80"/>
      <c r="DCY1127" s="80"/>
      <c r="DCZ1127" s="80"/>
      <c r="DDA1127" s="80"/>
      <c r="DDB1127" s="80"/>
      <c r="DDC1127" s="80"/>
      <c r="DDD1127" s="80"/>
      <c r="DDE1127" s="80"/>
      <c r="DDF1127" s="80"/>
      <c r="DDG1127" s="80"/>
      <c r="DDH1127" s="80"/>
      <c r="DDI1127" s="80"/>
      <c r="DDJ1127" s="80"/>
      <c r="DDK1127" s="80"/>
      <c r="DDL1127" s="80"/>
      <c r="DDM1127" s="80"/>
      <c r="DDN1127" s="80"/>
      <c r="DDO1127" s="80"/>
      <c r="DDP1127" s="80"/>
      <c r="DDQ1127" s="80"/>
      <c r="DDR1127" s="80"/>
      <c r="DDS1127" s="80"/>
      <c r="DDT1127" s="80"/>
      <c r="DDU1127" s="80"/>
      <c r="DDV1127" s="80"/>
      <c r="DDW1127" s="80"/>
      <c r="DDX1127" s="80"/>
      <c r="DDY1127" s="80"/>
      <c r="DDZ1127" s="80"/>
      <c r="DEA1127" s="80"/>
      <c r="DEB1127" s="80"/>
      <c r="DEC1127" s="80"/>
      <c r="DED1127" s="80"/>
      <c r="DEE1127" s="80"/>
      <c r="DEF1127" s="80"/>
      <c r="DEG1127" s="80"/>
      <c r="DEH1127" s="80"/>
      <c r="DEI1127" s="80"/>
      <c r="DEJ1127" s="80"/>
      <c r="DEK1127" s="80"/>
      <c r="DEL1127" s="80"/>
      <c r="DEM1127" s="80"/>
      <c r="DEN1127" s="80"/>
      <c r="DEO1127" s="80"/>
      <c r="DEP1127" s="80"/>
      <c r="DEQ1127" s="80"/>
      <c r="DER1127" s="80"/>
      <c r="DES1127" s="80"/>
      <c r="DET1127" s="80"/>
      <c r="DEU1127" s="80"/>
      <c r="DEV1127" s="80"/>
      <c r="DEW1127" s="80"/>
      <c r="DEX1127" s="80"/>
      <c r="DEY1127" s="80"/>
      <c r="DEZ1127" s="80"/>
      <c r="DFA1127" s="80"/>
      <c r="DFB1127" s="80"/>
      <c r="DFC1127" s="80"/>
      <c r="DFD1127" s="80"/>
      <c r="DFE1127" s="80"/>
      <c r="DFF1127" s="80"/>
      <c r="DFG1127" s="80"/>
      <c r="DFH1127" s="80"/>
      <c r="DFI1127" s="80"/>
      <c r="DFJ1127" s="80"/>
      <c r="DFK1127" s="80"/>
      <c r="DFL1127" s="80"/>
      <c r="DFM1127" s="80"/>
      <c r="DFN1127" s="80"/>
      <c r="DFO1127" s="80"/>
      <c r="DFP1127" s="80"/>
      <c r="DFQ1127" s="80"/>
      <c r="DFR1127" s="80"/>
      <c r="DFS1127" s="80"/>
      <c r="DFT1127" s="80"/>
      <c r="DFU1127" s="80"/>
      <c r="DFV1127" s="80"/>
      <c r="DFW1127" s="80"/>
      <c r="DFX1127" s="80"/>
      <c r="DFY1127" s="80"/>
      <c r="DFZ1127" s="80"/>
      <c r="DGA1127" s="80"/>
      <c r="DGB1127" s="80"/>
      <c r="DGC1127" s="80"/>
      <c r="DGD1127" s="80"/>
      <c r="DGE1127" s="80"/>
      <c r="DGF1127" s="80"/>
      <c r="DGG1127" s="80"/>
      <c r="DGH1127" s="80"/>
      <c r="DGI1127" s="80"/>
      <c r="DGJ1127" s="80"/>
      <c r="DGK1127" s="80"/>
      <c r="DGL1127" s="80"/>
      <c r="DGM1127" s="80"/>
      <c r="DGN1127" s="80"/>
      <c r="DGO1127" s="80"/>
      <c r="DGP1127" s="80"/>
      <c r="DGQ1127" s="80"/>
      <c r="DGR1127" s="80"/>
      <c r="DGS1127" s="80"/>
      <c r="DGT1127" s="80"/>
      <c r="DGU1127" s="80"/>
      <c r="DGV1127" s="80"/>
      <c r="DGW1127" s="80"/>
      <c r="DGX1127" s="80"/>
      <c r="DGY1127" s="80"/>
      <c r="DGZ1127" s="80"/>
      <c r="DHA1127" s="80"/>
      <c r="DHB1127" s="80"/>
      <c r="DHC1127" s="80"/>
      <c r="DHD1127" s="80"/>
      <c r="DHE1127" s="80"/>
      <c r="DHF1127" s="80"/>
      <c r="DHG1127" s="80"/>
      <c r="DHH1127" s="80"/>
      <c r="DHI1127" s="80"/>
      <c r="DHJ1127" s="80"/>
      <c r="DHK1127" s="80"/>
      <c r="DHL1127" s="80"/>
      <c r="DHM1127" s="80"/>
      <c r="DHN1127" s="80"/>
      <c r="DHO1127" s="80"/>
      <c r="DHP1127" s="80"/>
      <c r="DHQ1127" s="80"/>
      <c r="DHR1127" s="80"/>
      <c r="DHS1127" s="80"/>
      <c r="DHT1127" s="80"/>
      <c r="DHU1127" s="80"/>
      <c r="DHV1127" s="80"/>
      <c r="DHW1127" s="80"/>
      <c r="DHX1127" s="80"/>
      <c r="DHY1127" s="80"/>
      <c r="DHZ1127" s="80"/>
      <c r="DIA1127" s="80"/>
      <c r="DIB1127" s="80"/>
      <c r="DIC1127" s="80"/>
      <c r="DID1127" s="80"/>
      <c r="DIE1127" s="80"/>
      <c r="DIF1127" s="80"/>
      <c r="DIG1127" s="80"/>
      <c r="DIH1127" s="80"/>
      <c r="DII1127" s="80"/>
      <c r="DIJ1127" s="80"/>
      <c r="DIK1127" s="80"/>
      <c r="DIL1127" s="80"/>
      <c r="DIM1127" s="80"/>
      <c r="DIN1127" s="80"/>
      <c r="DIO1127" s="80"/>
      <c r="DIP1127" s="80"/>
      <c r="DIQ1127" s="80"/>
      <c r="DIR1127" s="80"/>
      <c r="DIS1127" s="80"/>
      <c r="DIT1127" s="80"/>
      <c r="DIU1127" s="80"/>
      <c r="DIV1127" s="80"/>
      <c r="DIW1127" s="80"/>
      <c r="DIX1127" s="80"/>
      <c r="DIY1127" s="80"/>
      <c r="DIZ1127" s="80"/>
      <c r="DJA1127" s="80"/>
      <c r="DJB1127" s="80"/>
      <c r="DJC1127" s="80"/>
      <c r="DJD1127" s="80"/>
      <c r="DJE1127" s="80"/>
      <c r="DJF1127" s="80"/>
      <c r="DJG1127" s="80"/>
      <c r="DJH1127" s="80"/>
      <c r="DJI1127" s="80"/>
      <c r="DJJ1127" s="80"/>
      <c r="DJK1127" s="80"/>
      <c r="DJL1127" s="80"/>
      <c r="DJM1127" s="80"/>
      <c r="DJN1127" s="80"/>
      <c r="DJO1127" s="80"/>
      <c r="DJP1127" s="80"/>
      <c r="DJQ1127" s="80"/>
      <c r="DJR1127" s="80"/>
      <c r="DJS1127" s="80"/>
      <c r="DJT1127" s="80"/>
      <c r="DJU1127" s="80"/>
      <c r="DJV1127" s="80"/>
      <c r="DJW1127" s="80"/>
      <c r="DJX1127" s="80"/>
      <c r="DJY1127" s="80"/>
      <c r="DJZ1127" s="80"/>
      <c r="DKA1127" s="80"/>
      <c r="DKB1127" s="80"/>
      <c r="DKC1127" s="80"/>
      <c r="DKD1127" s="80"/>
      <c r="DKE1127" s="80"/>
      <c r="DKF1127" s="80"/>
      <c r="DKG1127" s="80"/>
      <c r="DKH1127" s="80"/>
      <c r="DKI1127" s="80"/>
      <c r="DKJ1127" s="80"/>
      <c r="DKK1127" s="80"/>
      <c r="DKL1127" s="80"/>
      <c r="DKM1127" s="80"/>
      <c r="DKN1127" s="80"/>
      <c r="DKO1127" s="80"/>
      <c r="DKP1127" s="80"/>
      <c r="DKQ1127" s="80"/>
      <c r="DKR1127" s="80"/>
      <c r="DKS1127" s="80"/>
      <c r="DKT1127" s="80"/>
      <c r="DKU1127" s="80"/>
      <c r="DKV1127" s="80"/>
      <c r="DKW1127" s="80"/>
      <c r="DKX1127" s="80"/>
      <c r="DKY1127" s="80"/>
      <c r="DKZ1127" s="80"/>
      <c r="DLA1127" s="80"/>
      <c r="DLB1127" s="80"/>
      <c r="DLC1127" s="80"/>
      <c r="DLD1127" s="80"/>
      <c r="DLE1127" s="80"/>
      <c r="DLF1127" s="80"/>
      <c r="DLG1127" s="80"/>
      <c r="DLH1127" s="80"/>
      <c r="DLI1127" s="80"/>
      <c r="DLJ1127" s="80"/>
      <c r="DLK1127" s="80"/>
      <c r="DLL1127" s="80"/>
      <c r="DLM1127" s="80"/>
      <c r="DLN1127" s="80"/>
      <c r="DLO1127" s="80"/>
      <c r="DLP1127" s="80"/>
      <c r="DLQ1127" s="80"/>
      <c r="DLR1127" s="80"/>
      <c r="DLS1127" s="80"/>
      <c r="DLT1127" s="80"/>
      <c r="DLU1127" s="80"/>
      <c r="DLV1127" s="80"/>
      <c r="DLW1127" s="80"/>
      <c r="DLX1127" s="80"/>
      <c r="DLY1127" s="80"/>
      <c r="DLZ1127" s="80"/>
      <c r="DMA1127" s="80"/>
      <c r="DMB1127" s="80"/>
      <c r="DMC1127" s="80"/>
      <c r="DMD1127" s="80"/>
      <c r="DME1127" s="80"/>
      <c r="DMF1127" s="80"/>
      <c r="DMG1127" s="80"/>
      <c r="DMH1127" s="80"/>
      <c r="DMI1127" s="80"/>
      <c r="DMJ1127" s="80"/>
      <c r="DMK1127" s="80"/>
      <c r="DML1127" s="80"/>
      <c r="DMM1127" s="80"/>
      <c r="DMN1127" s="80"/>
      <c r="DMO1127" s="80"/>
      <c r="DMP1127" s="80"/>
      <c r="DMQ1127" s="80"/>
      <c r="DMR1127" s="80"/>
      <c r="DMS1127" s="80"/>
      <c r="DMT1127" s="80"/>
      <c r="DMU1127" s="80"/>
      <c r="DMV1127" s="80"/>
      <c r="DMW1127" s="80"/>
      <c r="DMX1127" s="80"/>
      <c r="DMY1127" s="80"/>
      <c r="DMZ1127" s="80"/>
      <c r="DNA1127" s="80"/>
      <c r="DNB1127" s="80"/>
      <c r="DNC1127" s="80"/>
      <c r="DND1127" s="80"/>
      <c r="DNE1127" s="80"/>
      <c r="DNF1127" s="80"/>
      <c r="DNG1127" s="80"/>
      <c r="DNH1127" s="80"/>
      <c r="DNI1127" s="80"/>
      <c r="DNJ1127" s="80"/>
      <c r="DNK1127" s="80"/>
      <c r="DNL1127" s="80"/>
      <c r="DNM1127" s="80"/>
      <c r="DNN1127" s="80"/>
      <c r="DNO1127" s="80"/>
      <c r="DNP1127" s="80"/>
      <c r="DNQ1127" s="80"/>
      <c r="DNR1127" s="80"/>
      <c r="DNS1127" s="80"/>
      <c r="DNT1127" s="80"/>
      <c r="DNU1127" s="80"/>
      <c r="DNV1127" s="80"/>
      <c r="DNW1127" s="80"/>
      <c r="DNX1127" s="80"/>
      <c r="DNY1127" s="80"/>
      <c r="DNZ1127" s="80"/>
      <c r="DOA1127" s="80"/>
      <c r="DOB1127" s="80"/>
      <c r="DOC1127" s="80"/>
      <c r="DOD1127" s="80"/>
      <c r="DOE1127" s="80"/>
      <c r="DOF1127" s="80"/>
      <c r="DOG1127" s="80"/>
      <c r="DOH1127" s="80"/>
      <c r="DOI1127" s="80"/>
      <c r="DOJ1127" s="80"/>
      <c r="DOK1127" s="80"/>
      <c r="DOL1127" s="80"/>
      <c r="DOM1127" s="80"/>
      <c r="DON1127" s="80"/>
      <c r="DOO1127" s="80"/>
      <c r="DOP1127" s="80"/>
      <c r="DOQ1127" s="80"/>
      <c r="DOR1127" s="80"/>
      <c r="DOS1127" s="80"/>
      <c r="DOT1127" s="80"/>
      <c r="DOU1127" s="80"/>
      <c r="DOV1127" s="80"/>
      <c r="DOW1127" s="80"/>
      <c r="DOX1127" s="80"/>
      <c r="DOY1127" s="80"/>
      <c r="DOZ1127" s="80"/>
      <c r="DPA1127" s="80"/>
      <c r="DPB1127" s="80"/>
      <c r="DPC1127" s="80"/>
      <c r="DPD1127" s="80"/>
      <c r="DPE1127" s="80"/>
      <c r="DPF1127" s="80"/>
      <c r="DPG1127" s="80"/>
      <c r="DPH1127" s="80"/>
      <c r="DPI1127" s="80"/>
      <c r="DPJ1127" s="80"/>
      <c r="DPK1127" s="80"/>
      <c r="DPL1127" s="80"/>
      <c r="DPM1127" s="80"/>
      <c r="DPN1127" s="80"/>
      <c r="DPO1127" s="80"/>
      <c r="DPP1127" s="80"/>
      <c r="DPQ1127" s="80"/>
      <c r="DPR1127" s="80"/>
      <c r="DPS1127" s="80"/>
      <c r="DPT1127" s="80"/>
      <c r="DPU1127" s="80"/>
      <c r="DPV1127" s="80"/>
      <c r="DPW1127" s="80"/>
      <c r="DPX1127" s="80"/>
      <c r="DPY1127" s="80"/>
      <c r="DPZ1127" s="80"/>
      <c r="DQA1127" s="80"/>
      <c r="DQB1127" s="80"/>
      <c r="DQC1127" s="80"/>
      <c r="DQD1127" s="80"/>
      <c r="DQE1127" s="80"/>
      <c r="DQF1127" s="80"/>
      <c r="DQG1127" s="80"/>
      <c r="DQH1127" s="80"/>
      <c r="DQI1127" s="80"/>
      <c r="DQJ1127" s="80"/>
      <c r="DQK1127" s="80"/>
      <c r="DQL1127" s="80"/>
      <c r="DQM1127" s="80"/>
      <c r="DQN1127" s="80"/>
      <c r="DQO1127" s="80"/>
      <c r="DQP1127" s="80"/>
      <c r="DQQ1127" s="80"/>
      <c r="DQR1127" s="80"/>
      <c r="DQS1127" s="80"/>
      <c r="DQT1127" s="80"/>
      <c r="DQU1127" s="80"/>
      <c r="DQV1127" s="80"/>
      <c r="DQW1127" s="80"/>
      <c r="DQX1127" s="80"/>
      <c r="DQY1127" s="80"/>
      <c r="DQZ1127" s="80"/>
      <c r="DRA1127" s="80"/>
      <c r="DRB1127" s="80"/>
      <c r="DRC1127" s="80"/>
      <c r="DRD1127" s="80"/>
      <c r="DRE1127" s="80"/>
      <c r="DRF1127" s="80"/>
      <c r="DRG1127" s="80"/>
      <c r="DRH1127" s="80"/>
      <c r="DRI1127" s="80"/>
      <c r="DRJ1127" s="80"/>
      <c r="DRK1127" s="80"/>
      <c r="DRL1127" s="80"/>
      <c r="DRM1127" s="80"/>
      <c r="DRN1127" s="80"/>
      <c r="DRO1127" s="80"/>
      <c r="DRP1127" s="80"/>
      <c r="DRQ1127" s="80"/>
      <c r="DRR1127" s="80"/>
      <c r="DRS1127" s="80"/>
      <c r="DRT1127" s="80"/>
      <c r="DRU1127" s="80"/>
      <c r="DRV1127" s="80"/>
      <c r="DRW1127" s="80"/>
      <c r="DRX1127" s="80"/>
      <c r="DRY1127" s="80"/>
      <c r="DRZ1127" s="80"/>
      <c r="DSA1127" s="80"/>
      <c r="DSB1127" s="80"/>
      <c r="DSC1127" s="80"/>
      <c r="DSD1127" s="80"/>
      <c r="DSE1127" s="80"/>
      <c r="DSF1127" s="80"/>
      <c r="DSG1127" s="80"/>
      <c r="DSH1127" s="80"/>
      <c r="DSI1127" s="80"/>
      <c r="DSJ1127" s="80"/>
      <c r="DSK1127" s="80"/>
      <c r="DSL1127" s="80"/>
      <c r="DSM1127" s="80"/>
      <c r="DSN1127" s="80"/>
      <c r="DSO1127" s="80"/>
      <c r="DSP1127" s="80"/>
      <c r="DSQ1127" s="80"/>
      <c r="DSR1127" s="80"/>
      <c r="DSS1127" s="80"/>
      <c r="DST1127" s="80"/>
      <c r="DSU1127" s="80"/>
      <c r="DSV1127" s="80"/>
      <c r="DSW1127" s="80"/>
      <c r="DSX1127" s="80"/>
      <c r="DSY1127" s="80"/>
      <c r="DSZ1127" s="80"/>
      <c r="DTA1127" s="80"/>
      <c r="DTB1127" s="80"/>
      <c r="DTC1127" s="80"/>
      <c r="DTD1127" s="80"/>
      <c r="DTE1127" s="80"/>
      <c r="DTF1127" s="80"/>
      <c r="DTG1127" s="80"/>
      <c r="DTH1127" s="80"/>
      <c r="DTI1127" s="80"/>
      <c r="DTJ1127" s="80"/>
      <c r="DTK1127" s="80"/>
      <c r="DTL1127" s="80"/>
      <c r="DTM1127" s="80"/>
      <c r="DTN1127" s="80"/>
      <c r="DTO1127" s="80"/>
      <c r="DTP1127" s="80"/>
      <c r="DTQ1127" s="80"/>
      <c r="DTR1127" s="80"/>
      <c r="DTS1127" s="80"/>
      <c r="DTT1127" s="80"/>
      <c r="DTU1127" s="80"/>
      <c r="DTV1127" s="80"/>
      <c r="DTW1127" s="80"/>
      <c r="DTX1127" s="80"/>
      <c r="DTY1127" s="80"/>
      <c r="DTZ1127" s="80"/>
      <c r="DUA1127" s="80"/>
      <c r="DUB1127" s="80"/>
      <c r="DUC1127" s="80"/>
      <c r="DUD1127" s="80"/>
      <c r="DUE1127" s="80"/>
      <c r="DUF1127" s="80"/>
      <c r="DUG1127" s="80"/>
      <c r="DUH1127" s="80"/>
      <c r="DUI1127" s="80"/>
      <c r="DUJ1127" s="80"/>
      <c r="DUK1127" s="80"/>
      <c r="DUL1127" s="80"/>
      <c r="DUM1127" s="80"/>
      <c r="DUN1127" s="80"/>
      <c r="DUO1127" s="80"/>
      <c r="DUP1127" s="80"/>
      <c r="DUQ1127" s="80"/>
      <c r="DUR1127" s="80"/>
      <c r="DUS1127" s="80"/>
      <c r="DUT1127" s="80"/>
      <c r="DUU1127" s="80"/>
      <c r="DUV1127" s="80"/>
      <c r="DUW1127" s="80"/>
      <c r="DUX1127" s="80"/>
      <c r="DUY1127" s="80"/>
      <c r="DUZ1127" s="80"/>
      <c r="DVA1127" s="80"/>
      <c r="DVB1127" s="80"/>
      <c r="DVC1127" s="80"/>
      <c r="DVD1127" s="80"/>
      <c r="DVE1127" s="80"/>
      <c r="DVF1127" s="80"/>
      <c r="DVG1127" s="80"/>
      <c r="DVH1127" s="80"/>
      <c r="DVI1127" s="80"/>
      <c r="DVJ1127" s="80"/>
      <c r="DVK1127" s="80"/>
      <c r="DVL1127" s="80"/>
      <c r="DVM1127" s="80"/>
      <c r="DVN1127" s="80"/>
      <c r="DVO1127" s="80"/>
      <c r="DVP1127" s="80"/>
      <c r="DVQ1127" s="80"/>
      <c r="DVR1127" s="80"/>
      <c r="DVS1127" s="80"/>
      <c r="DVT1127" s="80"/>
      <c r="DVU1127" s="80"/>
      <c r="DVV1127" s="80"/>
      <c r="DVW1127" s="80"/>
      <c r="DVX1127" s="80"/>
      <c r="DVY1127" s="80"/>
      <c r="DVZ1127" s="80"/>
      <c r="DWA1127" s="80"/>
      <c r="DWB1127" s="80"/>
      <c r="DWC1127" s="80"/>
      <c r="DWD1127" s="80"/>
      <c r="DWE1127" s="80"/>
      <c r="DWF1127" s="80"/>
      <c r="DWG1127" s="80"/>
      <c r="DWH1127" s="80"/>
      <c r="DWI1127" s="80"/>
      <c r="DWJ1127" s="80"/>
      <c r="DWK1127" s="80"/>
      <c r="DWL1127" s="80"/>
      <c r="DWM1127" s="80"/>
      <c r="DWN1127" s="80"/>
      <c r="DWO1127" s="80"/>
      <c r="DWP1127" s="80"/>
      <c r="DWQ1127" s="80"/>
      <c r="DWR1127" s="80"/>
      <c r="DWS1127" s="80"/>
      <c r="DWT1127" s="80"/>
      <c r="DWU1127" s="80"/>
      <c r="DWV1127" s="80"/>
      <c r="DWW1127" s="80"/>
      <c r="DWX1127" s="80"/>
      <c r="DWY1127" s="80"/>
      <c r="DWZ1127" s="80"/>
      <c r="DXA1127" s="80"/>
      <c r="DXB1127" s="80"/>
      <c r="DXC1127" s="80"/>
      <c r="DXD1127" s="80"/>
      <c r="DXE1127" s="80"/>
      <c r="DXF1127" s="80"/>
      <c r="DXG1127" s="80"/>
      <c r="DXH1127" s="80"/>
      <c r="DXI1127" s="80"/>
      <c r="DXJ1127" s="80"/>
      <c r="DXK1127" s="80"/>
      <c r="DXL1127" s="80"/>
      <c r="DXM1127" s="80"/>
      <c r="DXN1127" s="80"/>
      <c r="DXO1127" s="80"/>
      <c r="DXP1127" s="80"/>
      <c r="DXQ1127" s="80"/>
      <c r="DXR1127" s="80"/>
      <c r="DXS1127" s="80"/>
      <c r="DXT1127" s="80"/>
      <c r="DXU1127" s="80"/>
      <c r="DXV1127" s="80"/>
      <c r="DXW1127" s="80"/>
      <c r="DXX1127" s="80"/>
      <c r="DXY1127" s="80"/>
      <c r="DXZ1127" s="80"/>
      <c r="DYA1127" s="80"/>
      <c r="DYB1127" s="80"/>
      <c r="DYC1127" s="80"/>
      <c r="DYD1127" s="80"/>
      <c r="DYE1127" s="80"/>
      <c r="DYF1127" s="80"/>
      <c r="DYG1127" s="80"/>
      <c r="DYH1127" s="80"/>
      <c r="DYI1127" s="80"/>
      <c r="DYJ1127" s="80"/>
      <c r="DYK1127" s="80"/>
      <c r="DYL1127" s="80"/>
      <c r="DYM1127" s="80"/>
      <c r="DYN1127" s="80"/>
      <c r="DYO1127" s="80"/>
      <c r="DYP1127" s="80"/>
      <c r="DYQ1127" s="80"/>
      <c r="DYR1127" s="80"/>
      <c r="DYS1127" s="80"/>
      <c r="DYT1127" s="80"/>
      <c r="DYU1127" s="80"/>
      <c r="DYV1127" s="80"/>
      <c r="DYW1127" s="80"/>
      <c r="DYX1127" s="80"/>
      <c r="DYY1127" s="80"/>
      <c r="DYZ1127" s="80"/>
      <c r="DZA1127" s="80"/>
      <c r="DZB1127" s="80"/>
      <c r="DZC1127" s="80"/>
      <c r="DZD1127" s="80"/>
      <c r="DZE1127" s="80"/>
      <c r="DZF1127" s="80"/>
      <c r="DZG1127" s="80"/>
      <c r="DZH1127" s="80"/>
      <c r="DZI1127" s="80"/>
      <c r="DZJ1127" s="80"/>
      <c r="DZK1127" s="80"/>
      <c r="DZL1127" s="80"/>
      <c r="DZM1127" s="80"/>
      <c r="DZN1127" s="80"/>
      <c r="DZO1127" s="80"/>
      <c r="DZP1127" s="80"/>
      <c r="DZQ1127" s="80"/>
      <c r="DZR1127" s="80"/>
      <c r="DZS1127" s="80"/>
      <c r="DZT1127" s="80"/>
      <c r="DZU1127" s="80"/>
      <c r="DZV1127" s="80"/>
      <c r="DZW1127" s="80"/>
      <c r="DZX1127" s="80"/>
      <c r="DZY1127" s="80"/>
      <c r="DZZ1127" s="80"/>
      <c r="EAA1127" s="80"/>
      <c r="EAB1127" s="80"/>
      <c r="EAC1127" s="80"/>
      <c r="EAD1127" s="80"/>
      <c r="EAE1127" s="80"/>
      <c r="EAF1127" s="80"/>
      <c r="EAG1127" s="80"/>
      <c r="EAH1127" s="80"/>
      <c r="EAI1127" s="80"/>
      <c r="EAJ1127" s="80"/>
      <c r="EAK1127" s="80"/>
      <c r="EAL1127" s="80"/>
      <c r="EAM1127" s="80"/>
      <c r="EAN1127" s="80"/>
      <c r="EAO1127" s="80"/>
      <c r="EAP1127" s="80"/>
      <c r="EAQ1127" s="80"/>
      <c r="EAR1127" s="80"/>
      <c r="EAS1127" s="80"/>
      <c r="EAT1127" s="80"/>
      <c r="EAU1127" s="80"/>
      <c r="EAV1127" s="80"/>
      <c r="EAW1127" s="80"/>
      <c r="EAX1127" s="80"/>
      <c r="EAY1127" s="80"/>
      <c r="EAZ1127" s="80"/>
      <c r="EBA1127" s="80"/>
      <c r="EBB1127" s="80"/>
      <c r="EBC1127" s="80"/>
      <c r="EBD1127" s="80"/>
      <c r="EBE1127" s="80"/>
      <c r="EBF1127" s="80"/>
      <c r="EBG1127" s="80"/>
      <c r="EBH1127" s="80"/>
      <c r="EBI1127" s="80"/>
      <c r="EBJ1127" s="80"/>
      <c r="EBK1127" s="80"/>
      <c r="EBL1127" s="80"/>
      <c r="EBM1127" s="80"/>
      <c r="EBN1127" s="80"/>
      <c r="EBO1127" s="80"/>
      <c r="EBP1127" s="80"/>
      <c r="EBQ1127" s="80"/>
      <c r="EBR1127" s="80"/>
      <c r="EBS1127" s="80"/>
      <c r="EBT1127" s="80"/>
      <c r="EBU1127" s="80"/>
      <c r="EBV1127" s="80"/>
      <c r="EBW1127" s="80"/>
      <c r="EBX1127" s="80"/>
      <c r="EBY1127" s="80"/>
      <c r="EBZ1127" s="80"/>
      <c r="ECA1127" s="80"/>
      <c r="ECB1127" s="80"/>
      <c r="ECC1127" s="80"/>
      <c r="ECD1127" s="80"/>
      <c r="ECE1127" s="80"/>
      <c r="ECF1127" s="80"/>
      <c r="ECG1127" s="80"/>
      <c r="ECH1127" s="80"/>
      <c r="ECI1127" s="80"/>
      <c r="ECJ1127" s="80"/>
      <c r="ECK1127" s="80"/>
      <c r="ECL1127" s="80"/>
      <c r="ECM1127" s="80"/>
      <c r="ECN1127" s="80"/>
      <c r="ECO1127" s="80"/>
      <c r="ECP1127" s="80"/>
      <c r="ECQ1127" s="80"/>
      <c r="ECR1127" s="80"/>
      <c r="ECS1127" s="80"/>
      <c r="ECT1127" s="80"/>
      <c r="ECU1127" s="80"/>
      <c r="ECV1127" s="80"/>
      <c r="ECW1127" s="80"/>
      <c r="ECX1127" s="80"/>
      <c r="ECY1127" s="80"/>
      <c r="ECZ1127" s="80"/>
      <c r="EDA1127" s="80"/>
      <c r="EDB1127" s="80"/>
      <c r="EDC1127" s="80"/>
      <c r="EDD1127" s="80"/>
      <c r="EDE1127" s="80"/>
      <c r="EDF1127" s="80"/>
      <c r="EDG1127" s="80"/>
      <c r="EDH1127" s="80"/>
      <c r="EDI1127" s="80"/>
      <c r="EDJ1127" s="80"/>
      <c r="EDK1127" s="80"/>
      <c r="EDL1127" s="80"/>
      <c r="EDM1127" s="80"/>
      <c r="EDN1127" s="80"/>
      <c r="EDO1127" s="80"/>
      <c r="EDP1127" s="80"/>
      <c r="EDQ1127" s="80"/>
      <c r="EDR1127" s="80"/>
      <c r="EDS1127" s="80"/>
      <c r="EDT1127" s="80"/>
      <c r="EDU1127" s="80"/>
      <c r="EDV1127" s="80"/>
      <c r="EDW1127" s="80"/>
      <c r="EDX1127" s="80"/>
      <c r="EDY1127" s="80"/>
      <c r="EDZ1127" s="80"/>
      <c r="EEA1127" s="80"/>
      <c r="EEB1127" s="80"/>
      <c r="EEC1127" s="80"/>
      <c r="EED1127" s="80"/>
      <c r="EEE1127" s="80"/>
      <c r="EEF1127" s="80"/>
      <c r="EEG1127" s="80"/>
      <c r="EEH1127" s="80"/>
      <c r="EEI1127" s="80"/>
      <c r="EEJ1127" s="80"/>
      <c r="EEK1127" s="80"/>
      <c r="EEL1127" s="80"/>
      <c r="EEM1127" s="80"/>
      <c r="EEN1127" s="80"/>
      <c r="EEO1127" s="80"/>
      <c r="EEP1127" s="80"/>
      <c r="EEQ1127" s="80"/>
      <c r="EER1127" s="80"/>
      <c r="EES1127" s="80"/>
      <c r="EET1127" s="80"/>
      <c r="EEU1127" s="80"/>
      <c r="EEV1127" s="80"/>
      <c r="EEW1127" s="80"/>
      <c r="EEX1127" s="80"/>
      <c r="EEY1127" s="80"/>
      <c r="EEZ1127" s="80"/>
      <c r="EFA1127" s="80"/>
      <c r="EFB1127" s="80"/>
      <c r="EFC1127" s="80"/>
      <c r="EFD1127" s="80"/>
      <c r="EFE1127" s="80"/>
      <c r="EFF1127" s="80"/>
      <c r="EFG1127" s="80"/>
      <c r="EFH1127" s="80"/>
      <c r="EFI1127" s="80"/>
      <c r="EFJ1127" s="80"/>
      <c r="EFK1127" s="80"/>
      <c r="EFL1127" s="80"/>
      <c r="EFM1127" s="80"/>
      <c r="EFN1127" s="80"/>
      <c r="EFO1127" s="80"/>
      <c r="EFP1127" s="80"/>
      <c r="EFQ1127" s="80"/>
      <c r="EFR1127" s="80"/>
      <c r="EFS1127" s="80"/>
      <c r="EFT1127" s="80"/>
      <c r="EFU1127" s="80"/>
      <c r="EFV1127" s="80"/>
      <c r="EFW1127" s="80"/>
      <c r="EFX1127" s="80"/>
      <c r="EFY1127" s="80"/>
      <c r="EFZ1127" s="80"/>
      <c r="EGA1127" s="80"/>
      <c r="EGB1127" s="80"/>
      <c r="EGC1127" s="80"/>
      <c r="EGD1127" s="80"/>
      <c r="EGE1127" s="80"/>
      <c r="EGF1127" s="80"/>
      <c r="EGG1127" s="80"/>
      <c r="EGH1127" s="80"/>
      <c r="EGI1127" s="80"/>
      <c r="EGJ1127" s="80"/>
      <c r="EGK1127" s="80"/>
      <c r="EGL1127" s="80"/>
      <c r="EGM1127" s="80"/>
      <c r="EGN1127" s="80"/>
      <c r="EGO1127" s="80"/>
      <c r="EGP1127" s="80"/>
      <c r="EGQ1127" s="80"/>
      <c r="EGR1127" s="80"/>
      <c r="EGS1127" s="80"/>
      <c r="EGT1127" s="80"/>
      <c r="EGU1127" s="80"/>
      <c r="EGV1127" s="80"/>
      <c r="EGW1127" s="80"/>
      <c r="EGX1127" s="80"/>
      <c r="EGY1127" s="80"/>
      <c r="EGZ1127" s="80"/>
      <c r="EHA1127" s="80"/>
      <c r="EHB1127" s="80"/>
      <c r="EHC1127" s="80"/>
      <c r="EHD1127" s="80"/>
      <c r="EHE1127" s="80"/>
      <c r="EHF1127" s="80"/>
      <c r="EHG1127" s="80"/>
      <c r="EHH1127" s="80"/>
      <c r="EHI1127" s="80"/>
      <c r="EHJ1127" s="80"/>
      <c r="EHK1127" s="80"/>
      <c r="EHL1127" s="80"/>
      <c r="EHM1127" s="80"/>
      <c r="EHN1127" s="80"/>
      <c r="EHO1127" s="80"/>
      <c r="EHP1127" s="80"/>
      <c r="EHQ1127" s="80"/>
      <c r="EHR1127" s="80"/>
      <c r="EHS1127" s="80"/>
      <c r="EHT1127" s="80"/>
      <c r="EHU1127" s="80"/>
      <c r="EHV1127" s="80"/>
      <c r="EHW1127" s="80"/>
      <c r="EHX1127" s="80"/>
      <c r="EHY1127" s="80"/>
      <c r="EHZ1127" s="80"/>
      <c r="EIA1127" s="80"/>
      <c r="EIB1127" s="80"/>
      <c r="EIC1127" s="80"/>
      <c r="EID1127" s="80"/>
      <c r="EIE1127" s="80"/>
      <c r="EIF1127" s="80"/>
      <c r="EIG1127" s="80"/>
      <c r="EIH1127" s="80"/>
      <c r="EII1127" s="80"/>
      <c r="EIJ1127" s="80"/>
      <c r="EIK1127" s="80"/>
      <c r="EIL1127" s="80"/>
      <c r="EIM1127" s="80"/>
      <c r="EIN1127" s="80"/>
      <c r="EIO1127" s="80"/>
      <c r="EIP1127" s="80"/>
      <c r="EIQ1127" s="80"/>
      <c r="EIR1127" s="80"/>
      <c r="EIS1127" s="80"/>
      <c r="EIT1127" s="80"/>
      <c r="EIU1127" s="80"/>
      <c r="EIV1127" s="80"/>
      <c r="EIW1127" s="80"/>
      <c r="EIX1127" s="80"/>
      <c r="EIY1127" s="80"/>
      <c r="EIZ1127" s="80"/>
      <c r="EJA1127" s="80"/>
      <c r="EJB1127" s="80"/>
      <c r="EJC1127" s="80"/>
      <c r="EJD1127" s="80"/>
      <c r="EJE1127" s="80"/>
      <c r="EJF1127" s="80"/>
      <c r="EJG1127" s="80"/>
      <c r="EJH1127" s="80"/>
      <c r="EJI1127" s="80"/>
      <c r="EJJ1127" s="80"/>
      <c r="EJK1127" s="80"/>
      <c r="EJL1127" s="80"/>
      <c r="EJM1127" s="80"/>
      <c r="EJN1127" s="80"/>
      <c r="EJO1127" s="80"/>
      <c r="EJP1127" s="80"/>
      <c r="EJQ1127" s="80"/>
      <c r="EJR1127" s="80"/>
      <c r="EJS1127" s="80"/>
      <c r="EJT1127" s="80"/>
      <c r="EJU1127" s="80"/>
      <c r="EJV1127" s="80"/>
      <c r="EJW1127" s="80"/>
      <c r="EJX1127" s="80"/>
      <c r="EJY1127" s="80"/>
      <c r="EJZ1127" s="80"/>
      <c r="EKA1127" s="80"/>
      <c r="EKB1127" s="80"/>
      <c r="EKC1127" s="80"/>
      <c r="EKD1127" s="80"/>
      <c r="EKE1127" s="80"/>
      <c r="EKF1127" s="80"/>
      <c r="EKG1127" s="80"/>
      <c r="EKH1127" s="80"/>
      <c r="EKI1127" s="80"/>
      <c r="EKJ1127" s="80"/>
      <c r="EKK1127" s="80"/>
      <c r="EKL1127" s="80"/>
      <c r="EKM1127" s="80"/>
      <c r="EKN1127" s="80"/>
      <c r="EKO1127" s="80"/>
      <c r="EKP1127" s="80"/>
      <c r="EKQ1127" s="80"/>
      <c r="EKR1127" s="80"/>
      <c r="EKS1127" s="80"/>
      <c r="EKT1127" s="80"/>
      <c r="EKU1127" s="80"/>
      <c r="EKV1127" s="80"/>
      <c r="EKW1127" s="80"/>
      <c r="EKX1127" s="80"/>
      <c r="EKY1127" s="80"/>
      <c r="EKZ1127" s="80"/>
      <c r="ELA1127" s="80"/>
      <c r="ELB1127" s="80"/>
      <c r="ELC1127" s="80"/>
      <c r="ELD1127" s="80"/>
      <c r="ELE1127" s="80"/>
      <c r="ELF1127" s="80"/>
      <c r="ELG1127" s="80"/>
      <c r="ELH1127" s="80"/>
      <c r="ELI1127" s="80"/>
      <c r="ELJ1127" s="80"/>
      <c r="ELK1127" s="80"/>
      <c r="ELL1127" s="80"/>
      <c r="ELM1127" s="80"/>
      <c r="ELN1127" s="80"/>
      <c r="ELO1127" s="80"/>
      <c r="ELP1127" s="80"/>
      <c r="ELQ1127" s="80"/>
      <c r="ELR1127" s="80"/>
      <c r="ELS1127" s="80"/>
      <c r="ELT1127" s="80"/>
      <c r="ELU1127" s="80"/>
      <c r="ELV1127" s="80"/>
      <c r="ELW1127" s="80"/>
      <c r="ELX1127" s="80"/>
      <c r="ELY1127" s="80"/>
      <c r="ELZ1127" s="80"/>
      <c r="EMA1127" s="80"/>
      <c r="EMB1127" s="80"/>
      <c r="EMC1127" s="80"/>
      <c r="EMD1127" s="80"/>
      <c r="EME1127" s="80"/>
      <c r="EMF1127" s="80"/>
      <c r="EMG1127" s="80"/>
      <c r="EMH1127" s="80"/>
      <c r="EMI1127" s="80"/>
      <c r="EMJ1127" s="80"/>
      <c r="EMK1127" s="80"/>
      <c r="EML1127" s="80"/>
      <c r="EMM1127" s="80"/>
      <c r="EMN1127" s="80"/>
      <c r="EMO1127" s="80"/>
      <c r="EMP1127" s="80"/>
      <c r="EMQ1127" s="80"/>
      <c r="EMR1127" s="80"/>
      <c r="EMS1127" s="80"/>
      <c r="EMT1127" s="80"/>
      <c r="EMU1127" s="80"/>
      <c r="EMV1127" s="80"/>
      <c r="EMW1127" s="80"/>
      <c r="EMX1127" s="80"/>
      <c r="EMY1127" s="80"/>
      <c r="EMZ1127" s="80"/>
      <c r="ENA1127" s="80"/>
      <c r="ENB1127" s="80"/>
      <c r="ENC1127" s="80"/>
      <c r="END1127" s="80"/>
      <c r="ENE1127" s="80"/>
      <c r="ENF1127" s="80"/>
      <c r="ENG1127" s="80"/>
      <c r="ENH1127" s="80"/>
      <c r="ENI1127" s="80"/>
      <c r="ENJ1127" s="80"/>
      <c r="ENK1127" s="80"/>
      <c r="ENL1127" s="80"/>
      <c r="ENM1127" s="80"/>
      <c r="ENN1127" s="80"/>
      <c r="ENO1127" s="80"/>
      <c r="ENP1127" s="80"/>
      <c r="ENQ1127" s="80"/>
      <c r="ENR1127" s="80"/>
      <c r="ENS1127" s="80"/>
      <c r="ENT1127" s="80"/>
      <c r="ENU1127" s="80"/>
      <c r="ENV1127" s="80"/>
      <c r="ENW1127" s="80"/>
      <c r="ENX1127" s="80"/>
      <c r="ENY1127" s="80"/>
      <c r="ENZ1127" s="80"/>
      <c r="EOA1127" s="80"/>
      <c r="EOB1127" s="80"/>
      <c r="EOC1127" s="80"/>
      <c r="EOD1127" s="80"/>
      <c r="EOE1127" s="80"/>
      <c r="EOF1127" s="80"/>
      <c r="EOG1127" s="80"/>
      <c r="EOH1127" s="80"/>
      <c r="EOI1127" s="80"/>
      <c r="EOJ1127" s="80"/>
      <c r="EOK1127" s="80"/>
      <c r="EOL1127" s="80"/>
      <c r="EOM1127" s="80"/>
      <c r="EON1127" s="80"/>
      <c r="EOO1127" s="80"/>
      <c r="EOP1127" s="80"/>
      <c r="EOQ1127" s="80"/>
      <c r="EOR1127" s="80"/>
      <c r="EOS1127" s="80"/>
      <c r="EOT1127" s="80"/>
      <c r="EOU1127" s="80"/>
      <c r="EOV1127" s="80"/>
      <c r="EOW1127" s="80"/>
      <c r="EOX1127" s="80"/>
      <c r="EOY1127" s="80"/>
      <c r="EOZ1127" s="80"/>
      <c r="EPA1127" s="80"/>
      <c r="EPB1127" s="80"/>
      <c r="EPC1127" s="80"/>
      <c r="EPD1127" s="80"/>
      <c r="EPE1127" s="80"/>
      <c r="EPF1127" s="80"/>
      <c r="EPG1127" s="80"/>
      <c r="EPH1127" s="80"/>
      <c r="EPI1127" s="80"/>
      <c r="EPJ1127" s="80"/>
      <c r="EPK1127" s="80"/>
      <c r="EPL1127" s="80"/>
      <c r="EPM1127" s="80"/>
      <c r="EPN1127" s="80"/>
      <c r="EPO1127" s="80"/>
      <c r="EPP1127" s="80"/>
      <c r="EPQ1127" s="80"/>
      <c r="EPR1127" s="80"/>
      <c r="EPS1127" s="80"/>
      <c r="EPT1127" s="80"/>
      <c r="EPU1127" s="80"/>
      <c r="EPV1127" s="80"/>
      <c r="EPW1127" s="80"/>
      <c r="EPX1127" s="80"/>
      <c r="EPY1127" s="80"/>
      <c r="EPZ1127" s="80"/>
      <c r="EQA1127" s="80"/>
      <c r="EQB1127" s="80"/>
      <c r="EQC1127" s="80"/>
      <c r="EQD1127" s="80"/>
      <c r="EQE1127" s="80"/>
      <c r="EQF1127" s="80"/>
      <c r="EQG1127" s="80"/>
      <c r="EQH1127" s="80"/>
      <c r="EQI1127" s="80"/>
      <c r="EQJ1127" s="80"/>
      <c r="EQK1127" s="80"/>
      <c r="EQL1127" s="80"/>
      <c r="EQM1127" s="80"/>
      <c r="EQN1127" s="80"/>
      <c r="EQO1127" s="80"/>
      <c r="EQP1127" s="80"/>
      <c r="EQQ1127" s="80"/>
      <c r="EQR1127" s="80"/>
      <c r="EQS1127" s="80"/>
      <c r="EQT1127" s="80"/>
      <c r="EQU1127" s="80"/>
      <c r="EQV1127" s="80"/>
      <c r="EQW1127" s="80"/>
      <c r="EQX1127" s="80"/>
      <c r="EQY1127" s="80"/>
      <c r="EQZ1127" s="80"/>
      <c r="ERA1127" s="80"/>
      <c r="ERB1127" s="80"/>
      <c r="ERC1127" s="80"/>
      <c r="ERD1127" s="80"/>
      <c r="ERE1127" s="80"/>
      <c r="ERF1127" s="80"/>
      <c r="ERG1127" s="80"/>
      <c r="ERH1127" s="80"/>
      <c r="ERI1127" s="80"/>
      <c r="ERJ1127" s="80"/>
      <c r="ERK1127" s="80"/>
      <c r="ERL1127" s="80"/>
      <c r="ERM1127" s="80"/>
      <c r="ERN1127" s="80"/>
      <c r="ERO1127" s="80"/>
      <c r="ERP1127" s="80"/>
      <c r="ERQ1127" s="80"/>
      <c r="ERR1127" s="80"/>
      <c r="ERS1127" s="80"/>
      <c r="ERT1127" s="80"/>
      <c r="ERU1127" s="80"/>
      <c r="ERV1127" s="80"/>
      <c r="ERW1127" s="80"/>
      <c r="ERX1127" s="80"/>
      <c r="ERY1127" s="80"/>
      <c r="ERZ1127" s="80"/>
      <c r="ESA1127" s="80"/>
      <c r="ESB1127" s="80"/>
      <c r="ESC1127" s="80"/>
      <c r="ESD1127" s="80"/>
      <c r="ESE1127" s="80"/>
      <c r="ESF1127" s="80"/>
      <c r="ESG1127" s="80"/>
      <c r="ESH1127" s="80"/>
      <c r="ESI1127" s="80"/>
      <c r="ESJ1127" s="80"/>
      <c r="ESK1127" s="80"/>
      <c r="ESL1127" s="80"/>
      <c r="ESM1127" s="80"/>
      <c r="ESN1127" s="80"/>
      <c r="ESO1127" s="80"/>
      <c r="ESP1127" s="80"/>
      <c r="ESQ1127" s="80"/>
      <c r="ESR1127" s="80"/>
      <c r="ESS1127" s="80"/>
      <c r="EST1127" s="80"/>
      <c r="ESU1127" s="80"/>
      <c r="ESV1127" s="80"/>
      <c r="ESW1127" s="80"/>
      <c r="ESX1127" s="80"/>
      <c r="ESY1127" s="80"/>
      <c r="ESZ1127" s="80"/>
      <c r="ETA1127" s="80"/>
      <c r="ETB1127" s="80"/>
      <c r="ETC1127" s="80"/>
      <c r="ETD1127" s="80"/>
      <c r="ETE1127" s="80"/>
      <c r="ETF1127" s="80"/>
      <c r="ETG1127" s="80"/>
      <c r="ETH1127" s="80"/>
      <c r="ETI1127" s="80"/>
      <c r="ETJ1127" s="80"/>
      <c r="ETK1127" s="80"/>
      <c r="ETL1127" s="80"/>
      <c r="ETM1127" s="80"/>
      <c r="ETN1127" s="80"/>
      <c r="ETO1127" s="80"/>
      <c r="ETP1127" s="80"/>
      <c r="ETQ1127" s="80"/>
      <c r="ETR1127" s="80"/>
      <c r="ETS1127" s="80"/>
      <c r="ETT1127" s="80"/>
      <c r="ETU1127" s="80"/>
      <c r="ETV1127" s="80"/>
      <c r="ETW1127" s="80"/>
      <c r="ETX1127" s="80"/>
      <c r="ETY1127" s="80"/>
      <c r="ETZ1127" s="80"/>
      <c r="EUA1127" s="80"/>
      <c r="EUB1127" s="80"/>
      <c r="EUC1127" s="80"/>
      <c r="EUD1127" s="80"/>
      <c r="EUE1127" s="80"/>
      <c r="EUF1127" s="80"/>
      <c r="EUG1127" s="80"/>
      <c r="EUH1127" s="80"/>
      <c r="EUI1127" s="80"/>
      <c r="EUJ1127" s="80"/>
      <c r="EUK1127" s="80"/>
      <c r="EUL1127" s="80"/>
      <c r="EUM1127" s="80"/>
      <c r="EUN1127" s="80"/>
      <c r="EUO1127" s="80"/>
      <c r="EUP1127" s="80"/>
      <c r="EUQ1127" s="80"/>
      <c r="EUR1127" s="80"/>
      <c r="EUS1127" s="80"/>
      <c r="EUT1127" s="80"/>
      <c r="EUU1127" s="80"/>
      <c r="EUV1127" s="80"/>
      <c r="EUW1127" s="80"/>
      <c r="EUX1127" s="80"/>
      <c r="EUY1127" s="80"/>
      <c r="EUZ1127" s="80"/>
      <c r="EVA1127" s="80"/>
      <c r="EVB1127" s="80"/>
      <c r="EVC1127" s="80"/>
      <c r="EVD1127" s="80"/>
      <c r="EVE1127" s="80"/>
      <c r="EVF1127" s="80"/>
      <c r="EVG1127" s="80"/>
      <c r="EVH1127" s="80"/>
      <c r="EVI1127" s="80"/>
      <c r="EVJ1127" s="80"/>
      <c r="EVK1127" s="80"/>
      <c r="EVL1127" s="80"/>
      <c r="EVM1127" s="80"/>
      <c r="EVN1127" s="80"/>
      <c r="EVO1127" s="80"/>
      <c r="EVP1127" s="80"/>
      <c r="EVQ1127" s="80"/>
      <c r="EVR1127" s="80"/>
      <c r="EVS1127" s="80"/>
      <c r="EVT1127" s="80"/>
      <c r="EVU1127" s="80"/>
      <c r="EVV1127" s="80"/>
      <c r="EVW1127" s="80"/>
      <c r="EVX1127" s="80"/>
      <c r="EVY1127" s="80"/>
      <c r="EVZ1127" s="80"/>
      <c r="EWA1127" s="80"/>
      <c r="EWB1127" s="80"/>
      <c r="EWC1127" s="80"/>
      <c r="EWD1127" s="80"/>
      <c r="EWE1127" s="80"/>
      <c r="EWF1127" s="80"/>
      <c r="EWG1127" s="80"/>
      <c r="EWH1127" s="80"/>
      <c r="EWI1127" s="80"/>
      <c r="EWJ1127" s="80"/>
      <c r="EWK1127" s="80"/>
      <c r="EWL1127" s="80"/>
      <c r="EWM1127" s="80"/>
      <c r="EWN1127" s="80"/>
      <c r="EWO1127" s="80"/>
      <c r="EWP1127" s="80"/>
      <c r="EWQ1127" s="80"/>
      <c r="EWR1127" s="80"/>
      <c r="EWS1127" s="80"/>
      <c r="EWT1127" s="80"/>
      <c r="EWU1127" s="80"/>
      <c r="EWV1127" s="80"/>
      <c r="EWW1127" s="80"/>
      <c r="EWX1127" s="80"/>
      <c r="EWY1127" s="80"/>
      <c r="EWZ1127" s="80"/>
      <c r="EXA1127" s="80"/>
      <c r="EXB1127" s="80"/>
      <c r="EXC1127" s="80"/>
      <c r="EXD1127" s="80"/>
      <c r="EXE1127" s="80"/>
      <c r="EXF1127" s="80"/>
      <c r="EXG1127" s="80"/>
      <c r="EXH1127" s="80"/>
      <c r="EXI1127" s="80"/>
      <c r="EXJ1127" s="80"/>
      <c r="EXK1127" s="80"/>
      <c r="EXL1127" s="80"/>
      <c r="EXM1127" s="80"/>
      <c r="EXN1127" s="80"/>
      <c r="EXO1127" s="80"/>
      <c r="EXP1127" s="80"/>
      <c r="EXQ1127" s="80"/>
      <c r="EXR1127" s="80"/>
      <c r="EXS1127" s="80"/>
      <c r="EXT1127" s="80"/>
      <c r="EXU1127" s="80"/>
      <c r="EXV1127" s="80"/>
      <c r="EXW1127" s="80"/>
      <c r="EXX1127" s="80"/>
      <c r="EXY1127" s="80"/>
      <c r="EXZ1127" s="80"/>
      <c r="EYA1127" s="80"/>
      <c r="EYB1127" s="80"/>
      <c r="EYC1127" s="80"/>
      <c r="EYD1127" s="80"/>
      <c r="EYE1127" s="80"/>
      <c r="EYF1127" s="80"/>
      <c r="EYG1127" s="80"/>
      <c r="EYH1127" s="80"/>
      <c r="EYI1127" s="80"/>
      <c r="EYJ1127" s="80"/>
      <c r="EYK1127" s="80"/>
      <c r="EYL1127" s="80"/>
      <c r="EYM1127" s="80"/>
      <c r="EYN1127" s="80"/>
      <c r="EYO1127" s="80"/>
      <c r="EYP1127" s="80"/>
      <c r="EYQ1127" s="80"/>
      <c r="EYR1127" s="80"/>
      <c r="EYS1127" s="80"/>
      <c r="EYT1127" s="80"/>
      <c r="EYU1127" s="80"/>
      <c r="EYV1127" s="80"/>
      <c r="EYW1127" s="80"/>
      <c r="EYX1127" s="80"/>
      <c r="EYY1127" s="80"/>
      <c r="EYZ1127" s="80"/>
      <c r="EZA1127" s="80"/>
      <c r="EZB1127" s="80"/>
      <c r="EZC1127" s="80"/>
      <c r="EZD1127" s="80"/>
      <c r="EZE1127" s="80"/>
      <c r="EZF1127" s="80"/>
      <c r="EZG1127" s="80"/>
      <c r="EZH1127" s="80"/>
      <c r="EZI1127" s="80"/>
      <c r="EZJ1127" s="80"/>
      <c r="EZK1127" s="80"/>
      <c r="EZL1127" s="80"/>
      <c r="EZM1127" s="80"/>
      <c r="EZN1127" s="80"/>
      <c r="EZO1127" s="80"/>
      <c r="EZP1127" s="80"/>
      <c r="EZQ1127" s="80"/>
      <c r="EZR1127" s="80"/>
      <c r="EZS1127" s="80"/>
      <c r="EZT1127" s="80"/>
      <c r="EZU1127" s="80"/>
      <c r="EZV1127" s="80"/>
      <c r="EZW1127" s="80"/>
      <c r="EZX1127" s="80"/>
      <c r="EZY1127" s="80"/>
      <c r="EZZ1127" s="80"/>
      <c r="FAA1127" s="80"/>
      <c r="FAB1127" s="80"/>
      <c r="FAC1127" s="80"/>
      <c r="FAD1127" s="80"/>
      <c r="FAE1127" s="80"/>
      <c r="FAF1127" s="80"/>
      <c r="FAG1127" s="80"/>
      <c r="FAH1127" s="80"/>
      <c r="FAI1127" s="80"/>
      <c r="FAJ1127" s="80"/>
      <c r="FAK1127" s="80"/>
      <c r="FAL1127" s="80"/>
      <c r="FAM1127" s="80"/>
      <c r="FAN1127" s="80"/>
      <c r="FAO1127" s="80"/>
      <c r="FAP1127" s="80"/>
      <c r="FAQ1127" s="80"/>
      <c r="FAR1127" s="80"/>
      <c r="FAS1127" s="80"/>
      <c r="FAT1127" s="80"/>
      <c r="FAU1127" s="80"/>
      <c r="FAV1127" s="80"/>
      <c r="FAW1127" s="80"/>
      <c r="FAX1127" s="80"/>
      <c r="FAY1127" s="80"/>
      <c r="FAZ1127" s="80"/>
      <c r="FBA1127" s="80"/>
      <c r="FBB1127" s="80"/>
      <c r="FBC1127" s="80"/>
      <c r="FBD1127" s="80"/>
      <c r="FBE1127" s="80"/>
      <c r="FBF1127" s="80"/>
      <c r="FBG1127" s="80"/>
      <c r="FBH1127" s="80"/>
      <c r="FBI1127" s="80"/>
      <c r="FBJ1127" s="80"/>
      <c r="FBK1127" s="80"/>
      <c r="FBL1127" s="80"/>
      <c r="FBM1127" s="80"/>
      <c r="FBN1127" s="80"/>
      <c r="FBO1127" s="80"/>
      <c r="FBP1127" s="80"/>
      <c r="FBQ1127" s="80"/>
      <c r="FBR1127" s="80"/>
      <c r="FBS1127" s="80"/>
      <c r="FBT1127" s="80"/>
      <c r="FBU1127" s="80"/>
      <c r="FBV1127" s="80"/>
      <c r="FBW1127" s="80"/>
      <c r="FBX1127" s="80"/>
      <c r="FBY1127" s="80"/>
      <c r="FBZ1127" s="80"/>
      <c r="FCA1127" s="80"/>
      <c r="FCB1127" s="80"/>
      <c r="FCC1127" s="80"/>
      <c r="FCD1127" s="80"/>
      <c r="FCE1127" s="80"/>
      <c r="FCF1127" s="80"/>
      <c r="FCG1127" s="80"/>
      <c r="FCH1127" s="80"/>
      <c r="FCI1127" s="80"/>
      <c r="FCJ1127" s="80"/>
      <c r="FCK1127" s="80"/>
      <c r="FCL1127" s="80"/>
      <c r="FCM1127" s="80"/>
      <c r="FCN1127" s="80"/>
      <c r="FCO1127" s="80"/>
      <c r="FCP1127" s="80"/>
      <c r="FCQ1127" s="80"/>
      <c r="FCR1127" s="80"/>
      <c r="FCS1127" s="80"/>
      <c r="FCT1127" s="80"/>
      <c r="FCU1127" s="80"/>
      <c r="FCV1127" s="80"/>
      <c r="FCW1127" s="80"/>
      <c r="FCX1127" s="80"/>
      <c r="FCY1127" s="80"/>
      <c r="FCZ1127" s="80"/>
      <c r="FDA1127" s="80"/>
      <c r="FDB1127" s="80"/>
      <c r="FDC1127" s="80"/>
      <c r="FDD1127" s="80"/>
      <c r="FDE1127" s="80"/>
      <c r="FDF1127" s="80"/>
      <c r="FDG1127" s="80"/>
      <c r="FDH1127" s="80"/>
      <c r="FDI1127" s="80"/>
      <c r="FDJ1127" s="80"/>
      <c r="FDK1127" s="80"/>
      <c r="FDL1127" s="80"/>
      <c r="FDM1127" s="80"/>
      <c r="FDN1127" s="80"/>
      <c r="FDO1127" s="80"/>
      <c r="FDP1127" s="80"/>
      <c r="FDQ1127" s="80"/>
      <c r="FDR1127" s="80"/>
      <c r="FDS1127" s="80"/>
      <c r="FDT1127" s="80"/>
      <c r="FDU1127" s="80"/>
      <c r="FDV1127" s="80"/>
      <c r="FDW1127" s="80"/>
      <c r="FDX1127" s="80"/>
      <c r="FDY1127" s="80"/>
      <c r="FDZ1127" s="80"/>
      <c r="FEA1127" s="80"/>
      <c r="FEB1127" s="80"/>
      <c r="FEC1127" s="80"/>
      <c r="FED1127" s="80"/>
      <c r="FEE1127" s="80"/>
      <c r="FEF1127" s="80"/>
      <c r="FEG1127" s="80"/>
      <c r="FEH1127" s="80"/>
      <c r="FEI1127" s="80"/>
      <c r="FEJ1127" s="80"/>
      <c r="FEK1127" s="80"/>
      <c r="FEL1127" s="80"/>
      <c r="FEM1127" s="80"/>
      <c r="FEN1127" s="80"/>
      <c r="FEO1127" s="80"/>
      <c r="FEP1127" s="80"/>
      <c r="FEQ1127" s="80"/>
      <c r="FER1127" s="80"/>
      <c r="FES1127" s="80"/>
      <c r="FET1127" s="80"/>
      <c r="FEU1127" s="80"/>
      <c r="FEV1127" s="80"/>
      <c r="FEW1127" s="80"/>
      <c r="FEX1127" s="80"/>
      <c r="FEY1127" s="80"/>
      <c r="FEZ1127" s="80"/>
      <c r="FFA1127" s="80"/>
      <c r="FFB1127" s="80"/>
      <c r="FFC1127" s="80"/>
      <c r="FFD1127" s="80"/>
      <c r="FFE1127" s="80"/>
      <c r="FFF1127" s="80"/>
      <c r="FFG1127" s="80"/>
      <c r="FFH1127" s="80"/>
      <c r="FFI1127" s="80"/>
      <c r="FFJ1127" s="80"/>
      <c r="FFK1127" s="80"/>
      <c r="FFL1127" s="80"/>
      <c r="FFM1127" s="80"/>
      <c r="FFN1127" s="80"/>
      <c r="FFO1127" s="80"/>
      <c r="FFP1127" s="80"/>
      <c r="FFQ1127" s="80"/>
      <c r="FFR1127" s="80"/>
      <c r="FFS1127" s="80"/>
      <c r="FFT1127" s="80"/>
      <c r="FFU1127" s="80"/>
      <c r="FFV1127" s="80"/>
      <c r="FFW1127" s="80"/>
      <c r="FFX1127" s="80"/>
      <c r="FFY1127" s="80"/>
      <c r="FFZ1127" s="80"/>
      <c r="FGA1127" s="80"/>
      <c r="FGB1127" s="80"/>
      <c r="FGC1127" s="80"/>
      <c r="FGD1127" s="80"/>
      <c r="FGE1127" s="80"/>
      <c r="FGF1127" s="80"/>
      <c r="FGG1127" s="80"/>
      <c r="FGH1127" s="80"/>
      <c r="FGI1127" s="80"/>
      <c r="FGJ1127" s="80"/>
      <c r="FGK1127" s="80"/>
      <c r="FGL1127" s="80"/>
      <c r="FGM1127" s="80"/>
      <c r="FGN1127" s="80"/>
      <c r="FGO1127" s="80"/>
      <c r="FGP1127" s="80"/>
      <c r="FGQ1127" s="80"/>
      <c r="FGR1127" s="80"/>
      <c r="FGS1127" s="80"/>
      <c r="FGT1127" s="80"/>
      <c r="FGU1127" s="80"/>
      <c r="FGV1127" s="80"/>
      <c r="FGW1127" s="80"/>
      <c r="FGX1127" s="80"/>
      <c r="FGY1127" s="80"/>
      <c r="FGZ1127" s="80"/>
      <c r="FHA1127" s="80"/>
      <c r="FHB1127" s="80"/>
      <c r="FHC1127" s="80"/>
      <c r="FHD1127" s="80"/>
      <c r="FHE1127" s="80"/>
      <c r="FHF1127" s="80"/>
      <c r="FHG1127" s="80"/>
      <c r="FHH1127" s="80"/>
      <c r="FHI1127" s="80"/>
      <c r="FHJ1127" s="80"/>
      <c r="FHK1127" s="80"/>
      <c r="FHL1127" s="80"/>
      <c r="FHM1127" s="80"/>
      <c r="FHN1127" s="80"/>
      <c r="FHO1127" s="80"/>
      <c r="FHP1127" s="80"/>
      <c r="FHQ1127" s="80"/>
      <c r="FHR1127" s="80"/>
      <c r="FHS1127" s="80"/>
      <c r="FHT1127" s="80"/>
      <c r="FHU1127" s="80"/>
      <c r="FHV1127" s="80"/>
      <c r="FHW1127" s="80"/>
      <c r="FHX1127" s="80"/>
      <c r="FHY1127" s="80"/>
      <c r="FHZ1127" s="80"/>
      <c r="FIA1127" s="80"/>
      <c r="FIB1127" s="80"/>
      <c r="FIC1127" s="80"/>
      <c r="FID1127" s="80"/>
      <c r="FIE1127" s="80"/>
      <c r="FIF1127" s="80"/>
      <c r="FIG1127" s="80"/>
      <c r="FIH1127" s="80"/>
      <c r="FII1127" s="80"/>
      <c r="FIJ1127" s="80"/>
      <c r="FIK1127" s="80"/>
      <c r="FIL1127" s="80"/>
      <c r="FIM1127" s="80"/>
      <c r="FIN1127" s="80"/>
      <c r="FIO1127" s="80"/>
      <c r="FIP1127" s="80"/>
      <c r="FIQ1127" s="80"/>
      <c r="FIR1127" s="80"/>
      <c r="FIS1127" s="80"/>
      <c r="FIT1127" s="80"/>
      <c r="FIU1127" s="80"/>
      <c r="FIV1127" s="80"/>
      <c r="FIW1127" s="80"/>
      <c r="FIX1127" s="80"/>
      <c r="FIY1127" s="80"/>
      <c r="FIZ1127" s="80"/>
      <c r="FJA1127" s="80"/>
      <c r="FJB1127" s="80"/>
      <c r="FJC1127" s="80"/>
      <c r="FJD1127" s="80"/>
      <c r="FJE1127" s="80"/>
      <c r="FJF1127" s="80"/>
      <c r="FJG1127" s="80"/>
      <c r="FJH1127" s="80"/>
      <c r="FJI1127" s="80"/>
      <c r="FJJ1127" s="80"/>
      <c r="FJK1127" s="80"/>
      <c r="FJL1127" s="80"/>
      <c r="FJM1127" s="80"/>
      <c r="FJN1127" s="80"/>
      <c r="FJO1127" s="80"/>
      <c r="FJP1127" s="80"/>
      <c r="FJQ1127" s="80"/>
      <c r="FJR1127" s="80"/>
      <c r="FJS1127" s="80"/>
      <c r="FJT1127" s="80"/>
      <c r="FJU1127" s="80"/>
      <c r="FJV1127" s="80"/>
      <c r="FJW1127" s="80"/>
      <c r="FJX1127" s="80"/>
      <c r="FJY1127" s="80"/>
      <c r="FJZ1127" s="80"/>
      <c r="FKA1127" s="80"/>
      <c r="FKB1127" s="80"/>
      <c r="FKC1127" s="80"/>
      <c r="FKD1127" s="80"/>
      <c r="FKE1127" s="80"/>
      <c r="FKF1127" s="80"/>
      <c r="FKG1127" s="80"/>
      <c r="FKH1127" s="80"/>
      <c r="FKI1127" s="80"/>
      <c r="FKJ1127" s="80"/>
      <c r="FKK1127" s="80"/>
      <c r="FKL1127" s="80"/>
      <c r="FKM1127" s="80"/>
      <c r="FKN1127" s="80"/>
      <c r="FKO1127" s="80"/>
      <c r="FKP1127" s="80"/>
      <c r="FKQ1127" s="80"/>
      <c r="FKR1127" s="80"/>
      <c r="FKS1127" s="80"/>
      <c r="FKT1127" s="80"/>
      <c r="FKU1127" s="80"/>
      <c r="FKV1127" s="80"/>
      <c r="FKW1127" s="80"/>
      <c r="FKX1127" s="80"/>
      <c r="FKY1127" s="80"/>
      <c r="FKZ1127" s="80"/>
      <c r="FLA1127" s="80"/>
      <c r="FLB1127" s="80"/>
      <c r="FLC1127" s="80"/>
      <c r="FLD1127" s="80"/>
      <c r="FLE1127" s="80"/>
      <c r="FLF1127" s="80"/>
      <c r="FLG1127" s="80"/>
      <c r="FLH1127" s="80"/>
      <c r="FLI1127" s="80"/>
      <c r="FLJ1127" s="80"/>
      <c r="FLK1127" s="80"/>
      <c r="FLL1127" s="80"/>
      <c r="FLM1127" s="80"/>
      <c r="FLN1127" s="80"/>
      <c r="FLO1127" s="80"/>
      <c r="FLP1127" s="80"/>
      <c r="FLQ1127" s="80"/>
      <c r="FLR1127" s="80"/>
      <c r="FLS1127" s="80"/>
      <c r="FLT1127" s="80"/>
      <c r="FLU1127" s="80"/>
      <c r="FLV1127" s="80"/>
      <c r="FLW1127" s="80"/>
      <c r="FLX1127" s="80"/>
      <c r="FLY1127" s="80"/>
      <c r="FLZ1127" s="80"/>
      <c r="FMA1127" s="80"/>
      <c r="FMB1127" s="80"/>
      <c r="FMC1127" s="80"/>
      <c r="FMD1127" s="80"/>
      <c r="FME1127" s="80"/>
      <c r="FMF1127" s="80"/>
      <c r="FMG1127" s="80"/>
      <c r="FMH1127" s="80"/>
      <c r="FMI1127" s="80"/>
      <c r="FMJ1127" s="80"/>
      <c r="FMK1127" s="80"/>
      <c r="FML1127" s="80"/>
      <c r="FMM1127" s="80"/>
      <c r="FMN1127" s="80"/>
      <c r="FMO1127" s="80"/>
      <c r="FMP1127" s="80"/>
      <c r="FMQ1127" s="80"/>
      <c r="FMR1127" s="80"/>
      <c r="FMS1127" s="80"/>
      <c r="FMT1127" s="80"/>
      <c r="FMU1127" s="80"/>
      <c r="FMV1127" s="80"/>
      <c r="FMW1127" s="80"/>
      <c r="FMX1127" s="80"/>
      <c r="FMY1127" s="80"/>
      <c r="FMZ1127" s="80"/>
      <c r="FNA1127" s="80"/>
      <c r="FNB1127" s="80"/>
      <c r="FNC1127" s="80"/>
      <c r="FND1127" s="80"/>
      <c r="FNE1127" s="80"/>
      <c r="FNF1127" s="80"/>
      <c r="FNG1127" s="80"/>
      <c r="FNH1127" s="80"/>
      <c r="FNI1127" s="80"/>
      <c r="FNJ1127" s="80"/>
      <c r="FNK1127" s="80"/>
      <c r="FNL1127" s="80"/>
      <c r="FNM1127" s="80"/>
      <c r="FNN1127" s="80"/>
      <c r="FNO1127" s="80"/>
      <c r="FNP1127" s="80"/>
      <c r="FNQ1127" s="80"/>
      <c r="FNR1127" s="80"/>
      <c r="FNS1127" s="80"/>
      <c r="FNT1127" s="80"/>
      <c r="FNU1127" s="80"/>
      <c r="FNV1127" s="80"/>
      <c r="FNW1127" s="80"/>
      <c r="FNX1127" s="80"/>
      <c r="FNY1127" s="80"/>
      <c r="FNZ1127" s="80"/>
      <c r="FOA1127" s="80"/>
      <c r="FOB1127" s="80"/>
      <c r="FOC1127" s="80"/>
      <c r="FOD1127" s="80"/>
      <c r="FOE1127" s="80"/>
      <c r="FOF1127" s="80"/>
      <c r="FOG1127" s="80"/>
      <c r="FOH1127" s="80"/>
      <c r="FOI1127" s="80"/>
      <c r="FOJ1127" s="80"/>
      <c r="FOK1127" s="80"/>
      <c r="FOL1127" s="80"/>
      <c r="FOM1127" s="80"/>
      <c r="FON1127" s="80"/>
      <c r="FOO1127" s="80"/>
      <c r="FOP1127" s="80"/>
      <c r="FOQ1127" s="80"/>
      <c r="FOR1127" s="80"/>
      <c r="FOS1127" s="80"/>
      <c r="FOT1127" s="80"/>
      <c r="FOU1127" s="80"/>
      <c r="FOV1127" s="80"/>
      <c r="FOW1127" s="80"/>
      <c r="FOX1127" s="80"/>
      <c r="FOY1127" s="80"/>
      <c r="FOZ1127" s="80"/>
      <c r="FPA1127" s="80"/>
      <c r="FPB1127" s="80"/>
      <c r="FPC1127" s="80"/>
      <c r="FPD1127" s="80"/>
      <c r="FPE1127" s="80"/>
      <c r="FPF1127" s="80"/>
      <c r="FPG1127" s="80"/>
      <c r="FPH1127" s="80"/>
      <c r="FPI1127" s="80"/>
      <c r="FPJ1127" s="80"/>
      <c r="FPK1127" s="80"/>
      <c r="FPL1127" s="80"/>
      <c r="FPM1127" s="80"/>
      <c r="FPN1127" s="80"/>
      <c r="FPO1127" s="80"/>
      <c r="FPP1127" s="80"/>
      <c r="FPQ1127" s="80"/>
      <c r="FPR1127" s="80"/>
      <c r="FPS1127" s="80"/>
      <c r="FPT1127" s="80"/>
      <c r="FPU1127" s="80"/>
      <c r="FPV1127" s="80"/>
      <c r="FPW1127" s="80"/>
      <c r="FPX1127" s="80"/>
      <c r="FPY1127" s="80"/>
      <c r="FPZ1127" s="80"/>
      <c r="FQA1127" s="80"/>
      <c r="FQB1127" s="80"/>
      <c r="FQC1127" s="80"/>
      <c r="FQD1127" s="80"/>
      <c r="FQE1127" s="80"/>
      <c r="FQF1127" s="80"/>
      <c r="FQG1127" s="80"/>
      <c r="FQH1127" s="80"/>
      <c r="FQI1127" s="80"/>
      <c r="FQJ1127" s="80"/>
      <c r="FQK1127" s="80"/>
      <c r="FQL1127" s="80"/>
      <c r="FQM1127" s="80"/>
      <c r="FQN1127" s="80"/>
      <c r="FQO1127" s="80"/>
      <c r="FQP1127" s="80"/>
      <c r="FQQ1127" s="80"/>
      <c r="FQR1127" s="80"/>
      <c r="FQS1127" s="80"/>
      <c r="FQT1127" s="80"/>
      <c r="FQU1127" s="80"/>
      <c r="FQV1127" s="80"/>
      <c r="FQW1127" s="80"/>
      <c r="FQX1127" s="80"/>
      <c r="FQY1127" s="80"/>
      <c r="FQZ1127" s="80"/>
      <c r="FRA1127" s="80"/>
      <c r="FRB1127" s="80"/>
      <c r="FRC1127" s="80"/>
      <c r="FRD1127" s="80"/>
      <c r="FRE1127" s="80"/>
      <c r="FRF1127" s="80"/>
      <c r="FRG1127" s="80"/>
      <c r="FRH1127" s="80"/>
      <c r="FRI1127" s="80"/>
      <c r="FRJ1127" s="80"/>
      <c r="FRK1127" s="80"/>
      <c r="FRL1127" s="80"/>
      <c r="FRM1127" s="80"/>
      <c r="FRN1127" s="80"/>
      <c r="FRO1127" s="80"/>
      <c r="FRP1127" s="80"/>
      <c r="FRQ1127" s="80"/>
      <c r="FRR1127" s="80"/>
      <c r="FRS1127" s="80"/>
      <c r="FRT1127" s="80"/>
      <c r="FRU1127" s="80"/>
      <c r="FRV1127" s="80"/>
      <c r="FRW1127" s="80"/>
      <c r="FRX1127" s="80"/>
      <c r="FRY1127" s="80"/>
      <c r="FRZ1127" s="80"/>
      <c r="FSA1127" s="80"/>
      <c r="FSB1127" s="80"/>
      <c r="FSC1127" s="80"/>
      <c r="FSD1127" s="80"/>
      <c r="FSE1127" s="80"/>
      <c r="FSF1127" s="80"/>
      <c r="FSG1127" s="80"/>
      <c r="FSH1127" s="80"/>
      <c r="FSI1127" s="80"/>
      <c r="FSJ1127" s="80"/>
      <c r="FSK1127" s="80"/>
      <c r="FSL1127" s="80"/>
      <c r="FSM1127" s="80"/>
      <c r="FSN1127" s="80"/>
      <c r="FSO1127" s="80"/>
      <c r="FSP1127" s="80"/>
      <c r="FSQ1127" s="80"/>
      <c r="FSR1127" s="80"/>
      <c r="FSS1127" s="80"/>
      <c r="FST1127" s="80"/>
      <c r="FSU1127" s="80"/>
      <c r="FSV1127" s="80"/>
      <c r="FSW1127" s="80"/>
      <c r="FSX1127" s="80"/>
      <c r="FSY1127" s="80"/>
      <c r="FSZ1127" s="80"/>
      <c r="FTA1127" s="80"/>
      <c r="FTB1127" s="80"/>
      <c r="FTC1127" s="80"/>
      <c r="FTD1127" s="80"/>
      <c r="FTE1127" s="80"/>
      <c r="FTF1127" s="80"/>
      <c r="FTG1127" s="80"/>
      <c r="FTH1127" s="80"/>
      <c r="FTI1127" s="80"/>
      <c r="FTJ1127" s="80"/>
      <c r="FTK1127" s="80"/>
      <c r="FTL1127" s="80"/>
      <c r="FTM1127" s="80"/>
      <c r="FTN1127" s="80"/>
      <c r="FTO1127" s="80"/>
      <c r="FTP1127" s="80"/>
      <c r="FTQ1127" s="80"/>
      <c r="FTR1127" s="80"/>
      <c r="FTS1127" s="80"/>
      <c r="FTT1127" s="80"/>
      <c r="FTU1127" s="80"/>
      <c r="FTV1127" s="80"/>
      <c r="FTW1127" s="80"/>
      <c r="FTX1127" s="80"/>
      <c r="FTY1127" s="80"/>
      <c r="FTZ1127" s="80"/>
      <c r="FUA1127" s="80"/>
      <c r="FUB1127" s="80"/>
      <c r="FUC1127" s="80"/>
      <c r="FUD1127" s="80"/>
      <c r="FUE1127" s="80"/>
      <c r="FUF1127" s="80"/>
      <c r="FUG1127" s="80"/>
      <c r="FUH1127" s="80"/>
      <c r="FUI1127" s="80"/>
      <c r="FUJ1127" s="80"/>
      <c r="FUK1127" s="80"/>
      <c r="FUL1127" s="80"/>
      <c r="FUM1127" s="80"/>
      <c r="FUN1127" s="80"/>
      <c r="FUO1127" s="80"/>
      <c r="FUP1127" s="80"/>
      <c r="FUQ1127" s="80"/>
      <c r="FUR1127" s="80"/>
      <c r="FUS1127" s="80"/>
      <c r="FUT1127" s="80"/>
      <c r="FUU1127" s="80"/>
      <c r="FUV1127" s="80"/>
      <c r="FUW1127" s="80"/>
      <c r="FUX1127" s="80"/>
      <c r="FUY1127" s="80"/>
      <c r="FUZ1127" s="80"/>
      <c r="FVA1127" s="80"/>
      <c r="FVB1127" s="80"/>
      <c r="FVC1127" s="80"/>
      <c r="FVD1127" s="80"/>
      <c r="FVE1127" s="80"/>
      <c r="FVF1127" s="80"/>
      <c r="FVG1127" s="80"/>
      <c r="FVH1127" s="80"/>
      <c r="FVI1127" s="80"/>
      <c r="FVJ1127" s="80"/>
      <c r="FVK1127" s="80"/>
      <c r="FVL1127" s="80"/>
      <c r="FVM1127" s="80"/>
      <c r="FVN1127" s="80"/>
      <c r="FVO1127" s="80"/>
      <c r="FVP1127" s="80"/>
      <c r="FVQ1127" s="80"/>
      <c r="FVR1127" s="80"/>
      <c r="FVS1127" s="80"/>
      <c r="FVT1127" s="80"/>
      <c r="FVU1127" s="80"/>
      <c r="FVV1127" s="80"/>
      <c r="FVW1127" s="80"/>
      <c r="FVX1127" s="80"/>
      <c r="FVY1127" s="80"/>
      <c r="FVZ1127" s="80"/>
      <c r="FWA1127" s="80"/>
      <c r="FWB1127" s="80"/>
      <c r="FWC1127" s="80"/>
      <c r="FWD1127" s="80"/>
      <c r="FWE1127" s="80"/>
      <c r="FWF1127" s="80"/>
      <c r="FWG1127" s="80"/>
      <c r="FWH1127" s="80"/>
      <c r="FWI1127" s="80"/>
      <c r="FWJ1127" s="80"/>
      <c r="FWK1127" s="80"/>
      <c r="FWL1127" s="80"/>
      <c r="FWM1127" s="80"/>
      <c r="FWN1127" s="80"/>
      <c r="FWO1127" s="80"/>
      <c r="FWP1127" s="80"/>
      <c r="FWQ1127" s="80"/>
      <c r="FWR1127" s="80"/>
      <c r="FWS1127" s="80"/>
      <c r="FWT1127" s="80"/>
      <c r="FWU1127" s="80"/>
      <c r="FWV1127" s="80"/>
      <c r="FWW1127" s="80"/>
      <c r="FWX1127" s="80"/>
      <c r="FWY1127" s="80"/>
      <c r="FWZ1127" s="80"/>
      <c r="FXA1127" s="80"/>
      <c r="FXB1127" s="80"/>
      <c r="FXC1127" s="80"/>
      <c r="FXD1127" s="80"/>
      <c r="FXE1127" s="80"/>
      <c r="FXF1127" s="80"/>
      <c r="FXG1127" s="80"/>
      <c r="FXH1127" s="80"/>
      <c r="FXI1127" s="80"/>
      <c r="FXJ1127" s="80"/>
      <c r="FXK1127" s="80"/>
      <c r="FXL1127" s="80"/>
      <c r="FXM1127" s="80"/>
      <c r="FXN1127" s="80"/>
      <c r="FXO1127" s="80"/>
      <c r="FXP1127" s="80"/>
      <c r="FXQ1127" s="80"/>
      <c r="FXR1127" s="80"/>
      <c r="FXS1127" s="80"/>
      <c r="FXT1127" s="80"/>
      <c r="FXU1127" s="80"/>
      <c r="FXV1127" s="80"/>
      <c r="FXW1127" s="80"/>
      <c r="FXX1127" s="80"/>
      <c r="FXY1127" s="80"/>
      <c r="FXZ1127" s="80"/>
      <c r="FYA1127" s="80"/>
      <c r="FYB1127" s="80"/>
      <c r="FYC1127" s="80"/>
      <c r="FYD1127" s="80"/>
      <c r="FYE1127" s="80"/>
      <c r="FYF1127" s="80"/>
      <c r="FYG1127" s="80"/>
      <c r="FYH1127" s="80"/>
      <c r="FYI1127" s="80"/>
      <c r="FYJ1127" s="80"/>
      <c r="FYK1127" s="80"/>
      <c r="FYL1127" s="80"/>
      <c r="FYM1127" s="80"/>
      <c r="FYN1127" s="80"/>
      <c r="FYO1127" s="80"/>
      <c r="FYP1127" s="80"/>
      <c r="FYQ1127" s="80"/>
      <c r="FYR1127" s="80"/>
      <c r="FYS1127" s="80"/>
      <c r="FYT1127" s="80"/>
      <c r="FYU1127" s="80"/>
      <c r="FYV1127" s="80"/>
      <c r="FYW1127" s="80"/>
      <c r="FYX1127" s="80"/>
      <c r="FYY1127" s="80"/>
      <c r="FYZ1127" s="80"/>
      <c r="FZA1127" s="80"/>
      <c r="FZB1127" s="80"/>
      <c r="FZC1127" s="80"/>
      <c r="FZD1127" s="80"/>
      <c r="FZE1127" s="80"/>
      <c r="FZF1127" s="80"/>
      <c r="FZG1127" s="80"/>
      <c r="FZH1127" s="80"/>
      <c r="FZI1127" s="80"/>
      <c r="FZJ1127" s="80"/>
      <c r="FZK1127" s="80"/>
      <c r="FZL1127" s="80"/>
      <c r="FZM1127" s="80"/>
      <c r="FZN1127" s="80"/>
      <c r="FZO1127" s="80"/>
      <c r="FZP1127" s="80"/>
      <c r="FZQ1127" s="80"/>
      <c r="FZR1127" s="80"/>
      <c r="FZS1127" s="80"/>
      <c r="FZT1127" s="80"/>
      <c r="FZU1127" s="80"/>
      <c r="FZV1127" s="80"/>
      <c r="FZW1127" s="80"/>
      <c r="FZX1127" s="80"/>
      <c r="FZY1127" s="80"/>
      <c r="FZZ1127" s="80"/>
      <c r="GAA1127" s="80"/>
      <c r="GAB1127" s="80"/>
      <c r="GAC1127" s="80"/>
      <c r="GAD1127" s="80"/>
      <c r="GAE1127" s="80"/>
      <c r="GAF1127" s="80"/>
      <c r="GAG1127" s="80"/>
      <c r="GAH1127" s="80"/>
      <c r="GAI1127" s="80"/>
      <c r="GAJ1127" s="80"/>
      <c r="GAK1127" s="80"/>
      <c r="GAL1127" s="80"/>
      <c r="GAM1127" s="80"/>
      <c r="GAN1127" s="80"/>
      <c r="GAO1127" s="80"/>
      <c r="GAP1127" s="80"/>
      <c r="GAQ1127" s="80"/>
      <c r="GAR1127" s="80"/>
      <c r="GAS1127" s="80"/>
      <c r="GAT1127" s="80"/>
      <c r="GAU1127" s="80"/>
      <c r="GAV1127" s="80"/>
      <c r="GAW1127" s="80"/>
      <c r="GAX1127" s="80"/>
      <c r="GAY1127" s="80"/>
      <c r="GAZ1127" s="80"/>
      <c r="GBA1127" s="80"/>
      <c r="GBB1127" s="80"/>
      <c r="GBC1127" s="80"/>
      <c r="GBD1127" s="80"/>
      <c r="GBE1127" s="80"/>
      <c r="GBF1127" s="80"/>
      <c r="GBG1127" s="80"/>
      <c r="GBH1127" s="80"/>
      <c r="GBI1127" s="80"/>
      <c r="GBJ1127" s="80"/>
      <c r="GBK1127" s="80"/>
      <c r="GBL1127" s="80"/>
      <c r="GBM1127" s="80"/>
      <c r="GBN1127" s="80"/>
      <c r="GBO1127" s="80"/>
      <c r="GBP1127" s="80"/>
      <c r="GBQ1127" s="80"/>
      <c r="GBR1127" s="80"/>
      <c r="GBS1127" s="80"/>
      <c r="GBT1127" s="80"/>
      <c r="GBU1127" s="80"/>
      <c r="GBV1127" s="80"/>
      <c r="GBW1127" s="80"/>
      <c r="GBX1127" s="80"/>
      <c r="GBY1127" s="80"/>
      <c r="GBZ1127" s="80"/>
      <c r="GCA1127" s="80"/>
      <c r="GCB1127" s="80"/>
      <c r="GCC1127" s="80"/>
      <c r="GCD1127" s="80"/>
      <c r="GCE1127" s="80"/>
      <c r="GCF1127" s="80"/>
      <c r="GCG1127" s="80"/>
      <c r="GCH1127" s="80"/>
      <c r="GCI1127" s="80"/>
      <c r="GCJ1127" s="80"/>
      <c r="GCK1127" s="80"/>
      <c r="GCL1127" s="80"/>
      <c r="GCM1127" s="80"/>
      <c r="GCN1127" s="80"/>
      <c r="GCO1127" s="80"/>
      <c r="GCP1127" s="80"/>
      <c r="GCQ1127" s="80"/>
      <c r="GCR1127" s="80"/>
      <c r="GCS1127" s="80"/>
      <c r="GCT1127" s="80"/>
      <c r="GCU1127" s="80"/>
      <c r="GCV1127" s="80"/>
      <c r="GCW1127" s="80"/>
      <c r="GCX1127" s="80"/>
      <c r="GCY1127" s="80"/>
      <c r="GCZ1127" s="80"/>
      <c r="GDA1127" s="80"/>
      <c r="GDB1127" s="80"/>
      <c r="GDC1127" s="80"/>
      <c r="GDD1127" s="80"/>
      <c r="GDE1127" s="80"/>
      <c r="GDF1127" s="80"/>
      <c r="GDG1127" s="80"/>
      <c r="GDH1127" s="80"/>
      <c r="GDI1127" s="80"/>
      <c r="GDJ1127" s="80"/>
      <c r="GDK1127" s="80"/>
      <c r="GDL1127" s="80"/>
      <c r="GDM1127" s="80"/>
      <c r="GDN1127" s="80"/>
      <c r="GDO1127" s="80"/>
      <c r="GDP1127" s="80"/>
      <c r="GDQ1127" s="80"/>
      <c r="GDR1127" s="80"/>
      <c r="GDS1127" s="80"/>
      <c r="GDT1127" s="80"/>
      <c r="GDU1127" s="80"/>
      <c r="GDV1127" s="80"/>
      <c r="GDW1127" s="80"/>
      <c r="GDX1127" s="80"/>
      <c r="GDY1127" s="80"/>
      <c r="GDZ1127" s="80"/>
      <c r="GEA1127" s="80"/>
      <c r="GEB1127" s="80"/>
      <c r="GEC1127" s="80"/>
      <c r="GED1127" s="80"/>
      <c r="GEE1127" s="80"/>
      <c r="GEF1127" s="80"/>
      <c r="GEG1127" s="80"/>
      <c r="GEH1127" s="80"/>
      <c r="GEI1127" s="80"/>
      <c r="GEJ1127" s="80"/>
      <c r="GEK1127" s="80"/>
      <c r="GEL1127" s="80"/>
      <c r="GEM1127" s="80"/>
      <c r="GEN1127" s="80"/>
      <c r="GEO1127" s="80"/>
      <c r="GEP1127" s="80"/>
      <c r="GEQ1127" s="80"/>
      <c r="GER1127" s="80"/>
      <c r="GES1127" s="80"/>
      <c r="GET1127" s="80"/>
      <c r="GEU1127" s="80"/>
      <c r="GEV1127" s="80"/>
      <c r="GEW1127" s="80"/>
      <c r="GEX1127" s="80"/>
      <c r="GEY1127" s="80"/>
      <c r="GEZ1127" s="80"/>
      <c r="GFA1127" s="80"/>
      <c r="GFB1127" s="80"/>
      <c r="GFC1127" s="80"/>
      <c r="GFD1127" s="80"/>
      <c r="GFE1127" s="80"/>
      <c r="GFF1127" s="80"/>
      <c r="GFG1127" s="80"/>
      <c r="GFH1127" s="80"/>
      <c r="GFI1127" s="80"/>
      <c r="GFJ1127" s="80"/>
      <c r="GFK1127" s="80"/>
      <c r="GFL1127" s="80"/>
      <c r="GFM1127" s="80"/>
      <c r="GFN1127" s="80"/>
      <c r="GFO1127" s="80"/>
      <c r="GFP1127" s="80"/>
      <c r="GFQ1127" s="80"/>
      <c r="GFR1127" s="80"/>
      <c r="GFS1127" s="80"/>
      <c r="GFT1127" s="80"/>
      <c r="GFU1127" s="80"/>
      <c r="GFV1127" s="80"/>
      <c r="GFW1127" s="80"/>
      <c r="GFX1127" s="80"/>
      <c r="GFY1127" s="80"/>
      <c r="GFZ1127" s="80"/>
      <c r="GGA1127" s="80"/>
      <c r="GGB1127" s="80"/>
      <c r="GGC1127" s="80"/>
      <c r="GGD1127" s="80"/>
      <c r="GGE1127" s="80"/>
      <c r="GGF1127" s="80"/>
      <c r="GGG1127" s="80"/>
      <c r="GGH1127" s="80"/>
      <c r="GGI1127" s="80"/>
      <c r="GGJ1127" s="80"/>
      <c r="GGK1127" s="80"/>
      <c r="GGL1127" s="80"/>
      <c r="GGM1127" s="80"/>
      <c r="GGN1127" s="80"/>
      <c r="GGO1127" s="80"/>
      <c r="GGP1127" s="80"/>
      <c r="GGQ1127" s="80"/>
      <c r="GGR1127" s="80"/>
      <c r="GGS1127" s="80"/>
      <c r="GGT1127" s="80"/>
      <c r="GGU1127" s="80"/>
      <c r="GGV1127" s="80"/>
      <c r="GGW1127" s="80"/>
      <c r="GGX1127" s="80"/>
      <c r="GGY1127" s="80"/>
      <c r="GGZ1127" s="80"/>
      <c r="GHA1127" s="80"/>
      <c r="GHB1127" s="80"/>
      <c r="GHC1127" s="80"/>
      <c r="GHD1127" s="80"/>
      <c r="GHE1127" s="80"/>
      <c r="GHF1127" s="80"/>
      <c r="GHG1127" s="80"/>
      <c r="GHH1127" s="80"/>
      <c r="GHI1127" s="80"/>
      <c r="GHJ1127" s="80"/>
      <c r="GHK1127" s="80"/>
      <c r="GHL1127" s="80"/>
      <c r="GHM1127" s="80"/>
      <c r="GHN1127" s="80"/>
      <c r="GHO1127" s="80"/>
      <c r="GHP1127" s="80"/>
      <c r="GHQ1127" s="80"/>
      <c r="GHR1127" s="80"/>
      <c r="GHS1127" s="80"/>
      <c r="GHT1127" s="80"/>
      <c r="GHU1127" s="80"/>
      <c r="GHV1127" s="80"/>
      <c r="GHW1127" s="80"/>
      <c r="GHX1127" s="80"/>
      <c r="GHY1127" s="80"/>
      <c r="GHZ1127" s="80"/>
      <c r="GIA1127" s="80"/>
      <c r="GIB1127" s="80"/>
      <c r="GIC1127" s="80"/>
      <c r="GID1127" s="80"/>
      <c r="GIE1127" s="80"/>
      <c r="GIF1127" s="80"/>
      <c r="GIG1127" s="80"/>
      <c r="GIH1127" s="80"/>
      <c r="GII1127" s="80"/>
      <c r="GIJ1127" s="80"/>
      <c r="GIK1127" s="80"/>
      <c r="GIL1127" s="80"/>
      <c r="GIM1127" s="80"/>
      <c r="GIN1127" s="80"/>
      <c r="GIO1127" s="80"/>
      <c r="GIP1127" s="80"/>
      <c r="GIQ1127" s="80"/>
      <c r="GIR1127" s="80"/>
      <c r="GIS1127" s="80"/>
      <c r="GIT1127" s="80"/>
      <c r="GIU1127" s="80"/>
      <c r="GIV1127" s="80"/>
      <c r="GIW1127" s="80"/>
      <c r="GIX1127" s="80"/>
      <c r="GIY1127" s="80"/>
      <c r="GIZ1127" s="80"/>
      <c r="GJA1127" s="80"/>
      <c r="GJB1127" s="80"/>
      <c r="GJC1127" s="80"/>
      <c r="GJD1127" s="80"/>
      <c r="GJE1127" s="80"/>
      <c r="GJF1127" s="80"/>
      <c r="GJG1127" s="80"/>
      <c r="GJH1127" s="80"/>
      <c r="GJI1127" s="80"/>
      <c r="GJJ1127" s="80"/>
      <c r="GJK1127" s="80"/>
      <c r="GJL1127" s="80"/>
      <c r="GJM1127" s="80"/>
      <c r="GJN1127" s="80"/>
      <c r="GJO1127" s="80"/>
      <c r="GJP1127" s="80"/>
      <c r="GJQ1127" s="80"/>
      <c r="GJR1127" s="80"/>
      <c r="GJS1127" s="80"/>
      <c r="GJT1127" s="80"/>
      <c r="GJU1127" s="80"/>
      <c r="GJV1127" s="80"/>
      <c r="GJW1127" s="80"/>
      <c r="GJX1127" s="80"/>
      <c r="GJY1127" s="80"/>
      <c r="GJZ1127" s="80"/>
      <c r="GKA1127" s="80"/>
      <c r="GKB1127" s="80"/>
      <c r="GKC1127" s="80"/>
      <c r="GKD1127" s="80"/>
      <c r="GKE1127" s="80"/>
      <c r="GKF1127" s="80"/>
      <c r="GKG1127" s="80"/>
      <c r="GKH1127" s="80"/>
      <c r="GKI1127" s="80"/>
      <c r="GKJ1127" s="80"/>
      <c r="GKK1127" s="80"/>
      <c r="GKL1127" s="80"/>
      <c r="GKM1127" s="80"/>
      <c r="GKN1127" s="80"/>
      <c r="GKO1127" s="80"/>
      <c r="GKP1127" s="80"/>
      <c r="GKQ1127" s="80"/>
      <c r="GKR1127" s="80"/>
      <c r="GKS1127" s="80"/>
      <c r="GKT1127" s="80"/>
      <c r="GKU1127" s="80"/>
      <c r="GKV1127" s="80"/>
      <c r="GKW1127" s="80"/>
      <c r="GKX1127" s="80"/>
      <c r="GKY1127" s="80"/>
      <c r="GKZ1127" s="80"/>
      <c r="GLA1127" s="80"/>
      <c r="GLB1127" s="80"/>
      <c r="GLC1127" s="80"/>
      <c r="GLD1127" s="80"/>
      <c r="GLE1127" s="80"/>
      <c r="GLF1127" s="80"/>
      <c r="GLG1127" s="80"/>
      <c r="GLH1127" s="80"/>
      <c r="GLI1127" s="80"/>
      <c r="GLJ1127" s="80"/>
      <c r="GLK1127" s="80"/>
      <c r="GLL1127" s="80"/>
      <c r="GLM1127" s="80"/>
      <c r="GLN1127" s="80"/>
      <c r="GLO1127" s="80"/>
      <c r="GLP1127" s="80"/>
      <c r="GLQ1127" s="80"/>
      <c r="GLR1127" s="80"/>
      <c r="GLS1127" s="80"/>
      <c r="GLT1127" s="80"/>
      <c r="GLU1127" s="80"/>
      <c r="GLV1127" s="80"/>
      <c r="GLW1127" s="80"/>
      <c r="GLX1127" s="80"/>
      <c r="GLY1127" s="80"/>
      <c r="GLZ1127" s="80"/>
      <c r="GMA1127" s="80"/>
      <c r="GMB1127" s="80"/>
      <c r="GMC1127" s="80"/>
      <c r="GMD1127" s="80"/>
      <c r="GME1127" s="80"/>
      <c r="GMF1127" s="80"/>
      <c r="GMG1127" s="80"/>
      <c r="GMH1127" s="80"/>
      <c r="GMI1127" s="80"/>
      <c r="GMJ1127" s="80"/>
      <c r="GMK1127" s="80"/>
      <c r="GML1127" s="80"/>
      <c r="GMM1127" s="80"/>
      <c r="GMN1127" s="80"/>
      <c r="GMO1127" s="80"/>
      <c r="GMP1127" s="80"/>
      <c r="GMQ1127" s="80"/>
      <c r="GMR1127" s="80"/>
      <c r="GMS1127" s="80"/>
      <c r="GMT1127" s="80"/>
      <c r="GMU1127" s="80"/>
      <c r="GMV1127" s="80"/>
      <c r="GMW1127" s="80"/>
      <c r="GMX1127" s="80"/>
      <c r="GMY1127" s="80"/>
      <c r="GMZ1127" s="80"/>
      <c r="GNA1127" s="80"/>
      <c r="GNB1127" s="80"/>
      <c r="GNC1127" s="80"/>
      <c r="GND1127" s="80"/>
      <c r="GNE1127" s="80"/>
      <c r="GNF1127" s="80"/>
      <c r="GNG1127" s="80"/>
      <c r="GNH1127" s="80"/>
      <c r="GNI1127" s="80"/>
      <c r="GNJ1127" s="80"/>
      <c r="GNK1127" s="80"/>
      <c r="GNL1127" s="80"/>
      <c r="GNM1127" s="80"/>
      <c r="GNN1127" s="80"/>
      <c r="GNO1127" s="80"/>
      <c r="GNP1127" s="80"/>
      <c r="GNQ1127" s="80"/>
      <c r="GNR1127" s="80"/>
      <c r="GNS1127" s="80"/>
      <c r="GNT1127" s="80"/>
      <c r="GNU1127" s="80"/>
      <c r="GNV1127" s="80"/>
      <c r="GNW1127" s="80"/>
      <c r="GNX1127" s="80"/>
      <c r="GNY1127" s="80"/>
      <c r="GNZ1127" s="80"/>
      <c r="GOA1127" s="80"/>
      <c r="GOB1127" s="80"/>
      <c r="GOC1127" s="80"/>
      <c r="GOD1127" s="80"/>
      <c r="GOE1127" s="80"/>
      <c r="GOF1127" s="80"/>
      <c r="GOG1127" s="80"/>
      <c r="GOH1127" s="80"/>
      <c r="GOI1127" s="80"/>
      <c r="GOJ1127" s="80"/>
      <c r="GOK1127" s="80"/>
      <c r="GOL1127" s="80"/>
      <c r="GOM1127" s="80"/>
      <c r="GON1127" s="80"/>
      <c r="GOO1127" s="80"/>
      <c r="GOP1127" s="80"/>
      <c r="GOQ1127" s="80"/>
      <c r="GOR1127" s="80"/>
      <c r="GOS1127" s="80"/>
      <c r="GOT1127" s="80"/>
      <c r="GOU1127" s="80"/>
      <c r="GOV1127" s="80"/>
      <c r="GOW1127" s="80"/>
      <c r="GOX1127" s="80"/>
      <c r="GOY1127" s="80"/>
      <c r="GOZ1127" s="80"/>
      <c r="GPA1127" s="80"/>
      <c r="GPB1127" s="80"/>
      <c r="GPC1127" s="80"/>
      <c r="GPD1127" s="80"/>
      <c r="GPE1127" s="80"/>
      <c r="GPF1127" s="80"/>
      <c r="GPG1127" s="80"/>
      <c r="GPH1127" s="80"/>
      <c r="GPI1127" s="80"/>
      <c r="GPJ1127" s="80"/>
      <c r="GPK1127" s="80"/>
      <c r="GPL1127" s="80"/>
      <c r="GPM1127" s="80"/>
      <c r="GPN1127" s="80"/>
      <c r="GPO1127" s="80"/>
      <c r="GPP1127" s="80"/>
      <c r="GPQ1127" s="80"/>
      <c r="GPR1127" s="80"/>
      <c r="GPS1127" s="80"/>
      <c r="GPT1127" s="80"/>
      <c r="GPU1127" s="80"/>
      <c r="GPV1127" s="80"/>
      <c r="GPW1127" s="80"/>
      <c r="GPX1127" s="80"/>
      <c r="GPY1127" s="80"/>
      <c r="GPZ1127" s="80"/>
      <c r="GQA1127" s="80"/>
      <c r="GQB1127" s="80"/>
      <c r="GQC1127" s="80"/>
      <c r="GQD1127" s="80"/>
      <c r="GQE1127" s="80"/>
      <c r="GQF1127" s="80"/>
      <c r="GQG1127" s="80"/>
      <c r="GQH1127" s="80"/>
      <c r="GQI1127" s="80"/>
      <c r="GQJ1127" s="80"/>
      <c r="GQK1127" s="80"/>
      <c r="GQL1127" s="80"/>
      <c r="GQM1127" s="80"/>
      <c r="GQN1127" s="80"/>
      <c r="GQO1127" s="80"/>
      <c r="GQP1127" s="80"/>
      <c r="GQQ1127" s="80"/>
      <c r="GQR1127" s="80"/>
      <c r="GQS1127" s="80"/>
      <c r="GQT1127" s="80"/>
      <c r="GQU1127" s="80"/>
      <c r="GQV1127" s="80"/>
      <c r="GQW1127" s="80"/>
      <c r="GQX1127" s="80"/>
      <c r="GQY1127" s="80"/>
      <c r="GQZ1127" s="80"/>
      <c r="GRA1127" s="80"/>
      <c r="GRB1127" s="80"/>
      <c r="GRC1127" s="80"/>
      <c r="GRD1127" s="80"/>
      <c r="GRE1127" s="80"/>
      <c r="GRF1127" s="80"/>
      <c r="GRG1127" s="80"/>
      <c r="GRH1127" s="80"/>
      <c r="GRI1127" s="80"/>
      <c r="GRJ1127" s="80"/>
      <c r="GRK1127" s="80"/>
      <c r="GRL1127" s="80"/>
      <c r="GRM1127" s="80"/>
      <c r="GRN1127" s="80"/>
      <c r="GRO1127" s="80"/>
      <c r="GRP1127" s="80"/>
      <c r="GRQ1127" s="80"/>
      <c r="GRR1127" s="80"/>
      <c r="GRS1127" s="80"/>
      <c r="GRT1127" s="80"/>
      <c r="GRU1127" s="80"/>
      <c r="GRV1127" s="80"/>
      <c r="GRW1127" s="80"/>
      <c r="GRX1127" s="80"/>
      <c r="GRY1127" s="80"/>
      <c r="GRZ1127" s="80"/>
      <c r="GSA1127" s="80"/>
      <c r="GSB1127" s="80"/>
      <c r="GSC1127" s="80"/>
      <c r="GSD1127" s="80"/>
      <c r="GSE1127" s="80"/>
      <c r="GSF1127" s="80"/>
      <c r="GSG1127" s="80"/>
      <c r="GSH1127" s="80"/>
      <c r="GSI1127" s="80"/>
      <c r="GSJ1127" s="80"/>
      <c r="GSK1127" s="80"/>
      <c r="GSL1127" s="80"/>
      <c r="GSM1127" s="80"/>
      <c r="GSN1127" s="80"/>
      <c r="GSO1127" s="80"/>
      <c r="GSP1127" s="80"/>
      <c r="GSQ1127" s="80"/>
      <c r="GSR1127" s="80"/>
      <c r="GSS1127" s="80"/>
      <c r="GST1127" s="80"/>
      <c r="GSU1127" s="80"/>
      <c r="GSV1127" s="80"/>
      <c r="GSW1127" s="80"/>
      <c r="GSX1127" s="80"/>
      <c r="GSY1127" s="80"/>
      <c r="GSZ1127" s="80"/>
      <c r="GTA1127" s="80"/>
      <c r="GTB1127" s="80"/>
      <c r="GTC1127" s="80"/>
      <c r="GTD1127" s="80"/>
      <c r="GTE1127" s="80"/>
      <c r="GTF1127" s="80"/>
      <c r="GTG1127" s="80"/>
      <c r="GTH1127" s="80"/>
      <c r="GTI1127" s="80"/>
      <c r="GTJ1127" s="80"/>
      <c r="GTK1127" s="80"/>
      <c r="GTL1127" s="80"/>
      <c r="GTM1127" s="80"/>
      <c r="GTN1127" s="80"/>
      <c r="GTO1127" s="80"/>
      <c r="GTP1127" s="80"/>
      <c r="GTQ1127" s="80"/>
      <c r="GTR1127" s="80"/>
      <c r="GTS1127" s="80"/>
      <c r="GTT1127" s="80"/>
      <c r="GTU1127" s="80"/>
      <c r="GTV1127" s="80"/>
      <c r="GTW1127" s="80"/>
      <c r="GTX1127" s="80"/>
      <c r="GTY1127" s="80"/>
      <c r="GTZ1127" s="80"/>
      <c r="GUA1127" s="80"/>
      <c r="GUB1127" s="80"/>
      <c r="GUC1127" s="80"/>
      <c r="GUD1127" s="80"/>
      <c r="GUE1127" s="80"/>
      <c r="GUF1127" s="80"/>
      <c r="GUG1127" s="80"/>
      <c r="GUH1127" s="80"/>
      <c r="GUI1127" s="80"/>
      <c r="GUJ1127" s="80"/>
      <c r="GUK1127" s="80"/>
      <c r="GUL1127" s="80"/>
      <c r="GUM1127" s="80"/>
      <c r="GUN1127" s="80"/>
      <c r="GUO1127" s="80"/>
      <c r="GUP1127" s="80"/>
      <c r="GUQ1127" s="80"/>
      <c r="GUR1127" s="80"/>
      <c r="GUS1127" s="80"/>
      <c r="GUT1127" s="80"/>
      <c r="GUU1127" s="80"/>
      <c r="GUV1127" s="80"/>
      <c r="GUW1127" s="80"/>
      <c r="GUX1127" s="80"/>
      <c r="GUY1127" s="80"/>
      <c r="GUZ1127" s="80"/>
      <c r="GVA1127" s="80"/>
      <c r="GVB1127" s="80"/>
      <c r="GVC1127" s="80"/>
      <c r="GVD1127" s="80"/>
      <c r="GVE1127" s="80"/>
      <c r="GVF1127" s="80"/>
      <c r="GVG1127" s="80"/>
      <c r="GVH1127" s="80"/>
      <c r="GVI1127" s="80"/>
      <c r="GVJ1127" s="80"/>
      <c r="GVK1127" s="80"/>
      <c r="GVL1127" s="80"/>
      <c r="GVM1127" s="80"/>
      <c r="GVN1127" s="80"/>
      <c r="GVO1127" s="80"/>
      <c r="GVP1127" s="80"/>
      <c r="GVQ1127" s="80"/>
      <c r="GVR1127" s="80"/>
      <c r="GVS1127" s="80"/>
      <c r="GVT1127" s="80"/>
      <c r="GVU1127" s="80"/>
      <c r="GVV1127" s="80"/>
      <c r="GVW1127" s="80"/>
      <c r="GVX1127" s="80"/>
      <c r="GVY1127" s="80"/>
      <c r="GVZ1127" s="80"/>
      <c r="GWA1127" s="80"/>
      <c r="GWB1127" s="80"/>
      <c r="GWC1127" s="80"/>
      <c r="GWD1127" s="80"/>
      <c r="GWE1127" s="80"/>
      <c r="GWF1127" s="80"/>
      <c r="GWG1127" s="80"/>
      <c r="GWH1127" s="80"/>
      <c r="GWI1127" s="80"/>
      <c r="GWJ1127" s="80"/>
      <c r="GWK1127" s="80"/>
      <c r="GWL1127" s="80"/>
      <c r="GWM1127" s="80"/>
      <c r="GWN1127" s="80"/>
      <c r="GWO1127" s="80"/>
      <c r="GWP1127" s="80"/>
      <c r="GWQ1127" s="80"/>
      <c r="GWR1127" s="80"/>
      <c r="GWS1127" s="80"/>
      <c r="GWT1127" s="80"/>
      <c r="GWU1127" s="80"/>
      <c r="GWV1127" s="80"/>
      <c r="GWW1127" s="80"/>
      <c r="GWX1127" s="80"/>
      <c r="GWY1127" s="80"/>
      <c r="GWZ1127" s="80"/>
      <c r="GXA1127" s="80"/>
      <c r="GXB1127" s="80"/>
      <c r="GXC1127" s="80"/>
      <c r="GXD1127" s="80"/>
      <c r="GXE1127" s="80"/>
      <c r="GXF1127" s="80"/>
      <c r="GXG1127" s="80"/>
      <c r="GXH1127" s="80"/>
      <c r="GXI1127" s="80"/>
      <c r="GXJ1127" s="80"/>
      <c r="GXK1127" s="80"/>
      <c r="GXL1127" s="80"/>
      <c r="GXM1127" s="80"/>
      <c r="GXN1127" s="80"/>
      <c r="GXO1127" s="80"/>
      <c r="GXP1127" s="80"/>
      <c r="GXQ1127" s="80"/>
      <c r="GXR1127" s="80"/>
      <c r="GXS1127" s="80"/>
      <c r="GXT1127" s="80"/>
      <c r="GXU1127" s="80"/>
      <c r="GXV1127" s="80"/>
      <c r="GXW1127" s="80"/>
      <c r="GXX1127" s="80"/>
      <c r="GXY1127" s="80"/>
      <c r="GXZ1127" s="80"/>
      <c r="GYA1127" s="80"/>
      <c r="GYB1127" s="80"/>
      <c r="GYC1127" s="80"/>
      <c r="GYD1127" s="80"/>
      <c r="GYE1127" s="80"/>
      <c r="GYF1127" s="80"/>
      <c r="GYG1127" s="80"/>
      <c r="GYH1127" s="80"/>
      <c r="GYI1127" s="80"/>
      <c r="GYJ1127" s="80"/>
      <c r="GYK1127" s="80"/>
      <c r="GYL1127" s="80"/>
      <c r="GYM1127" s="80"/>
      <c r="GYN1127" s="80"/>
      <c r="GYO1127" s="80"/>
      <c r="GYP1127" s="80"/>
      <c r="GYQ1127" s="80"/>
      <c r="GYR1127" s="80"/>
      <c r="GYS1127" s="80"/>
      <c r="GYT1127" s="80"/>
      <c r="GYU1127" s="80"/>
      <c r="GYV1127" s="80"/>
      <c r="GYW1127" s="80"/>
      <c r="GYX1127" s="80"/>
      <c r="GYY1127" s="80"/>
      <c r="GYZ1127" s="80"/>
      <c r="GZA1127" s="80"/>
      <c r="GZB1127" s="80"/>
      <c r="GZC1127" s="80"/>
      <c r="GZD1127" s="80"/>
      <c r="GZE1127" s="80"/>
      <c r="GZF1127" s="80"/>
      <c r="GZG1127" s="80"/>
      <c r="GZH1127" s="80"/>
      <c r="GZI1127" s="80"/>
      <c r="GZJ1127" s="80"/>
      <c r="GZK1127" s="80"/>
      <c r="GZL1127" s="80"/>
      <c r="GZM1127" s="80"/>
      <c r="GZN1127" s="80"/>
      <c r="GZO1127" s="80"/>
      <c r="GZP1127" s="80"/>
      <c r="GZQ1127" s="80"/>
      <c r="GZR1127" s="80"/>
      <c r="GZS1127" s="80"/>
      <c r="GZT1127" s="80"/>
      <c r="GZU1127" s="80"/>
      <c r="GZV1127" s="80"/>
      <c r="GZW1127" s="80"/>
      <c r="GZX1127" s="80"/>
      <c r="GZY1127" s="80"/>
      <c r="GZZ1127" s="80"/>
      <c r="HAA1127" s="80"/>
      <c r="HAB1127" s="80"/>
      <c r="HAC1127" s="80"/>
      <c r="HAD1127" s="80"/>
      <c r="HAE1127" s="80"/>
      <c r="HAF1127" s="80"/>
      <c r="HAG1127" s="80"/>
      <c r="HAH1127" s="80"/>
      <c r="HAI1127" s="80"/>
      <c r="HAJ1127" s="80"/>
      <c r="HAK1127" s="80"/>
      <c r="HAL1127" s="80"/>
      <c r="HAM1127" s="80"/>
      <c r="HAN1127" s="80"/>
      <c r="HAO1127" s="80"/>
      <c r="HAP1127" s="80"/>
      <c r="HAQ1127" s="80"/>
      <c r="HAR1127" s="80"/>
      <c r="HAS1127" s="80"/>
      <c r="HAT1127" s="80"/>
      <c r="HAU1127" s="80"/>
      <c r="HAV1127" s="80"/>
      <c r="HAW1127" s="80"/>
      <c r="HAX1127" s="80"/>
      <c r="HAY1127" s="80"/>
      <c r="HAZ1127" s="80"/>
      <c r="HBA1127" s="80"/>
      <c r="HBB1127" s="80"/>
      <c r="HBC1127" s="80"/>
      <c r="HBD1127" s="80"/>
      <c r="HBE1127" s="80"/>
      <c r="HBF1127" s="80"/>
      <c r="HBG1127" s="80"/>
      <c r="HBH1127" s="80"/>
      <c r="HBI1127" s="80"/>
      <c r="HBJ1127" s="80"/>
      <c r="HBK1127" s="80"/>
      <c r="HBL1127" s="80"/>
      <c r="HBM1127" s="80"/>
      <c r="HBN1127" s="80"/>
      <c r="HBO1127" s="80"/>
      <c r="HBP1127" s="80"/>
      <c r="HBQ1127" s="80"/>
      <c r="HBR1127" s="80"/>
      <c r="HBS1127" s="80"/>
      <c r="HBT1127" s="80"/>
      <c r="HBU1127" s="80"/>
      <c r="HBV1127" s="80"/>
      <c r="HBW1127" s="80"/>
      <c r="HBX1127" s="80"/>
      <c r="HBY1127" s="80"/>
      <c r="HBZ1127" s="80"/>
      <c r="HCA1127" s="80"/>
      <c r="HCB1127" s="80"/>
      <c r="HCC1127" s="80"/>
      <c r="HCD1127" s="80"/>
      <c r="HCE1127" s="80"/>
      <c r="HCF1127" s="80"/>
      <c r="HCG1127" s="80"/>
      <c r="HCH1127" s="80"/>
      <c r="HCI1127" s="80"/>
      <c r="HCJ1127" s="80"/>
      <c r="HCK1127" s="80"/>
      <c r="HCL1127" s="80"/>
      <c r="HCM1127" s="80"/>
      <c r="HCN1127" s="80"/>
      <c r="HCO1127" s="80"/>
      <c r="HCP1127" s="80"/>
      <c r="HCQ1127" s="80"/>
      <c r="HCR1127" s="80"/>
      <c r="HCS1127" s="80"/>
      <c r="HCT1127" s="80"/>
      <c r="HCU1127" s="80"/>
      <c r="HCV1127" s="80"/>
      <c r="HCW1127" s="80"/>
      <c r="HCX1127" s="80"/>
      <c r="HCY1127" s="80"/>
      <c r="HCZ1127" s="80"/>
      <c r="HDA1127" s="80"/>
      <c r="HDB1127" s="80"/>
      <c r="HDC1127" s="80"/>
      <c r="HDD1127" s="80"/>
      <c r="HDE1127" s="80"/>
      <c r="HDF1127" s="80"/>
      <c r="HDG1127" s="80"/>
      <c r="HDH1127" s="80"/>
      <c r="HDI1127" s="80"/>
      <c r="HDJ1127" s="80"/>
      <c r="HDK1127" s="80"/>
      <c r="HDL1127" s="80"/>
      <c r="HDM1127" s="80"/>
      <c r="HDN1127" s="80"/>
      <c r="HDO1127" s="80"/>
      <c r="HDP1127" s="80"/>
      <c r="HDQ1127" s="80"/>
      <c r="HDR1127" s="80"/>
      <c r="HDS1127" s="80"/>
      <c r="HDT1127" s="80"/>
      <c r="HDU1127" s="80"/>
      <c r="HDV1127" s="80"/>
      <c r="HDW1127" s="80"/>
      <c r="HDX1127" s="80"/>
      <c r="HDY1127" s="80"/>
      <c r="HDZ1127" s="80"/>
      <c r="HEA1127" s="80"/>
      <c r="HEB1127" s="80"/>
      <c r="HEC1127" s="80"/>
      <c r="HED1127" s="80"/>
      <c r="HEE1127" s="80"/>
      <c r="HEF1127" s="80"/>
      <c r="HEG1127" s="80"/>
      <c r="HEH1127" s="80"/>
      <c r="HEI1127" s="80"/>
      <c r="HEJ1127" s="80"/>
      <c r="HEK1127" s="80"/>
      <c r="HEL1127" s="80"/>
      <c r="HEM1127" s="80"/>
      <c r="HEN1127" s="80"/>
      <c r="HEO1127" s="80"/>
      <c r="HEP1127" s="80"/>
      <c r="HEQ1127" s="80"/>
      <c r="HER1127" s="80"/>
      <c r="HES1127" s="80"/>
      <c r="HET1127" s="80"/>
      <c r="HEU1127" s="80"/>
      <c r="HEV1127" s="80"/>
      <c r="HEW1127" s="80"/>
      <c r="HEX1127" s="80"/>
      <c r="HEY1127" s="80"/>
      <c r="HEZ1127" s="80"/>
      <c r="HFA1127" s="80"/>
      <c r="HFB1127" s="80"/>
      <c r="HFC1127" s="80"/>
      <c r="HFD1127" s="80"/>
      <c r="HFE1127" s="80"/>
      <c r="HFF1127" s="80"/>
      <c r="HFG1127" s="80"/>
      <c r="HFH1127" s="80"/>
      <c r="HFI1127" s="80"/>
      <c r="HFJ1127" s="80"/>
      <c r="HFK1127" s="80"/>
      <c r="HFL1127" s="80"/>
      <c r="HFM1127" s="80"/>
      <c r="HFN1127" s="80"/>
      <c r="HFO1127" s="80"/>
      <c r="HFP1127" s="80"/>
      <c r="HFQ1127" s="80"/>
      <c r="HFR1127" s="80"/>
      <c r="HFS1127" s="80"/>
      <c r="HFT1127" s="80"/>
      <c r="HFU1127" s="80"/>
      <c r="HFV1127" s="80"/>
      <c r="HFW1127" s="80"/>
      <c r="HFX1127" s="80"/>
      <c r="HFY1127" s="80"/>
      <c r="HFZ1127" s="80"/>
      <c r="HGA1127" s="80"/>
      <c r="HGB1127" s="80"/>
      <c r="HGC1127" s="80"/>
      <c r="HGD1127" s="80"/>
      <c r="HGE1127" s="80"/>
      <c r="HGF1127" s="80"/>
      <c r="HGG1127" s="80"/>
      <c r="HGH1127" s="80"/>
      <c r="HGI1127" s="80"/>
      <c r="HGJ1127" s="80"/>
      <c r="HGK1127" s="80"/>
      <c r="HGL1127" s="80"/>
      <c r="HGM1127" s="80"/>
      <c r="HGN1127" s="80"/>
      <c r="HGO1127" s="80"/>
      <c r="HGP1127" s="80"/>
      <c r="HGQ1127" s="80"/>
      <c r="HGR1127" s="80"/>
      <c r="HGS1127" s="80"/>
      <c r="HGT1127" s="80"/>
      <c r="HGU1127" s="80"/>
      <c r="HGV1127" s="80"/>
      <c r="HGW1127" s="80"/>
      <c r="HGX1127" s="80"/>
      <c r="HGY1127" s="80"/>
      <c r="HGZ1127" s="80"/>
      <c r="HHA1127" s="80"/>
      <c r="HHB1127" s="80"/>
      <c r="HHC1127" s="80"/>
      <c r="HHD1127" s="80"/>
      <c r="HHE1127" s="80"/>
      <c r="HHF1127" s="80"/>
      <c r="HHG1127" s="80"/>
      <c r="HHH1127" s="80"/>
      <c r="HHI1127" s="80"/>
      <c r="HHJ1127" s="80"/>
      <c r="HHK1127" s="80"/>
      <c r="HHL1127" s="80"/>
      <c r="HHM1127" s="80"/>
      <c r="HHN1127" s="80"/>
      <c r="HHO1127" s="80"/>
      <c r="HHP1127" s="80"/>
      <c r="HHQ1127" s="80"/>
      <c r="HHR1127" s="80"/>
      <c r="HHS1127" s="80"/>
      <c r="HHT1127" s="80"/>
      <c r="HHU1127" s="80"/>
      <c r="HHV1127" s="80"/>
      <c r="HHW1127" s="80"/>
      <c r="HHX1127" s="80"/>
      <c r="HHY1127" s="80"/>
      <c r="HHZ1127" s="80"/>
      <c r="HIA1127" s="80"/>
      <c r="HIB1127" s="80"/>
      <c r="HIC1127" s="80"/>
      <c r="HID1127" s="80"/>
      <c r="HIE1127" s="80"/>
      <c r="HIF1127" s="80"/>
      <c r="HIG1127" s="80"/>
      <c r="HIH1127" s="80"/>
      <c r="HII1127" s="80"/>
      <c r="HIJ1127" s="80"/>
      <c r="HIK1127" s="80"/>
      <c r="HIL1127" s="80"/>
      <c r="HIM1127" s="80"/>
      <c r="HIN1127" s="80"/>
      <c r="HIO1127" s="80"/>
      <c r="HIP1127" s="80"/>
      <c r="HIQ1127" s="80"/>
      <c r="HIR1127" s="80"/>
      <c r="HIS1127" s="80"/>
      <c r="HIT1127" s="80"/>
      <c r="HIU1127" s="80"/>
      <c r="HIV1127" s="80"/>
      <c r="HIW1127" s="80"/>
      <c r="HIX1127" s="80"/>
      <c r="HIY1127" s="80"/>
      <c r="HIZ1127" s="80"/>
      <c r="HJA1127" s="80"/>
      <c r="HJB1127" s="80"/>
      <c r="HJC1127" s="80"/>
      <c r="HJD1127" s="80"/>
      <c r="HJE1127" s="80"/>
      <c r="HJF1127" s="80"/>
      <c r="HJG1127" s="80"/>
      <c r="HJH1127" s="80"/>
      <c r="HJI1127" s="80"/>
      <c r="HJJ1127" s="80"/>
      <c r="HJK1127" s="80"/>
      <c r="HJL1127" s="80"/>
      <c r="HJM1127" s="80"/>
      <c r="HJN1127" s="80"/>
      <c r="HJO1127" s="80"/>
      <c r="HJP1127" s="80"/>
      <c r="HJQ1127" s="80"/>
      <c r="HJR1127" s="80"/>
      <c r="HJS1127" s="80"/>
      <c r="HJT1127" s="80"/>
      <c r="HJU1127" s="80"/>
      <c r="HJV1127" s="80"/>
      <c r="HJW1127" s="80"/>
      <c r="HJX1127" s="80"/>
      <c r="HJY1127" s="80"/>
      <c r="HJZ1127" s="80"/>
      <c r="HKA1127" s="80"/>
      <c r="HKB1127" s="80"/>
      <c r="HKC1127" s="80"/>
      <c r="HKD1127" s="80"/>
      <c r="HKE1127" s="80"/>
      <c r="HKF1127" s="80"/>
      <c r="HKG1127" s="80"/>
      <c r="HKH1127" s="80"/>
      <c r="HKI1127" s="80"/>
      <c r="HKJ1127" s="80"/>
      <c r="HKK1127" s="80"/>
      <c r="HKL1127" s="80"/>
      <c r="HKM1127" s="80"/>
      <c r="HKN1127" s="80"/>
      <c r="HKO1127" s="80"/>
      <c r="HKP1127" s="80"/>
      <c r="HKQ1127" s="80"/>
      <c r="HKR1127" s="80"/>
      <c r="HKS1127" s="80"/>
      <c r="HKT1127" s="80"/>
      <c r="HKU1127" s="80"/>
      <c r="HKV1127" s="80"/>
      <c r="HKW1127" s="80"/>
      <c r="HKX1127" s="80"/>
      <c r="HKY1127" s="80"/>
      <c r="HKZ1127" s="80"/>
      <c r="HLA1127" s="80"/>
      <c r="HLB1127" s="80"/>
      <c r="HLC1127" s="80"/>
      <c r="HLD1127" s="80"/>
      <c r="HLE1127" s="80"/>
      <c r="HLF1127" s="80"/>
      <c r="HLG1127" s="80"/>
      <c r="HLH1127" s="80"/>
      <c r="HLI1127" s="80"/>
      <c r="HLJ1127" s="80"/>
      <c r="HLK1127" s="80"/>
      <c r="HLL1127" s="80"/>
      <c r="HLM1127" s="80"/>
      <c r="HLN1127" s="80"/>
      <c r="HLO1127" s="80"/>
      <c r="HLP1127" s="80"/>
      <c r="HLQ1127" s="80"/>
      <c r="HLR1127" s="80"/>
      <c r="HLS1127" s="80"/>
      <c r="HLT1127" s="80"/>
      <c r="HLU1127" s="80"/>
      <c r="HLV1127" s="80"/>
      <c r="HLW1127" s="80"/>
      <c r="HLX1127" s="80"/>
      <c r="HLY1127" s="80"/>
      <c r="HLZ1127" s="80"/>
      <c r="HMA1127" s="80"/>
      <c r="HMB1127" s="80"/>
      <c r="HMC1127" s="80"/>
      <c r="HMD1127" s="80"/>
      <c r="HME1127" s="80"/>
      <c r="HMF1127" s="80"/>
      <c r="HMG1127" s="80"/>
      <c r="HMH1127" s="80"/>
      <c r="HMI1127" s="80"/>
      <c r="HMJ1127" s="80"/>
      <c r="HMK1127" s="80"/>
      <c r="HML1127" s="80"/>
      <c r="HMM1127" s="80"/>
      <c r="HMN1127" s="80"/>
      <c r="HMO1127" s="80"/>
      <c r="HMP1127" s="80"/>
      <c r="HMQ1127" s="80"/>
      <c r="HMR1127" s="80"/>
      <c r="HMS1127" s="80"/>
      <c r="HMT1127" s="80"/>
      <c r="HMU1127" s="80"/>
      <c r="HMV1127" s="80"/>
      <c r="HMW1127" s="80"/>
      <c r="HMX1127" s="80"/>
      <c r="HMY1127" s="80"/>
      <c r="HMZ1127" s="80"/>
      <c r="HNA1127" s="80"/>
      <c r="HNB1127" s="80"/>
      <c r="HNC1127" s="80"/>
      <c r="HND1127" s="80"/>
      <c r="HNE1127" s="80"/>
      <c r="HNF1127" s="80"/>
      <c r="HNG1127" s="80"/>
      <c r="HNH1127" s="80"/>
      <c r="HNI1127" s="80"/>
      <c r="HNJ1127" s="80"/>
      <c r="HNK1127" s="80"/>
      <c r="HNL1127" s="80"/>
      <c r="HNM1127" s="80"/>
      <c r="HNN1127" s="80"/>
      <c r="HNO1127" s="80"/>
      <c r="HNP1127" s="80"/>
      <c r="HNQ1127" s="80"/>
      <c r="HNR1127" s="80"/>
      <c r="HNS1127" s="80"/>
      <c r="HNT1127" s="80"/>
      <c r="HNU1127" s="80"/>
      <c r="HNV1127" s="80"/>
      <c r="HNW1127" s="80"/>
      <c r="HNX1127" s="80"/>
      <c r="HNY1127" s="80"/>
      <c r="HNZ1127" s="80"/>
      <c r="HOA1127" s="80"/>
      <c r="HOB1127" s="80"/>
      <c r="HOC1127" s="80"/>
      <c r="HOD1127" s="80"/>
      <c r="HOE1127" s="80"/>
      <c r="HOF1127" s="80"/>
      <c r="HOG1127" s="80"/>
      <c r="HOH1127" s="80"/>
      <c r="HOI1127" s="80"/>
      <c r="HOJ1127" s="80"/>
      <c r="HOK1127" s="80"/>
      <c r="HOL1127" s="80"/>
      <c r="HOM1127" s="80"/>
      <c r="HON1127" s="80"/>
      <c r="HOO1127" s="80"/>
      <c r="HOP1127" s="80"/>
      <c r="HOQ1127" s="80"/>
      <c r="HOR1127" s="80"/>
      <c r="HOS1127" s="80"/>
      <c r="HOT1127" s="80"/>
      <c r="HOU1127" s="80"/>
      <c r="HOV1127" s="80"/>
      <c r="HOW1127" s="80"/>
      <c r="HOX1127" s="80"/>
      <c r="HOY1127" s="80"/>
      <c r="HOZ1127" s="80"/>
      <c r="HPA1127" s="80"/>
      <c r="HPB1127" s="80"/>
      <c r="HPC1127" s="80"/>
      <c r="HPD1127" s="80"/>
      <c r="HPE1127" s="80"/>
      <c r="HPF1127" s="80"/>
      <c r="HPG1127" s="80"/>
      <c r="HPH1127" s="80"/>
      <c r="HPI1127" s="80"/>
      <c r="HPJ1127" s="80"/>
      <c r="HPK1127" s="80"/>
      <c r="HPL1127" s="80"/>
      <c r="HPM1127" s="80"/>
      <c r="HPN1127" s="80"/>
      <c r="HPO1127" s="80"/>
      <c r="HPP1127" s="80"/>
      <c r="HPQ1127" s="80"/>
      <c r="HPR1127" s="80"/>
      <c r="HPS1127" s="80"/>
      <c r="HPT1127" s="80"/>
      <c r="HPU1127" s="80"/>
      <c r="HPV1127" s="80"/>
      <c r="HPW1127" s="80"/>
      <c r="HPX1127" s="80"/>
      <c r="HPY1127" s="80"/>
      <c r="HPZ1127" s="80"/>
      <c r="HQA1127" s="80"/>
      <c r="HQB1127" s="80"/>
      <c r="HQC1127" s="80"/>
      <c r="HQD1127" s="80"/>
      <c r="HQE1127" s="80"/>
      <c r="HQF1127" s="80"/>
      <c r="HQG1127" s="80"/>
      <c r="HQH1127" s="80"/>
      <c r="HQI1127" s="80"/>
      <c r="HQJ1127" s="80"/>
      <c r="HQK1127" s="80"/>
      <c r="HQL1127" s="80"/>
      <c r="HQM1127" s="80"/>
      <c r="HQN1127" s="80"/>
      <c r="HQO1127" s="80"/>
      <c r="HQP1127" s="80"/>
      <c r="HQQ1127" s="80"/>
      <c r="HQR1127" s="80"/>
      <c r="HQS1127" s="80"/>
      <c r="HQT1127" s="80"/>
      <c r="HQU1127" s="80"/>
      <c r="HQV1127" s="80"/>
      <c r="HQW1127" s="80"/>
      <c r="HQX1127" s="80"/>
      <c r="HQY1127" s="80"/>
      <c r="HQZ1127" s="80"/>
      <c r="HRA1127" s="80"/>
      <c r="HRB1127" s="80"/>
      <c r="HRC1127" s="80"/>
      <c r="HRD1127" s="80"/>
      <c r="HRE1127" s="80"/>
      <c r="HRF1127" s="80"/>
      <c r="HRG1127" s="80"/>
      <c r="HRH1127" s="80"/>
      <c r="HRI1127" s="80"/>
      <c r="HRJ1127" s="80"/>
      <c r="HRK1127" s="80"/>
      <c r="HRL1127" s="80"/>
      <c r="HRM1127" s="80"/>
      <c r="HRN1127" s="80"/>
      <c r="HRO1127" s="80"/>
      <c r="HRP1127" s="80"/>
      <c r="HRQ1127" s="80"/>
      <c r="HRR1127" s="80"/>
      <c r="HRS1127" s="80"/>
      <c r="HRT1127" s="80"/>
      <c r="HRU1127" s="80"/>
      <c r="HRV1127" s="80"/>
      <c r="HRW1127" s="80"/>
      <c r="HRX1127" s="80"/>
      <c r="HRY1127" s="80"/>
      <c r="HRZ1127" s="80"/>
      <c r="HSA1127" s="80"/>
      <c r="HSB1127" s="80"/>
      <c r="HSC1127" s="80"/>
      <c r="HSD1127" s="80"/>
      <c r="HSE1127" s="80"/>
      <c r="HSF1127" s="80"/>
      <c r="HSG1127" s="80"/>
      <c r="HSH1127" s="80"/>
      <c r="HSI1127" s="80"/>
      <c r="HSJ1127" s="80"/>
      <c r="HSK1127" s="80"/>
      <c r="HSL1127" s="80"/>
      <c r="HSM1127" s="80"/>
      <c r="HSN1127" s="80"/>
      <c r="HSO1127" s="80"/>
      <c r="HSP1127" s="80"/>
      <c r="HSQ1127" s="80"/>
      <c r="HSR1127" s="80"/>
      <c r="HSS1127" s="80"/>
      <c r="HST1127" s="80"/>
      <c r="HSU1127" s="80"/>
      <c r="HSV1127" s="80"/>
      <c r="HSW1127" s="80"/>
      <c r="HSX1127" s="80"/>
      <c r="HSY1127" s="80"/>
      <c r="HSZ1127" s="80"/>
      <c r="HTA1127" s="80"/>
      <c r="HTB1127" s="80"/>
      <c r="HTC1127" s="80"/>
      <c r="HTD1127" s="80"/>
      <c r="HTE1127" s="80"/>
      <c r="HTF1127" s="80"/>
      <c r="HTG1127" s="80"/>
      <c r="HTH1127" s="80"/>
      <c r="HTI1127" s="80"/>
      <c r="HTJ1127" s="80"/>
      <c r="HTK1127" s="80"/>
      <c r="HTL1127" s="80"/>
      <c r="HTM1127" s="80"/>
      <c r="HTN1127" s="80"/>
      <c r="HTO1127" s="80"/>
      <c r="HTP1127" s="80"/>
      <c r="HTQ1127" s="80"/>
      <c r="HTR1127" s="80"/>
      <c r="HTS1127" s="80"/>
      <c r="HTT1127" s="80"/>
      <c r="HTU1127" s="80"/>
      <c r="HTV1127" s="80"/>
      <c r="HTW1127" s="80"/>
      <c r="HTX1127" s="80"/>
      <c r="HTY1127" s="80"/>
      <c r="HTZ1127" s="80"/>
      <c r="HUA1127" s="80"/>
      <c r="HUB1127" s="80"/>
      <c r="HUC1127" s="80"/>
      <c r="HUD1127" s="80"/>
      <c r="HUE1127" s="80"/>
      <c r="HUF1127" s="80"/>
      <c r="HUG1127" s="80"/>
      <c r="HUH1127" s="80"/>
      <c r="HUI1127" s="80"/>
      <c r="HUJ1127" s="80"/>
      <c r="HUK1127" s="80"/>
      <c r="HUL1127" s="80"/>
      <c r="HUM1127" s="80"/>
      <c r="HUN1127" s="80"/>
      <c r="HUO1127" s="80"/>
      <c r="HUP1127" s="80"/>
      <c r="HUQ1127" s="80"/>
      <c r="HUR1127" s="80"/>
      <c r="HUS1127" s="80"/>
      <c r="HUT1127" s="80"/>
      <c r="HUU1127" s="80"/>
      <c r="HUV1127" s="80"/>
      <c r="HUW1127" s="80"/>
      <c r="HUX1127" s="80"/>
      <c r="HUY1127" s="80"/>
      <c r="HUZ1127" s="80"/>
      <c r="HVA1127" s="80"/>
      <c r="HVB1127" s="80"/>
      <c r="HVC1127" s="80"/>
      <c r="HVD1127" s="80"/>
      <c r="HVE1127" s="80"/>
      <c r="HVF1127" s="80"/>
      <c r="HVG1127" s="80"/>
      <c r="HVH1127" s="80"/>
      <c r="HVI1127" s="80"/>
      <c r="HVJ1127" s="80"/>
      <c r="HVK1127" s="80"/>
      <c r="HVL1127" s="80"/>
      <c r="HVM1127" s="80"/>
      <c r="HVN1127" s="80"/>
      <c r="HVO1127" s="80"/>
      <c r="HVP1127" s="80"/>
      <c r="HVQ1127" s="80"/>
      <c r="HVR1127" s="80"/>
      <c r="HVS1127" s="80"/>
      <c r="HVT1127" s="80"/>
      <c r="HVU1127" s="80"/>
      <c r="HVV1127" s="80"/>
      <c r="HVW1127" s="80"/>
      <c r="HVX1127" s="80"/>
      <c r="HVY1127" s="80"/>
      <c r="HVZ1127" s="80"/>
      <c r="HWA1127" s="80"/>
      <c r="HWB1127" s="80"/>
      <c r="HWC1127" s="80"/>
      <c r="HWD1127" s="80"/>
      <c r="HWE1127" s="80"/>
      <c r="HWF1127" s="80"/>
      <c r="HWG1127" s="80"/>
      <c r="HWH1127" s="80"/>
      <c r="HWI1127" s="80"/>
      <c r="HWJ1127" s="80"/>
      <c r="HWK1127" s="80"/>
      <c r="HWL1127" s="80"/>
      <c r="HWM1127" s="80"/>
      <c r="HWN1127" s="80"/>
      <c r="HWO1127" s="80"/>
      <c r="HWP1127" s="80"/>
      <c r="HWQ1127" s="80"/>
      <c r="HWR1127" s="80"/>
      <c r="HWS1127" s="80"/>
      <c r="HWT1127" s="80"/>
      <c r="HWU1127" s="80"/>
      <c r="HWV1127" s="80"/>
      <c r="HWW1127" s="80"/>
      <c r="HWX1127" s="80"/>
      <c r="HWY1127" s="80"/>
      <c r="HWZ1127" s="80"/>
      <c r="HXA1127" s="80"/>
      <c r="HXB1127" s="80"/>
      <c r="HXC1127" s="80"/>
      <c r="HXD1127" s="80"/>
      <c r="HXE1127" s="80"/>
      <c r="HXF1127" s="80"/>
      <c r="HXG1127" s="80"/>
      <c r="HXH1127" s="80"/>
      <c r="HXI1127" s="80"/>
      <c r="HXJ1127" s="80"/>
      <c r="HXK1127" s="80"/>
      <c r="HXL1127" s="80"/>
      <c r="HXM1127" s="80"/>
      <c r="HXN1127" s="80"/>
      <c r="HXO1127" s="80"/>
      <c r="HXP1127" s="80"/>
      <c r="HXQ1127" s="80"/>
      <c r="HXR1127" s="80"/>
      <c r="HXS1127" s="80"/>
      <c r="HXT1127" s="80"/>
      <c r="HXU1127" s="80"/>
      <c r="HXV1127" s="80"/>
      <c r="HXW1127" s="80"/>
      <c r="HXX1127" s="80"/>
      <c r="HXY1127" s="80"/>
      <c r="HXZ1127" s="80"/>
      <c r="HYA1127" s="80"/>
      <c r="HYB1127" s="80"/>
      <c r="HYC1127" s="80"/>
      <c r="HYD1127" s="80"/>
      <c r="HYE1127" s="80"/>
      <c r="HYF1127" s="80"/>
      <c r="HYG1127" s="80"/>
      <c r="HYH1127" s="80"/>
      <c r="HYI1127" s="80"/>
      <c r="HYJ1127" s="80"/>
      <c r="HYK1127" s="80"/>
      <c r="HYL1127" s="80"/>
      <c r="HYM1127" s="80"/>
      <c r="HYN1127" s="80"/>
      <c r="HYO1127" s="80"/>
      <c r="HYP1127" s="80"/>
      <c r="HYQ1127" s="80"/>
      <c r="HYR1127" s="80"/>
      <c r="HYS1127" s="80"/>
      <c r="HYT1127" s="80"/>
      <c r="HYU1127" s="80"/>
      <c r="HYV1127" s="80"/>
      <c r="HYW1127" s="80"/>
      <c r="HYX1127" s="80"/>
      <c r="HYY1127" s="80"/>
      <c r="HYZ1127" s="80"/>
      <c r="HZA1127" s="80"/>
      <c r="HZB1127" s="80"/>
      <c r="HZC1127" s="80"/>
      <c r="HZD1127" s="80"/>
      <c r="HZE1127" s="80"/>
      <c r="HZF1127" s="80"/>
      <c r="HZG1127" s="80"/>
      <c r="HZH1127" s="80"/>
      <c r="HZI1127" s="80"/>
      <c r="HZJ1127" s="80"/>
      <c r="HZK1127" s="80"/>
      <c r="HZL1127" s="80"/>
      <c r="HZM1127" s="80"/>
      <c r="HZN1127" s="80"/>
      <c r="HZO1127" s="80"/>
      <c r="HZP1127" s="80"/>
      <c r="HZQ1127" s="80"/>
      <c r="HZR1127" s="80"/>
      <c r="HZS1127" s="80"/>
      <c r="HZT1127" s="80"/>
      <c r="HZU1127" s="80"/>
      <c r="HZV1127" s="80"/>
      <c r="HZW1127" s="80"/>
      <c r="HZX1127" s="80"/>
      <c r="HZY1127" s="80"/>
      <c r="HZZ1127" s="80"/>
      <c r="IAA1127" s="80"/>
      <c r="IAB1127" s="80"/>
      <c r="IAC1127" s="80"/>
      <c r="IAD1127" s="80"/>
      <c r="IAE1127" s="80"/>
      <c r="IAF1127" s="80"/>
      <c r="IAG1127" s="80"/>
      <c r="IAH1127" s="80"/>
      <c r="IAI1127" s="80"/>
      <c r="IAJ1127" s="80"/>
      <c r="IAK1127" s="80"/>
      <c r="IAL1127" s="80"/>
      <c r="IAM1127" s="80"/>
      <c r="IAN1127" s="80"/>
      <c r="IAO1127" s="80"/>
      <c r="IAP1127" s="80"/>
      <c r="IAQ1127" s="80"/>
      <c r="IAR1127" s="80"/>
      <c r="IAS1127" s="80"/>
      <c r="IAT1127" s="80"/>
      <c r="IAU1127" s="80"/>
      <c r="IAV1127" s="80"/>
      <c r="IAW1127" s="80"/>
      <c r="IAX1127" s="80"/>
      <c r="IAY1127" s="80"/>
      <c r="IAZ1127" s="80"/>
      <c r="IBA1127" s="80"/>
      <c r="IBB1127" s="80"/>
      <c r="IBC1127" s="80"/>
      <c r="IBD1127" s="80"/>
      <c r="IBE1127" s="80"/>
      <c r="IBF1127" s="80"/>
      <c r="IBG1127" s="80"/>
      <c r="IBH1127" s="80"/>
      <c r="IBI1127" s="80"/>
      <c r="IBJ1127" s="80"/>
      <c r="IBK1127" s="80"/>
      <c r="IBL1127" s="80"/>
      <c r="IBM1127" s="80"/>
      <c r="IBN1127" s="80"/>
      <c r="IBO1127" s="80"/>
      <c r="IBP1127" s="80"/>
      <c r="IBQ1127" s="80"/>
      <c r="IBR1127" s="80"/>
      <c r="IBS1127" s="80"/>
      <c r="IBT1127" s="80"/>
      <c r="IBU1127" s="80"/>
      <c r="IBV1127" s="80"/>
      <c r="IBW1127" s="80"/>
      <c r="IBX1127" s="80"/>
      <c r="IBY1127" s="80"/>
      <c r="IBZ1127" s="80"/>
      <c r="ICA1127" s="80"/>
      <c r="ICB1127" s="80"/>
      <c r="ICC1127" s="80"/>
      <c r="ICD1127" s="80"/>
      <c r="ICE1127" s="80"/>
      <c r="ICF1127" s="80"/>
      <c r="ICG1127" s="80"/>
      <c r="ICH1127" s="80"/>
      <c r="ICI1127" s="80"/>
      <c r="ICJ1127" s="80"/>
      <c r="ICK1127" s="80"/>
      <c r="ICL1127" s="80"/>
      <c r="ICM1127" s="80"/>
      <c r="ICN1127" s="80"/>
      <c r="ICO1127" s="80"/>
      <c r="ICP1127" s="80"/>
      <c r="ICQ1127" s="80"/>
      <c r="ICR1127" s="80"/>
      <c r="ICS1127" s="80"/>
      <c r="ICT1127" s="80"/>
      <c r="ICU1127" s="80"/>
      <c r="ICV1127" s="80"/>
      <c r="ICW1127" s="80"/>
      <c r="ICX1127" s="80"/>
      <c r="ICY1127" s="80"/>
      <c r="ICZ1127" s="80"/>
      <c r="IDA1127" s="80"/>
      <c r="IDB1127" s="80"/>
      <c r="IDC1127" s="80"/>
      <c r="IDD1127" s="80"/>
      <c r="IDE1127" s="80"/>
      <c r="IDF1127" s="80"/>
      <c r="IDG1127" s="80"/>
      <c r="IDH1127" s="80"/>
      <c r="IDI1127" s="80"/>
      <c r="IDJ1127" s="80"/>
      <c r="IDK1127" s="80"/>
      <c r="IDL1127" s="80"/>
      <c r="IDM1127" s="80"/>
      <c r="IDN1127" s="80"/>
      <c r="IDO1127" s="80"/>
      <c r="IDP1127" s="80"/>
      <c r="IDQ1127" s="80"/>
      <c r="IDR1127" s="80"/>
      <c r="IDS1127" s="80"/>
      <c r="IDT1127" s="80"/>
      <c r="IDU1127" s="80"/>
      <c r="IDV1127" s="80"/>
      <c r="IDW1127" s="80"/>
      <c r="IDX1127" s="80"/>
      <c r="IDY1127" s="80"/>
      <c r="IDZ1127" s="80"/>
      <c r="IEA1127" s="80"/>
      <c r="IEB1127" s="80"/>
      <c r="IEC1127" s="80"/>
      <c r="IED1127" s="80"/>
      <c r="IEE1127" s="80"/>
      <c r="IEF1127" s="80"/>
      <c r="IEG1127" s="80"/>
      <c r="IEH1127" s="80"/>
      <c r="IEI1127" s="80"/>
      <c r="IEJ1127" s="80"/>
      <c r="IEK1127" s="80"/>
      <c r="IEL1127" s="80"/>
      <c r="IEM1127" s="80"/>
      <c r="IEN1127" s="80"/>
      <c r="IEO1127" s="80"/>
      <c r="IEP1127" s="80"/>
      <c r="IEQ1127" s="80"/>
      <c r="IER1127" s="80"/>
      <c r="IES1127" s="80"/>
      <c r="IET1127" s="80"/>
      <c r="IEU1127" s="80"/>
      <c r="IEV1127" s="80"/>
      <c r="IEW1127" s="80"/>
      <c r="IEX1127" s="80"/>
      <c r="IEY1127" s="80"/>
      <c r="IEZ1127" s="80"/>
      <c r="IFA1127" s="80"/>
      <c r="IFB1127" s="80"/>
      <c r="IFC1127" s="80"/>
      <c r="IFD1127" s="80"/>
      <c r="IFE1127" s="80"/>
      <c r="IFF1127" s="80"/>
      <c r="IFG1127" s="80"/>
      <c r="IFH1127" s="80"/>
      <c r="IFI1127" s="80"/>
      <c r="IFJ1127" s="80"/>
      <c r="IFK1127" s="80"/>
      <c r="IFL1127" s="80"/>
      <c r="IFM1127" s="80"/>
      <c r="IFN1127" s="80"/>
      <c r="IFO1127" s="80"/>
      <c r="IFP1127" s="80"/>
      <c r="IFQ1127" s="80"/>
      <c r="IFR1127" s="80"/>
      <c r="IFS1127" s="80"/>
      <c r="IFT1127" s="80"/>
      <c r="IFU1127" s="80"/>
      <c r="IFV1127" s="80"/>
      <c r="IFW1127" s="80"/>
      <c r="IFX1127" s="80"/>
      <c r="IFY1127" s="80"/>
      <c r="IFZ1127" s="80"/>
      <c r="IGA1127" s="80"/>
      <c r="IGB1127" s="80"/>
      <c r="IGC1127" s="80"/>
      <c r="IGD1127" s="80"/>
      <c r="IGE1127" s="80"/>
      <c r="IGF1127" s="80"/>
      <c r="IGG1127" s="80"/>
      <c r="IGH1127" s="80"/>
      <c r="IGI1127" s="80"/>
      <c r="IGJ1127" s="80"/>
      <c r="IGK1127" s="80"/>
      <c r="IGL1127" s="80"/>
      <c r="IGM1127" s="80"/>
      <c r="IGN1127" s="80"/>
      <c r="IGO1127" s="80"/>
      <c r="IGP1127" s="80"/>
      <c r="IGQ1127" s="80"/>
      <c r="IGR1127" s="80"/>
      <c r="IGS1127" s="80"/>
      <c r="IGT1127" s="80"/>
      <c r="IGU1127" s="80"/>
      <c r="IGV1127" s="80"/>
      <c r="IGW1127" s="80"/>
      <c r="IGX1127" s="80"/>
      <c r="IGY1127" s="80"/>
      <c r="IGZ1127" s="80"/>
      <c r="IHA1127" s="80"/>
      <c r="IHB1127" s="80"/>
      <c r="IHC1127" s="80"/>
      <c r="IHD1127" s="80"/>
      <c r="IHE1127" s="80"/>
      <c r="IHF1127" s="80"/>
      <c r="IHG1127" s="80"/>
      <c r="IHH1127" s="80"/>
      <c r="IHI1127" s="80"/>
      <c r="IHJ1127" s="80"/>
      <c r="IHK1127" s="80"/>
      <c r="IHL1127" s="80"/>
      <c r="IHM1127" s="80"/>
      <c r="IHN1127" s="80"/>
      <c r="IHO1127" s="80"/>
      <c r="IHP1127" s="80"/>
      <c r="IHQ1127" s="80"/>
      <c r="IHR1127" s="80"/>
      <c r="IHS1127" s="80"/>
      <c r="IHT1127" s="80"/>
      <c r="IHU1127" s="80"/>
      <c r="IHV1127" s="80"/>
      <c r="IHW1127" s="80"/>
      <c r="IHX1127" s="80"/>
      <c r="IHY1127" s="80"/>
      <c r="IHZ1127" s="80"/>
      <c r="IIA1127" s="80"/>
      <c r="IIB1127" s="80"/>
      <c r="IIC1127" s="80"/>
      <c r="IID1127" s="80"/>
      <c r="IIE1127" s="80"/>
      <c r="IIF1127" s="80"/>
      <c r="IIG1127" s="80"/>
      <c r="IIH1127" s="80"/>
      <c r="III1127" s="80"/>
      <c r="IIJ1127" s="80"/>
      <c r="IIK1127" s="80"/>
      <c r="IIL1127" s="80"/>
      <c r="IIM1127" s="80"/>
      <c r="IIN1127" s="80"/>
      <c r="IIO1127" s="80"/>
      <c r="IIP1127" s="80"/>
      <c r="IIQ1127" s="80"/>
      <c r="IIR1127" s="80"/>
      <c r="IIS1127" s="80"/>
      <c r="IIT1127" s="80"/>
      <c r="IIU1127" s="80"/>
      <c r="IIV1127" s="80"/>
      <c r="IIW1127" s="80"/>
      <c r="IIX1127" s="80"/>
      <c r="IIY1127" s="80"/>
      <c r="IIZ1127" s="80"/>
      <c r="IJA1127" s="80"/>
      <c r="IJB1127" s="80"/>
      <c r="IJC1127" s="80"/>
      <c r="IJD1127" s="80"/>
      <c r="IJE1127" s="80"/>
      <c r="IJF1127" s="80"/>
      <c r="IJG1127" s="80"/>
      <c r="IJH1127" s="80"/>
      <c r="IJI1127" s="80"/>
      <c r="IJJ1127" s="80"/>
      <c r="IJK1127" s="80"/>
      <c r="IJL1127" s="80"/>
      <c r="IJM1127" s="80"/>
      <c r="IJN1127" s="80"/>
      <c r="IJO1127" s="80"/>
      <c r="IJP1127" s="80"/>
      <c r="IJQ1127" s="80"/>
      <c r="IJR1127" s="80"/>
      <c r="IJS1127" s="80"/>
      <c r="IJT1127" s="80"/>
      <c r="IJU1127" s="80"/>
      <c r="IJV1127" s="80"/>
      <c r="IJW1127" s="80"/>
      <c r="IJX1127" s="80"/>
      <c r="IJY1127" s="80"/>
      <c r="IJZ1127" s="80"/>
      <c r="IKA1127" s="80"/>
      <c r="IKB1127" s="80"/>
      <c r="IKC1127" s="80"/>
      <c r="IKD1127" s="80"/>
      <c r="IKE1127" s="80"/>
      <c r="IKF1127" s="80"/>
      <c r="IKG1127" s="80"/>
      <c r="IKH1127" s="80"/>
      <c r="IKI1127" s="80"/>
      <c r="IKJ1127" s="80"/>
      <c r="IKK1127" s="80"/>
      <c r="IKL1127" s="80"/>
      <c r="IKM1127" s="80"/>
      <c r="IKN1127" s="80"/>
      <c r="IKO1127" s="80"/>
      <c r="IKP1127" s="80"/>
      <c r="IKQ1127" s="80"/>
      <c r="IKR1127" s="80"/>
      <c r="IKS1127" s="80"/>
      <c r="IKT1127" s="80"/>
      <c r="IKU1127" s="80"/>
      <c r="IKV1127" s="80"/>
      <c r="IKW1127" s="80"/>
      <c r="IKX1127" s="80"/>
      <c r="IKY1127" s="80"/>
      <c r="IKZ1127" s="80"/>
      <c r="ILA1127" s="80"/>
      <c r="ILB1127" s="80"/>
      <c r="ILC1127" s="80"/>
      <c r="ILD1127" s="80"/>
      <c r="ILE1127" s="80"/>
      <c r="ILF1127" s="80"/>
      <c r="ILG1127" s="80"/>
      <c r="ILH1127" s="80"/>
      <c r="ILI1127" s="80"/>
      <c r="ILJ1127" s="80"/>
      <c r="ILK1127" s="80"/>
      <c r="ILL1127" s="80"/>
      <c r="ILM1127" s="80"/>
      <c r="ILN1127" s="80"/>
      <c r="ILO1127" s="80"/>
      <c r="ILP1127" s="80"/>
      <c r="ILQ1127" s="80"/>
      <c r="ILR1127" s="80"/>
      <c r="ILS1127" s="80"/>
      <c r="ILT1127" s="80"/>
      <c r="ILU1127" s="80"/>
      <c r="ILV1127" s="80"/>
      <c r="ILW1127" s="80"/>
      <c r="ILX1127" s="80"/>
      <c r="ILY1127" s="80"/>
      <c r="ILZ1127" s="80"/>
      <c r="IMA1127" s="80"/>
      <c r="IMB1127" s="80"/>
      <c r="IMC1127" s="80"/>
      <c r="IMD1127" s="80"/>
      <c r="IME1127" s="80"/>
      <c r="IMF1127" s="80"/>
      <c r="IMG1127" s="80"/>
      <c r="IMH1127" s="80"/>
      <c r="IMI1127" s="80"/>
      <c r="IMJ1127" s="80"/>
      <c r="IMK1127" s="80"/>
      <c r="IML1127" s="80"/>
      <c r="IMM1127" s="80"/>
      <c r="IMN1127" s="80"/>
      <c r="IMO1127" s="80"/>
      <c r="IMP1127" s="80"/>
      <c r="IMQ1127" s="80"/>
      <c r="IMR1127" s="80"/>
      <c r="IMS1127" s="80"/>
      <c r="IMT1127" s="80"/>
      <c r="IMU1127" s="80"/>
      <c r="IMV1127" s="80"/>
      <c r="IMW1127" s="80"/>
      <c r="IMX1127" s="80"/>
      <c r="IMY1127" s="80"/>
      <c r="IMZ1127" s="80"/>
      <c r="INA1127" s="80"/>
      <c r="INB1127" s="80"/>
      <c r="INC1127" s="80"/>
      <c r="IND1127" s="80"/>
      <c r="INE1127" s="80"/>
      <c r="INF1127" s="80"/>
      <c r="ING1127" s="80"/>
      <c r="INH1127" s="80"/>
      <c r="INI1127" s="80"/>
      <c r="INJ1127" s="80"/>
      <c r="INK1127" s="80"/>
      <c r="INL1127" s="80"/>
      <c r="INM1127" s="80"/>
      <c r="INN1127" s="80"/>
      <c r="INO1127" s="80"/>
      <c r="INP1127" s="80"/>
      <c r="INQ1127" s="80"/>
      <c r="INR1127" s="80"/>
      <c r="INS1127" s="80"/>
      <c r="INT1127" s="80"/>
      <c r="INU1127" s="80"/>
      <c r="INV1127" s="80"/>
      <c r="INW1127" s="80"/>
      <c r="INX1127" s="80"/>
      <c r="INY1127" s="80"/>
      <c r="INZ1127" s="80"/>
      <c r="IOA1127" s="80"/>
      <c r="IOB1127" s="80"/>
      <c r="IOC1127" s="80"/>
      <c r="IOD1127" s="80"/>
      <c r="IOE1127" s="80"/>
      <c r="IOF1127" s="80"/>
      <c r="IOG1127" s="80"/>
      <c r="IOH1127" s="80"/>
      <c r="IOI1127" s="80"/>
      <c r="IOJ1127" s="80"/>
      <c r="IOK1127" s="80"/>
      <c r="IOL1127" s="80"/>
      <c r="IOM1127" s="80"/>
      <c r="ION1127" s="80"/>
      <c r="IOO1127" s="80"/>
      <c r="IOP1127" s="80"/>
      <c r="IOQ1127" s="80"/>
      <c r="IOR1127" s="80"/>
      <c r="IOS1127" s="80"/>
      <c r="IOT1127" s="80"/>
      <c r="IOU1127" s="80"/>
      <c r="IOV1127" s="80"/>
      <c r="IOW1127" s="80"/>
      <c r="IOX1127" s="80"/>
      <c r="IOY1127" s="80"/>
      <c r="IOZ1127" s="80"/>
      <c r="IPA1127" s="80"/>
      <c r="IPB1127" s="80"/>
      <c r="IPC1127" s="80"/>
      <c r="IPD1127" s="80"/>
      <c r="IPE1127" s="80"/>
      <c r="IPF1127" s="80"/>
      <c r="IPG1127" s="80"/>
      <c r="IPH1127" s="80"/>
      <c r="IPI1127" s="80"/>
      <c r="IPJ1127" s="80"/>
      <c r="IPK1127" s="80"/>
      <c r="IPL1127" s="80"/>
      <c r="IPM1127" s="80"/>
      <c r="IPN1127" s="80"/>
      <c r="IPO1127" s="80"/>
      <c r="IPP1127" s="80"/>
      <c r="IPQ1127" s="80"/>
      <c r="IPR1127" s="80"/>
      <c r="IPS1127" s="80"/>
      <c r="IPT1127" s="80"/>
      <c r="IPU1127" s="80"/>
      <c r="IPV1127" s="80"/>
      <c r="IPW1127" s="80"/>
      <c r="IPX1127" s="80"/>
      <c r="IPY1127" s="80"/>
      <c r="IPZ1127" s="80"/>
      <c r="IQA1127" s="80"/>
      <c r="IQB1127" s="80"/>
      <c r="IQC1127" s="80"/>
      <c r="IQD1127" s="80"/>
      <c r="IQE1127" s="80"/>
      <c r="IQF1127" s="80"/>
      <c r="IQG1127" s="80"/>
      <c r="IQH1127" s="80"/>
      <c r="IQI1127" s="80"/>
      <c r="IQJ1127" s="80"/>
      <c r="IQK1127" s="80"/>
      <c r="IQL1127" s="80"/>
      <c r="IQM1127" s="80"/>
      <c r="IQN1127" s="80"/>
      <c r="IQO1127" s="80"/>
      <c r="IQP1127" s="80"/>
      <c r="IQQ1127" s="80"/>
      <c r="IQR1127" s="80"/>
      <c r="IQS1127" s="80"/>
      <c r="IQT1127" s="80"/>
      <c r="IQU1127" s="80"/>
      <c r="IQV1127" s="80"/>
      <c r="IQW1127" s="80"/>
      <c r="IQX1127" s="80"/>
      <c r="IQY1127" s="80"/>
      <c r="IQZ1127" s="80"/>
      <c r="IRA1127" s="80"/>
      <c r="IRB1127" s="80"/>
      <c r="IRC1127" s="80"/>
      <c r="IRD1127" s="80"/>
      <c r="IRE1127" s="80"/>
      <c r="IRF1127" s="80"/>
      <c r="IRG1127" s="80"/>
      <c r="IRH1127" s="80"/>
      <c r="IRI1127" s="80"/>
      <c r="IRJ1127" s="80"/>
      <c r="IRK1127" s="80"/>
      <c r="IRL1127" s="80"/>
      <c r="IRM1127" s="80"/>
      <c r="IRN1127" s="80"/>
      <c r="IRO1127" s="80"/>
      <c r="IRP1127" s="80"/>
      <c r="IRQ1127" s="80"/>
      <c r="IRR1127" s="80"/>
      <c r="IRS1127" s="80"/>
      <c r="IRT1127" s="80"/>
      <c r="IRU1127" s="80"/>
      <c r="IRV1127" s="80"/>
      <c r="IRW1127" s="80"/>
      <c r="IRX1127" s="80"/>
      <c r="IRY1127" s="80"/>
      <c r="IRZ1127" s="80"/>
      <c r="ISA1127" s="80"/>
      <c r="ISB1127" s="80"/>
      <c r="ISC1127" s="80"/>
      <c r="ISD1127" s="80"/>
      <c r="ISE1127" s="80"/>
      <c r="ISF1127" s="80"/>
      <c r="ISG1127" s="80"/>
      <c r="ISH1127" s="80"/>
      <c r="ISI1127" s="80"/>
      <c r="ISJ1127" s="80"/>
      <c r="ISK1127" s="80"/>
      <c r="ISL1127" s="80"/>
      <c r="ISM1127" s="80"/>
      <c r="ISN1127" s="80"/>
      <c r="ISO1127" s="80"/>
      <c r="ISP1127" s="80"/>
      <c r="ISQ1127" s="80"/>
      <c r="ISR1127" s="80"/>
      <c r="ISS1127" s="80"/>
      <c r="IST1127" s="80"/>
      <c r="ISU1127" s="80"/>
      <c r="ISV1127" s="80"/>
      <c r="ISW1127" s="80"/>
      <c r="ISX1127" s="80"/>
      <c r="ISY1127" s="80"/>
      <c r="ISZ1127" s="80"/>
      <c r="ITA1127" s="80"/>
      <c r="ITB1127" s="80"/>
      <c r="ITC1127" s="80"/>
      <c r="ITD1127" s="80"/>
      <c r="ITE1127" s="80"/>
      <c r="ITF1127" s="80"/>
      <c r="ITG1127" s="80"/>
      <c r="ITH1127" s="80"/>
      <c r="ITI1127" s="80"/>
      <c r="ITJ1127" s="80"/>
      <c r="ITK1127" s="80"/>
      <c r="ITL1127" s="80"/>
      <c r="ITM1127" s="80"/>
      <c r="ITN1127" s="80"/>
      <c r="ITO1127" s="80"/>
      <c r="ITP1127" s="80"/>
      <c r="ITQ1127" s="80"/>
      <c r="ITR1127" s="80"/>
      <c r="ITS1127" s="80"/>
      <c r="ITT1127" s="80"/>
      <c r="ITU1127" s="80"/>
      <c r="ITV1127" s="80"/>
      <c r="ITW1127" s="80"/>
      <c r="ITX1127" s="80"/>
      <c r="ITY1127" s="80"/>
      <c r="ITZ1127" s="80"/>
      <c r="IUA1127" s="80"/>
      <c r="IUB1127" s="80"/>
      <c r="IUC1127" s="80"/>
      <c r="IUD1127" s="80"/>
      <c r="IUE1127" s="80"/>
      <c r="IUF1127" s="80"/>
      <c r="IUG1127" s="80"/>
      <c r="IUH1127" s="80"/>
      <c r="IUI1127" s="80"/>
      <c r="IUJ1127" s="80"/>
      <c r="IUK1127" s="80"/>
      <c r="IUL1127" s="80"/>
      <c r="IUM1127" s="80"/>
      <c r="IUN1127" s="80"/>
      <c r="IUO1127" s="80"/>
      <c r="IUP1127" s="80"/>
      <c r="IUQ1127" s="80"/>
      <c r="IUR1127" s="80"/>
      <c r="IUS1127" s="80"/>
      <c r="IUT1127" s="80"/>
      <c r="IUU1127" s="80"/>
      <c r="IUV1127" s="80"/>
      <c r="IUW1127" s="80"/>
      <c r="IUX1127" s="80"/>
      <c r="IUY1127" s="80"/>
      <c r="IUZ1127" s="80"/>
      <c r="IVA1127" s="80"/>
      <c r="IVB1127" s="80"/>
      <c r="IVC1127" s="80"/>
      <c r="IVD1127" s="80"/>
      <c r="IVE1127" s="80"/>
      <c r="IVF1127" s="80"/>
      <c r="IVG1127" s="80"/>
      <c r="IVH1127" s="80"/>
      <c r="IVI1127" s="80"/>
      <c r="IVJ1127" s="80"/>
      <c r="IVK1127" s="80"/>
      <c r="IVL1127" s="80"/>
      <c r="IVM1127" s="80"/>
      <c r="IVN1127" s="80"/>
      <c r="IVO1127" s="80"/>
      <c r="IVP1127" s="80"/>
      <c r="IVQ1127" s="80"/>
      <c r="IVR1127" s="80"/>
      <c r="IVS1127" s="80"/>
      <c r="IVT1127" s="80"/>
      <c r="IVU1127" s="80"/>
      <c r="IVV1127" s="80"/>
      <c r="IVW1127" s="80"/>
      <c r="IVX1127" s="80"/>
      <c r="IVY1127" s="80"/>
      <c r="IVZ1127" s="80"/>
      <c r="IWA1127" s="80"/>
      <c r="IWB1127" s="80"/>
      <c r="IWC1127" s="80"/>
      <c r="IWD1127" s="80"/>
      <c r="IWE1127" s="80"/>
      <c r="IWF1127" s="80"/>
      <c r="IWG1127" s="80"/>
      <c r="IWH1127" s="80"/>
      <c r="IWI1127" s="80"/>
      <c r="IWJ1127" s="80"/>
      <c r="IWK1127" s="80"/>
      <c r="IWL1127" s="80"/>
      <c r="IWM1127" s="80"/>
      <c r="IWN1127" s="80"/>
      <c r="IWO1127" s="80"/>
      <c r="IWP1127" s="80"/>
      <c r="IWQ1127" s="80"/>
      <c r="IWR1127" s="80"/>
      <c r="IWS1127" s="80"/>
      <c r="IWT1127" s="80"/>
      <c r="IWU1127" s="80"/>
      <c r="IWV1127" s="80"/>
      <c r="IWW1127" s="80"/>
      <c r="IWX1127" s="80"/>
      <c r="IWY1127" s="80"/>
      <c r="IWZ1127" s="80"/>
      <c r="IXA1127" s="80"/>
      <c r="IXB1127" s="80"/>
      <c r="IXC1127" s="80"/>
      <c r="IXD1127" s="80"/>
      <c r="IXE1127" s="80"/>
      <c r="IXF1127" s="80"/>
      <c r="IXG1127" s="80"/>
      <c r="IXH1127" s="80"/>
      <c r="IXI1127" s="80"/>
      <c r="IXJ1127" s="80"/>
      <c r="IXK1127" s="80"/>
      <c r="IXL1127" s="80"/>
      <c r="IXM1127" s="80"/>
      <c r="IXN1127" s="80"/>
      <c r="IXO1127" s="80"/>
      <c r="IXP1127" s="80"/>
      <c r="IXQ1127" s="80"/>
      <c r="IXR1127" s="80"/>
      <c r="IXS1127" s="80"/>
      <c r="IXT1127" s="80"/>
      <c r="IXU1127" s="80"/>
      <c r="IXV1127" s="80"/>
      <c r="IXW1127" s="80"/>
      <c r="IXX1127" s="80"/>
      <c r="IXY1127" s="80"/>
      <c r="IXZ1127" s="80"/>
      <c r="IYA1127" s="80"/>
      <c r="IYB1127" s="80"/>
      <c r="IYC1127" s="80"/>
      <c r="IYD1127" s="80"/>
      <c r="IYE1127" s="80"/>
      <c r="IYF1127" s="80"/>
      <c r="IYG1127" s="80"/>
      <c r="IYH1127" s="80"/>
      <c r="IYI1127" s="80"/>
      <c r="IYJ1127" s="80"/>
      <c r="IYK1127" s="80"/>
      <c r="IYL1127" s="80"/>
      <c r="IYM1127" s="80"/>
      <c r="IYN1127" s="80"/>
      <c r="IYO1127" s="80"/>
      <c r="IYP1127" s="80"/>
      <c r="IYQ1127" s="80"/>
      <c r="IYR1127" s="80"/>
      <c r="IYS1127" s="80"/>
      <c r="IYT1127" s="80"/>
      <c r="IYU1127" s="80"/>
      <c r="IYV1127" s="80"/>
      <c r="IYW1127" s="80"/>
      <c r="IYX1127" s="80"/>
      <c r="IYY1127" s="80"/>
      <c r="IYZ1127" s="80"/>
      <c r="IZA1127" s="80"/>
      <c r="IZB1127" s="80"/>
      <c r="IZC1127" s="80"/>
      <c r="IZD1127" s="80"/>
      <c r="IZE1127" s="80"/>
      <c r="IZF1127" s="80"/>
      <c r="IZG1127" s="80"/>
      <c r="IZH1127" s="80"/>
      <c r="IZI1127" s="80"/>
      <c r="IZJ1127" s="80"/>
      <c r="IZK1127" s="80"/>
      <c r="IZL1127" s="80"/>
      <c r="IZM1127" s="80"/>
      <c r="IZN1127" s="80"/>
      <c r="IZO1127" s="80"/>
      <c r="IZP1127" s="80"/>
      <c r="IZQ1127" s="80"/>
      <c r="IZR1127" s="80"/>
      <c r="IZS1127" s="80"/>
      <c r="IZT1127" s="80"/>
      <c r="IZU1127" s="80"/>
      <c r="IZV1127" s="80"/>
      <c r="IZW1127" s="80"/>
      <c r="IZX1127" s="80"/>
      <c r="IZY1127" s="80"/>
      <c r="IZZ1127" s="80"/>
      <c r="JAA1127" s="80"/>
      <c r="JAB1127" s="80"/>
      <c r="JAC1127" s="80"/>
      <c r="JAD1127" s="80"/>
      <c r="JAE1127" s="80"/>
      <c r="JAF1127" s="80"/>
      <c r="JAG1127" s="80"/>
      <c r="JAH1127" s="80"/>
      <c r="JAI1127" s="80"/>
      <c r="JAJ1127" s="80"/>
      <c r="JAK1127" s="80"/>
      <c r="JAL1127" s="80"/>
      <c r="JAM1127" s="80"/>
      <c r="JAN1127" s="80"/>
      <c r="JAO1127" s="80"/>
      <c r="JAP1127" s="80"/>
      <c r="JAQ1127" s="80"/>
      <c r="JAR1127" s="80"/>
      <c r="JAS1127" s="80"/>
      <c r="JAT1127" s="80"/>
      <c r="JAU1127" s="80"/>
      <c r="JAV1127" s="80"/>
      <c r="JAW1127" s="80"/>
      <c r="JAX1127" s="80"/>
      <c r="JAY1127" s="80"/>
      <c r="JAZ1127" s="80"/>
      <c r="JBA1127" s="80"/>
      <c r="JBB1127" s="80"/>
      <c r="JBC1127" s="80"/>
      <c r="JBD1127" s="80"/>
      <c r="JBE1127" s="80"/>
      <c r="JBF1127" s="80"/>
      <c r="JBG1127" s="80"/>
      <c r="JBH1127" s="80"/>
      <c r="JBI1127" s="80"/>
      <c r="JBJ1127" s="80"/>
      <c r="JBK1127" s="80"/>
      <c r="JBL1127" s="80"/>
      <c r="JBM1127" s="80"/>
      <c r="JBN1127" s="80"/>
      <c r="JBO1127" s="80"/>
      <c r="JBP1127" s="80"/>
      <c r="JBQ1127" s="80"/>
      <c r="JBR1127" s="80"/>
      <c r="JBS1127" s="80"/>
      <c r="JBT1127" s="80"/>
      <c r="JBU1127" s="80"/>
      <c r="JBV1127" s="80"/>
      <c r="JBW1127" s="80"/>
      <c r="JBX1127" s="80"/>
      <c r="JBY1127" s="80"/>
      <c r="JBZ1127" s="80"/>
      <c r="JCA1127" s="80"/>
      <c r="JCB1127" s="80"/>
      <c r="JCC1127" s="80"/>
      <c r="JCD1127" s="80"/>
      <c r="JCE1127" s="80"/>
      <c r="JCF1127" s="80"/>
      <c r="JCG1127" s="80"/>
      <c r="JCH1127" s="80"/>
      <c r="JCI1127" s="80"/>
      <c r="JCJ1127" s="80"/>
      <c r="JCK1127" s="80"/>
      <c r="JCL1127" s="80"/>
      <c r="JCM1127" s="80"/>
      <c r="JCN1127" s="80"/>
      <c r="JCO1127" s="80"/>
      <c r="JCP1127" s="80"/>
      <c r="JCQ1127" s="80"/>
      <c r="JCR1127" s="80"/>
      <c r="JCS1127" s="80"/>
      <c r="JCT1127" s="80"/>
      <c r="JCU1127" s="80"/>
      <c r="JCV1127" s="80"/>
      <c r="JCW1127" s="80"/>
      <c r="JCX1127" s="80"/>
      <c r="JCY1127" s="80"/>
      <c r="JCZ1127" s="80"/>
      <c r="JDA1127" s="80"/>
      <c r="JDB1127" s="80"/>
      <c r="JDC1127" s="80"/>
      <c r="JDD1127" s="80"/>
      <c r="JDE1127" s="80"/>
      <c r="JDF1127" s="80"/>
      <c r="JDG1127" s="80"/>
      <c r="JDH1127" s="80"/>
      <c r="JDI1127" s="80"/>
      <c r="JDJ1127" s="80"/>
      <c r="JDK1127" s="80"/>
      <c r="JDL1127" s="80"/>
      <c r="JDM1127" s="80"/>
      <c r="JDN1127" s="80"/>
      <c r="JDO1127" s="80"/>
      <c r="JDP1127" s="80"/>
      <c r="JDQ1127" s="80"/>
      <c r="JDR1127" s="80"/>
      <c r="JDS1127" s="80"/>
      <c r="JDT1127" s="80"/>
      <c r="JDU1127" s="80"/>
      <c r="JDV1127" s="80"/>
      <c r="JDW1127" s="80"/>
      <c r="JDX1127" s="80"/>
      <c r="JDY1127" s="80"/>
      <c r="JDZ1127" s="80"/>
      <c r="JEA1127" s="80"/>
      <c r="JEB1127" s="80"/>
      <c r="JEC1127" s="80"/>
      <c r="JED1127" s="80"/>
      <c r="JEE1127" s="80"/>
      <c r="JEF1127" s="80"/>
      <c r="JEG1127" s="80"/>
      <c r="JEH1127" s="80"/>
      <c r="JEI1127" s="80"/>
      <c r="JEJ1127" s="80"/>
      <c r="JEK1127" s="80"/>
      <c r="JEL1127" s="80"/>
      <c r="JEM1127" s="80"/>
      <c r="JEN1127" s="80"/>
      <c r="JEO1127" s="80"/>
      <c r="JEP1127" s="80"/>
      <c r="JEQ1127" s="80"/>
      <c r="JER1127" s="80"/>
      <c r="JES1127" s="80"/>
      <c r="JET1127" s="80"/>
      <c r="JEU1127" s="80"/>
      <c r="JEV1127" s="80"/>
      <c r="JEW1127" s="80"/>
      <c r="JEX1127" s="80"/>
      <c r="JEY1127" s="80"/>
      <c r="JEZ1127" s="80"/>
      <c r="JFA1127" s="80"/>
      <c r="JFB1127" s="80"/>
      <c r="JFC1127" s="80"/>
      <c r="JFD1127" s="80"/>
      <c r="JFE1127" s="80"/>
      <c r="JFF1127" s="80"/>
      <c r="JFG1127" s="80"/>
      <c r="JFH1127" s="80"/>
      <c r="JFI1127" s="80"/>
      <c r="JFJ1127" s="80"/>
      <c r="JFK1127" s="80"/>
      <c r="JFL1127" s="80"/>
      <c r="JFM1127" s="80"/>
      <c r="JFN1127" s="80"/>
      <c r="JFO1127" s="80"/>
      <c r="JFP1127" s="80"/>
      <c r="JFQ1127" s="80"/>
      <c r="JFR1127" s="80"/>
      <c r="JFS1127" s="80"/>
      <c r="JFT1127" s="80"/>
      <c r="JFU1127" s="80"/>
      <c r="JFV1127" s="80"/>
      <c r="JFW1127" s="80"/>
      <c r="JFX1127" s="80"/>
      <c r="JFY1127" s="80"/>
      <c r="JFZ1127" s="80"/>
      <c r="JGA1127" s="80"/>
      <c r="JGB1127" s="80"/>
      <c r="JGC1127" s="80"/>
      <c r="JGD1127" s="80"/>
      <c r="JGE1127" s="80"/>
      <c r="JGF1127" s="80"/>
      <c r="JGG1127" s="80"/>
      <c r="JGH1127" s="80"/>
      <c r="JGI1127" s="80"/>
      <c r="JGJ1127" s="80"/>
      <c r="JGK1127" s="80"/>
      <c r="JGL1127" s="80"/>
      <c r="JGM1127" s="80"/>
      <c r="JGN1127" s="80"/>
      <c r="JGO1127" s="80"/>
      <c r="JGP1127" s="80"/>
      <c r="JGQ1127" s="80"/>
      <c r="JGR1127" s="80"/>
      <c r="JGS1127" s="80"/>
      <c r="JGT1127" s="80"/>
      <c r="JGU1127" s="80"/>
      <c r="JGV1127" s="80"/>
      <c r="JGW1127" s="80"/>
      <c r="JGX1127" s="80"/>
      <c r="JGY1127" s="80"/>
      <c r="JGZ1127" s="80"/>
      <c r="JHA1127" s="80"/>
      <c r="JHB1127" s="80"/>
      <c r="JHC1127" s="80"/>
      <c r="JHD1127" s="80"/>
      <c r="JHE1127" s="80"/>
      <c r="JHF1127" s="80"/>
      <c r="JHG1127" s="80"/>
      <c r="JHH1127" s="80"/>
      <c r="JHI1127" s="80"/>
      <c r="JHJ1127" s="80"/>
      <c r="JHK1127" s="80"/>
      <c r="JHL1127" s="80"/>
      <c r="JHM1127" s="80"/>
      <c r="JHN1127" s="80"/>
      <c r="JHO1127" s="80"/>
      <c r="JHP1127" s="80"/>
      <c r="JHQ1127" s="80"/>
      <c r="JHR1127" s="80"/>
      <c r="JHS1127" s="80"/>
      <c r="JHT1127" s="80"/>
      <c r="JHU1127" s="80"/>
      <c r="JHV1127" s="80"/>
      <c r="JHW1127" s="80"/>
      <c r="JHX1127" s="80"/>
      <c r="JHY1127" s="80"/>
      <c r="JHZ1127" s="80"/>
      <c r="JIA1127" s="80"/>
      <c r="JIB1127" s="80"/>
      <c r="JIC1127" s="80"/>
      <c r="JID1127" s="80"/>
      <c r="JIE1127" s="80"/>
      <c r="JIF1127" s="80"/>
      <c r="JIG1127" s="80"/>
      <c r="JIH1127" s="80"/>
      <c r="JII1127" s="80"/>
      <c r="JIJ1127" s="80"/>
      <c r="JIK1127" s="80"/>
      <c r="JIL1127" s="80"/>
      <c r="JIM1127" s="80"/>
      <c r="JIN1127" s="80"/>
      <c r="JIO1127" s="80"/>
      <c r="JIP1127" s="80"/>
      <c r="JIQ1127" s="80"/>
      <c r="JIR1127" s="80"/>
      <c r="JIS1127" s="80"/>
      <c r="JIT1127" s="80"/>
      <c r="JIU1127" s="80"/>
      <c r="JIV1127" s="80"/>
      <c r="JIW1127" s="80"/>
      <c r="JIX1127" s="80"/>
      <c r="JIY1127" s="80"/>
      <c r="JIZ1127" s="80"/>
      <c r="JJA1127" s="80"/>
      <c r="JJB1127" s="80"/>
      <c r="JJC1127" s="80"/>
      <c r="JJD1127" s="80"/>
      <c r="JJE1127" s="80"/>
      <c r="JJF1127" s="80"/>
      <c r="JJG1127" s="80"/>
      <c r="JJH1127" s="80"/>
      <c r="JJI1127" s="80"/>
      <c r="JJJ1127" s="80"/>
      <c r="JJK1127" s="80"/>
      <c r="JJL1127" s="80"/>
      <c r="JJM1127" s="80"/>
      <c r="JJN1127" s="80"/>
      <c r="JJO1127" s="80"/>
      <c r="JJP1127" s="80"/>
      <c r="JJQ1127" s="80"/>
      <c r="JJR1127" s="80"/>
      <c r="JJS1127" s="80"/>
      <c r="JJT1127" s="80"/>
      <c r="JJU1127" s="80"/>
      <c r="JJV1127" s="80"/>
      <c r="JJW1127" s="80"/>
      <c r="JJX1127" s="80"/>
      <c r="JJY1127" s="80"/>
      <c r="JJZ1127" s="80"/>
      <c r="JKA1127" s="80"/>
      <c r="JKB1127" s="80"/>
      <c r="JKC1127" s="80"/>
      <c r="JKD1127" s="80"/>
      <c r="JKE1127" s="80"/>
      <c r="JKF1127" s="80"/>
      <c r="JKG1127" s="80"/>
      <c r="JKH1127" s="80"/>
      <c r="JKI1127" s="80"/>
      <c r="JKJ1127" s="80"/>
      <c r="JKK1127" s="80"/>
      <c r="JKL1127" s="80"/>
      <c r="JKM1127" s="80"/>
      <c r="JKN1127" s="80"/>
      <c r="JKO1127" s="80"/>
      <c r="JKP1127" s="80"/>
      <c r="JKQ1127" s="80"/>
      <c r="JKR1127" s="80"/>
      <c r="JKS1127" s="80"/>
      <c r="JKT1127" s="80"/>
      <c r="JKU1127" s="80"/>
      <c r="JKV1127" s="80"/>
      <c r="JKW1127" s="80"/>
      <c r="JKX1127" s="80"/>
      <c r="JKY1127" s="80"/>
      <c r="JKZ1127" s="80"/>
      <c r="JLA1127" s="80"/>
      <c r="JLB1127" s="80"/>
      <c r="JLC1127" s="80"/>
      <c r="JLD1127" s="80"/>
      <c r="JLE1127" s="80"/>
      <c r="JLF1127" s="80"/>
      <c r="JLG1127" s="80"/>
      <c r="JLH1127" s="80"/>
      <c r="JLI1127" s="80"/>
      <c r="JLJ1127" s="80"/>
      <c r="JLK1127" s="80"/>
      <c r="JLL1127" s="80"/>
      <c r="JLM1127" s="80"/>
      <c r="JLN1127" s="80"/>
      <c r="JLO1127" s="80"/>
      <c r="JLP1127" s="80"/>
      <c r="JLQ1127" s="80"/>
      <c r="JLR1127" s="80"/>
      <c r="JLS1127" s="80"/>
      <c r="JLT1127" s="80"/>
      <c r="JLU1127" s="80"/>
      <c r="JLV1127" s="80"/>
      <c r="JLW1127" s="80"/>
      <c r="JLX1127" s="80"/>
      <c r="JLY1127" s="80"/>
      <c r="JLZ1127" s="80"/>
      <c r="JMA1127" s="80"/>
      <c r="JMB1127" s="80"/>
      <c r="JMC1127" s="80"/>
      <c r="JMD1127" s="80"/>
      <c r="JME1127" s="80"/>
      <c r="JMF1127" s="80"/>
      <c r="JMG1127" s="80"/>
      <c r="JMH1127" s="80"/>
      <c r="JMI1127" s="80"/>
      <c r="JMJ1127" s="80"/>
      <c r="JMK1127" s="80"/>
      <c r="JML1127" s="80"/>
      <c r="JMM1127" s="80"/>
      <c r="JMN1127" s="80"/>
      <c r="JMO1127" s="80"/>
      <c r="JMP1127" s="80"/>
      <c r="JMQ1127" s="80"/>
      <c r="JMR1127" s="80"/>
      <c r="JMS1127" s="80"/>
      <c r="JMT1127" s="80"/>
      <c r="JMU1127" s="80"/>
      <c r="JMV1127" s="80"/>
      <c r="JMW1127" s="80"/>
      <c r="JMX1127" s="80"/>
      <c r="JMY1127" s="80"/>
      <c r="JMZ1127" s="80"/>
      <c r="JNA1127" s="80"/>
      <c r="JNB1127" s="80"/>
      <c r="JNC1127" s="80"/>
      <c r="JND1127" s="80"/>
      <c r="JNE1127" s="80"/>
      <c r="JNF1127" s="80"/>
      <c r="JNG1127" s="80"/>
      <c r="JNH1127" s="80"/>
      <c r="JNI1127" s="80"/>
      <c r="JNJ1127" s="80"/>
      <c r="JNK1127" s="80"/>
      <c r="JNL1127" s="80"/>
      <c r="JNM1127" s="80"/>
      <c r="JNN1127" s="80"/>
      <c r="JNO1127" s="80"/>
      <c r="JNP1127" s="80"/>
      <c r="JNQ1127" s="80"/>
      <c r="JNR1127" s="80"/>
      <c r="JNS1127" s="80"/>
      <c r="JNT1127" s="80"/>
      <c r="JNU1127" s="80"/>
      <c r="JNV1127" s="80"/>
      <c r="JNW1127" s="80"/>
      <c r="JNX1127" s="80"/>
      <c r="JNY1127" s="80"/>
      <c r="JNZ1127" s="80"/>
      <c r="JOA1127" s="80"/>
      <c r="JOB1127" s="80"/>
      <c r="JOC1127" s="80"/>
      <c r="JOD1127" s="80"/>
      <c r="JOE1127" s="80"/>
      <c r="JOF1127" s="80"/>
      <c r="JOG1127" s="80"/>
      <c r="JOH1127" s="80"/>
      <c r="JOI1127" s="80"/>
      <c r="JOJ1127" s="80"/>
      <c r="JOK1127" s="80"/>
      <c r="JOL1127" s="80"/>
      <c r="JOM1127" s="80"/>
      <c r="JON1127" s="80"/>
      <c r="JOO1127" s="80"/>
      <c r="JOP1127" s="80"/>
      <c r="JOQ1127" s="80"/>
      <c r="JOR1127" s="80"/>
      <c r="JOS1127" s="80"/>
      <c r="JOT1127" s="80"/>
      <c r="JOU1127" s="80"/>
      <c r="JOV1127" s="80"/>
      <c r="JOW1127" s="80"/>
      <c r="JOX1127" s="80"/>
      <c r="JOY1127" s="80"/>
      <c r="JOZ1127" s="80"/>
      <c r="JPA1127" s="80"/>
      <c r="JPB1127" s="80"/>
      <c r="JPC1127" s="80"/>
      <c r="JPD1127" s="80"/>
      <c r="JPE1127" s="80"/>
      <c r="JPF1127" s="80"/>
      <c r="JPG1127" s="80"/>
      <c r="JPH1127" s="80"/>
      <c r="JPI1127" s="80"/>
      <c r="JPJ1127" s="80"/>
      <c r="JPK1127" s="80"/>
      <c r="JPL1127" s="80"/>
      <c r="JPM1127" s="80"/>
      <c r="JPN1127" s="80"/>
      <c r="JPO1127" s="80"/>
      <c r="JPP1127" s="80"/>
      <c r="JPQ1127" s="80"/>
      <c r="JPR1127" s="80"/>
      <c r="JPS1127" s="80"/>
      <c r="JPT1127" s="80"/>
      <c r="JPU1127" s="80"/>
      <c r="JPV1127" s="80"/>
      <c r="JPW1127" s="80"/>
      <c r="JPX1127" s="80"/>
      <c r="JPY1127" s="80"/>
      <c r="JPZ1127" s="80"/>
      <c r="JQA1127" s="80"/>
      <c r="JQB1127" s="80"/>
      <c r="JQC1127" s="80"/>
      <c r="JQD1127" s="80"/>
      <c r="JQE1127" s="80"/>
      <c r="JQF1127" s="80"/>
      <c r="JQG1127" s="80"/>
      <c r="JQH1127" s="80"/>
      <c r="JQI1127" s="80"/>
      <c r="JQJ1127" s="80"/>
      <c r="JQK1127" s="80"/>
      <c r="JQL1127" s="80"/>
      <c r="JQM1127" s="80"/>
      <c r="JQN1127" s="80"/>
      <c r="JQO1127" s="80"/>
      <c r="JQP1127" s="80"/>
      <c r="JQQ1127" s="80"/>
      <c r="JQR1127" s="80"/>
      <c r="JQS1127" s="80"/>
      <c r="JQT1127" s="80"/>
      <c r="JQU1127" s="80"/>
      <c r="JQV1127" s="80"/>
      <c r="JQW1127" s="80"/>
      <c r="JQX1127" s="80"/>
      <c r="JQY1127" s="80"/>
      <c r="JQZ1127" s="80"/>
      <c r="JRA1127" s="80"/>
      <c r="JRB1127" s="80"/>
      <c r="JRC1127" s="80"/>
      <c r="JRD1127" s="80"/>
      <c r="JRE1127" s="80"/>
      <c r="JRF1127" s="80"/>
      <c r="JRG1127" s="80"/>
      <c r="JRH1127" s="80"/>
      <c r="JRI1127" s="80"/>
      <c r="JRJ1127" s="80"/>
      <c r="JRK1127" s="80"/>
      <c r="JRL1127" s="80"/>
      <c r="JRM1127" s="80"/>
      <c r="JRN1127" s="80"/>
      <c r="JRO1127" s="80"/>
      <c r="JRP1127" s="80"/>
      <c r="JRQ1127" s="80"/>
      <c r="JRR1127" s="80"/>
      <c r="JRS1127" s="80"/>
      <c r="JRT1127" s="80"/>
      <c r="JRU1127" s="80"/>
      <c r="JRV1127" s="80"/>
      <c r="JRW1127" s="80"/>
      <c r="JRX1127" s="80"/>
      <c r="JRY1127" s="80"/>
      <c r="JRZ1127" s="80"/>
      <c r="JSA1127" s="80"/>
      <c r="JSB1127" s="80"/>
      <c r="JSC1127" s="80"/>
      <c r="JSD1127" s="80"/>
      <c r="JSE1127" s="80"/>
      <c r="JSF1127" s="80"/>
      <c r="JSG1127" s="80"/>
      <c r="JSH1127" s="80"/>
      <c r="JSI1127" s="80"/>
      <c r="JSJ1127" s="80"/>
      <c r="JSK1127" s="80"/>
      <c r="JSL1127" s="80"/>
      <c r="JSM1127" s="80"/>
      <c r="JSN1127" s="80"/>
      <c r="JSO1127" s="80"/>
      <c r="JSP1127" s="80"/>
      <c r="JSQ1127" s="80"/>
      <c r="JSR1127" s="80"/>
      <c r="JSS1127" s="80"/>
      <c r="JST1127" s="80"/>
      <c r="JSU1127" s="80"/>
      <c r="JSV1127" s="80"/>
      <c r="JSW1127" s="80"/>
      <c r="JSX1127" s="80"/>
      <c r="JSY1127" s="80"/>
      <c r="JSZ1127" s="80"/>
      <c r="JTA1127" s="80"/>
      <c r="JTB1127" s="80"/>
      <c r="JTC1127" s="80"/>
      <c r="JTD1127" s="80"/>
      <c r="JTE1127" s="80"/>
      <c r="JTF1127" s="80"/>
      <c r="JTG1127" s="80"/>
      <c r="JTH1127" s="80"/>
      <c r="JTI1127" s="80"/>
      <c r="JTJ1127" s="80"/>
      <c r="JTK1127" s="80"/>
      <c r="JTL1127" s="80"/>
      <c r="JTM1127" s="80"/>
      <c r="JTN1127" s="80"/>
      <c r="JTO1127" s="80"/>
      <c r="JTP1127" s="80"/>
      <c r="JTQ1127" s="80"/>
      <c r="JTR1127" s="80"/>
      <c r="JTS1127" s="80"/>
      <c r="JTT1127" s="80"/>
      <c r="JTU1127" s="80"/>
      <c r="JTV1127" s="80"/>
      <c r="JTW1127" s="80"/>
      <c r="JTX1127" s="80"/>
      <c r="JTY1127" s="80"/>
      <c r="JTZ1127" s="80"/>
      <c r="JUA1127" s="80"/>
      <c r="JUB1127" s="80"/>
      <c r="JUC1127" s="80"/>
      <c r="JUD1127" s="80"/>
      <c r="JUE1127" s="80"/>
      <c r="JUF1127" s="80"/>
      <c r="JUG1127" s="80"/>
      <c r="JUH1127" s="80"/>
      <c r="JUI1127" s="80"/>
      <c r="JUJ1127" s="80"/>
      <c r="JUK1127" s="80"/>
      <c r="JUL1127" s="80"/>
      <c r="JUM1127" s="80"/>
      <c r="JUN1127" s="80"/>
      <c r="JUO1127" s="80"/>
      <c r="JUP1127" s="80"/>
      <c r="JUQ1127" s="80"/>
      <c r="JUR1127" s="80"/>
      <c r="JUS1127" s="80"/>
      <c r="JUT1127" s="80"/>
      <c r="JUU1127" s="80"/>
      <c r="JUV1127" s="80"/>
      <c r="JUW1127" s="80"/>
      <c r="JUX1127" s="80"/>
      <c r="JUY1127" s="80"/>
      <c r="JUZ1127" s="80"/>
      <c r="JVA1127" s="80"/>
      <c r="JVB1127" s="80"/>
      <c r="JVC1127" s="80"/>
      <c r="JVD1127" s="80"/>
      <c r="JVE1127" s="80"/>
      <c r="JVF1127" s="80"/>
      <c r="JVG1127" s="80"/>
      <c r="JVH1127" s="80"/>
      <c r="JVI1127" s="80"/>
      <c r="JVJ1127" s="80"/>
      <c r="JVK1127" s="80"/>
      <c r="JVL1127" s="80"/>
      <c r="JVM1127" s="80"/>
      <c r="JVN1127" s="80"/>
      <c r="JVO1127" s="80"/>
      <c r="JVP1127" s="80"/>
      <c r="JVQ1127" s="80"/>
      <c r="JVR1127" s="80"/>
      <c r="JVS1127" s="80"/>
      <c r="JVT1127" s="80"/>
      <c r="JVU1127" s="80"/>
      <c r="JVV1127" s="80"/>
      <c r="JVW1127" s="80"/>
      <c r="JVX1127" s="80"/>
      <c r="JVY1127" s="80"/>
      <c r="JVZ1127" s="80"/>
      <c r="JWA1127" s="80"/>
      <c r="JWB1127" s="80"/>
      <c r="JWC1127" s="80"/>
      <c r="JWD1127" s="80"/>
      <c r="JWE1127" s="80"/>
      <c r="JWF1127" s="80"/>
      <c r="JWG1127" s="80"/>
      <c r="JWH1127" s="80"/>
      <c r="JWI1127" s="80"/>
      <c r="JWJ1127" s="80"/>
      <c r="JWK1127" s="80"/>
      <c r="JWL1127" s="80"/>
      <c r="JWM1127" s="80"/>
      <c r="JWN1127" s="80"/>
      <c r="JWO1127" s="80"/>
      <c r="JWP1127" s="80"/>
      <c r="JWQ1127" s="80"/>
      <c r="JWR1127" s="80"/>
      <c r="JWS1127" s="80"/>
      <c r="JWT1127" s="80"/>
      <c r="JWU1127" s="80"/>
      <c r="JWV1127" s="80"/>
      <c r="JWW1127" s="80"/>
      <c r="JWX1127" s="80"/>
      <c r="JWY1127" s="80"/>
      <c r="JWZ1127" s="80"/>
      <c r="JXA1127" s="80"/>
      <c r="JXB1127" s="80"/>
      <c r="JXC1127" s="80"/>
      <c r="JXD1127" s="80"/>
      <c r="JXE1127" s="80"/>
      <c r="JXF1127" s="80"/>
      <c r="JXG1127" s="80"/>
      <c r="JXH1127" s="80"/>
      <c r="JXI1127" s="80"/>
      <c r="JXJ1127" s="80"/>
      <c r="JXK1127" s="80"/>
      <c r="JXL1127" s="80"/>
      <c r="JXM1127" s="80"/>
      <c r="JXN1127" s="80"/>
      <c r="JXO1127" s="80"/>
      <c r="JXP1127" s="80"/>
      <c r="JXQ1127" s="80"/>
      <c r="JXR1127" s="80"/>
      <c r="JXS1127" s="80"/>
      <c r="JXT1127" s="80"/>
      <c r="JXU1127" s="80"/>
      <c r="JXV1127" s="80"/>
      <c r="JXW1127" s="80"/>
      <c r="JXX1127" s="80"/>
      <c r="JXY1127" s="80"/>
      <c r="JXZ1127" s="80"/>
      <c r="JYA1127" s="80"/>
      <c r="JYB1127" s="80"/>
      <c r="JYC1127" s="80"/>
      <c r="JYD1127" s="80"/>
      <c r="JYE1127" s="80"/>
      <c r="JYF1127" s="80"/>
      <c r="JYG1127" s="80"/>
      <c r="JYH1127" s="80"/>
      <c r="JYI1127" s="80"/>
      <c r="JYJ1127" s="80"/>
      <c r="JYK1127" s="80"/>
      <c r="JYL1127" s="80"/>
      <c r="JYM1127" s="80"/>
      <c r="JYN1127" s="80"/>
      <c r="JYO1127" s="80"/>
      <c r="JYP1127" s="80"/>
      <c r="JYQ1127" s="80"/>
      <c r="JYR1127" s="80"/>
      <c r="JYS1127" s="80"/>
      <c r="JYT1127" s="80"/>
      <c r="JYU1127" s="80"/>
      <c r="JYV1127" s="80"/>
      <c r="JYW1127" s="80"/>
      <c r="JYX1127" s="80"/>
      <c r="JYY1127" s="80"/>
      <c r="JYZ1127" s="80"/>
      <c r="JZA1127" s="80"/>
      <c r="JZB1127" s="80"/>
      <c r="JZC1127" s="80"/>
      <c r="JZD1127" s="80"/>
      <c r="JZE1127" s="80"/>
      <c r="JZF1127" s="80"/>
      <c r="JZG1127" s="80"/>
      <c r="JZH1127" s="80"/>
      <c r="JZI1127" s="80"/>
      <c r="JZJ1127" s="80"/>
      <c r="JZK1127" s="80"/>
      <c r="JZL1127" s="80"/>
      <c r="JZM1127" s="80"/>
      <c r="JZN1127" s="80"/>
      <c r="JZO1127" s="80"/>
      <c r="JZP1127" s="80"/>
      <c r="JZQ1127" s="80"/>
      <c r="JZR1127" s="80"/>
      <c r="JZS1127" s="80"/>
      <c r="JZT1127" s="80"/>
      <c r="JZU1127" s="80"/>
      <c r="JZV1127" s="80"/>
      <c r="JZW1127" s="80"/>
      <c r="JZX1127" s="80"/>
      <c r="JZY1127" s="80"/>
      <c r="JZZ1127" s="80"/>
      <c r="KAA1127" s="80"/>
      <c r="KAB1127" s="80"/>
      <c r="KAC1127" s="80"/>
      <c r="KAD1127" s="80"/>
      <c r="KAE1127" s="80"/>
      <c r="KAF1127" s="80"/>
      <c r="KAG1127" s="80"/>
      <c r="KAH1127" s="80"/>
      <c r="KAI1127" s="80"/>
      <c r="KAJ1127" s="80"/>
      <c r="KAK1127" s="80"/>
      <c r="KAL1127" s="80"/>
      <c r="KAM1127" s="80"/>
      <c r="KAN1127" s="80"/>
      <c r="KAO1127" s="80"/>
      <c r="KAP1127" s="80"/>
      <c r="KAQ1127" s="80"/>
      <c r="KAR1127" s="80"/>
      <c r="KAS1127" s="80"/>
      <c r="KAT1127" s="80"/>
      <c r="KAU1127" s="80"/>
      <c r="KAV1127" s="80"/>
      <c r="KAW1127" s="80"/>
      <c r="KAX1127" s="80"/>
      <c r="KAY1127" s="80"/>
      <c r="KAZ1127" s="80"/>
      <c r="KBA1127" s="80"/>
      <c r="KBB1127" s="80"/>
      <c r="KBC1127" s="80"/>
      <c r="KBD1127" s="80"/>
      <c r="KBE1127" s="80"/>
      <c r="KBF1127" s="80"/>
      <c r="KBG1127" s="80"/>
      <c r="KBH1127" s="80"/>
      <c r="KBI1127" s="80"/>
      <c r="KBJ1127" s="80"/>
      <c r="KBK1127" s="80"/>
      <c r="KBL1127" s="80"/>
      <c r="KBM1127" s="80"/>
      <c r="KBN1127" s="80"/>
      <c r="KBO1127" s="80"/>
      <c r="KBP1127" s="80"/>
      <c r="KBQ1127" s="80"/>
      <c r="KBR1127" s="80"/>
      <c r="KBS1127" s="80"/>
      <c r="KBT1127" s="80"/>
      <c r="KBU1127" s="80"/>
      <c r="KBV1127" s="80"/>
      <c r="KBW1127" s="80"/>
      <c r="KBX1127" s="80"/>
      <c r="KBY1127" s="80"/>
      <c r="KBZ1127" s="80"/>
      <c r="KCA1127" s="80"/>
      <c r="KCB1127" s="80"/>
      <c r="KCC1127" s="80"/>
      <c r="KCD1127" s="80"/>
      <c r="KCE1127" s="80"/>
      <c r="KCF1127" s="80"/>
      <c r="KCG1127" s="80"/>
      <c r="KCH1127" s="80"/>
      <c r="KCI1127" s="80"/>
      <c r="KCJ1127" s="80"/>
      <c r="KCK1127" s="80"/>
      <c r="KCL1127" s="80"/>
      <c r="KCM1127" s="80"/>
      <c r="KCN1127" s="80"/>
      <c r="KCO1127" s="80"/>
      <c r="KCP1127" s="80"/>
      <c r="KCQ1127" s="80"/>
      <c r="KCR1127" s="80"/>
      <c r="KCS1127" s="80"/>
      <c r="KCT1127" s="80"/>
      <c r="KCU1127" s="80"/>
      <c r="KCV1127" s="80"/>
      <c r="KCW1127" s="80"/>
      <c r="KCX1127" s="80"/>
      <c r="KCY1127" s="80"/>
      <c r="KCZ1127" s="80"/>
      <c r="KDA1127" s="80"/>
      <c r="KDB1127" s="80"/>
      <c r="KDC1127" s="80"/>
      <c r="KDD1127" s="80"/>
      <c r="KDE1127" s="80"/>
      <c r="KDF1127" s="80"/>
      <c r="KDG1127" s="80"/>
      <c r="KDH1127" s="80"/>
      <c r="KDI1127" s="80"/>
      <c r="KDJ1127" s="80"/>
      <c r="KDK1127" s="80"/>
      <c r="KDL1127" s="80"/>
      <c r="KDM1127" s="80"/>
      <c r="KDN1127" s="80"/>
      <c r="KDO1127" s="80"/>
      <c r="KDP1127" s="80"/>
      <c r="KDQ1127" s="80"/>
      <c r="KDR1127" s="80"/>
      <c r="KDS1127" s="80"/>
      <c r="KDT1127" s="80"/>
      <c r="KDU1127" s="80"/>
      <c r="KDV1127" s="80"/>
      <c r="KDW1127" s="80"/>
      <c r="KDX1127" s="80"/>
      <c r="KDY1127" s="80"/>
      <c r="KDZ1127" s="80"/>
      <c r="KEA1127" s="80"/>
      <c r="KEB1127" s="80"/>
      <c r="KEC1127" s="80"/>
      <c r="KED1127" s="80"/>
      <c r="KEE1127" s="80"/>
      <c r="KEF1127" s="80"/>
      <c r="KEG1127" s="80"/>
      <c r="KEH1127" s="80"/>
      <c r="KEI1127" s="80"/>
      <c r="KEJ1127" s="80"/>
      <c r="KEK1127" s="80"/>
      <c r="KEL1127" s="80"/>
      <c r="KEM1127" s="80"/>
      <c r="KEN1127" s="80"/>
      <c r="KEO1127" s="80"/>
      <c r="KEP1127" s="80"/>
      <c r="KEQ1127" s="80"/>
      <c r="KER1127" s="80"/>
      <c r="KES1127" s="80"/>
      <c r="KET1127" s="80"/>
      <c r="KEU1127" s="80"/>
      <c r="KEV1127" s="80"/>
      <c r="KEW1127" s="80"/>
      <c r="KEX1127" s="80"/>
      <c r="KEY1127" s="80"/>
      <c r="KEZ1127" s="80"/>
      <c r="KFA1127" s="80"/>
      <c r="KFB1127" s="80"/>
      <c r="KFC1127" s="80"/>
      <c r="KFD1127" s="80"/>
      <c r="KFE1127" s="80"/>
      <c r="KFF1127" s="80"/>
      <c r="KFG1127" s="80"/>
      <c r="KFH1127" s="80"/>
      <c r="KFI1127" s="80"/>
      <c r="KFJ1127" s="80"/>
      <c r="KFK1127" s="80"/>
      <c r="KFL1127" s="80"/>
      <c r="KFM1127" s="80"/>
      <c r="KFN1127" s="80"/>
      <c r="KFO1127" s="80"/>
      <c r="KFP1127" s="80"/>
      <c r="KFQ1127" s="80"/>
      <c r="KFR1127" s="80"/>
      <c r="KFS1127" s="80"/>
      <c r="KFT1127" s="80"/>
      <c r="KFU1127" s="80"/>
      <c r="KFV1127" s="80"/>
      <c r="KFW1127" s="80"/>
      <c r="KFX1127" s="80"/>
      <c r="KFY1127" s="80"/>
      <c r="KFZ1127" s="80"/>
      <c r="KGA1127" s="80"/>
      <c r="KGB1127" s="80"/>
      <c r="KGC1127" s="80"/>
      <c r="KGD1127" s="80"/>
      <c r="KGE1127" s="80"/>
      <c r="KGF1127" s="80"/>
      <c r="KGG1127" s="80"/>
      <c r="KGH1127" s="80"/>
      <c r="KGI1127" s="80"/>
      <c r="KGJ1127" s="80"/>
      <c r="KGK1127" s="80"/>
      <c r="KGL1127" s="80"/>
      <c r="KGM1127" s="80"/>
      <c r="KGN1127" s="80"/>
      <c r="KGO1127" s="80"/>
      <c r="KGP1127" s="80"/>
      <c r="KGQ1127" s="80"/>
      <c r="KGR1127" s="80"/>
      <c r="KGS1127" s="80"/>
      <c r="KGT1127" s="80"/>
      <c r="KGU1127" s="80"/>
      <c r="KGV1127" s="80"/>
      <c r="KGW1127" s="80"/>
      <c r="KGX1127" s="80"/>
      <c r="KGY1127" s="80"/>
      <c r="KGZ1127" s="80"/>
      <c r="KHA1127" s="80"/>
      <c r="KHB1127" s="80"/>
      <c r="KHC1127" s="80"/>
      <c r="KHD1127" s="80"/>
      <c r="KHE1127" s="80"/>
      <c r="KHF1127" s="80"/>
      <c r="KHG1127" s="80"/>
      <c r="KHH1127" s="80"/>
      <c r="KHI1127" s="80"/>
      <c r="KHJ1127" s="80"/>
      <c r="KHK1127" s="80"/>
      <c r="KHL1127" s="80"/>
      <c r="KHM1127" s="80"/>
      <c r="KHN1127" s="80"/>
      <c r="KHO1127" s="80"/>
      <c r="KHP1127" s="80"/>
      <c r="KHQ1127" s="80"/>
      <c r="KHR1127" s="80"/>
      <c r="KHS1127" s="80"/>
      <c r="KHT1127" s="80"/>
      <c r="KHU1127" s="80"/>
      <c r="KHV1127" s="80"/>
      <c r="KHW1127" s="80"/>
      <c r="KHX1127" s="80"/>
      <c r="KHY1127" s="80"/>
      <c r="KHZ1127" s="80"/>
      <c r="KIA1127" s="80"/>
      <c r="KIB1127" s="80"/>
      <c r="KIC1127" s="80"/>
      <c r="KID1127" s="80"/>
      <c r="KIE1127" s="80"/>
      <c r="KIF1127" s="80"/>
      <c r="KIG1127" s="80"/>
      <c r="KIH1127" s="80"/>
      <c r="KII1127" s="80"/>
      <c r="KIJ1127" s="80"/>
      <c r="KIK1127" s="80"/>
      <c r="KIL1127" s="80"/>
      <c r="KIM1127" s="80"/>
      <c r="KIN1127" s="80"/>
      <c r="KIO1127" s="80"/>
      <c r="KIP1127" s="80"/>
      <c r="KIQ1127" s="80"/>
      <c r="KIR1127" s="80"/>
      <c r="KIS1127" s="80"/>
      <c r="KIT1127" s="80"/>
      <c r="KIU1127" s="80"/>
      <c r="KIV1127" s="80"/>
      <c r="KIW1127" s="80"/>
      <c r="KIX1127" s="80"/>
      <c r="KIY1127" s="80"/>
      <c r="KIZ1127" s="80"/>
      <c r="KJA1127" s="80"/>
      <c r="KJB1127" s="80"/>
      <c r="KJC1127" s="80"/>
      <c r="KJD1127" s="80"/>
      <c r="KJE1127" s="80"/>
      <c r="KJF1127" s="80"/>
      <c r="KJG1127" s="80"/>
      <c r="KJH1127" s="80"/>
      <c r="KJI1127" s="80"/>
      <c r="KJJ1127" s="80"/>
      <c r="KJK1127" s="80"/>
      <c r="KJL1127" s="80"/>
      <c r="KJM1127" s="80"/>
      <c r="KJN1127" s="80"/>
      <c r="KJO1127" s="80"/>
      <c r="KJP1127" s="80"/>
      <c r="KJQ1127" s="80"/>
      <c r="KJR1127" s="80"/>
      <c r="KJS1127" s="80"/>
      <c r="KJT1127" s="80"/>
      <c r="KJU1127" s="80"/>
      <c r="KJV1127" s="80"/>
      <c r="KJW1127" s="80"/>
      <c r="KJX1127" s="80"/>
      <c r="KJY1127" s="80"/>
      <c r="KJZ1127" s="80"/>
      <c r="KKA1127" s="80"/>
      <c r="KKB1127" s="80"/>
      <c r="KKC1127" s="80"/>
      <c r="KKD1127" s="80"/>
      <c r="KKE1127" s="80"/>
      <c r="KKF1127" s="80"/>
      <c r="KKG1127" s="80"/>
      <c r="KKH1127" s="80"/>
      <c r="KKI1127" s="80"/>
      <c r="KKJ1127" s="80"/>
      <c r="KKK1127" s="80"/>
      <c r="KKL1127" s="80"/>
      <c r="KKM1127" s="80"/>
      <c r="KKN1127" s="80"/>
      <c r="KKO1127" s="80"/>
      <c r="KKP1127" s="80"/>
      <c r="KKQ1127" s="80"/>
      <c r="KKR1127" s="80"/>
      <c r="KKS1127" s="80"/>
      <c r="KKT1127" s="80"/>
      <c r="KKU1127" s="80"/>
      <c r="KKV1127" s="80"/>
      <c r="KKW1127" s="80"/>
      <c r="KKX1127" s="80"/>
      <c r="KKY1127" s="80"/>
      <c r="KKZ1127" s="80"/>
      <c r="KLA1127" s="80"/>
      <c r="KLB1127" s="80"/>
      <c r="KLC1127" s="80"/>
      <c r="KLD1127" s="80"/>
      <c r="KLE1127" s="80"/>
      <c r="KLF1127" s="80"/>
      <c r="KLG1127" s="80"/>
      <c r="KLH1127" s="80"/>
      <c r="KLI1127" s="80"/>
      <c r="KLJ1127" s="80"/>
      <c r="KLK1127" s="80"/>
      <c r="KLL1127" s="80"/>
      <c r="KLM1127" s="80"/>
      <c r="KLN1127" s="80"/>
      <c r="KLO1127" s="80"/>
      <c r="KLP1127" s="80"/>
      <c r="KLQ1127" s="80"/>
      <c r="KLR1127" s="80"/>
      <c r="KLS1127" s="80"/>
      <c r="KLT1127" s="80"/>
      <c r="KLU1127" s="80"/>
      <c r="KLV1127" s="80"/>
      <c r="KLW1127" s="80"/>
      <c r="KLX1127" s="80"/>
      <c r="KLY1127" s="80"/>
      <c r="KLZ1127" s="80"/>
      <c r="KMA1127" s="80"/>
      <c r="KMB1127" s="80"/>
      <c r="KMC1127" s="80"/>
      <c r="KMD1127" s="80"/>
      <c r="KME1127" s="80"/>
      <c r="KMF1127" s="80"/>
      <c r="KMG1127" s="80"/>
      <c r="KMH1127" s="80"/>
      <c r="KMI1127" s="80"/>
      <c r="KMJ1127" s="80"/>
      <c r="KMK1127" s="80"/>
      <c r="KML1127" s="80"/>
      <c r="KMM1127" s="80"/>
      <c r="KMN1127" s="80"/>
      <c r="KMO1127" s="80"/>
      <c r="KMP1127" s="80"/>
      <c r="KMQ1127" s="80"/>
      <c r="KMR1127" s="80"/>
      <c r="KMS1127" s="80"/>
      <c r="KMT1127" s="80"/>
      <c r="KMU1127" s="80"/>
      <c r="KMV1127" s="80"/>
      <c r="KMW1127" s="80"/>
      <c r="KMX1127" s="80"/>
      <c r="KMY1127" s="80"/>
      <c r="KMZ1127" s="80"/>
      <c r="KNA1127" s="80"/>
      <c r="KNB1127" s="80"/>
      <c r="KNC1127" s="80"/>
      <c r="KND1127" s="80"/>
      <c r="KNE1127" s="80"/>
      <c r="KNF1127" s="80"/>
      <c r="KNG1127" s="80"/>
      <c r="KNH1127" s="80"/>
      <c r="KNI1127" s="80"/>
      <c r="KNJ1127" s="80"/>
      <c r="KNK1127" s="80"/>
      <c r="KNL1127" s="80"/>
      <c r="KNM1127" s="80"/>
      <c r="KNN1127" s="80"/>
      <c r="KNO1127" s="80"/>
      <c r="KNP1127" s="80"/>
      <c r="KNQ1127" s="80"/>
      <c r="KNR1127" s="80"/>
      <c r="KNS1127" s="80"/>
      <c r="KNT1127" s="80"/>
      <c r="KNU1127" s="80"/>
      <c r="KNV1127" s="80"/>
      <c r="KNW1127" s="80"/>
      <c r="KNX1127" s="80"/>
      <c r="KNY1127" s="80"/>
      <c r="KNZ1127" s="80"/>
      <c r="KOA1127" s="80"/>
      <c r="KOB1127" s="80"/>
      <c r="KOC1127" s="80"/>
      <c r="KOD1127" s="80"/>
      <c r="KOE1127" s="80"/>
      <c r="KOF1127" s="80"/>
      <c r="KOG1127" s="80"/>
      <c r="KOH1127" s="80"/>
      <c r="KOI1127" s="80"/>
      <c r="KOJ1127" s="80"/>
      <c r="KOK1127" s="80"/>
      <c r="KOL1127" s="80"/>
      <c r="KOM1127" s="80"/>
      <c r="KON1127" s="80"/>
      <c r="KOO1127" s="80"/>
      <c r="KOP1127" s="80"/>
      <c r="KOQ1127" s="80"/>
      <c r="KOR1127" s="80"/>
      <c r="KOS1127" s="80"/>
      <c r="KOT1127" s="80"/>
      <c r="KOU1127" s="80"/>
      <c r="KOV1127" s="80"/>
      <c r="KOW1127" s="80"/>
      <c r="KOX1127" s="80"/>
      <c r="KOY1127" s="80"/>
      <c r="KOZ1127" s="80"/>
      <c r="KPA1127" s="80"/>
      <c r="KPB1127" s="80"/>
      <c r="KPC1127" s="80"/>
      <c r="KPD1127" s="80"/>
      <c r="KPE1127" s="80"/>
      <c r="KPF1127" s="80"/>
      <c r="KPG1127" s="80"/>
      <c r="KPH1127" s="80"/>
      <c r="KPI1127" s="80"/>
      <c r="KPJ1127" s="80"/>
      <c r="KPK1127" s="80"/>
      <c r="KPL1127" s="80"/>
      <c r="KPM1127" s="80"/>
      <c r="KPN1127" s="80"/>
      <c r="KPO1127" s="80"/>
      <c r="KPP1127" s="80"/>
      <c r="KPQ1127" s="80"/>
      <c r="KPR1127" s="80"/>
      <c r="KPS1127" s="80"/>
      <c r="KPT1127" s="80"/>
      <c r="KPU1127" s="80"/>
      <c r="KPV1127" s="80"/>
      <c r="KPW1127" s="80"/>
      <c r="KPX1127" s="80"/>
      <c r="KPY1127" s="80"/>
      <c r="KPZ1127" s="80"/>
      <c r="KQA1127" s="80"/>
      <c r="KQB1127" s="80"/>
      <c r="KQC1127" s="80"/>
      <c r="KQD1127" s="80"/>
      <c r="KQE1127" s="80"/>
      <c r="KQF1127" s="80"/>
      <c r="KQG1127" s="80"/>
      <c r="KQH1127" s="80"/>
      <c r="KQI1127" s="80"/>
      <c r="KQJ1127" s="80"/>
      <c r="KQK1127" s="80"/>
      <c r="KQL1127" s="80"/>
      <c r="KQM1127" s="80"/>
      <c r="KQN1127" s="80"/>
      <c r="KQO1127" s="80"/>
      <c r="KQP1127" s="80"/>
      <c r="KQQ1127" s="80"/>
      <c r="KQR1127" s="80"/>
      <c r="KQS1127" s="80"/>
      <c r="KQT1127" s="80"/>
      <c r="KQU1127" s="80"/>
      <c r="KQV1127" s="80"/>
      <c r="KQW1127" s="80"/>
      <c r="KQX1127" s="80"/>
      <c r="KQY1127" s="80"/>
      <c r="KQZ1127" s="80"/>
      <c r="KRA1127" s="80"/>
      <c r="KRB1127" s="80"/>
      <c r="KRC1127" s="80"/>
      <c r="KRD1127" s="80"/>
      <c r="KRE1127" s="80"/>
      <c r="KRF1127" s="80"/>
      <c r="KRG1127" s="80"/>
      <c r="KRH1127" s="80"/>
      <c r="KRI1127" s="80"/>
      <c r="KRJ1127" s="80"/>
      <c r="KRK1127" s="80"/>
      <c r="KRL1127" s="80"/>
      <c r="KRM1127" s="80"/>
      <c r="KRN1127" s="80"/>
      <c r="KRO1127" s="80"/>
      <c r="KRP1127" s="80"/>
      <c r="KRQ1127" s="80"/>
      <c r="KRR1127" s="80"/>
      <c r="KRS1127" s="80"/>
      <c r="KRT1127" s="80"/>
      <c r="KRU1127" s="80"/>
      <c r="KRV1127" s="80"/>
      <c r="KRW1127" s="80"/>
      <c r="KRX1127" s="80"/>
      <c r="KRY1127" s="80"/>
      <c r="KRZ1127" s="80"/>
      <c r="KSA1127" s="80"/>
      <c r="KSB1127" s="80"/>
      <c r="KSC1127" s="80"/>
      <c r="KSD1127" s="80"/>
      <c r="KSE1127" s="80"/>
      <c r="KSF1127" s="80"/>
      <c r="KSG1127" s="80"/>
      <c r="KSH1127" s="80"/>
      <c r="KSI1127" s="80"/>
      <c r="KSJ1127" s="80"/>
      <c r="KSK1127" s="80"/>
      <c r="KSL1127" s="80"/>
      <c r="KSM1127" s="80"/>
      <c r="KSN1127" s="80"/>
      <c r="KSO1127" s="80"/>
      <c r="KSP1127" s="80"/>
      <c r="KSQ1127" s="80"/>
      <c r="KSR1127" s="80"/>
      <c r="KSS1127" s="80"/>
      <c r="KST1127" s="80"/>
      <c r="KSU1127" s="80"/>
      <c r="KSV1127" s="80"/>
      <c r="KSW1127" s="80"/>
      <c r="KSX1127" s="80"/>
      <c r="KSY1127" s="80"/>
      <c r="KSZ1127" s="80"/>
      <c r="KTA1127" s="80"/>
      <c r="KTB1127" s="80"/>
      <c r="KTC1127" s="80"/>
      <c r="KTD1127" s="80"/>
      <c r="KTE1127" s="80"/>
      <c r="KTF1127" s="80"/>
      <c r="KTG1127" s="80"/>
      <c r="KTH1127" s="80"/>
      <c r="KTI1127" s="80"/>
      <c r="KTJ1127" s="80"/>
      <c r="KTK1127" s="80"/>
      <c r="KTL1127" s="80"/>
      <c r="KTM1127" s="80"/>
      <c r="KTN1127" s="80"/>
      <c r="KTO1127" s="80"/>
      <c r="KTP1127" s="80"/>
      <c r="KTQ1127" s="80"/>
      <c r="KTR1127" s="80"/>
      <c r="KTS1127" s="80"/>
      <c r="KTT1127" s="80"/>
      <c r="KTU1127" s="80"/>
      <c r="KTV1127" s="80"/>
      <c r="KTW1127" s="80"/>
      <c r="KTX1127" s="80"/>
      <c r="KTY1127" s="80"/>
      <c r="KTZ1127" s="80"/>
      <c r="KUA1127" s="80"/>
      <c r="KUB1127" s="80"/>
      <c r="KUC1127" s="80"/>
      <c r="KUD1127" s="80"/>
      <c r="KUE1127" s="80"/>
      <c r="KUF1127" s="80"/>
      <c r="KUG1127" s="80"/>
      <c r="KUH1127" s="80"/>
      <c r="KUI1127" s="80"/>
      <c r="KUJ1127" s="80"/>
      <c r="KUK1127" s="80"/>
      <c r="KUL1127" s="80"/>
      <c r="KUM1127" s="80"/>
      <c r="KUN1127" s="80"/>
      <c r="KUO1127" s="80"/>
      <c r="KUP1127" s="80"/>
      <c r="KUQ1127" s="80"/>
      <c r="KUR1127" s="80"/>
      <c r="KUS1127" s="80"/>
      <c r="KUT1127" s="80"/>
      <c r="KUU1127" s="80"/>
      <c r="KUV1127" s="80"/>
      <c r="KUW1127" s="80"/>
      <c r="KUX1127" s="80"/>
      <c r="KUY1127" s="80"/>
      <c r="KUZ1127" s="80"/>
      <c r="KVA1127" s="80"/>
      <c r="KVB1127" s="80"/>
      <c r="KVC1127" s="80"/>
      <c r="KVD1127" s="80"/>
      <c r="KVE1127" s="80"/>
      <c r="KVF1127" s="80"/>
      <c r="KVG1127" s="80"/>
      <c r="KVH1127" s="80"/>
      <c r="KVI1127" s="80"/>
      <c r="KVJ1127" s="80"/>
      <c r="KVK1127" s="80"/>
      <c r="KVL1127" s="80"/>
      <c r="KVM1127" s="80"/>
      <c r="KVN1127" s="80"/>
      <c r="KVO1127" s="80"/>
      <c r="KVP1127" s="80"/>
      <c r="KVQ1127" s="80"/>
      <c r="KVR1127" s="80"/>
      <c r="KVS1127" s="80"/>
      <c r="KVT1127" s="80"/>
      <c r="KVU1127" s="80"/>
      <c r="KVV1127" s="80"/>
      <c r="KVW1127" s="80"/>
      <c r="KVX1127" s="80"/>
      <c r="KVY1127" s="80"/>
      <c r="KVZ1127" s="80"/>
      <c r="KWA1127" s="80"/>
      <c r="KWB1127" s="80"/>
      <c r="KWC1127" s="80"/>
      <c r="KWD1127" s="80"/>
      <c r="KWE1127" s="80"/>
      <c r="KWF1127" s="80"/>
      <c r="KWG1127" s="80"/>
      <c r="KWH1127" s="80"/>
      <c r="KWI1127" s="80"/>
      <c r="KWJ1127" s="80"/>
      <c r="KWK1127" s="80"/>
      <c r="KWL1127" s="80"/>
      <c r="KWM1127" s="80"/>
      <c r="KWN1127" s="80"/>
      <c r="KWO1127" s="80"/>
      <c r="KWP1127" s="80"/>
      <c r="KWQ1127" s="80"/>
      <c r="KWR1127" s="80"/>
      <c r="KWS1127" s="80"/>
      <c r="KWT1127" s="80"/>
      <c r="KWU1127" s="80"/>
      <c r="KWV1127" s="80"/>
      <c r="KWW1127" s="80"/>
      <c r="KWX1127" s="80"/>
      <c r="KWY1127" s="80"/>
      <c r="KWZ1127" s="80"/>
      <c r="KXA1127" s="80"/>
      <c r="KXB1127" s="80"/>
      <c r="KXC1127" s="80"/>
      <c r="KXD1127" s="80"/>
      <c r="KXE1127" s="80"/>
      <c r="KXF1127" s="80"/>
      <c r="KXG1127" s="80"/>
      <c r="KXH1127" s="80"/>
      <c r="KXI1127" s="80"/>
      <c r="KXJ1127" s="80"/>
      <c r="KXK1127" s="80"/>
      <c r="KXL1127" s="80"/>
      <c r="KXM1127" s="80"/>
      <c r="KXN1127" s="80"/>
      <c r="KXO1127" s="80"/>
      <c r="KXP1127" s="80"/>
      <c r="KXQ1127" s="80"/>
      <c r="KXR1127" s="80"/>
      <c r="KXS1127" s="80"/>
      <c r="KXT1127" s="80"/>
      <c r="KXU1127" s="80"/>
      <c r="KXV1127" s="80"/>
      <c r="KXW1127" s="80"/>
      <c r="KXX1127" s="80"/>
      <c r="KXY1127" s="80"/>
      <c r="KXZ1127" s="80"/>
      <c r="KYA1127" s="80"/>
      <c r="KYB1127" s="80"/>
      <c r="KYC1127" s="80"/>
      <c r="KYD1127" s="80"/>
      <c r="KYE1127" s="80"/>
      <c r="KYF1127" s="80"/>
      <c r="KYG1127" s="80"/>
      <c r="KYH1127" s="80"/>
      <c r="KYI1127" s="80"/>
      <c r="KYJ1127" s="80"/>
      <c r="KYK1127" s="80"/>
      <c r="KYL1127" s="80"/>
      <c r="KYM1127" s="80"/>
      <c r="KYN1127" s="80"/>
      <c r="KYO1127" s="80"/>
      <c r="KYP1127" s="80"/>
      <c r="KYQ1127" s="80"/>
      <c r="KYR1127" s="80"/>
      <c r="KYS1127" s="80"/>
      <c r="KYT1127" s="80"/>
      <c r="KYU1127" s="80"/>
      <c r="KYV1127" s="80"/>
      <c r="KYW1127" s="80"/>
      <c r="KYX1127" s="80"/>
      <c r="KYY1127" s="80"/>
      <c r="KYZ1127" s="80"/>
      <c r="KZA1127" s="80"/>
      <c r="KZB1127" s="80"/>
      <c r="KZC1127" s="80"/>
      <c r="KZD1127" s="80"/>
      <c r="KZE1127" s="80"/>
      <c r="KZF1127" s="80"/>
      <c r="KZG1127" s="80"/>
      <c r="KZH1127" s="80"/>
      <c r="KZI1127" s="80"/>
      <c r="KZJ1127" s="80"/>
      <c r="KZK1127" s="80"/>
      <c r="KZL1127" s="80"/>
      <c r="KZM1127" s="80"/>
      <c r="KZN1127" s="80"/>
      <c r="KZO1127" s="80"/>
      <c r="KZP1127" s="80"/>
      <c r="KZQ1127" s="80"/>
      <c r="KZR1127" s="80"/>
      <c r="KZS1127" s="80"/>
      <c r="KZT1127" s="80"/>
      <c r="KZU1127" s="80"/>
      <c r="KZV1127" s="80"/>
      <c r="KZW1127" s="80"/>
      <c r="KZX1127" s="80"/>
      <c r="KZY1127" s="80"/>
      <c r="KZZ1127" s="80"/>
      <c r="LAA1127" s="80"/>
      <c r="LAB1127" s="80"/>
      <c r="LAC1127" s="80"/>
      <c r="LAD1127" s="80"/>
      <c r="LAE1127" s="80"/>
      <c r="LAF1127" s="80"/>
      <c r="LAG1127" s="80"/>
      <c r="LAH1127" s="80"/>
      <c r="LAI1127" s="80"/>
      <c r="LAJ1127" s="80"/>
      <c r="LAK1127" s="80"/>
      <c r="LAL1127" s="80"/>
      <c r="LAM1127" s="80"/>
      <c r="LAN1127" s="80"/>
      <c r="LAO1127" s="80"/>
      <c r="LAP1127" s="80"/>
      <c r="LAQ1127" s="80"/>
      <c r="LAR1127" s="80"/>
      <c r="LAS1127" s="80"/>
      <c r="LAT1127" s="80"/>
      <c r="LAU1127" s="80"/>
      <c r="LAV1127" s="80"/>
      <c r="LAW1127" s="80"/>
      <c r="LAX1127" s="80"/>
      <c r="LAY1127" s="80"/>
      <c r="LAZ1127" s="80"/>
      <c r="LBA1127" s="80"/>
      <c r="LBB1127" s="80"/>
      <c r="LBC1127" s="80"/>
      <c r="LBD1127" s="80"/>
      <c r="LBE1127" s="80"/>
      <c r="LBF1127" s="80"/>
      <c r="LBG1127" s="80"/>
      <c r="LBH1127" s="80"/>
      <c r="LBI1127" s="80"/>
      <c r="LBJ1127" s="80"/>
      <c r="LBK1127" s="80"/>
      <c r="LBL1127" s="80"/>
      <c r="LBM1127" s="80"/>
      <c r="LBN1127" s="80"/>
      <c r="LBO1127" s="80"/>
      <c r="LBP1127" s="80"/>
      <c r="LBQ1127" s="80"/>
      <c r="LBR1127" s="80"/>
      <c r="LBS1127" s="80"/>
      <c r="LBT1127" s="80"/>
      <c r="LBU1127" s="80"/>
      <c r="LBV1127" s="80"/>
      <c r="LBW1127" s="80"/>
      <c r="LBX1127" s="80"/>
      <c r="LBY1127" s="80"/>
      <c r="LBZ1127" s="80"/>
      <c r="LCA1127" s="80"/>
      <c r="LCB1127" s="80"/>
      <c r="LCC1127" s="80"/>
      <c r="LCD1127" s="80"/>
      <c r="LCE1127" s="80"/>
      <c r="LCF1127" s="80"/>
      <c r="LCG1127" s="80"/>
      <c r="LCH1127" s="80"/>
      <c r="LCI1127" s="80"/>
      <c r="LCJ1127" s="80"/>
      <c r="LCK1127" s="80"/>
      <c r="LCL1127" s="80"/>
      <c r="LCM1127" s="80"/>
      <c r="LCN1127" s="80"/>
      <c r="LCO1127" s="80"/>
      <c r="LCP1127" s="80"/>
      <c r="LCQ1127" s="80"/>
      <c r="LCR1127" s="80"/>
      <c r="LCS1127" s="80"/>
      <c r="LCT1127" s="80"/>
      <c r="LCU1127" s="80"/>
      <c r="LCV1127" s="80"/>
      <c r="LCW1127" s="80"/>
      <c r="LCX1127" s="80"/>
      <c r="LCY1127" s="80"/>
      <c r="LCZ1127" s="80"/>
      <c r="LDA1127" s="80"/>
      <c r="LDB1127" s="80"/>
      <c r="LDC1127" s="80"/>
      <c r="LDD1127" s="80"/>
      <c r="LDE1127" s="80"/>
      <c r="LDF1127" s="80"/>
      <c r="LDG1127" s="80"/>
      <c r="LDH1127" s="80"/>
      <c r="LDI1127" s="80"/>
      <c r="LDJ1127" s="80"/>
      <c r="LDK1127" s="80"/>
      <c r="LDL1127" s="80"/>
      <c r="LDM1127" s="80"/>
      <c r="LDN1127" s="80"/>
      <c r="LDO1127" s="80"/>
      <c r="LDP1127" s="80"/>
      <c r="LDQ1127" s="80"/>
      <c r="LDR1127" s="80"/>
      <c r="LDS1127" s="80"/>
      <c r="LDT1127" s="80"/>
      <c r="LDU1127" s="80"/>
      <c r="LDV1127" s="80"/>
      <c r="LDW1127" s="80"/>
      <c r="LDX1127" s="80"/>
      <c r="LDY1127" s="80"/>
      <c r="LDZ1127" s="80"/>
      <c r="LEA1127" s="80"/>
      <c r="LEB1127" s="80"/>
      <c r="LEC1127" s="80"/>
      <c r="LED1127" s="80"/>
      <c r="LEE1127" s="80"/>
      <c r="LEF1127" s="80"/>
      <c r="LEG1127" s="80"/>
      <c r="LEH1127" s="80"/>
      <c r="LEI1127" s="80"/>
      <c r="LEJ1127" s="80"/>
      <c r="LEK1127" s="80"/>
      <c r="LEL1127" s="80"/>
      <c r="LEM1127" s="80"/>
      <c r="LEN1127" s="80"/>
      <c r="LEO1127" s="80"/>
      <c r="LEP1127" s="80"/>
      <c r="LEQ1127" s="80"/>
      <c r="LER1127" s="80"/>
      <c r="LES1127" s="80"/>
      <c r="LET1127" s="80"/>
      <c r="LEU1127" s="80"/>
      <c r="LEV1127" s="80"/>
      <c r="LEW1127" s="80"/>
      <c r="LEX1127" s="80"/>
      <c r="LEY1127" s="80"/>
      <c r="LEZ1127" s="80"/>
      <c r="LFA1127" s="80"/>
      <c r="LFB1127" s="80"/>
      <c r="LFC1127" s="80"/>
      <c r="LFD1127" s="80"/>
      <c r="LFE1127" s="80"/>
      <c r="LFF1127" s="80"/>
      <c r="LFG1127" s="80"/>
      <c r="LFH1127" s="80"/>
      <c r="LFI1127" s="80"/>
      <c r="LFJ1127" s="80"/>
      <c r="LFK1127" s="80"/>
      <c r="LFL1127" s="80"/>
      <c r="LFM1127" s="80"/>
      <c r="LFN1127" s="80"/>
      <c r="LFO1127" s="80"/>
      <c r="LFP1127" s="80"/>
      <c r="LFQ1127" s="80"/>
      <c r="LFR1127" s="80"/>
      <c r="LFS1127" s="80"/>
      <c r="LFT1127" s="80"/>
      <c r="LFU1127" s="80"/>
      <c r="LFV1127" s="80"/>
      <c r="LFW1127" s="80"/>
      <c r="LFX1127" s="80"/>
      <c r="LFY1127" s="80"/>
      <c r="LFZ1127" s="80"/>
      <c r="LGA1127" s="80"/>
      <c r="LGB1127" s="80"/>
      <c r="LGC1127" s="80"/>
      <c r="LGD1127" s="80"/>
      <c r="LGE1127" s="80"/>
      <c r="LGF1127" s="80"/>
      <c r="LGG1127" s="80"/>
      <c r="LGH1127" s="80"/>
      <c r="LGI1127" s="80"/>
      <c r="LGJ1127" s="80"/>
      <c r="LGK1127" s="80"/>
      <c r="LGL1127" s="80"/>
      <c r="LGM1127" s="80"/>
      <c r="LGN1127" s="80"/>
      <c r="LGO1127" s="80"/>
      <c r="LGP1127" s="80"/>
      <c r="LGQ1127" s="80"/>
      <c r="LGR1127" s="80"/>
      <c r="LGS1127" s="80"/>
      <c r="LGT1127" s="80"/>
      <c r="LGU1127" s="80"/>
      <c r="LGV1127" s="80"/>
      <c r="LGW1127" s="80"/>
      <c r="LGX1127" s="80"/>
      <c r="LGY1127" s="80"/>
      <c r="LGZ1127" s="80"/>
      <c r="LHA1127" s="80"/>
      <c r="LHB1127" s="80"/>
      <c r="LHC1127" s="80"/>
      <c r="LHD1127" s="80"/>
      <c r="LHE1127" s="80"/>
      <c r="LHF1127" s="80"/>
      <c r="LHG1127" s="80"/>
      <c r="LHH1127" s="80"/>
      <c r="LHI1127" s="80"/>
      <c r="LHJ1127" s="80"/>
      <c r="LHK1127" s="80"/>
      <c r="LHL1127" s="80"/>
      <c r="LHM1127" s="80"/>
      <c r="LHN1127" s="80"/>
      <c r="LHO1127" s="80"/>
      <c r="LHP1127" s="80"/>
      <c r="LHQ1127" s="80"/>
      <c r="LHR1127" s="80"/>
      <c r="LHS1127" s="80"/>
      <c r="LHT1127" s="80"/>
      <c r="LHU1127" s="80"/>
      <c r="LHV1127" s="80"/>
      <c r="LHW1127" s="80"/>
      <c r="LHX1127" s="80"/>
      <c r="LHY1127" s="80"/>
      <c r="LHZ1127" s="80"/>
      <c r="LIA1127" s="80"/>
      <c r="LIB1127" s="80"/>
      <c r="LIC1127" s="80"/>
      <c r="LID1127" s="80"/>
      <c r="LIE1127" s="80"/>
      <c r="LIF1127" s="80"/>
      <c r="LIG1127" s="80"/>
      <c r="LIH1127" s="80"/>
      <c r="LII1127" s="80"/>
      <c r="LIJ1127" s="80"/>
      <c r="LIK1127" s="80"/>
      <c r="LIL1127" s="80"/>
      <c r="LIM1127" s="80"/>
      <c r="LIN1127" s="80"/>
      <c r="LIO1127" s="80"/>
      <c r="LIP1127" s="80"/>
      <c r="LIQ1127" s="80"/>
      <c r="LIR1127" s="80"/>
      <c r="LIS1127" s="80"/>
      <c r="LIT1127" s="80"/>
      <c r="LIU1127" s="80"/>
      <c r="LIV1127" s="80"/>
      <c r="LIW1127" s="80"/>
      <c r="LIX1127" s="80"/>
      <c r="LIY1127" s="80"/>
      <c r="LIZ1127" s="80"/>
      <c r="LJA1127" s="80"/>
      <c r="LJB1127" s="80"/>
      <c r="LJC1127" s="80"/>
      <c r="LJD1127" s="80"/>
      <c r="LJE1127" s="80"/>
      <c r="LJF1127" s="80"/>
      <c r="LJG1127" s="80"/>
      <c r="LJH1127" s="80"/>
      <c r="LJI1127" s="80"/>
      <c r="LJJ1127" s="80"/>
      <c r="LJK1127" s="80"/>
      <c r="LJL1127" s="80"/>
      <c r="LJM1127" s="80"/>
      <c r="LJN1127" s="80"/>
      <c r="LJO1127" s="80"/>
      <c r="LJP1127" s="80"/>
      <c r="LJQ1127" s="80"/>
      <c r="LJR1127" s="80"/>
      <c r="LJS1127" s="80"/>
      <c r="LJT1127" s="80"/>
      <c r="LJU1127" s="80"/>
      <c r="LJV1127" s="80"/>
      <c r="LJW1127" s="80"/>
      <c r="LJX1127" s="80"/>
      <c r="LJY1127" s="80"/>
      <c r="LJZ1127" s="80"/>
      <c r="LKA1127" s="80"/>
      <c r="LKB1127" s="80"/>
      <c r="LKC1127" s="80"/>
      <c r="LKD1127" s="80"/>
      <c r="LKE1127" s="80"/>
      <c r="LKF1127" s="80"/>
      <c r="LKG1127" s="80"/>
      <c r="LKH1127" s="80"/>
      <c r="LKI1127" s="80"/>
      <c r="LKJ1127" s="80"/>
      <c r="LKK1127" s="80"/>
      <c r="LKL1127" s="80"/>
      <c r="LKM1127" s="80"/>
      <c r="LKN1127" s="80"/>
      <c r="LKO1127" s="80"/>
      <c r="LKP1127" s="80"/>
      <c r="LKQ1127" s="80"/>
      <c r="LKR1127" s="80"/>
      <c r="LKS1127" s="80"/>
      <c r="LKT1127" s="80"/>
      <c r="LKU1127" s="80"/>
      <c r="LKV1127" s="80"/>
      <c r="LKW1127" s="80"/>
      <c r="LKX1127" s="80"/>
      <c r="LKY1127" s="80"/>
      <c r="LKZ1127" s="80"/>
      <c r="LLA1127" s="80"/>
      <c r="LLB1127" s="80"/>
      <c r="LLC1127" s="80"/>
      <c r="LLD1127" s="80"/>
      <c r="LLE1127" s="80"/>
      <c r="LLF1127" s="80"/>
      <c r="LLG1127" s="80"/>
      <c r="LLH1127" s="80"/>
      <c r="LLI1127" s="80"/>
      <c r="LLJ1127" s="80"/>
      <c r="LLK1127" s="80"/>
      <c r="LLL1127" s="80"/>
      <c r="LLM1127" s="80"/>
      <c r="LLN1127" s="80"/>
      <c r="LLO1127" s="80"/>
      <c r="LLP1127" s="80"/>
      <c r="LLQ1127" s="80"/>
      <c r="LLR1127" s="80"/>
      <c r="LLS1127" s="80"/>
      <c r="LLT1127" s="80"/>
      <c r="LLU1127" s="80"/>
      <c r="LLV1127" s="80"/>
      <c r="LLW1127" s="80"/>
      <c r="LLX1127" s="80"/>
      <c r="LLY1127" s="80"/>
      <c r="LLZ1127" s="80"/>
      <c r="LMA1127" s="80"/>
      <c r="LMB1127" s="80"/>
      <c r="LMC1127" s="80"/>
      <c r="LMD1127" s="80"/>
      <c r="LME1127" s="80"/>
      <c r="LMF1127" s="80"/>
      <c r="LMG1127" s="80"/>
      <c r="LMH1127" s="80"/>
      <c r="LMI1127" s="80"/>
      <c r="LMJ1127" s="80"/>
      <c r="LMK1127" s="80"/>
      <c r="LML1127" s="80"/>
      <c r="LMM1127" s="80"/>
      <c r="LMN1127" s="80"/>
      <c r="LMO1127" s="80"/>
      <c r="LMP1127" s="80"/>
      <c r="LMQ1127" s="80"/>
      <c r="LMR1127" s="80"/>
      <c r="LMS1127" s="80"/>
      <c r="LMT1127" s="80"/>
      <c r="LMU1127" s="80"/>
      <c r="LMV1127" s="80"/>
      <c r="LMW1127" s="80"/>
      <c r="LMX1127" s="80"/>
      <c r="LMY1127" s="80"/>
      <c r="LMZ1127" s="80"/>
      <c r="LNA1127" s="80"/>
      <c r="LNB1127" s="80"/>
      <c r="LNC1127" s="80"/>
      <c r="LND1127" s="80"/>
      <c r="LNE1127" s="80"/>
      <c r="LNF1127" s="80"/>
      <c r="LNG1127" s="80"/>
      <c r="LNH1127" s="80"/>
      <c r="LNI1127" s="80"/>
      <c r="LNJ1127" s="80"/>
      <c r="LNK1127" s="80"/>
      <c r="LNL1127" s="80"/>
      <c r="LNM1127" s="80"/>
      <c r="LNN1127" s="80"/>
      <c r="LNO1127" s="80"/>
      <c r="LNP1127" s="80"/>
      <c r="LNQ1127" s="80"/>
      <c r="LNR1127" s="80"/>
      <c r="LNS1127" s="80"/>
      <c r="LNT1127" s="80"/>
      <c r="LNU1127" s="80"/>
      <c r="LNV1127" s="80"/>
      <c r="LNW1127" s="80"/>
      <c r="LNX1127" s="80"/>
      <c r="LNY1127" s="80"/>
      <c r="LNZ1127" s="80"/>
      <c r="LOA1127" s="80"/>
      <c r="LOB1127" s="80"/>
      <c r="LOC1127" s="80"/>
      <c r="LOD1127" s="80"/>
      <c r="LOE1127" s="80"/>
      <c r="LOF1127" s="80"/>
      <c r="LOG1127" s="80"/>
      <c r="LOH1127" s="80"/>
      <c r="LOI1127" s="80"/>
      <c r="LOJ1127" s="80"/>
      <c r="LOK1127" s="80"/>
      <c r="LOL1127" s="80"/>
      <c r="LOM1127" s="80"/>
      <c r="LON1127" s="80"/>
      <c r="LOO1127" s="80"/>
      <c r="LOP1127" s="80"/>
      <c r="LOQ1127" s="80"/>
      <c r="LOR1127" s="80"/>
      <c r="LOS1127" s="80"/>
      <c r="LOT1127" s="80"/>
      <c r="LOU1127" s="80"/>
      <c r="LOV1127" s="80"/>
      <c r="LOW1127" s="80"/>
      <c r="LOX1127" s="80"/>
      <c r="LOY1127" s="80"/>
      <c r="LOZ1127" s="80"/>
      <c r="LPA1127" s="80"/>
      <c r="LPB1127" s="80"/>
      <c r="LPC1127" s="80"/>
      <c r="LPD1127" s="80"/>
      <c r="LPE1127" s="80"/>
      <c r="LPF1127" s="80"/>
      <c r="LPG1127" s="80"/>
      <c r="LPH1127" s="80"/>
      <c r="LPI1127" s="80"/>
      <c r="LPJ1127" s="80"/>
      <c r="LPK1127" s="80"/>
      <c r="LPL1127" s="80"/>
      <c r="LPM1127" s="80"/>
      <c r="LPN1127" s="80"/>
      <c r="LPO1127" s="80"/>
      <c r="LPP1127" s="80"/>
      <c r="LPQ1127" s="80"/>
      <c r="LPR1127" s="80"/>
      <c r="LPS1127" s="80"/>
      <c r="LPT1127" s="80"/>
      <c r="LPU1127" s="80"/>
      <c r="LPV1127" s="80"/>
      <c r="LPW1127" s="80"/>
      <c r="LPX1127" s="80"/>
      <c r="LPY1127" s="80"/>
      <c r="LPZ1127" s="80"/>
      <c r="LQA1127" s="80"/>
      <c r="LQB1127" s="80"/>
      <c r="LQC1127" s="80"/>
      <c r="LQD1127" s="80"/>
      <c r="LQE1127" s="80"/>
      <c r="LQF1127" s="80"/>
      <c r="LQG1127" s="80"/>
      <c r="LQH1127" s="80"/>
      <c r="LQI1127" s="80"/>
      <c r="LQJ1127" s="80"/>
      <c r="LQK1127" s="80"/>
      <c r="LQL1127" s="80"/>
      <c r="LQM1127" s="80"/>
      <c r="LQN1127" s="80"/>
      <c r="LQO1127" s="80"/>
      <c r="LQP1127" s="80"/>
      <c r="LQQ1127" s="80"/>
      <c r="LQR1127" s="80"/>
      <c r="LQS1127" s="80"/>
      <c r="LQT1127" s="80"/>
      <c r="LQU1127" s="80"/>
      <c r="LQV1127" s="80"/>
      <c r="LQW1127" s="80"/>
      <c r="LQX1127" s="80"/>
      <c r="LQY1127" s="80"/>
      <c r="LQZ1127" s="80"/>
      <c r="LRA1127" s="80"/>
      <c r="LRB1127" s="80"/>
      <c r="LRC1127" s="80"/>
      <c r="LRD1127" s="80"/>
      <c r="LRE1127" s="80"/>
      <c r="LRF1127" s="80"/>
      <c r="LRG1127" s="80"/>
      <c r="LRH1127" s="80"/>
      <c r="LRI1127" s="80"/>
      <c r="LRJ1127" s="80"/>
      <c r="LRK1127" s="80"/>
      <c r="LRL1127" s="80"/>
      <c r="LRM1127" s="80"/>
      <c r="LRN1127" s="80"/>
      <c r="LRO1127" s="80"/>
      <c r="LRP1127" s="80"/>
      <c r="LRQ1127" s="80"/>
      <c r="LRR1127" s="80"/>
      <c r="LRS1127" s="80"/>
      <c r="LRT1127" s="80"/>
      <c r="LRU1127" s="80"/>
      <c r="LRV1127" s="80"/>
      <c r="LRW1127" s="80"/>
      <c r="LRX1127" s="80"/>
      <c r="LRY1127" s="80"/>
      <c r="LRZ1127" s="80"/>
      <c r="LSA1127" s="80"/>
      <c r="LSB1127" s="80"/>
      <c r="LSC1127" s="80"/>
      <c r="LSD1127" s="80"/>
      <c r="LSE1127" s="80"/>
      <c r="LSF1127" s="80"/>
      <c r="LSG1127" s="80"/>
      <c r="LSH1127" s="80"/>
      <c r="LSI1127" s="80"/>
      <c r="LSJ1127" s="80"/>
      <c r="LSK1127" s="80"/>
      <c r="LSL1127" s="80"/>
      <c r="LSM1127" s="80"/>
      <c r="LSN1127" s="80"/>
      <c r="LSO1127" s="80"/>
      <c r="LSP1127" s="80"/>
      <c r="LSQ1127" s="80"/>
      <c r="LSR1127" s="80"/>
      <c r="LSS1127" s="80"/>
      <c r="LST1127" s="80"/>
      <c r="LSU1127" s="80"/>
      <c r="LSV1127" s="80"/>
      <c r="LSW1127" s="80"/>
      <c r="LSX1127" s="80"/>
      <c r="LSY1127" s="80"/>
      <c r="LSZ1127" s="80"/>
      <c r="LTA1127" s="80"/>
      <c r="LTB1127" s="80"/>
      <c r="LTC1127" s="80"/>
      <c r="LTD1127" s="80"/>
      <c r="LTE1127" s="80"/>
      <c r="LTF1127" s="80"/>
      <c r="LTG1127" s="80"/>
      <c r="LTH1127" s="80"/>
      <c r="LTI1127" s="80"/>
      <c r="LTJ1127" s="80"/>
      <c r="LTK1127" s="80"/>
      <c r="LTL1127" s="80"/>
      <c r="LTM1127" s="80"/>
      <c r="LTN1127" s="80"/>
      <c r="LTO1127" s="80"/>
      <c r="LTP1127" s="80"/>
      <c r="LTQ1127" s="80"/>
      <c r="LTR1127" s="80"/>
      <c r="LTS1127" s="80"/>
      <c r="LTT1127" s="80"/>
      <c r="LTU1127" s="80"/>
      <c r="LTV1127" s="80"/>
      <c r="LTW1127" s="80"/>
      <c r="LTX1127" s="80"/>
      <c r="LTY1127" s="80"/>
      <c r="LTZ1127" s="80"/>
      <c r="LUA1127" s="80"/>
      <c r="LUB1127" s="80"/>
      <c r="LUC1127" s="80"/>
      <c r="LUD1127" s="80"/>
      <c r="LUE1127" s="80"/>
      <c r="LUF1127" s="80"/>
      <c r="LUG1127" s="80"/>
      <c r="LUH1127" s="80"/>
      <c r="LUI1127" s="80"/>
      <c r="LUJ1127" s="80"/>
      <c r="LUK1127" s="80"/>
      <c r="LUL1127" s="80"/>
      <c r="LUM1127" s="80"/>
      <c r="LUN1127" s="80"/>
      <c r="LUO1127" s="80"/>
      <c r="LUP1127" s="80"/>
      <c r="LUQ1127" s="80"/>
      <c r="LUR1127" s="80"/>
      <c r="LUS1127" s="80"/>
      <c r="LUT1127" s="80"/>
      <c r="LUU1127" s="80"/>
      <c r="LUV1127" s="80"/>
      <c r="LUW1127" s="80"/>
      <c r="LUX1127" s="80"/>
      <c r="LUY1127" s="80"/>
      <c r="LUZ1127" s="80"/>
      <c r="LVA1127" s="80"/>
      <c r="LVB1127" s="80"/>
      <c r="LVC1127" s="80"/>
      <c r="LVD1127" s="80"/>
      <c r="LVE1127" s="80"/>
      <c r="LVF1127" s="80"/>
      <c r="LVG1127" s="80"/>
      <c r="LVH1127" s="80"/>
      <c r="LVI1127" s="80"/>
      <c r="LVJ1127" s="80"/>
      <c r="LVK1127" s="80"/>
      <c r="LVL1127" s="80"/>
      <c r="LVM1127" s="80"/>
      <c r="LVN1127" s="80"/>
      <c r="LVO1127" s="80"/>
      <c r="LVP1127" s="80"/>
      <c r="LVQ1127" s="80"/>
      <c r="LVR1127" s="80"/>
      <c r="LVS1127" s="80"/>
      <c r="LVT1127" s="80"/>
      <c r="LVU1127" s="80"/>
      <c r="LVV1127" s="80"/>
      <c r="LVW1127" s="80"/>
      <c r="LVX1127" s="80"/>
      <c r="LVY1127" s="80"/>
      <c r="LVZ1127" s="80"/>
      <c r="LWA1127" s="80"/>
      <c r="LWB1127" s="80"/>
      <c r="LWC1127" s="80"/>
      <c r="LWD1127" s="80"/>
      <c r="LWE1127" s="80"/>
      <c r="LWF1127" s="80"/>
      <c r="LWG1127" s="80"/>
      <c r="LWH1127" s="80"/>
      <c r="LWI1127" s="80"/>
      <c r="LWJ1127" s="80"/>
      <c r="LWK1127" s="80"/>
      <c r="LWL1127" s="80"/>
      <c r="LWM1127" s="80"/>
      <c r="LWN1127" s="80"/>
      <c r="LWO1127" s="80"/>
      <c r="LWP1127" s="80"/>
      <c r="LWQ1127" s="80"/>
      <c r="LWR1127" s="80"/>
      <c r="LWS1127" s="80"/>
      <c r="LWT1127" s="80"/>
      <c r="LWU1127" s="80"/>
      <c r="LWV1127" s="80"/>
      <c r="LWW1127" s="80"/>
      <c r="LWX1127" s="80"/>
      <c r="LWY1127" s="80"/>
      <c r="LWZ1127" s="80"/>
      <c r="LXA1127" s="80"/>
      <c r="LXB1127" s="80"/>
      <c r="LXC1127" s="80"/>
      <c r="LXD1127" s="80"/>
      <c r="LXE1127" s="80"/>
      <c r="LXF1127" s="80"/>
      <c r="LXG1127" s="80"/>
      <c r="LXH1127" s="80"/>
      <c r="LXI1127" s="80"/>
      <c r="LXJ1127" s="80"/>
      <c r="LXK1127" s="80"/>
      <c r="LXL1127" s="80"/>
      <c r="LXM1127" s="80"/>
      <c r="LXN1127" s="80"/>
      <c r="LXO1127" s="80"/>
      <c r="LXP1127" s="80"/>
      <c r="LXQ1127" s="80"/>
      <c r="LXR1127" s="80"/>
      <c r="LXS1127" s="80"/>
      <c r="LXT1127" s="80"/>
      <c r="LXU1127" s="80"/>
      <c r="LXV1127" s="80"/>
      <c r="LXW1127" s="80"/>
      <c r="LXX1127" s="80"/>
      <c r="LXY1127" s="80"/>
      <c r="LXZ1127" s="80"/>
      <c r="LYA1127" s="80"/>
      <c r="LYB1127" s="80"/>
      <c r="LYC1127" s="80"/>
      <c r="LYD1127" s="80"/>
      <c r="LYE1127" s="80"/>
      <c r="LYF1127" s="80"/>
      <c r="LYG1127" s="80"/>
      <c r="LYH1127" s="80"/>
      <c r="LYI1127" s="80"/>
      <c r="LYJ1127" s="80"/>
      <c r="LYK1127" s="80"/>
      <c r="LYL1127" s="80"/>
      <c r="LYM1127" s="80"/>
      <c r="LYN1127" s="80"/>
      <c r="LYO1127" s="80"/>
      <c r="LYP1127" s="80"/>
      <c r="LYQ1127" s="80"/>
      <c r="LYR1127" s="80"/>
      <c r="LYS1127" s="80"/>
      <c r="LYT1127" s="80"/>
      <c r="LYU1127" s="80"/>
      <c r="LYV1127" s="80"/>
      <c r="LYW1127" s="80"/>
      <c r="LYX1127" s="80"/>
      <c r="LYY1127" s="80"/>
      <c r="LYZ1127" s="80"/>
      <c r="LZA1127" s="80"/>
      <c r="LZB1127" s="80"/>
      <c r="LZC1127" s="80"/>
      <c r="LZD1127" s="80"/>
      <c r="LZE1127" s="80"/>
      <c r="LZF1127" s="80"/>
      <c r="LZG1127" s="80"/>
      <c r="LZH1127" s="80"/>
      <c r="LZI1127" s="80"/>
      <c r="LZJ1127" s="80"/>
      <c r="LZK1127" s="80"/>
      <c r="LZL1127" s="80"/>
      <c r="LZM1127" s="80"/>
      <c r="LZN1127" s="80"/>
      <c r="LZO1127" s="80"/>
      <c r="LZP1127" s="80"/>
      <c r="LZQ1127" s="80"/>
      <c r="LZR1127" s="80"/>
      <c r="LZS1127" s="80"/>
      <c r="LZT1127" s="80"/>
      <c r="LZU1127" s="80"/>
      <c r="LZV1127" s="80"/>
      <c r="LZW1127" s="80"/>
      <c r="LZX1127" s="80"/>
      <c r="LZY1127" s="80"/>
      <c r="LZZ1127" s="80"/>
      <c r="MAA1127" s="80"/>
      <c r="MAB1127" s="80"/>
      <c r="MAC1127" s="80"/>
      <c r="MAD1127" s="80"/>
      <c r="MAE1127" s="80"/>
      <c r="MAF1127" s="80"/>
      <c r="MAG1127" s="80"/>
      <c r="MAH1127" s="80"/>
      <c r="MAI1127" s="80"/>
      <c r="MAJ1127" s="80"/>
      <c r="MAK1127" s="80"/>
      <c r="MAL1127" s="80"/>
      <c r="MAM1127" s="80"/>
      <c r="MAN1127" s="80"/>
      <c r="MAO1127" s="80"/>
      <c r="MAP1127" s="80"/>
      <c r="MAQ1127" s="80"/>
      <c r="MAR1127" s="80"/>
      <c r="MAS1127" s="80"/>
      <c r="MAT1127" s="80"/>
      <c r="MAU1127" s="80"/>
      <c r="MAV1127" s="80"/>
      <c r="MAW1127" s="80"/>
      <c r="MAX1127" s="80"/>
      <c r="MAY1127" s="80"/>
      <c r="MAZ1127" s="80"/>
      <c r="MBA1127" s="80"/>
      <c r="MBB1127" s="80"/>
      <c r="MBC1127" s="80"/>
      <c r="MBD1127" s="80"/>
      <c r="MBE1127" s="80"/>
      <c r="MBF1127" s="80"/>
      <c r="MBG1127" s="80"/>
      <c r="MBH1127" s="80"/>
      <c r="MBI1127" s="80"/>
      <c r="MBJ1127" s="80"/>
      <c r="MBK1127" s="80"/>
      <c r="MBL1127" s="80"/>
      <c r="MBM1127" s="80"/>
      <c r="MBN1127" s="80"/>
      <c r="MBO1127" s="80"/>
      <c r="MBP1127" s="80"/>
      <c r="MBQ1127" s="80"/>
      <c r="MBR1127" s="80"/>
      <c r="MBS1127" s="80"/>
      <c r="MBT1127" s="80"/>
      <c r="MBU1127" s="80"/>
      <c r="MBV1127" s="80"/>
      <c r="MBW1127" s="80"/>
      <c r="MBX1127" s="80"/>
      <c r="MBY1127" s="80"/>
      <c r="MBZ1127" s="80"/>
      <c r="MCA1127" s="80"/>
      <c r="MCB1127" s="80"/>
      <c r="MCC1127" s="80"/>
      <c r="MCD1127" s="80"/>
      <c r="MCE1127" s="80"/>
      <c r="MCF1127" s="80"/>
      <c r="MCG1127" s="80"/>
      <c r="MCH1127" s="80"/>
      <c r="MCI1127" s="80"/>
      <c r="MCJ1127" s="80"/>
      <c r="MCK1127" s="80"/>
      <c r="MCL1127" s="80"/>
      <c r="MCM1127" s="80"/>
      <c r="MCN1127" s="80"/>
      <c r="MCO1127" s="80"/>
      <c r="MCP1127" s="80"/>
      <c r="MCQ1127" s="80"/>
      <c r="MCR1127" s="80"/>
      <c r="MCS1127" s="80"/>
      <c r="MCT1127" s="80"/>
      <c r="MCU1127" s="80"/>
      <c r="MCV1127" s="80"/>
      <c r="MCW1127" s="80"/>
      <c r="MCX1127" s="80"/>
      <c r="MCY1127" s="80"/>
      <c r="MCZ1127" s="80"/>
      <c r="MDA1127" s="80"/>
      <c r="MDB1127" s="80"/>
      <c r="MDC1127" s="80"/>
      <c r="MDD1127" s="80"/>
      <c r="MDE1127" s="80"/>
      <c r="MDF1127" s="80"/>
      <c r="MDG1127" s="80"/>
      <c r="MDH1127" s="80"/>
      <c r="MDI1127" s="80"/>
      <c r="MDJ1127" s="80"/>
      <c r="MDK1127" s="80"/>
      <c r="MDL1127" s="80"/>
      <c r="MDM1127" s="80"/>
      <c r="MDN1127" s="80"/>
      <c r="MDO1127" s="80"/>
      <c r="MDP1127" s="80"/>
      <c r="MDQ1127" s="80"/>
      <c r="MDR1127" s="80"/>
      <c r="MDS1127" s="80"/>
      <c r="MDT1127" s="80"/>
      <c r="MDU1127" s="80"/>
      <c r="MDV1127" s="80"/>
      <c r="MDW1127" s="80"/>
      <c r="MDX1127" s="80"/>
      <c r="MDY1127" s="80"/>
      <c r="MDZ1127" s="80"/>
      <c r="MEA1127" s="80"/>
      <c r="MEB1127" s="80"/>
      <c r="MEC1127" s="80"/>
      <c r="MED1127" s="80"/>
      <c r="MEE1127" s="80"/>
      <c r="MEF1127" s="80"/>
      <c r="MEG1127" s="80"/>
      <c r="MEH1127" s="80"/>
      <c r="MEI1127" s="80"/>
      <c r="MEJ1127" s="80"/>
      <c r="MEK1127" s="80"/>
      <c r="MEL1127" s="80"/>
      <c r="MEM1127" s="80"/>
      <c r="MEN1127" s="80"/>
      <c r="MEO1127" s="80"/>
      <c r="MEP1127" s="80"/>
      <c r="MEQ1127" s="80"/>
      <c r="MER1127" s="80"/>
      <c r="MES1127" s="80"/>
      <c r="MET1127" s="80"/>
      <c r="MEU1127" s="80"/>
      <c r="MEV1127" s="80"/>
      <c r="MEW1127" s="80"/>
      <c r="MEX1127" s="80"/>
      <c r="MEY1127" s="80"/>
      <c r="MEZ1127" s="80"/>
      <c r="MFA1127" s="80"/>
      <c r="MFB1127" s="80"/>
      <c r="MFC1127" s="80"/>
      <c r="MFD1127" s="80"/>
      <c r="MFE1127" s="80"/>
      <c r="MFF1127" s="80"/>
      <c r="MFG1127" s="80"/>
      <c r="MFH1127" s="80"/>
      <c r="MFI1127" s="80"/>
      <c r="MFJ1127" s="80"/>
      <c r="MFK1127" s="80"/>
      <c r="MFL1127" s="80"/>
      <c r="MFM1127" s="80"/>
      <c r="MFN1127" s="80"/>
      <c r="MFO1127" s="80"/>
      <c r="MFP1127" s="80"/>
      <c r="MFQ1127" s="80"/>
      <c r="MFR1127" s="80"/>
      <c r="MFS1127" s="80"/>
      <c r="MFT1127" s="80"/>
      <c r="MFU1127" s="80"/>
      <c r="MFV1127" s="80"/>
      <c r="MFW1127" s="80"/>
      <c r="MFX1127" s="80"/>
      <c r="MFY1127" s="80"/>
      <c r="MFZ1127" s="80"/>
      <c r="MGA1127" s="80"/>
      <c r="MGB1127" s="80"/>
      <c r="MGC1127" s="80"/>
      <c r="MGD1127" s="80"/>
      <c r="MGE1127" s="80"/>
      <c r="MGF1127" s="80"/>
      <c r="MGG1127" s="80"/>
      <c r="MGH1127" s="80"/>
      <c r="MGI1127" s="80"/>
      <c r="MGJ1127" s="80"/>
      <c r="MGK1127" s="80"/>
      <c r="MGL1127" s="80"/>
      <c r="MGM1127" s="80"/>
      <c r="MGN1127" s="80"/>
      <c r="MGO1127" s="80"/>
      <c r="MGP1127" s="80"/>
      <c r="MGQ1127" s="80"/>
      <c r="MGR1127" s="80"/>
      <c r="MGS1127" s="80"/>
      <c r="MGT1127" s="80"/>
      <c r="MGU1127" s="80"/>
      <c r="MGV1127" s="80"/>
      <c r="MGW1127" s="80"/>
      <c r="MGX1127" s="80"/>
      <c r="MGY1127" s="80"/>
      <c r="MGZ1127" s="80"/>
      <c r="MHA1127" s="80"/>
      <c r="MHB1127" s="80"/>
      <c r="MHC1127" s="80"/>
      <c r="MHD1127" s="80"/>
      <c r="MHE1127" s="80"/>
      <c r="MHF1127" s="80"/>
      <c r="MHG1127" s="80"/>
      <c r="MHH1127" s="80"/>
      <c r="MHI1127" s="80"/>
      <c r="MHJ1127" s="80"/>
      <c r="MHK1127" s="80"/>
      <c r="MHL1127" s="80"/>
      <c r="MHM1127" s="80"/>
      <c r="MHN1127" s="80"/>
      <c r="MHO1127" s="80"/>
      <c r="MHP1127" s="80"/>
      <c r="MHQ1127" s="80"/>
      <c r="MHR1127" s="80"/>
      <c r="MHS1127" s="80"/>
      <c r="MHT1127" s="80"/>
      <c r="MHU1127" s="80"/>
      <c r="MHV1127" s="80"/>
      <c r="MHW1127" s="80"/>
      <c r="MHX1127" s="80"/>
      <c r="MHY1127" s="80"/>
      <c r="MHZ1127" s="80"/>
      <c r="MIA1127" s="80"/>
      <c r="MIB1127" s="80"/>
      <c r="MIC1127" s="80"/>
      <c r="MID1127" s="80"/>
      <c r="MIE1127" s="80"/>
      <c r="MIF1127" s="80"/>
      <c r="MIG1127" s="80"/>
      <c r="MIH1127" s="80"/>
      <c r="MII1127" s="80"/>
      <c r="MIJ1127" s="80"/>
      <c r="MIK1127" s="80"/>
      <c r="MIL1127" s="80"/>
      <c r="MIM1127" s="80"/>
      <c r="MIN1127" s="80"/>
      <c r="MIO1127" s="80"/>
      <c r="MIP1127" s="80"/>
      <c r="MIQ1127" s="80"/>
      <c r="MIR1127" s="80"/>
      <c r="MIS1127" s="80"/>
      <c r="MIT1127" s="80"/>
      <c r="MIU1127" s="80"/>
      <c r="MIV1127" s="80"/>
      <c r="MIW1127" s="80"/>
      <c r="MIX1127" s="80"/>
      <c r="MIY1127" s="80"/>
      <c r="MIZ1127" s="80"/>
      <c r="MJA1127" s="80"/>
      <c r="MJB1127" s="80"/>
      <c r="MJC1127" s="80"/>
      <c r="MJD1127" s="80"/>
      <c r="MJE1127" s="80"/>
      <c r="MJF1127" s="80"/>
      <c r="MJG1127" s="80"/>
      <c r="MJH1127" s="80"/>
      <c r="MJI1127" s="80"/>
      <c r="MJJ1127" s="80"/>
      <c r="MJK1127" s="80"/>
      <c r="MJL1127" s="80"/>
      <c r="MJM1127" s="80"/>
      <c r="MJN1127" s="80"/>
      <c r="MJO1127" s="80"/>
      <c r="MJP1127" s="80"/>
      <c r="MJQ1127" s="80"/>
      <c r="MJR1127" s="80"/>
      <c r="MJS1127" s="80"/>
      <c r="MJT1127" s="80"/>
      <c r="MJU1127" s="80"/>
      <c r="MJV1127" s="80"/>
      <c r="MJW1127" s="80"/>
      <c r="MJX1127" s="80"/>
      <c r="MJY1127" s="80"/>
      <c r="MJZ1127" s="80"/>
      <c r="MKA1127" s="80"/>
      <c r="MKB1127" s="80"/>
      <c r="MKC1127" s="80"/>
      <c r="MKD1127" s="80"/>
      <c r="MKE1127" s="80"/>
      <c r="MKF1127" s="80"/>
      <c r="MKG1127" s="80"/>
      <c r="MKH1127" s="80"/>
      <c r="MKI1127" s="80"/>
      <c r="MKJ1127" s="80"/>
      <c r="MKK1127" s="80"/>
      <c r="MKL1127" s="80"/>
      <c r="MKM1127" s="80"/>
      <c r="MKN1127" s="80"/>
      <c r="MKO1127" s="80"/>
      <c r="MKP1127" s="80"/>
      <c r="MKQ1127" s="80"/>
      <c r="MKR1127" s="80"/>
      <c r="MKS1127" s="80"/>
      <c r="MKT1127" s="80"/>
      <c r="MKU1127" s="80"/>
      <c r="MKV1127" s="80"/>
      <c r="MKW1127" s="80"/>
      <c r="MKX1127" s="80"/>
      <c r="MKY1127" s="80"/>
      <c r="MKZ1127" s="80"/>
      <c r="MLA1127" s="80"/>
      <c r="MLB1127" s="80"/>
      <c r="MLC1127" s="80"/>
      <c r="MLD1127" s="80"/>
      <c r="MLE1127" s="80"/>
      <c r="MLF1127" s="80"/>
      <c r="MLG1127" s="80"/>
      <c r="MLH1127" s="80"/>
      <c r="MLI1127" s="80"/>
      <c r="MLJ1127" s="80"/>
      <c r="MLK1127" s="80"/>
      <c r="MLL1127" s="80"/>
      <c r="MLM1127" s="80"/>
      <c r="MLN1127" s="80"/>
      <c r="MLO1127" s="80"/>
      <c r="MLP1127" s="80"/>
      <c r="MLQ1127" s="80"/>
      <c r="MLR1127" s="80"/>
      <c r="MLS1127" s="80"/>
      <c r="MLT1127" s="80"/>
      <c r="MLU1127" s="80"/>
      <c r="MLV1127" s="80"/>
      <c r="MLW1127" s="80"/>
      <c r="MLX1127" s="80"/>
      <c r="MLY1127" s="80"/>
      <c r="MLZ1127" s="80"/>
      <c r="MMA1127" s="80"/>
      <c r="MMB1127" s="80"/>
      <c r="MMC1127" s="80"/>
      <c r="MMD1127" s="80"/>
      <c r="MME1127" s="80"/>
      <c r="MMF1127" s="80"/>
      <c r="MMG1127" s="80"/>
      <c r="MMH1127" s="80"/>
      <c r="MMI1127" s="80"/>
      <c r="MMJ1127" s="80"/>
      <c r="MMK1127" s="80"/>
      <c r="MML1127" s="80"/>
      <c r="MMM1127" s="80"/>
      <c r="MMN1127" s="80"/>
      <c r="MMO1127" s="80"/>
      <c r="MMP1127" s="80"/>
      <c r="MMQ1127" s="80"/>
      <c r="MMR1127" s="80"/>
      <c r="MMS1127" s="80"/>
      <c r="MMT1127" s="80"/>
      <c r="MMU1127" s="80"/>
      <c r="MMV1127" s="80"/>
      <c r="MMW1127" s="80"/>
      <c r="MMX1127" s="80"/>
      <c r="MMY1127" s="80"/>
      <c r="MMZ1127" s="80"/>
      <c r="MNA1127" s="80"/>
      <c r="MNB1127" s="80"/>
      <c r="MNC1127" s="80"/>
      <c r="MND1127" s="80"/>
      <c r="MNE1127" s="80"/>
      <c r="MNF1127" s="80"/>
      <c r="MNG1127" s="80"/>
      <c r="MNH1127" s="80"/>
      <c r="MNI1127" s="80"/>
      <c r="MNJ1127" s="80"/>
      <c r="MNK1127" s="80"/>
      <c r="MNL1127" s="80"/>
      <c r="MNM1127" s="80"/>
      <c r="MNN1127" s="80"/>
      <c r="MNO1127" s="80"/>
      <c r="MNP1127" s="80"/>
      <c r="MNQ1127" s="80"/>
      <c r="MNR1127" s="80"/>
      <c r="MNS1127" s="80"/>
      <c r="MNT1127" s="80"/>
      <c r="MNU1127" s="80"/>
      <c r="MNV1127" s="80"/>
      <c r="MNW1127" s="80"/>
      <c r="MNX1127" s="80"/>
      <c r="MNY1127" s="80"/>
      <c r="MNZ1127" s="80"/>
      <c r="MOA1127" s="80"/>
      <c r="MOB1127" s="80"/>
      <c r="MOC1127" s="80"/>
      <c r="MOD1127" s="80"/>
      <c r="MOE1127" s="80"/>
      <c r="MOF1127" s="80"/>
      <c r="MOG1127" s="80"/>
      <c r="MOH1127" s="80"/>
      <c r="MOI1127" s="80"/>
      <c r="MOJ1127" s="80"/>
      <c r="MOK1127" s="80"/>
      <c r="MOL1127" s="80"/>
      <c r="MOM1127" s="80"/>
      <c r="MON1127" s="80"/>
      <c r="MOO1127" s="80"/>
      <c r="MOP1127" s="80"/>
      <c r="MOQ1127" s="80"/>
      <c r="MOR1127" s="80"/>
      <c r="MOS1127" s="80"/>
      <c r="MOT1127" s="80"/>
      <c r="MOU1127" s="80"/>
      <c r="MOV1127" s="80"/>
      <c r="MOW1127" s="80"/>
      <c r="MOX1127" s="80"/>
      <c r="MOY1127" s="80"/>
      <c r="MOZ1127" s="80"/>
      <c r="MPA1127" s="80"/>
      <c r="MPB1127" s="80"/>
      <c r="MPC1127" s="80"/>
      <c r="MPD1127" s="80"/>
      <c r="MPE1127" s="80"/>
      <c r="MPF1127" s="80"/>
      <c r="MPG1127" s="80"/>
      <c r="MPH1127" s="80"/>
      <c r="MPI1127" s="80"/>
      <c r="MPJ1127" s="80"/>
      <c r="MPK1127" s="80"/>
      <c r="MPL1127" s="80"/>
      <c r="MPM1127" s="80"/>
      <c r="MPN1127" s="80"/>
      <c r="MPO1127" s="80"/>
      <c r="MPP1127" s="80"/>
      <c r="MPQ1127" s="80"/>
      <c r="MPR1127" s="80"/>
      <c r="MPS1127" s="80"/>
      <c r="MPT1127" s="80"/>
      <c r="MPU1127" s="80"/>
      <c r="MPV1127" s="80"/>
      <c r="MPW1127" s="80"/>
      <c r="MPX1127" s="80"/>
      <c r="MPY1127" s="80"/>
      <c r="MPZ1127" s="80"/>
      <c r="MQA1127" s="80"/>
      <c r="MQB1127" s="80"/>
      <c r="MQC1127" s="80"/>
      <c r="MQD1127" s="80"/>
      <c r="MQE1127" s="80"/>
      <c r="MQF1127" s="80"/>
      <c r="MQG1127" s="80"/>
      <c r="MQH1127" s="80"/>
      <c r="MQI1127" s="80"/>
      <c r="MQJ1127" s="80"/>
      <c r="MQK1127" s="80"/>
      <c r="MQL1127" s="80"/>
      <c r="MQM1127" s="80"/>
      <c r="MQN1127" s="80"/>
      <c r="MQO1127" s="80"/>
      <c r="MQP1127" s="80"/>
      <c r="MQQ1127" s="80"/>
      <c r="MQR1127" s="80"/>
      <c r="MQS1127" s="80"/>
      <c r="MQT1127" s="80"/>
      <c r="MQU1127" s="80"/>
      <c r="MQV1127" s="80"/>
      <c r="MQW1127" s="80"/>
      <c r="MQX1127" s="80"/>
      <c r="MQY1127" s="80"/>
      <c r="MQZ1127" s="80"/>
      <c r="MRA1127" s="80"/>
      <c r="MRB1127" s="80"/>
      <c r="MRC1127" s="80"/>
      <c r="MRD1127" s="80"/>
      <c r="MRE1127" s="80"/>
      <c r="MRF1127" s="80"/>
      <c r="MRG1127" s="80"/>
      <c r="MRH1127" s="80"/>
      <c r="MRI1127" s="80"/>
      <c r="MRJ1127" s="80"/>
      <c r="MRK1127" s="80"/>
      <c r="MRL1127" s="80"/>
      <c r="MRM1127" s="80"/>
      <c r="MRN1127" s="80"/>
      <c r="MRO1127" s="80"/>
      <c r="MRP1127" s="80"/>
      <c r="MRQ1127" s="80"/>
      <c r="MRR1127" s="80"/>
      <c r="MRS1127" s="80"/>
      <c r="MRT1127" s="80"/>
      <c r="MRU1127" s="80"/>
      <c r="MRV1127" s="80"/>
      <c r="MRW1127" s="80"/>
      <c r="MRX1127" s="80"/>
      <c r="MRY1127" s="80"/>
      <c r="MRZ1127" s="80"/>
      <c r="MSA1127" s="80"/>
      <c r="MSB1127" s="80"/>
      <c r="MSC1127" s="80"/>
      <c r="MSD1127" s="80"/>
      <c r="MSE1127" s="80"/>
      <c r="MSF1127" s="80"/>
      <c r="MSG1127" s="80"/>
      <c r="MSH1127" s="80"/>
      <c r="MSI1127" s="80"/>
      <c r="MSJ1127" s="80"/>
      <c r="MSK1127" s="80"/>
      <c r="MSL1127" s="80"/>
      <c r="MSM1127" s="80"/>
      <c r="MSN1127" s="80"/>
      <c r="MSO1127" s="80"/>
      <c r="MSP1127" s="80"/>
      <c r="MSQ1127" s="80"/>
      <c r="MSR1127" s="80"/>
      <c r="MSS1127" s="80"/>
      <c r="MST1127" s="80"/>
      <c r="MSU1127" s="80"/>
      <c r="MSV1127" s="80"/>
      <c r="MSW1127" s="80"/>
      <c r="MSX1127" s="80"/>
      <c r="MSY1127" s="80"/>
      <c r="MSZ1127" s="80"/>
      <c r="MTA1127" s="80"/>
      <c r="MTB1127" s="80"/>
      <c r="MTC1127" s="80"/>
      <c r="MTD1127" s="80"/>
      <c r="MTE1127" s="80"/>
      <c r="MTF1127" s="80"/>
      <c r="MTG1127" s="80"/>
      <c r="MTH1127" s="80"/>
      <c r="MTI1127" s="80"/>
      <c r="MTJ1127" s="80"/>
      <c r="MTK1127" s="80"/>
      <c r="MTL1127" s="80"/>
      <c r="MTM1127" s="80"/>
      <c r="MTN1127" s="80"/>
      <c r="MTO1127" s="80"/>
      <c r="MTP1127" s="80"/>
      <c r="MTQ1127" s="80"/>
      <c r="MTR1127" s="80"/>
      <c r="MTS1127" s="80"/>
      <c r="MTT1127" s="80"/>
      <c r="MTU1127" s="80"/>
      <c r="MTV1127" s="80"/>
      <c r="MTW1127" s="80"/>
      <c r="MTX1127" s="80"/>
      <c r="MTY1127" s="80"/>
      <c r="MTZ1127" s="80"/>
      <c r="MUA1127" s="80"/>
      <c r="MUB1127" s="80"/>
      <c r="MUC1127" s="80"/>
      <c r="MUD1127" s="80"/>
      <c r="MUE1127" s="80"/>
      <c r="MUF1127" s="80"/>
      <c r="MUG1127" s="80"/>
      <c r="MUH1127" s="80"/>
      <c r="MUI1127" s="80"/>
      <c r="MUJ1127" s="80"/>
      <c r="MUK1127" s="80"/>
      <c r="MUL1127" s="80"/>
      <c r="MUM1127" s="80"/>
      <c r="MUN1127" s="80"/>
      <c r="MUO1127" s="80"/>
      <c r="MUP1127" s="80"/>
      <c r="MUQ1127" s="80"/>
      <c r="MUR1127" s="80"/>
      <c r="MUS1127" s="80"/>
      <c r="MUT1127" s="80"/>
      <c r="MUU1127" s="80"/>
      <c r="MUV1127" s="80"/>
      <c r="MUW1127" s="80"/>
      <c r="MUX1127" s="80"/>
      <c r="MUY1127" s="80"/>
      <c r="MUZ1127" s="80"/>
      <c r="MVA1127" s="80"/>
      <c r="MVB1127" s="80"/>
      <c r="MVC1127" s="80"/>
      <c r="MVD1127" s="80"/>
      <c r="MVE1127" s="80"/>
      <c r="MVF1127" s="80"/>
      <c r="MVG1127" s="80"/>
      <c r="MVH1127" s="80"/>
      <c r="MVI1127" s="80"/>
      <c r="MVJ1127" s="80"/>
      <c r="MVK1127" s="80"/>
      <c r="MVL1127" s="80"/>
      <c r="MVM1127" s="80"/>
      <c r="MVN1127" s="80"/>
      <c r="MVO1127" s="80"/>
      <c r="MVP1127" s="80"/>
      <c r="MVQ1127" s="80"/>
      <c r="MVR1127" s="80"/>
      <c r="MVS1127" s="80"/>
      <c r="MVT1127" s="80"/>
      <c r="MVU1127" s="80"/>
      <c r="MVV1127" s="80"/>
      <c r="MVW1127" s="80"/>
      <c r="MVX1127" s="80"/>
      <c r="MVY1127" s="80"/>
      <c r="MVZ1127" s="80"/>
      <c r="MWA1127" s="80"/>
      <c r="MWB1127" s="80"/>
      <c r="MWC1127" s="80"/>
      <c r="MWD1127" s="80"/>
      <c r="MWE1127" s="80"/>
      <c r="MWF1127" s="80"/>
      <c r="MWG1127" s="80"/>
      <c r="MWH1127" s="80"/>
      <c r="MWI1127" s="80"/>
      <c r="MWJ1127" s="80"/>
      <c r="MWK1127" s="80"/>
      <c r="MWL1127" s="80"/>
      <c r="MWM1127" s="80"/>
      <c r="MWN1127" s="80"/>
      <c r="MWO1127" s="80"/>
      <c r="MWP1127" s="80"/>
      <c r="MWQ1127" s="80"/>
      <c r="MWR1127" s="80"/>
      <c r="MWS1127" s="80"/>
      <c r="MWT1127" s="80"/>
      <c r="MWU1127" s="80"/>
      <c r="MWV1127" s="80"/>
      <c r="MWW1127" s="80"/>
      <c r="MWX1127" s="80"/>
      <c r="MWY1127" s="80"/>
      <c r="MWZ1127" s="80"/>
      <c r="MXA1127" s="80"/>
      <c r="MXB1127" s="80"/>
      <c r="MXC1127" s="80"/>
      <c r="MXD1127" s="80"/>
      <c r="MXE1127" s="80"/>
      <c r="MXF1127" s="80"/>
      <c r="MXG1127" s="80"/>
      <c r="MXH1127" s="80"/>
      <c r="MXI1127" s="80"/>
      <c r="MXJ1127" s="80"/>
      <c r="MXK1127" s="80"/>
      <c r="MXL1127" s="80"/>
      <c r="MXM1127" s="80"/>
      <c r="MXN1127" s="80"/>
      <c r="MXO1127" s="80"/>
      <c r="MXP1127" s="80"/>
      <c r="MXQ1127" s="80"/>
      <c r="MXR1127" s="80"/>
      <c r="MXS1127" s="80"/>
      <c r="MXT1127" s="80"/>
      <c r="MXU1127" s="80"/>
      <c r="MXV1127" s="80"/>
      <c r="MXW1127" s="80"/>
      <c r="MXX1127" s="80"/>
      <c r="MXY1127" s="80"/>
      <c r="MXZ1127" s="80"/>
      <c r="MYA1127" s="80"/>
      <c r="MYB1127" s="80"/>
      <c r="MYC1127" s="80"/>
      <c r="MYD1127" s="80"/>
      <c r="MYE1127" s="80"/>
      <c r="MYF1127" s="80"/>
      <c r="MYG1127" s="80"/>
      <c r="MYH1127" s="80"/>
      <c r="MYI1127" s="80"/>
      <c r="MYJ1127" s="80"/>
      <c r="MYK1127" s="80"/>
      <c r="MYL1127" s="80"/>
      <c r="MYM1127" s="80"/>
      <c r="MYN1127" s="80"/>
      <c r="MYO1127" s="80"/>
      <c r="MYP1127" s="80"/>
      <c r="MYQ1127" s="80"/>
      <c r="MYR1127" s="80"/>
      <c r="MYS1127" s="80"/>
      <c r="MYT1127" s="80"/>
      <c r="MYU1127" s="80"/>
      <c r="MYV1127" s="80"/>
      <c r="MYW1127" s="80"/>
      <c r="MYX1127" s="80"/>
      <c r="MYY1127" s="80"/>
      <c r="MYZ1127" s="80"/>
      <c r="MZA1127" s="80"/>
      <c r="MZB1127" s="80"/>
      <c r="MZC1127" s="80"/>
      <c r="MZD1127" s="80"/>
      <c r="MZE1127" s="80"/>
      <c r="MZF1127" s="80"/>
      <c r="MZG1127" s="80"/>
      <c r="MZH1127" s="80"/>
      <c r="MZI1127" s="80"/>
      <c r="MZJ1127" s="80"/>
      <c r="MZK1127" s="80"/>
      <c r="MZL1127" s="80"/>
      <c r="MZM1127" s="80"/>
      <c r="MZN1127" s="80"/>
      <c r="MZO1127" s="80"/>
      <c r="MZP1127" s="80"/>
      <c r="MZQ1127" s="80"/>
      <c r="MZR1127" s="80"/>
      <c r="MZS1127" s="80"/>
      <c r="MZT1127" s="80"/>
      <c r="MZU1127" s="80"/>
      <c r="MZV1127" s="80"/>
      <c r="MZW1127" s="80"/>
      <c r="MZX1127" s="80"/>
      <c r="MZY1127" s="80"/>
      <c r="MZZ1127" s="80"/>
      <c r="NAA1127" s="80"/>
      <c r="NAB1127" s="80"/>
      <c r="NAC1127" s="80"/>
      <c r="NAD1127" s="80"/>
      <c r="NAE1127" s="80"/>
      <c r="NAF1127" s="80"/>
      <c r="NAG1127" s="80"/>
      <c r="NAH1127" s="80"/>
      <c r="NAI1127" s="80"/>
      <c r="NAJ1127" s="80"/>
      <c r="NAK1127" s="80"/>
      <c r="NAL1127" s="80"/>
      <c r="NAM1127" s="80"/>
      <c r="NAN1127" s="80"/>
      <c r="NAO1127" s="80"/>
      <c r="NAP1127" s="80"/>
      <c r="NAQ1127" s="80"/>
      <c r="NAR1127" s="80"/>
      <c r="NAS1127" s="80"/>
      <c r="NAT1127" s="80"/>
      <c r="NAU1127" s="80"/>
      <c r="NAV1127" s="80"/>
      <c r="NAW1127" s="80"/>
      <c r="NAX1127" s="80"/>
      <c r="NAY1127" s="80"/>
      <c r="NAZ1127" s="80"/>
      <c r="NBA1127" s="80"/>
      <c r="NBB1127" s="80"/>
      <c r="NBC1127" s="80"/>
      <c r="NBD1127" s="80"/>
      <c r="NBE1127" s="80"/>
      <c r="NBF1127" s="80"/>
      <c r="NBG1127" s="80"/>
      <c r="NBH1127" s="80"/>
      <c r="NBI1127" s="80"/>
      <c r="NBJ1127" s="80"/>
      <c r="NBK1127" s="80"/>
      <c r="NBL1127" s="80"/>
      <c r="NBM1127" s="80"/>
      <c r="NBN1127" s="80"/>
      <c r="NBO1127" s="80"/>
      <c r="NBP1127" s="80"/>
      <c r="NBQ1127" s="80"/>
      <c r="NBR1127" s="80"/>
      <c r="NBS1127" s="80"/>
      <c r="NBT1127" s="80"/>
      <c r="NBU1127" s="80"/>
      <c r="NBV1127" s="80"/>
      <c r="NBW1127" s="80"/>
      <c r="NBX1127" s="80"/>
      <c r="NBY1127" s="80"/>
      <c r="NBZ1127" s="80"/>
      <c r="NCA1127" s="80"/>
      <c r="NCB1127" s="80"/>
      <c r="NCC1127" s="80"/>
      <c r="NCD1127" s="80"/>
      <c r="NCE1127" s="80"/>
      <c r="NCF1127" s="80"/>
      <c r="NCG1127" s="80"/>
      <c r="NCH1127" s="80"/>
      <c r="NCI1127" s="80"/>
      <c r="NCJ1127" s="80"/>
      <c r="NCK1127" s="80"/>
      <c r="NCL1127" s="80"/>
      <c r="NCM1127" s="80"/>
      <c r="NCN1127" s="80"/>
      <c r="NCO1127" s="80"/>
      <c r="NCP1127" s="80"/>
      <c r="NCQ1127" s="80"/>
      <c r="NCR1127" s="80"/>
      <c r="NCS1127" s="80"/>
      <c r="NCT1127" s="80"/>
      <c r="NCU1127" s="80"/>
      <c r="NCV1127" s="80"/>
      <c r="NCW1127" s="80"/>
      <c r="NCX1127" s="80"/>
      <c r="NCY1127" s="80"/>
      <c r="NCZ1127" s="80"/>
      <c r="NDA1127" s="80"/>
      <c r="NDB1127" s="80"/>
      <c r="NDC1127" s="80"/>
      <c r="NDD1127" s="80"/>
      <c r="NDE1127" s="80"/>
      <c r="NDF1127" s="80"/>
      <c r="NDG1127" s="80"/>
      <c r="NDH1127" s="80"/>
      <c r="NDI1127" s="80"/>
      <c r="NDJ1127" s="80"/>
      <c r="NDK1127" s="80"/>
      <c r="NDL1127" s="80"/>
      <c r="NDM1127" s="80"/>
      <c r="NDN1127" s="80"/>
      <c r="NDO1127" s="80"/>
      <c r="NDP1127" s="80"/>
      <c r="NDQ1127" s="80"/>
      <c r="NDR1127" s="80"/>
      <c r="NDS1127" s="80"/>
      <c r="NDT1127" s="80"/>
      <c r="NDU1127" s="80"/>
      <c r="NDV1127" s="80"/>
      <c r="NDW1127" s="80"/>
      <c r="NDX1127" s="80"/>
      <c r="NDY1127" s="80"/>
      <c r="NDZ1127" s="80"/>
      <c r="NEA1127" s="80"/>
      <c r="NEB1127" s="80"/>
      <c r="NEC1127" s="80"/>
      <c r="NED1127" s="80"/>
      <c r="NEE1127" s="80"/>
      <c r="NEF1127" s="80"/>
      <c r="NEG1127" s="80"/>
      <c r="NEH1127" s="80"/>
      <c r="NEI1127" s="80"/>
      <c r="NEJ1127" s="80"/>
      <c r="NEK1127" s="80"/>
      <c r="NEL1127" s="80"/>
      <c r="NEM1127" s="80"/>
      <c r="NEN1127" s="80"/>
      <c r="NEO1127" s="80"/>
      <c r="NEP1127" s="80"/>
      <c r="NEQ1127" s="80"/>
      <c r="NER1127" s="80"/>
      <c r="NES1127" s="80"/>
      <c r="NET1127" s="80"/>
      <c r="NEU1127" s="80"/>
      <c r="NEV1127" s="80"/>
      <c r="NEW1127" s="80"/>
      <c r="NEX1127" s="80"/>
      <c r="NEY1127" s="80"/>
      <c r="NEZ1127" s="80"/>
      <c r="NFA1127" s="80"/>
      <c r="NFB1127" s="80"/>
      <c r="NFC1127" s="80"/>
      <c r="NFD1127" s="80"/>
      <c r="NFE1127" s="80"/>
      <c r="NFF1127" s="80"/>
      <c r="NFG1127" s="80"/>
      <c r="NFH1127" s="80"/>
      <c r="NFI1127" s="80"/>
      <c r="NFJ1127" s="80"/>
      <c r="NFK1127" s="80"/>
      <c r="NFL1127" s="80"/>
      <c r="NFM1127" s="80"/>
      <c r="NFN1127" s="80"/>
      <c r="NFO1127" s="80"/>
      <c r="NFP1127" s="80"/>
      <c r="NFQ1127" s="80"/>
      <c r="NFR1127" s="80"/>
      <c r="NFS1127" s="80"/>
      <c r="NFT1127" s="80"/>
      <c r="NFU1127" s="80"/>
      <c r="NFV1127" s="80"/>
      <c r="NFW1127" s="80"/>
      <c r="NFX1127" s="80"/>
      <c r="NFY1127" s="80"/>
      <c r="NFZ1127" s="80"/>
      <c r="NGA1127" s="80"/>
      <c r="NGB1127" s="80"/>
      <c r="NGC1127" s="80"/>
      <c r="NGD1127" s="80"/>
      <c r="NGE1127" s="80"/>
      <c r="NGF1127" s="80"/>
      <c r="NGG1127" s="80"/>
      <c r="NGH1127" s="80"/>
      <c r="NGI1127" s="80"/>
      <c r="NGJ1127" s="80"/>
      <c r="NGK1127" s="80"/>
      <c r="NGL1127" s="80"/>
      <c r="NGM1127" s="80"/>
      <c r="NGN1127" s="80"/>
      <c r="NGO1127" s="80"/>
      <c r="NGP1127" s="80"/>
      <c r="NGQ1127" s="80"/>
      <c r="NGR1127" s="80"/>
      <c r="NGS1127" s="80"/>
      <c r="NGT1127" s="80"/>
      <c r="NGU1127" s="80"/>
      <c r="NGV1127" s="80"/>
      <c r="NGW1127" s="80"/>
      <c r="NGX1127" s="80"/>
      <c r="NGY1127" s="80"/>
      <c r="NGZ1127" s="80"/>
      <c r="NHA1127" s="80"/>
      <c r="NHB1127" s="80"/>
      <c r="NHC1127" s="80"/>
      <c r="NHD1127" s="80"/>
      <c r="NHE1127" s="80"/>
      <c r="NHF1127" s="80"/>
      <c r="NHG1127" s="80"/>
      <c r="NHH1127" s="80"/>
      <c r="NHI1127" s="80"/>
      <c r="NHJ1127" s="80"/>
      <c r="NHK1127" s="80"/>
      <c r="NHL1127" s="80"/>
      <c r="NHM1127" s="80"/>
      <c r="NHN1127" s="80"/>
      <c r="NHO1127" s="80"/>
      <c r="NHP1127" s="80"/>
      <c r="NHQ1127" s="80"/>
      <c r="NHR1127" s="80"/>
      <c r="NHS1127" s="80"/>
      <c r="NHT1127" s="80"/>
      <c r="NHU1127" s="80"/>
      <c r="NHV1127" s="80"/>
      <c r="NHW1127" s="80"/>
      <c r="NHX1127" s="80"/>
      <c r="NHY1127" s="80"/>
      <c r="NHZ1127" s="80"/>
      <c r="NIA1127" s="80"/>
      <c r="NIB1127" s="80"/>
      <c r="NIC1127" s="80"/>
      <c r="NID1127" s="80"/>
      <c r="NIE1127" s="80"/>
      <c r="NIF1127" s="80"/>
      <c r="NIG1127" s="80"/>
      <c r="NIH1127" s="80"/>
      <c r="NII1127" s="80"/>
      <c r="NIJ1127" s="80"/>
      <c r="NIK1127" s="80"/>
      <c r="NIL1127" s="80"/>
      <c r="NIM1127" s="80"/>
      <c r="NIN1127" s="80"/>
      <c r="NIO1127" s="80"/>
      <c r="NIP1127" s="80"/>
      <c r="NIQ1127" s="80"/>
      <c r="NIR1127" s="80"/>
      <c r="NIS1127" s="80"/>
      <c r="NIT1127" s="80"/>
      <c r="NIU1127" s="80"/>
      <c r="NIV1127" s="80"/>
      <c r="NIW1127" s="80"/>
      <c r="NIX1127" s="80"/>
      <c r="NIY1127" s="80"/>
      <c r="NIZ1127" s="80"/>
      <c r="NJA1127" s="80"/>
      <c r="NJB1127" s="80"/>
      <c r="NJC1127" s="80"/>
      <c r="NJD1127" s="80"/>
      <c r="NJE1127" s="80"/>
      <c r="NJF1127" s="80"/>
      <c r="NJG1127" s="80"/>
      <c r="NJH1127" s="80"/>
      <c r="NJI1127" s="80"/>
      <c r="NJJ1127" s="80"/>
      <c r="NJK1127" s="80"/>
      <c r="NJL1127" s="80"/>
      <c r="NJM1127" s="80"/>
      <c r="NJN1127" s="80"/>
      <c r="NJO1127" s="80"/>
      <c r="NJP1127" s="80"/>
      <c r="NJQ1127" s="80"/>
      <c r="NJR1127" s="80"/>
      <c r="NJS1127" s="80"/>
      <c r="NJT1127" s="80"/>
      <c r="NJU1127" s="80"/>
      <c r="NJV1127" s="80"/>
      <c r="NJW1127" s="80"/>
      <c r="NJX1127" s="80"/>
      <c r="NJY1127" s="80"/>
      <c r="NJZ1127" s="80"/>
      <c r="NKA1127" s="80"/>
      <c r="NKB1127" s="80"/>
      <c r="NKC1127" s="80"/>
      <c r="NKD1127" s="80"/>
      <c r="NKE1127" s="80"/>
      <c r="NKF1127" s="80"/>
      <c r="NKG1127" s="80"/>
      <c r="NKH1127" s="80"/>
      <c r="NKI1127" s="80"/>
      <c r="NKJ1127" s="80"/>
      <c r="NKK1127" s="80"/>
      <c r="NKL1127" s="80"/>
      <c r="NKM1127" s="80"/>
      <c r="NKN1127" s="80"/>
      <c r="NKO1127" s="80"/>
      <c r="NKP1127" s="80"/>
      <c r="NKQ1127" s="80"/>
      <c r="NKR1127" s="80"/>
      <c r="NKS1127" s="80"/>
      <c r="NKT1127" s="80"/>
      <c r="NKU1127" s="80"/>
      <c r="NKV1127" s="80"/>
      <c r="NKW1127" s="80"/>
      <c r="NKX1127" s="80"/>
      <c r="NKY1127" s="80"/>
      <c r="NKZ1127" s="80"/>
      <c r="NLA1127" s="80"/>
      <c r="NLB1127" s="80"/>
      <c r="NLC1127" s="80"/>
      <c r="NLD1127" s="80"/>
      <c r="NLE1127" s="80"/>
      <c r="NLF1127" s="80"/>
      <c r="NLG1127" s="80"/>
      <c r="NLH1127" s="80"/>
      <c r="NLI1127" s="80"/>
      <c r="NLJ1127" s="80"/>
      <c r="NLK1127" s="80"/>
      <c r="NLL1127" s="80"/>
      <c r="NLM1127" s="80"/>
      <c r="NLN1127" s="80"/>
      <c r="NLO1127" s="80"/>
      <c r="NLP1127" s="80"/>
      <c r="NLQ1127" s="80"/>
      <c r="NLR1127" s="80"/>
      <c r="NLS1127" s="80"/>
      <c r="NLT1127" s="80"/>
      <c r="NLU1127" s="80"/>
      <c r="NLV1127" s="80"/>
      <c r="NLW1127" s="80"/>
      <c r="NLX1127" s="80"/>
      <c r="NLY1127" s="80"/>
      <c r="NLZ1127" s="80"/>
      <c r="NMA1127" s="80"/>
      <c r="NMB1127" s="80"/>
      <c r="NMC1127" s="80"/>
      <c r="NMD1127" s="80"/>
      <c r="NME1127" s="80"/>
      <c r="NMF1127" s="80"/>
      <c r="NMG1127" s="80"/>
      <c r="NMH1127" s="80"/>
      <c r="NMI1127" s="80"/>
      <c r="NMJ1127" s="80"/>
      <c r="NMK1127" s="80"/>
      <c r="NML1127" s="80"/>
      <c r="NMM1127" s="80"/>
      <c r="NMN1127" s="80"/>
      <c r="NMO1127" s="80"/>
      <c r="NMP1127" s="80"/>
      <c r="NMQ1127" s="80"/>
      <c r="NMR1127" s="80"/>
      <c r="NMS1127" s="80"/>
      <c r="NMT1127" s="80"/>
      <c r="NMU1127" s="80"/>
      <c r="NMV1127" s="80"/>
      <c r="NMW1127" s="80"/>
      <c r="NMX1127" s="80"/>
      <c r="NMY1127" s="80"/>
      <c r="NMZ1127" s="80"/>
      <c r="NNA1127" s="80"/>
      <c r="NNB1127" s="80"/>
      <c r="NNC1127" s="80"/>
      <c r="NND1127" s="80"/>
      <c r="NNE1127" s="80"/>
      <c r="NNF1127" s="80"/>
      <c r="NNG1127" s="80"/>
      <c r="NNH1127" s="80"/>
      <c r="NNI1127" s="80"/>
      <c r="NNJ1127" s="80"/>
      <c r="NNK1127" s="80"/>
      <c r="NNL1127" s="80"/>
      <c r="NNM1127" s="80"/>
      <c r="NNN1127" s="80"/>
      <c r="NNO1127" s="80"/>
      <c r="NNP1127" s="80"/>
      <c r="NNQ1127" s="80"/>
      <c r="NNR1127" s="80"/>
      <c r="NNS1127" s="80"/>
      <c r="NNT1127" s="80"/>
      <c r="NNU1127" s="80"/>
      <c r="NNV1127" s="80"/>
      <c r="NNW1127" s="80"/>
      <c r="NNX1127" s="80"/>
      <c r="NNY1127" s="80"/>
      <c r="NNZ1127" s="80"/>
      <c r="NOA1127" s="80"/>
      <c r="NOB1127" s="80"/>
      <c r="NOC1127" s="80"/>
      <c r="NOD1127" s="80"/>
      <c r="NOE1127" s="80"/>
      <c r="NOF1127" s="80"/>
      <c r="NOG1127" s="80"/>
      <c r="NOH1127" s="80"/>
      <c r="NOI1127" s="80"/>
      <c r="NOJ1127" s="80"/>
      <c r="NOK1127" s="80"/>
      <c r="NOL1127" s="80"/>
      <c r="NOM1127" s="80"/>
      <c r="NON1127" s="80"/>
      <c r="NOO1127" s="80"/>
      <c r="NOP1127" s="80"/>
      <c r="NOQ1127" s="80"/>
      <c r="NOR1127" s="80"/>
      <c r="NOS1127" s="80"/>
      <c r="NOT1127" s="80"/>
      <c r="NOU1127" s="80"/>
      <c r="NOV1127" s="80"/>
      <c r="NOW1127" s="80"/>
      <c r="NOX1127" s="80"/>
      <c r="NOY1127" s="80"/>
      <c r="NOZ1127" s="80"/>
      <c r="NPA1127" s="80"/>
      <c r="NPB1127" s="80"/>
      <c r="NPC1127" s="80"/>
      <c r="NPD1127" s="80"/>
      <c r="NPE1127" s="80"/>
      <c r="NPF1127" s="80"/>
      <c r="NPG1127" s="80"/>
      <c r="NPH1127" s="80"/>
      <c r="NPI1127" s="80"/>
      <c r="NPJ1127" s="80"/>
      <c r="NPK1127" s="80"/>
      <c r="NPL1127" s="80"/>
      <c r="NPM1127" s="80"/>
      <c r="NPN1127" s="80"/>
      <c r="NPO1127" s="80"/>
      <c r="NPP1127" s="80"/>
      <c r="NPQ1127" s="80"/>
      <c r="NPR1127" s="80"/>
      <c r="NPS1127" s="80"/>
      <c r="NPT1127" s="80"/>
      <c r="NPU1127" s="80"/>
      <c r="NPV1127" s="80"/>
      <c r="NPW1127" s="80"/>
      <c r="NPX1127" s="80"/>
      <c r="NPY1127" s="80"/>
      <c r="NPZ1127" s="80"/>
      <c r="NQA1127" s="80"/>
      <c r="NQB1127" s="80"/>
      <c r="NQC1127" s="80"/>
      <c r="NQD1127" s="80"/>
      <c r="NQE1127" s="80"/>
      <c r="NQF1127" s="80"/>
      <c r="NQG1127" s="80"/>
      <c r="NQH1127" s="80"/>
      <c r="NQI1127" s="80"/>
      <c r="NQJ1127" s="80"/>
      <c r="NQK1127" s="80"/>
      <c r="NQL1127" s="80"/>
      <c r="NQM1127" s="80"/>
      <c r="NQN1127" s="80"/>
      <c r="NQO1127" s="80"/>
      <c r="NQP1127" s="80"/>
      <c r="NQQ1127" s="80"/>
      <c r="NQR1127" s="80"/>
      <c r="NQS1127" s="80"/>
      <c r="NQT1127" s="80"/>
      <c r="NQU1127" s="80"/>
      <c r="NQV1127" s="80"/>
      <c r="NQW1127" s="80"/>
      <c r="NQX1127" s="80"/>
      <c r="NQY1127" s="80"/>
      <c r="NQZ1127" s="80"/>
      <c r="NRA1127" s="80"/>
      <c r="NRB1127" s="80"/>
      <c r="NRC1127" s="80"/>
      <c r="NRD1127" s="80"/>
      <c r="NRE1127" s="80"/>
      <c r="NRF1127" s="80"/>
      <c r="NRG1127" s="80"/>
      <c r="NRH1127" s="80"/>
      <c r="NRI1127" s="80"/>
      <c r="NRJ1127" s="80"/>
      <c r="NRK1127" s="80"/>
      <c r="NRL1127" s="80"/>
      <c r="NRM1127" s="80"/>
      <c r="NRN1127" s="80"/>
      <c r="NRO1127" s="80"/>
      <c r="NRP1127" s="80"/>
      <c r="NRQ1127" s="80"/>
      <c r="NRR1127" s="80"/>
      <c r="NRS1127" s="80"/>
      <c r="NRT1127" s="80"/>
      <c r="NRU1127" s="80"/>
      <c r="NRV1127" s="80"/>
      <c r="NRW1127" s="80"/>
      <c r="NRX1127" s="80"/>
      <c r="NRY1127" s="80"/>
      <c r="NRZ1127" s="80"/>
      <c r="NSA1127" s="80"/>
      <c r="NSB1127" s="80"/>
      <c r="NSC1127" s="80"/>
      <c r="NSD1127" s="80"/>
      <c r="NSE1127" s="80"/>
      <c r="NSF1127" s="80"/>
      <c r="NSG1127" s="80"/>
      <c r="NSH1127" s="80"/>
      <c r="NSI1127" s="80"/>
      <c r="NSJ1127" s="80"/>
      <c r="NSK1127" s="80"/>
      <c r="NSL1127" s="80"/>
      <c r="NSM1127" s="80"/>
      <c r="NSN1127" s="80"/>
      <c r="NSO1127" s="80"/>
      <c r="NSP1127" s="80"/>
      <c r="NSQ1127" s="80"/>
      <c r="NSR1127" s="80"/>
      <c r="NSS1127" s="80"/>
      <c r="NST1127" s="80"/>
      <c r="NSU1127" s="80"/>
      <c r="NSV1127" s="80"/>
      <c r="NSW1127" s="80"/>
      <c r="NSX1127" s="80"/>
      <c r="NSY1127" s="80"/>
      <c r="NSZ1127" s="80"/>
      <c r="NTA1127" s="80"/>
      <c r="NTB1127" s="80"/>
      <c r="NTC1127" s="80"/>
      <c r="NTD1127" s="80"/>
      <c r="NTE1127" s="80"/>
      <c r="NTF1127" s="80"/>
      <c r="NTG1127" s="80"/>
      <c r="NTH1127" s="80"/>
      <c r="NTI1127" s="80"/>
      <c r="NTJ1127" s="80"/>
      <c r="NTK1127" s="80"/>
      <c r="NTL1127" s="80"/>
      <c r="NTM1127" s="80"/>
      <c r="NTN1127" s="80"/>
      <c r="NTO1127" s="80"/>
      <c r="NTP1127" s="80"/>
      <c r="NTQ1127" s="80"/>
      <c r="NTR1127" s="80"/>
      <c r="NTS1127" s="80"/>
      <c r="NTT1127" s="80"/>
      <c r="NTU1127" s="80"/>
      <c r="NTV1127" s="80"/>
      <c r="NTW1127" s="80"/>
      <c r="NTX1127" s="80"/>
      <c r="NTY1127" s="80"/>
      <c r="NTZ1127" s="80"/>
      <c r="NUA1127" s="80"/>
      <c r="NUB1127" s="80"/>
      <c r="NUC1127" s="80"/>
      <c r="NUD1127" s="80"/>
      <c r="NUE1127" s="80"/>
      <c r="NUF1127" s="80"/>
      <c r="NUG1127" s="80"/>
      <c r="NUH1127" s="80"/>
      <c r="NUI1127" s="80"/>
      <c r="NUJ1127" s="80"/>
      <c r="NUK1127" s="80"/>
      <c r="NUL1127" s="80"/>
      <c r="NUM1127" s="80"/>
      <c r="NUN1127" s="80"/>
      <c r="NUO1127" s="80"/>
      <c r="NUP1127" s="80"/>
      <c r="NUQ1127" s="80"/>
      <c r="NUR1127" s="80"/>
      <c r="NUS1127" s="80"/>
      <c r="NUT1127" s="80"/>
      <c r="NUU1127" s="80"/>
      <c r="NUV1127" s="80"/>
      <c r="NUW1127" s="80"/>
      <c r="NUX1127" s="80"/>
      <c r="NUY1127" s="80"/>
      <c r="NUZ1127" s="80"/>
      <c r="NVA1127" s="80"/>
      <c r="NVB1127" s="80"/>
      <c r="NVC1127" s="80"/>
      <c r="NVD1127" s="80"/>
      <c r="NVE1127" s="80"/>
      <c r="NVF1127" s="80"/>
      <c r="NVG1127" s="80"/>
      <c r="NVH1127" s="80"/>
      <c r="NVI1127" s="80"/>
      <c r="NVJ1127" s="80"/>
      <c r="NVK1127" s="80"/>
      <c r="NVL1127" s="80"/>
      <c r="NVM1127" s="80"/>
      <c r="NVN1127" s="80"/>
      <c r="NVO1127" s="80"/>
      <c r="NVP1127" s="80"/>
      <c r="NVQ1127" s="80"/>
      <c r="NVR1127" s="80"/>
      <c r="NVS1127" s="80"/>
      <c r="NVT1127" s="80"/>
      <c r="NVU1127" s="80"/>
      <c r="NVV1127" s="80"/>
      <c r="NVW1127" s="80"/>
      <c r="NVX1127" s="80"/>
      <c r="NVY1127" s="80"/>
      <c r="NVZ1127" s="80"/>
      <c r="NWA1127" s="80"/>
      <c r="NWB1127" s="80"/>
      <c r="NWC1127" s="80"/>
      <c r="NWD1127" s="80"/>
      <c r="NWE1127" s="80"/>
      <c r="NWF1127" s="80"/>
      <c r="NWG1127" s="80"/>
      <c r="NWH1127" s="80"/>
      <c r="NWI1127" s="80"/>
      <c r="NWJ1127" s="80"/>
      <c r="NWK1127" s="80"/>
      <c r="NWL1127" s="80"/>
      <c r="NWM1127" s="80"/>
      <c r="NWN1127" s="80"/>
      <c r="NWO1127" s="80"/>
      <c r="NWP1127" s="80"/>
      <c r="NWQ1127" s="80"/>
      <c r="NWR1127" s="80"/>
      <c r="NWS1127" s="80"/>
      <c r="NWT1127" s="80"/>
      <c r="NWU1127" s="80"/>
      <c r="NWV1127" s="80"/>
      <c r="NWW1127" s="80"/>
      <c r="NWX1127" s="80"/>
      <c r="NWY1127" s="80"/>
      <c r="NWZ1127" s="80"/>
      <c r="NXA1127" s="80"/>
      <c r="NXB1127" s="80"/>
      <c r="NXC1127" s="80"/>
      <c r="NXD1127" s="80"/>
      <c r="NXE1127" s="80"/>
      <c r="NXF1127" s="80"/>
      <c r="NXG1127" s="80"/>
      <c r="NXH1127" s="80"/>
      <c r="NXI1127" s="80"/>
      <c r="NXJ1127" s="80"/>
      <c r="NXK1127" s="80"/>
      <c r="NXL1127" s="80"/>
      <c r="NXM1127" s="80"/>
      <c r="NXN1127" s="80"/>
      <c r="NXO1127" s="80"/>
      <c r="NXP1127" s="80"/>
      <c r="NXQ1127" s="80"/>
      <c r="NXR1127" s="80"/>
      <c r="NXS1127" s="80"/>
      <c r="NXT1127" s="80"/>
      <c r="NXU1127" s="80"/>
      <c r="NXV1127" s="80"/>
      <c r="NXW1127" s="80"/>
      <c r="NXX1127" s="80"/>
      <c r="NXY1127" s="80"/>
      <c r="NXZ1127" s="80"/>
      <c r="NYA1127" s="80"/>
      <c r="NYB1127" s="80"/>
      <c r="NYC1127" s="80"/>
      <c r="NYD1127" s="80"/>
      <c r="NYE1127" s="80"/>
      <c r="NYF1127" s="80"/>
      <c r="NYG1127" s="80"/>
      <c r="NYH1127" s="80"/>
      <c r="NYI1127" s="80"/>
      <c r="NYJ1127" s="80"/>
      <c r="NYK1127" s="80"/>
      <c r="NYL1127" s="80"/>
      <c r="NYM1127" s="80"/>
      <c r="NYN1127" s="80"/>
      <c r="NYO1127" s="80"/>
      <c r="NYP1127" s="80"/>
      <c r="NYQ1127" s="80"/>
      <c r="NYR1127" s="80"/>
      <c r="NYS1127" s="80"/>
      <c r="NYT1127" s="80"/>
      <c r="NYU1127" s="80"/>
      <c r="NYV1127" s="80"/>
      <c r="NYW1127" s="80"/>
      <c r="NYX1127" s="80"/>
      <c r="NYY1127" s="80"/>
      <c r="NYZ1127" s="80"/>
      <c r="NZA1127" s="80"/>
      <c r="NZB1127" s="80"/>
      <c r="NZC1127" s="80"/>
      <c r="NZD1127" s="80"/>
      <c r="NZE1127" s="80"/>
      <c r="NZF1127" s="80"/>
      <c r="NZG1127" s="80"/>
      <c r="NZH1127" s="80"/>
      <c r="NZI1127" s="80"/>
      <c r="NZJ1127" s="80"/>
      <c r="NZK1127" s="80"/>
      <c r="NZL1127" s="80"/>
      <c r="NZM1127" s="80"/>
      <c r="NZN1127" s="80"/>
      <c r="NZO1127" s="80"/>
      <c r="NZP1127" s="80"/>
      <c r="NZQ1127" s="80"/>
      <c r="NZR1127" s="80"/>
      <c r="NZS1127" s="80"/>
      <c r="NZT1127" s="80"/>
      <c r="NZU1127" s="80"/>
      <c r="NZV1127" s="80"/>
      <c r="NZW1127" s="80"/>
      <c r="NZX1127" s="80"/>
      <c r="NZY1127" s="80"/>
      <c r="NZZ1127" s="80"/>
      <c r="OAA1127" s="80"/>
      <c r="OAB1127" s="80"/>
      <c r="OAC1127" s="80"/>
      <c r="OAD1127" s="80"/>
      <c r="OAE1127" s="80"/>
      <c r="OAF1127" s="80"/>
      <c r="OAG1127" s="80"/>
      <c r="OAH1127" s="80"/>
      <c r="OAI1127" s="80"/>
      <c r="OAJ1127" s="80"/>
      <c r="OAK1127" s="80"/>
      <c r="OAL1127" s="80"/>
      <c r="OAM1127" s="80"/>
      <c r="OAN1127" s="80"/>
      <c r="OAO1127" s="80"/>
      <c r="OAP1127" s="80"/>
      <c r="OAQ1127" s="80"/>
      <c r="OAR1127" s="80"/>
      <c r="OAS1127" s="80"/>
      <c r="OAT1127" s="80"/>
      <c r="OAU1127" s="80"/>
      <c r="OAV1127" s="80"/>
      <c r="OAW1127" s="80"/>
      <c r="OAX1127" s="80"/>
      <c r="OAY1127" s="80"/>
      <c r="OAZ1127" s="80"/>
      <c r="OBA1127" s="80"/>
      <c r="OBB1127" s="80"/>
      <c r="OBC1127" s="80"/>
      <c r="OBD1127" s="80"/>
      <c r="OBE1127" s="80"/>
      <c r="OBF1127" s="80"/>
      <c r="OBG1127" s="80"/>
      <c r="OBH1127" s="80"/>
      <c r="OBI1127" s="80"/>
      <c r="OBJ1127" s="80"/>
      <c r="OBK1127" s="80"/>
      <c r="OBL1127" s="80"/>
      <c r="OBM1127" s="80"/>
      <c r="OBN1127" s="80"/>
      <c r="OBO1127" s="80"/>
      <c r="OBP1127" s="80"/>
      <c r="OBQ1127" s="80"/>
      <c r="OBR1127" s="80"/>
      <c r="OBS1127" s="80"/>
      <c r="OBT1127" s="80"/>
      <c r="OBU1127" s="80"/>
      <c r="OBV1127" s="80"/>
      <c r="OBW1127" s="80"/>
      <c r="OBX1127" s="80"/>
      <c r="OBY1127" s="80"/>
      <c r="OBZ1127" s="80"/>
      <c r="OCA1127" s="80"/>
      <c r="OCB1127" s="80"/>
      <c r="OCC1127" s="80"/>
      <c r="OCD1127" s="80"/>
      <c r="OCE1127" s="80"/>
      <c r="OCF1127" s="80"/>
      <c r="OCG1127" s="80"/>
      <c r="OCH1127" s="80"/>
      <c r="OCI1127" s="80"/>
      <c r="OCJ1127" s="80"/>
      <c r="OCK1127" s="80"/>
      <c r="OCL1127" s="80"/>
      <c r="OCM1127" s="80"/>
      <c r="OCN1127" s="80"/>
      <c r="OCO1127" s="80"/>
      <c r="OCP1127" s="80"/>
      <c r="OCQ1127" s="80"/>
      <c r="OCR1127" s="80"/>
      <c r="OCS1127" s="80"/>
      <c r="OCT1127" s="80"/>
      <c r="OCU1127" s="80"/>
      <c r="OCV1127" s="80"/>
      <c r="OCW1127" s="80"/>
      <c r="OCX1127" s="80"/>
      <c r="OCY1127" s="80"/>
      <c r="OCZ1127" s="80"/>
      <c r="ODA1127" s="80"/>
      <c r="ODB1127" s="80"/>
      <c r="ODC1127" s="80"/>
      <c r="ODD1127" s="80"/>
      <c r="ODE1127" s="80"/>
      <c r="ODF1127" s="80"/>
      <c r="ODG1127" s="80"/>
      <c r="ODH1127" s="80"/>
      <c r="ODI1127" s="80"/>
      <c r="ODJ1127" s="80"/>
      <c r="ODK1127" s="80"/>
      <c r="ODL1127" s="80"/>
      <c r="ODM1127" s="80"/>
      <c r="ODN1127" s="80"/>
      <c r="ODO1127" s="80"/>
      <c r="ODP1127" s="80"/>
      <c r="ODQ1127" s="80"/>
      <c r="ODR1127" s="80"/>
      <c r="ODS1127" s="80"/>
      <c r="ODT1127" s="80"/>
      <c r="ODU1127" s="80"/>
      <c r="ODV1127" s="80"/>
      <c r="ODW1127" s="80"/>
      <c r="ODX1127" s="80"/>
      <c r="ODY1127" s="80"/>
      <c r="ODZ1127" s="80"/>
      <c r="OEA1127" s="80"/>
      <c r="OEB1127" s="80"/>
      <c r="OEC1127" s="80"/>
      <c r="OED1127" s="80"/>
      <c r="OEE1127" s="80"/>
      <c r="OEF1127" s="80"/>
      <c r="OEG1127" s="80"/>
      <c r="OEH1127" s="80"/>
      <c r="OEI1127" s="80"/>
      <c r="OEJ1127" s="80"/>
      <c r="OEK1127" s="80"/>
      <c r="OEL1127" s="80"/>
      <c r="OEM1127" s="80"/>
      <c r="OEN1127" s="80"/>
      <c r="OEO1127" s="80"/>
      <c r="OEP1127" s="80"/>
      <c r="OEQ1127" s="80"/>
      <c r="OER1127" s="80"/>
      <c r="OES1127" s="80"/>
      <c r="OET1127" s="80"/>
      <c r="OEU1127" s="80"/>
      <c r="OEV1127" s="80"/>
      <c r="OEW1127" s="80"/>
      <c r="OEX1127" s="80"/>
      <c r="OEY1127" s="80"/>
      <c r="OEZ1127" s="80"/>
      <c r="OFA1127" s="80"/>
      <c r="OFB1127" s="80"/>
      <c r="OFC1127" s="80"/>
      <c r="OFD1127" s="80"/>
      <c r="OFE1127" s="80"/>
      <c r="OFF1127" s="80"/>
      <c r="OFG1127" s="80"/>
      <c r="OFH1127" s="80"/>
      <c r="OFI1127" s="80"/>
      <c r="OFJ1127" s="80"/>
      <c r="OFK1127" s="80"/>
      <c r="OFL1127" s="80"/>
      <c r="OFM1127" s="80"/>
      <c r="OFN1127" s="80"/>
      <c r="OFO1127" s="80"/>
      <c r="OFP1127" s="80"/>
      <c r="OFQ1127" s="80"/>
      <c r="OFR1127" s="80"/>
      <c r="OFS1127" s="80"/>
      <c r="OFT1127" s="80"/>
      <c r="OFU1127" s="80"/>
      <c r="OFV1127" s="80"/>
      <c r="OFW1127" s="80"/>
      <c r="OFX1127" s="80"/>
      <c r="OFY1127" s="80"/>
      <c r="OFZ1127" s="80"/>
      <c r="OGA1127" s="80"/>
      <c r="OGB1127" s="80"/>
      <c r="OGC1127" s="80"/>
      <c r="OGD1127" s="80"/>
      <c r="OGE1127" s="80"/>
      <c r="OGF1127" s="80"/>
      <c r="OGG1127" s="80"/>
      <c r="OGH1127" s="80"/>
      <c r="OGI1127" s="80"/>
      <c r="OGJ1127" s="80"/>
      <c r="OGK1127" s="80"/>
      <c r="OGL1127" s="80"/>
      <c r="OGM1127" s="80"/>
      <c r="OGN1127" s="80"/>
      <c r="OGO1127" s="80"/>
      <c r="OGP1127" s="80"/>
      <c r="OGQ1127" s="80"/>
      <c r="OGR1127" s="80"/>
      <c r="OGS1127" s="80"/>
      <c r="OGT1127" s="80"/>
      <c r="OGU1127" s="80"/>
      <c r="OGV1127" s="80"/>
      <c r="OGW1127" s="80"/>
      <c r="OGX1127" s="80"/>
      <c r="OGY1127" s="80"/>
      <c r="OGZ1127" s="80"/>
      <c r="OHA1127" s="80"/>
      <c r="OHB1127" s="80"/>
      <c r="OHC1127" s="80"/>
      <c r="OHD1127" s="80"/>
      <c r="OHE1127" s="80"/>
      <c r="OHF1127" s="80"/>
      <c r="OHG1127" s="80"/>
      <c r="OHH1127" s="80"/>
      <c r="OHI1127" s="80"/>
      <c r="OHJ1127" s="80"/>
      <c r="OHK1127" s="80"/>
      <c r="OHL1127" s="80"/>
      <c r="OHM1127" s="80"/>
      <c r="OHN1127" s="80"/>
      <c r="OHO1127" s="80"/>
      <c r="OHP1127" s="80"/>
      <c r="OHQ1127" s="80"/>
      <c r="OHR1127" s="80"/>
      <c r="OHS1127" s="80"/>
      <c r="OHT1127" s="80"/>
      <c r="OHU1127" s="80"/>
      <c r="OHV1127" s="80"/>
      <c r="OHW1127" s="80"/>
      <c r="OHX1127" s="80"/>
      <c r="OHY1127" s="80"/>
      <c r="OHZ1127" s="80"/>
      <c r="OIA1127" s="80"/>
      <c r="OIB1127" s="80"/>
      <c r="OIC1127" s="80"/>
      <c r="OID1127" s="80"/>
      <c r="OIE1127" s="80"/>
      <c r="OIF1127" s="80"/>
      <c r="OIG1127" s="80"/>
      <c r="OIH1127" s="80"/>
      <c r="OII1127" s="80"/>
      <c r="OIJ1127" s="80"/>
      <c r="OIK1127" s="80"/>
      <c r="OIL1127" s="80"/>
      <c r="OIM1127" s="80"/>
      <c r="OIN1127" s="80"/>
      <c r="OIO1127" s="80"/>
      <c r="OIP1127" s="80"/>
      <c r="OIQ1127" s="80"/>
      <c r="OIR1127" s="80"/>
      <c r="OIS1127" s="80"/>
      <c r="OIT1127" s="80"/>
      <c r="OIU1127" s="80"/>
      <c r="OIV1127" s="80"/>
      <c r="OIW1127" s="80"/>
      <c r="OIX1127" s="80"/>
      <c r="OIY1127" s="80"/>
      <c r="OIZ1127" s="80"/>
      <c r="OJA1127" s="80"/>
      <c r="OJB1127" s="80"/>
      <c r="OJC1127" s="80"/>
      <c r="OJD1127" s="80"/>
      <c r="OJE1127" s="80"/>
      <c r="OJF1127" s="80"/>
      <c r="OJG1127" s="80"/>
      <c r="OJH1127" s="80"/>
      <c r="OJI1127" s="80"/>
      <c r="OJJ1127" s="80"/>
      <c r="OJK1127" s="80"/>
      <c r="OJL1127" s="80"/>
      <c r="OJM1127" s="80"/>
      <c r="OJN1127" s="80"/>
      <c r="OJO1127" s="80"/>
      <c r="OJP1127" s="80"/>
      <c r="OJQ1127" s="80"/>
      <c r="OJR1127" s="80"/>
      <c r="OJS1127" s="80"/>
      <c r="OJT1127" s="80"/>
      <c r="OJU1127" s="80"/>
      <c r="OJV1127" s="80"/>
      <c r="OJW1127" s="80"/>
      <c r="OJX1127" s="80"/>
      <c r="OJY1127" s="80"/>
      <c r="OJZ1127" s="80"/>
      <c r="OKA1127" s="80"/>
      <c r="OKB1127" s="80"/>
      <c r="OKC1127" s="80"/>
      <c r="OKD1127" s="80"/>
      <c r="OKE1127" s="80"/>
      <c r="OKF1127" s="80"/>
      <c r="OKG1127" s="80"/>
      <c r="OKH1127" s="80"/>
      <c r="OKI1127" s="80"/>
      <c r="OKJ1127" s="80"/>
      <c r="OKK1127" s="80"/>
      <c r="OKL1127" s="80"/>
      <c r="OKM1127" s="80"/>
      <c r="OKN1127" s="80"/>
      <c r="OKO1127" s="80"/>
      <c r="OKP1127" s="80"/>
      <c r="OKQ1127" s="80"/>
      <c r="OKR1127" s="80"/>
      <c r="OKS1127" s="80"/>
      <c r="OKT1127" s="80"/>
      <c r="OKU1127" s="80"/>
      <c r="OKV1127" s="80"/>
      <c r="OKW1127" s="80"/>
      <c r="OKX1127" s="80"/>
      <c r="OKY1127" s="80"/>
      <c r="OKZ1127" s="80"/>
      <c r="OLA1127" s="80"/>
      <c r="OLB1127" s="80"/>
      <c r="OLC1127" s="80"/>
      <c r="OLD1127" s="80"/>
      <c r="OLE1127" s="80"/>
      <c r="OLF1127" s="80"/>
      <c r="OLG1127" s="80"/>
      <c r="OLH1127" s="80"/>
      <c r="OLI1127" s="80"/>
      <c r="OLJ1127" s="80"/>
      <c r="OLK1127" s="80"/>
      <c r="OLL1127" s="80"/>
      <c r="OLM1127" s="80"/>
      <c r="OLN1127" s="80"/>
      <c r="OLO1127" s="80"/>
      <c r="OLP1127" s="80"/>
      <c r="OLQ1127" s="80"/>
      <c r="OLR1127" s="80"/>
      <c r="OLS1127" s="80"/>
      <c r="OLT1127" s="80"/>
      <c r="OLU1127" s="80"/>
      <c r="OLV1127" s="80"/>
      <c r="OLW1127" s="80"/>
      <c r="OLX1127" s="80"/>
      <c r="OLY1127" s="80"/>
      <c r="OLZ1127" s="80"/>
      <c r="OMA1127" s="80"/>
      <c r="OMB1127" s="80"/>
      <c r="OMC1127" s="80"/>
      <c r="OMD1127" s="80"/>
      <c r="OME1127" s="80"/>
      <c r="OMF1127" s="80"/>
      <c r="OMG1127" s="80"/>
      <c r="OMH1127" s="80"/>
      <c r="OMI1127" s="80"/>
      <c r="OMJ1127" s="80"/>
      <c r="OMK1127" s="80"/>
      <c r="OML1127" s="80"/>
      <c r="OMM1127" s="80"/>
      <c r="OMN1127" s="80"/>
      <c r="OMO1127" s="80"/>
      <c r="OMP1127" s="80"/>
      <c r="OMQ1127" s="80"/>
      <c r="OMR1127" s="80"/>
      <c r="OMS1127" s="80"/>
      <c r="OMT1127" s="80"/>
      <c r="OMU1127" s="80"/>
      <c r="OMV1127" s="80"/>
      <c r="OMW1127" s="80"/>
      <c r="OMX1127" s="80"/>
      <c r="OMY1127" s="80"/>
      <c r="OMZ1127" s="80"/>
      <c r="ONA1127" s="80"/>
      <c r="ONB1127" s="80"/>
      <c r="ONC1127" s="80"/>
      <c r="OND1127" s="80"/>
      <c r="ONE1127" s="80"/>
      <c r="ONF1127" s="80"/>
      <c r="ONG1127" s="80"/>
      <c r="ONH1127" s="80"/>
      <c r="ONI1127" s="80"/>
      <c r="ONJ1127" s="80"/>
      <c r="ONK1127" s="80"/>
      <c r="ONL1127" s="80"/>
      <c r="ONM1127" s="80"/>
      <c r="ONN1127" s="80"/>
      <c r="ONO1127" s="80"/>
      <c r="ONP1127" s="80"/>
      <c r="ONQ1127" s="80"/>
      <c r="ONR1127" s="80"/>
      <c r="ONS1127" s="80"/>
      <c r="ONT1127" s="80"/>
      <c r="ONU1127" s="80"/>
      <c r="ONV1127" s="80"/>
      <c r="ONW1127" s="80"/>
      <c r="ONX1127" s="80"/>
      <c r="ONY1127" s="80"/>
      <c r="ONZ1127" s="80"/>
      <c r="OOA1127" s="80"/>
      <c r="OOB1127" s="80"/>
      <c r="OOC1127" s="80"/>
      <c r="OOD1127" s="80"/>
      <c r="OOE1127" s="80"/>
      <c r="OOF1127" s="80"/>
      <c r="OOG1127" s="80"/>
      <c r="OOH1127" s="80"/>
      <c r="OOI1127" s="80"/>
      <c r="OOJ1127" s="80"/>
      <c r="OOK1127" s="80"/>
      <c r="OOL1127" s="80"/>
      <c r="OOM1127" s="80"/>
      <c r="OON1127" s="80"/>
      <c r="OOO1127" s="80"/>
      <c r="OOP1127" s="80"/>
      <c r="OOQ1127" s="80"/>
      <c r="OOR1127" s="80"/>
      <c r="OOS1127" s="80"/>
      <c r="OOT1127" s="80"/>
      <c r="OOU1127" s="80"/>
      <c r="OOV1127" s="80"/>
      <c r="OOW1127" s="80"/>
      <c r="OOX1127" s="80"/>
      <c r="OOY1127" s="80"/>
      <c r="OOZ1127" s="80"/>
      <c r="OPA1127" s="80"/>
      <c r="OPB1127" s="80"/>
      <c r="OPC1127" s="80"/>
      <c r="OPD1127" s="80"/>
      <c r="OPE1127" s="80"/>
      <c r="OPF1127" s="80"/>
      <c r="OPG1127" s="80"/>
      <c r="OPH1127" s="80"/>
      <c r="OPI1127" s="80"/>
      <c r="OPJ1127" s="80"/>
      <c r="OPK1127" s="80"/>
      <c r="OPL1127" s="80"/>
      <c r="OPM1127" s="80"/>
      <c r="OPN1127" s="80"/>
      <c r="OPO1127" s="80"/>
      <c r="OPP1127" s="80"/>
      <c r="OPQ1127" s="80"/>
      <c r="OPR1127" s="80"/>
      <c r="OPS1127" s="80"/>
      <c r="OPT1127" s="80"/>
      <c r="OPU1127" s="80"/>
      <c r="OPV1127" s="80"/>
      <c r="OPW1127" s="80"/>
      <c r="OPX1127" s="80"/>
      <c r="OPY1127" s="80"/>
      <c r="OPZ1127" s="80"/>
      <c r="OQA1127" s="80"/>
      <c r="OQB1127" s="80"/>
      <c r="OQC1127" s="80"/>
      <c r="OQD1127" s="80"/>
      <c r="OQE1127" s="80"/>
      <c r="OQF1127" s="80"/>
      <c r="OQG1127" s="80"/>
      <c r="OQH1127" s="80"/>
      <c r="OQI1127" s="80"/>
      <c r="OQJ1127" s="80"/>
      <c r="OQK1127" s="80"/>
      <c r="OQL1127" s="80"/>
      <c r="OQM1127" s="80"/>
      <c r="OQN1127" s="80"/>
      <c r="OQO1127" s="80"/>
      <c r="OQP1127" s="80"/>
      <c r="OQQ1127" s="80"/>
      <c r="OQR1127" s="80"/>
      <c r="OQS1127" s="80"/>
      <c r="OQT1127" s="80"/>
      <c r="OQU1127" s="80"/>
      <c r="OQV1127" s="80"/>
      <c r="OQW1127" s="80"/>
      <c r="OQX1127" s="80"/>
      <c r="OQY1127" s="80"/>
      <c r="OQZ1127" s="80"/>
      <c r="ORA1127" s="80"/>
      <c r="ORB1127" s="80"/>
      <c r="ORC1127" s="80"/>
      <c r="ORD1127" s="80"/>
      <c r="ORE1127" s="80"/>
      <c r="ORF1127" s="80"/>
      <c r="ORG1127" s="80"/>
      <c r="ORH1127" s="80"/>
      <c r="ORI1127" s="80"/>
      <c r="ORJ1127" s="80"/>
      <c r="ORK1127" s="80"/>
      <c r="ORL1127" s="80"/>
      <c r="ORM1127" s="80"/>
      <c r="ORN1127" s="80"/>
      <c r="ORO1127" s="80"/>
      <c r="ORP1127" s="80"/>
      <c r="ORQ1127" s="80"/>
      <c r="ORR1127" s="80"/>
      <c r="ORS1127" s="80"/>
      <c r="ORT1127" s="80"/>
      <c r="ORU1127" s="80"/>
      <c r="ORV1127" s="80"/>
      <c r="ORW1127" s="80"/>
      <c r="ORX1127" s="80"/>
      <c r="ORY1127" s="80"/>
      <c r="ORZ1127" s="80"/>
      <c r="OSA1127" s="80"/>
      <c r="OSB1127" s="80"/>
      <c r="OSC1127" s="80"/>
      <c r="OSD1127" s="80"/>
      <c r="OSE1127" s="80"/>
      <c r="OSF1127" s="80"/>
      <c r="OSG1127" s="80"/>
      <c r="OSH1127" s="80"/>
      <c r="OSI1127" s="80"/>
      <c r="OSJ1127" s="80"/>
      <c r="OSK1127" s="80"/>
      <c r="OSL1127" s="80"/>
      <c r="OSM1127" s="80"/>
      <c r="OSN1127" s="80"/>
      <c r="OSO1127" s="80"/>
      <c r="OSP1127" s="80"/>
      <c r="OSQ1127" s="80"/>
      <c r="OSR1127" s="80"/>
      <c r="OSS1127" s="80"/>
      <c r="OST1127" s="80"/>
      <c r="OSU1127" s="80"/>
      <c r="OSV1127" s="80"/>
      <c r="OSW1127" s="80"/>
      <c r="OSX1127" s="80"/>
      <c r="OSY1127" s="80"/>
      <c r="OSZ1127" s="80"/>
      <c r="OTA1127" s="80"/>
      <c r="OTB1127" s="80"/>
      <c r="OTC1127" s="80"/>
      <c r="OTD1127" s="80"/>
      <c r="OTE1127" s="80"/>
      <c r="OTF1127" s="80"/>
      <c r="OTG1127" s="80"/>
      <c r="OTH1127" s="80"/>
      <c r="OTI1127" s="80"/>
      <c r="OTJ1127" s="80"/>
      <c r="OTK1127" s="80"/>
      <c r="OTL1127" s="80"/>
      <c r="OTM1127" s="80"/>
      <c r="OTN1127" s="80"/>
      <c r="OTO1127" s="80"/>
      <c r="OTP1127" s="80"/>
      <c r="OTQ1127" s="80"/>
      <c r="OTR1127" s="80"/>
      <c r="OTS1127" s="80"/>
      <c r="OTT1127" s="80"/>
      <c r="OTU1127" s="80"/>
      <c r="OTV1127" s="80"/>
      <c r="OTW1127" s="80"/>
      <c r="OTX1127" s="80"/>
      <c r="OTY1127" s="80"/>
      <c r="OTZ1127" s="80"/>
      <c r="OUA1127" s="80"/>
      <c r="OUB1127" s="80"/>
      <c r="OUC1127" s="80"/>
      <c r="OUD1127" s="80"/>
      <c r="OUE1127" s="80"/>
      <c r="OUF1127" s="80"/>
      <c r="OUG1127" s="80"/>
      <c r="OUH1127" s="80"/>
      <c r="OUI1127" s="80"/>
      <c r="OUJ1127" s="80"/>
      <c r="OUK1127" s="80"/>
      <c r="OUL1127" s="80"/>
      <c r="OUM1127" s="80"/>
      <c r="OUN1127" s="80"/>
      <c r="OUO1127" s="80"/>
      <c r="OUP1127" s="80"/>
      <c r="OUQ1127" s="80"/>
      <c r="OUR1127" s="80"/>
      <c r="OUS1127" s="80"/>
      <c r="OUT1127" s="80"/>
      <c r="OUU1127" s="80"/>
      <c r="OUV1127" s="80"/>
      <c r="OUW1127" s="80"/>
      <c r="OUX1127" s="80"/>
      <c r="OUY1127" s="80"/>
      <c r="OUZ1127" s="80"/>
      <c r="OVA1127" s="80"/>
      <c r="OVB1127" s="80"/>
      <c r="OVC1127" s="80"/>
      <c r="OVD1127" s="80"/>
      <c r="OVE1127" s="80"/>
      <c r="OVF1127" s="80"/>
      <c r="OVG1127" s="80"/>
      <c r="OVH1127" s="80"/>
      <c r="OVI1127" s="80"/>
      <c r="OVJ1127" s="80"/>
      <c r="OVK1127" s="80"/>
      <c r="OVL1127" s="80"/>
      <c r="OVM1127" s="80"/>
      <c r="OVN1127" s="80"/>
      <c r="OVO1127" s="80"/>
      <c r="OVP1127" s="80"/>
      <c r="OVQ1127" s="80"/>
      <c r="OVR1127" s="80"/>
      <c r="OVS1127" s="80"/>
      <c r="OVT1127" s="80"/>
      <c r="OVU1127" s="80"/>
      <c r="OVV1127" s="80"/>
      <c r="OVW1127" s="80"/>
      <c r="OVX1127" s="80"/>
      <c r="OVY1127" s="80"/>
      <c r="OVZ1127" s="80"/>
      <c r="OWA1127" s="80"/>
      <c r="OWB1127" s="80"/>
      <c r="OWC1127" s="80"/>
      <c r="OWD1127" s="80"/>
      <c r="OWE1127" s="80"/>
      <c r="OWF1127" s="80"/>
      <c r="OWG1127" s="80"/>
      <c r="OWH1127" s="80"/>
      <c r="OWI1127" s="80"/>
      <c r="OWJ1127" s="80"/>
      <c r="OWK1127" s="80"/>
      <c r="OWL1127" s="80"/>
      <c r="OWM1127" s="80"/>
      <c r="OWN1127" s="80"/>
      <c r="OWO1127" s="80"/>
      <c r="OWP1127" s="80"/>
      <c r="OWQ1127" s="80"/>
      <c r="OWR1127" s="80"/>
      <c r="OWS1127" s="80"/>
      <c r="OWT1127" s="80"/>
      <c r="OWU1127" s="80"/>
      <c r="OWV1127" s="80"/>
      <c r="OWW1127" s="80"/>
      <c r="OWX1127" s="80"/>
      <c r="OWY1127" s="80"/>
      <c r="OWZ1127" s="80"/>
      <c r="OXA1127" s="80"/>
      <c r="OXB1127" s="80"/>
      <c r="OXC1127" s="80"/>
      <c r="OXD1127" s="80"/>
      <c r="OXE1127" s="80"/>
      <c r="OXF1127" s="80"/>
      <c r="OXG1127" s="80"/>
      <c r="OXH1127" s="80"/>
      <c r="OXI1127" s="80"/>
      <c r="OXJ1127" s="80"/>
      <c r="OXK1127" s="80"/>
      <c r="OXL1127" s="80"/>
      <c r="OXM1127" s="80"/>
      <c r="OXN1127" s="80"/>
      <c r="OXO1127" s="80"/>
      <c r="OXP1127" s="80"/>
      <c r="OXQ1127" s="80"/>
      <c r="OXR1127" s="80"/>
      <c r="OXS1127" s="80"/>
      <c r="OXT1127" s="80"/>
      <c r="OXU1127" s="80"/>
      <c r="OXV1127" s="80"/>
      <c r="OXW1127" s="80"/>
      <c r="OXX1127" s="80"/>
      <c r="OXY1127" s="80"/>
      <c r="OXZ1127" s="80"/>
      <c r="OYA1127" s="80"/>
      <c r="OYB1127" s="80"/>
      <c r="OYC1127" s="80"/>
      <c r="OYD1127" s="80"/>
      <c r="OYE1127" s="80"/>
      <c r="OYF1127" s="80"/>
      <c r="OYG1127" s="80"/>
      <c r="OYH1127" s="80"/>
      <c r="OYI1127" s="80"/>
      <c r="OYJ1127" s="80"/>
      <c r="OYK1127" s="80"/>
      <c r="OYL1127" s="80"/>
      <c r="OYM1127" s="80"/>
      <c r="OYN1127" s="80"/>
      <c r="OYO1127" s="80"/>
      <c r="OYP1127" s="80"/>
      <c r="OYQ1127" s="80"/>
      <c r="OYR1127" s="80"/>
      <c r="OYS1127" s="80"/>
      <c r="OYT1127" s="80"/>
      <c r="OYU1127" s="80"/>
      <c r="OYV1127" s="80"/>
      <c r="OYW1127" s="80"/>
      <c r="OYX1127" s="80"/>
      <c r="OYY1127" s="80"/>
      <c r="OYZ1127" s="80"/>
      <c r="OZA1127" s="80"/>
      <c r="OZB1127" s="80"/>
      <c r="OZC1127" s="80"/>
      <c r="OZD1127" s="80"/>
      <c r="OZE1127" s="80"/>
      <c r="OZF1127" s="80"/>
      <c r="OZG1127" s="80"/>
      <c r="OZH1127" s="80"/>
      <c r="OZI1127" s="80"/>
      <c r="OZJ1127" s="80"/>
      <c r="OZK1127" s="80"/>
      <c r="OZL1127" s="80"/>
      <c r="OZM1127" s="80"/>
      <c r="OZN1127" s="80"/>
      <c r="OZO1127" s="80"/>
      <c r="OZP1127" s="80"/>
      <c r="OZQ1127" s="80"/>
      <c r="OZR1127" s="80"/>
      <c r="OZS1127" s="80"/>
      <c r="OZT1127" s="80"/>
      <c r="OZU1127" s="80"/>
      <c r="OZV1127" s="80"/>
      <c r="OZW1127" s="80"/>
      <c r="OZX1127" s="80"/>
      <c r="OZY1127" s="80"/>
      <c r="OZZ1127" s="80"/>
      <c r="PAA1127" s="80"/>
      <c r="PAB1127" s="80"/>
      <c r="PAC1127" s="80"/>
      <c r="PAD1127" s="80"/>
      <c r="PAE1127" s="80"/>
      <c r="PAF1127" s="80"/>
      <c r="PAG1127" s="80"/>
      <c r="PAH1127" s="80"/>
      <c r="PAI1127" s="80"/>
      <c r="PAJ1127" s="80"/>
      <c r="PAK1127" s="80"/>
      <c r="PAL1127" s="80"/>
      <c r="PAM1127" s="80"/>
      <c r="PAN1127" s="80"/>
      <c r="PAO1127" s="80"/>
      <c r="PAP1127" s="80"/>
      <c r="PAQ1127" s="80"/>
      <c r="PAR1127" s="80"/>
      <c r="PAS1127" s="80"/>
      <c r="PAT1127" s="80"/>
      <c r="PAU1127" s="80"/>
      <c r="PAV1127" s="80"/>
      <c r="PAW1127" s="80"/>
      <c r="PAX1127" s="80"/>
      <c r="PAY1127" s="80"/>
      <c r="PAZ1127" s="80"/>
      <c r="PBA1127" s="80"/>
      <c r="PBB1127" s="80"/>
      <c r="PBC1127" s="80"/>
      <c r="PBD1127" s="80"/>
      <c r="PBE1127" s="80"/>
      <c r="PBF1127" s="80"/>
      <c r="PBG1127" s="80"/>
      <c r="PBH1127" s="80"/>
      <c r="PBI1127" s="80"/>
      <c r="PBJ1127" s="80"/>
      <c r="PBK1127" s="80"/>
      <c r="PBL1127" s="80"/>
      <c r="PBM1127" s="80"/>
      <c r="PBN1127" s="80"/>
      <c r="PBO1127" s="80"/>
      <c r="PBP1127" s="80"/>
      <c r="PBQ1127" s="80"/>
      <c r="PBR1127" s="80"/>
      <c r="PBS1127" s="80"/>
      <c r="PBT1127" s="80"/>
      <c r="PBU1127" s="80"/>
      <c r="PBV1127" s="80"/>
      <c r="PBW1127" s="80"/>
      <c r="PBX1127" s="80"/>
      <c r="PBY1127" s="80"/>
      <c r="PBZ1127" s="80"/>
      <c r="PCA1127" s="80"/>
      <c r="PCB1127" s="80"/>
      <c r="PCC1127" s="80"/>
      <c r="PCD1127" s="80"/>
      <c r="PCE1127" s="80"/>
      <c r="PCF1127" s="80"/>
      <c r="PCG1127" s="80"/>
      <c r="PCH1127" s="80"/>
      <c r="PCI1127" s="80"/>
      <c r="PCJ1127" s="80"/>
      <c r="PCK1127" s="80"/>
      <c r="PCL1127" s="80"/>
      <c r="PCM1127" s="80"/>
      <c r="PCN1127" s="80"/>
      <c r="PCO1127" s="80"/>
      <c r="PCP1127" s="80"/>
      <c r="PCQ1127" s="80"/>
      <c r="PCR1127" s="80"/>
      <c r="PCS1127" s="80"/>
      <c r="PCT1127" s="80"/>
      <c r="PCU1127" s="80"/>
      <c r="PCV1127" s="80"/>
      <c r="PCW1127" s="80"/>
      <c r="PCX1127" s="80"/>
      <c r="PCY1127" s="80"/>
      <c r="PCZ1127" s="80"/>
      <c r="PDA1127" s="80"/>
      <c r="PDB1127" s="80"/>
      <c r="PDC1127" s="80"/>
      <c r="PDD1127" s="80"/>
      <c r="PDE1127" s="80"/>
      <c r="PDF1127" s="80"/>
      <c r="PDG1127" s="80"/>
      <c r="PDH1127" s="80"/>
      <c r="PDI1127" s="80"/>
      <c r="PDJ1127" s="80"/>
      <c r="PDK1127" s="80"/>
      <c r="PDL1127" s="80"/>
      <c r="PDM1127" s="80"/>
      <c r="PDN1127" s="80"/>
      <c r="PDO1127" s="80"/>
      <c r="PDP1127" s="80"/>
      <c r="PDQ1127" s="80"/>
      <c r="PDR1127" s="80"/>
      <c r="PDS1127" s="80"/>
      <c r="PDT1127" s="80"/>
      <c r="PDU1127" s="80"/>
      <c r="PDV1127" s="80"/>
      <c r="PDW1127" s="80"/>
      <c r="PDX1127" s="80"/>
      <c r="PDY1127" s="80"/>
      <c r="PDZ1127" s="80"/>
      <c r="PEA1127" s="80"/>
      <c r="PEB1127" s="80"/>
      <c r="PEC1127" s="80"/>
      <c r="PED1127" s="80"/>
      <c r="PEE1127" s="80"/>
      <c r="PEF1127" s="80"/>
      <c r="PEG1127" s="80"/>
      <c r="PEH1127" s="80"/>
      <c r="PEI1127" s="80"/>
      <c r="PEJ1127" s="80"/>
      <c r="PEK1127" s="80"/>
      <c r="PEL1127" s="80"/>
      <c r="PEM1127" s="80"/>
      <c r="PEN1127" s="80"/>
      <c r="PEO1127" s="80"/>
      <c r="PEP1127" s="80"/>
      <c r="PEQ1127" s="80"/>
      <c r="PER1127" s="80"/>
      <c r="PES1127" s="80"/>
      <c r="PET1127" s="80"/>
      <c r="PEU1127" s="80"/>
      <c r="PEV1127" s="80"/>
      <c r="PEW1127" s="80"/>
      <c r="PEX1127" s="80"/>
      <c r="PEY1127" s="80"/>
      <c r="PEZ1127" s="80"/>
      <c r="PFA1127" s="80"/>
      <c r="PFB1127" s="80"/>
      <c r="PFC1127" s="80"/>
      <c r="PFD1127" s="80"/>
      <c r="PFE1127" s="80"/>
      <c r="PFF1127" s="80"/>
      <c r="PFG1127" s="80"/>
      <c r="PFH1127" s="80"/>
      <c r="PFI1127" s="80"/>
      <c r="PFJ1127" s="80"/>
      <c r="PFK1127" s="80"/>
      <c r="PFL1127" s="80"/>
      <c r="PFM1127" s="80"/>
      <c r="PFN1127" s="80"/>
      <c r="PFO1127" s="80"/>
      <c r="PFP1127" s="80"/>
      <c r="PFQ1127" s="80"/>
      <c r="PFR1127" s="80"/>
      <c r="PFS1127" s="80"/>
      <c r="PFT1127" s="80"/>
      <c r="PFU1127" s="80"/>
      <c r="PFV1127" s="80"/>
      <c r="PFW1127" s="80"/>
      <c r="PFX1127" s="80"/>
      <c r="PFY1127" s="80"/>
      <c r="PFZ1127" s="80"/>
      <c r="PGA1127" s="80"/>
      <c r="PGB1127" s="80"/>
      <c r="PGC1127" s="80"/>
      <c r="PGD1127" s="80"/>
      <c r="PGE1127" s="80"/>
      <c r="PGF1127" s="80"/>
      <c r="PGG1127" s="80"/>
      <c r="PGH1127" s="80"/>
      <c r="PGI1127" s="80"/>
      <c r="PGJ1127" s="80"/>
      <c r="PGK1127" s="80"/>
      <c r="PGL1127" s="80"/>
      <c r="PGM1127" s="80"/>
      <c r="PGN1127" s="80"/>
      <c r="PGO1127" s="80"/>
      <c r="PGP1127" s="80"/>
      <c r="PGQ1127" s="80"/>
      <c r="PGR1127" s="80"/>
      <c r="PGS1127" s="80"/>
      <c r="PGT1127" s="80"/>
      <c r="PGU1127" s="80"/>
      <c r="PGV1127" s="80"/>
      <c r="PGW1127" s="80"/>
      <c r="PGX1127" s="80"/>
      <c r="PGY1127" s="80"/>
      <c r="PGZ1127" s="80"/>
      <c r="PHA1127" s="80"/>
      <c r="PHB1127" s="80"/>
      <c r="PHC1127" s="80"/>
      <c r="PHD1127" s="80"/>
      <c r="PHE1127" s="80"/>
      <c r="PHF1127" s="80"/>
      <c r="PHG1127" s="80"/>
      <c r="PHH1127" s="80"/>
      <c r="PHI1127" s="80"/>
      <c r="PHJ1127" s="80"/>
      <c r="PHK1127" s="80"/>
      <c r="PHL1127" s="80"/>
      <c r="PHM1127" s="80"/>
      <c r="PHN1127" s="80"/>
      <c r="PHO1127" s="80"/>
      <c r="PHP1127" s="80"/>
      <c r="PHQ1127" s="80"/>
      <c r="PHR1127" s="80"/>
      <c r="PHS1127" s="80"/>
      <c r="PHT1127" s="80"/>
      <c r="PHU1127" s="80"/>
      <c r="PHV1127" s="80"/>
      <c r="PHW1127" s="80"/>
      <c r="PHX1127" s="80"/>
      <c r="PHY1127" s="80"/>
      <c r="PHZ1127" s="80"/>
      <c r="PIA1127" s="80"/>
      <c r="PIB1127" s="80"/>
      <c r="PIC1127" s="80"/>
      <c r="PID1127" s="80"/>
      <c r="PIE1127" s="80"/>
      <c r="PIF1127" s="80"/>
      <c r="PIG1127" s="80"/>
      <c r="PIH1127" s="80"/>
      <c r="PII1127" s="80"/>
      <c r="PIJ1127" s="80"/>
      <c r="PIK1127" s="80"/>
      <c r="PIL1127" s="80"/>
      <c r="PIM1127" s="80"/>
      <c r="PIN1127" s="80"/>
      <c r="PIO1127" s="80"/>
      <c r="PIP1127" s="80"/>
      <c r="PIQ1127" s="80"/>
      <c r="PIR1127" s="80"/>
      <c r="PIS1127" s="80"/>
      <c r="PIT1127" s="80"/>
      <c r="PIU1127" s="80"/>
      <c r="PIV1127" s="80"/>
      <c r="PIW1127" s="80"/>
      <c r="PIX1127" s="80"/>
      <c r="PIY1127" s="80"/>
      <c r="PIZ1127" s="80"/>
      <c r="PJA1127" s="80"/>
      <c r="PJB1127" s="80"/>
      <c r="PJC1127" s="80"/>
      <c r="PJD1127" s="80"/>
      <c r="PJE1127" s="80"/>
      <c r="PJF1127" s="80"/>
      <c r="PJG1127" s="80"/>
      <c r="PJH1127" s="80"/>
      <c r="PJI1127" s="80"/>
      <c r="PJJ1127" s="80"/>
      <c r="PJK1127" s="80"/>
      <c r="PJL1127" s="80"/>
      <c r="PJM1127" s="80"/>
      <c r="PJN1127" s="80"/>
      <c r="PJO1127" s="80"/>
      <c r="PJP1127" s="80"/>
      <c r="PJQ1127" s="80"/>
      <c r="PJR1127" s="80"/>
      <c r="PJS1127" s="80"/>
      <c r="PJT1127" s="80"/>
      <c r="PJU1127" s="80"/>
      <c r="PJV1127" s="80"/>
      <c r="PJW1127" s="80"/>
      <c r="PJX1127" s="80"/>
      <c r="PJY1127" s="80"/>
      <c r="PJZ1127" s="80"/>
      <c r="PKA1127" s="80"/>
      <c r="PKB1127" s="80"/>
      <c r="PKC1127" s="80"/>
      <c r="PKD1127" s="80"/>
      <c r="PKE1127" s="80"/>
      <c r="PKF1127" s="80"/>
      <c r="PKG1127" s="80"/>
      <c r="PKH1127" s="80"/>
      <c r="PKI1127" s="80"/>
      <c r="PKJ1127" s="80"/>
      <c r="PKK1127" s="80"/>
      <c r="PKL1127" s="80"/>
      <c r="PKM1127" s="80"/>
      <c r="PKN1127" s="80"/>
      <c r="PKO1127" s="80"/>
      <c r="PKP1127" s="80"/>
      <c r="PKQ1127" s="80"/>
      <c r="PKR1127" s="80"/>
      <c r="PKS1127" s="80"/>
      <c r="PKT1127" s="80"/>
      <c r="PKU1127" s="80"/>
      <c r="PKV1127" s="80"/>
      <c r="PKW1127" s="80"/>
      <c r="PKX1127" s="80"/>
      <c r="PKY1127" s="80"/>
      <c r="PKZ1127" s="80"/>
      <c r="PLA1127" s="80"/>
      <c r="PLB1127" s="80"/>
      <c r="PLC1127" s="80"/>
      <c r="PLD1127" s="80"/>
      <c r="PLE1127" s="80"/>
      <c r="PLF1127" s="80"/>
      <c r="PLG1127" s="80"/>
      <c r="PLH1127" s="80"/>
      <c r="PLI1127" s="80"/>
      <c r="PLJ1127" s="80"/>
      <c r="PLK1127" s="80"/>
      <c r="PLL1127" s="80"/>
      <c r="PLM1127" s="80"/>
      <c r="PLN1127" s="80"/>
      <c r="PLO1127" s="80"/>
      <c r="PLP1127" s="80"/>
      <c r="PLQ1127" s="80"/>
      <c r="PLR1127" s="80"/>
      <c r="PLS1127" s="80"/>
      <c r="PLT1127" s="80"/>
      <c r="PLU1127" s="80"/>
      <c r="PLV1127" s="80"/>
      <c r="PLW1127" s="80"/>
      <c r="PLX1127" s="80"/>
      <c r="PLY1127" s="80"/>
      <c r="PLZ1127" s="80"/>
      <c r="PMA1127" s="80"/>
      <c r="PMB1127" s="80"/>
      <c r="PMC1127" s="80"/>
      <c r="PMD1127" s="80"/>
      <c r="PME1127" s="80"/>
      <c r="PMF1127" s="80"/>
      <c r="PMG1127" s="80"/>
      <c r="PMH1127" s="80"/>
      <c r="PMI1127" s="80"/>
      <c r="PMJ1127" s="80"/>
      <c r="PMK1127" s="80"/>
      <c r="PML1127" s="80"/>
      <c r="PMM1127" s="80"/>
      <c r="PMN1127" s="80"/>
      <c r="PMO1127" s="80"/>
      <c r="PMP1127" s="80"/>
      <c r="PMQ1127" s="80"/>
      <c r="PMR1127" s="80"/>
      <c r="PMS1127" s="80"/>
      <c r="PMT1127" s="80"/>
      <c r="PMU1127" s="80"/>
      <c r="PMV1127" s="80"/>
      <c r="PMW1127" s="80"/>
      <c r="PMX1127" s="80"/>
      <c r="PMY1127" s="80"/>
      <c r="PMZ1127" s="80"/>
      <c r="PNA1127" s="80"/>
      <c r="PNB1127" s="80"/>
      <c r="PNC1127" s="80"/>
      <c r="PND1127" s="80"/>
      <c r="PNE1127" s="80"/>
      <c r="PNF1127" s="80"/>
      <c r="PNG1127" s="80"/>
      <c r="PNH1127" s="80"/>
      <c r="PNI1127" s="80"/>
      <c r="PNJ1127" s="80"/>
      <c r="PNK1127" s="80"/>
      <c r="PNL1127" s="80"/>
      <c r="PNM1127" s="80"/>
      <c r="PNN1127" s="80"/>
      <c r="PNO1127" s="80"/>
      <c r="PNP1127" s="80"/>
      <c r="PNQ1127" s="80"/>
      <c r="PNR1127" s="80"/>
      <c r="PNS1127" s="80"/>
      <c r="PNT1127" s="80"/>
      <c r="PNU1127" s="80"/>
      <c r="PNV1127" s="80"/>
      <c r="PNW1127" s="80"/>
      <c r="PNX1127" s="80"/>
      <c r="PNY1127" s="80"/>
      <c r="PNZ1127" s="80"/>
      <c r="POA1127" s="80"/>
      <c r="POB1127" s="80"/>
      <c r="POC1127" s="80"/>
      <c r="POD1127" s="80"/>
      <c r="POE1127" s="80"/>
      <c r="POF1127" s="80"/>
      <c r="POG1127" s="80"/>
      <c r="POH1127" s="80"/>
      <c r="POI1127" s="80"/>
      <c r="POJ1127" s="80"/>
      <c r="POK1127" s="80"/>
      <c r="POL1127" s="80"/>
      <c r="POM1127" s="80"/>
      <c r="PON1127" s="80"/>
      <c r="POO1127" s="80"/>
      <c r="POP1127" s="80"/>
      <c r="POQ1127" s="80"/>
      <c r="POR1127" s="80"/>
      <c r="POS1127" s="80"/>
      <c r="POT1127" s="80"/>
      <c r="POU1127" s="80"/>
      <c r="POV1127" s="80"/>
      <c r="POW1127" s="80"/>
      <c r="POX1127" s="80"/>
      <c r="POY1127" s="80"/>
      <c r="POZ1127" s="80"/>
      <c r="PPA1127" s="80"/>
      <c r="PPB1127" s="80"/>
      <c r="PPC1127" s="80"/>
      <c r="PPD1127" s="80"/>
      <c r="PPE1127" s="80"/>
      <c r="PPF1127" s="80"/>
      <c r="PPG1127" s="80"/>
      <c r="PPH1127" s="80"/>
      <c r="PPI1127" s="80"/>
      <c r="PPJ1127" s="80"/>
      <c r="PPK1127" s="80"/>
      <c r="PPL1127" s="80"/>
      <c r="PPM1127" s="80"/>
      <c r="PPN1127" s="80"/>
      <c r="PPO1127" s="80"/>
      <c r="PPP1127" s="80"/>
      <c r="PPQ1127" s="80"/>
      <c r="PPR1127" s="80"/>
      <c r="PPS1127" s="80"/>
      <c r="PPT1127" s="80"/>
      <c r="PPU1127" s="80"/>
      <c r="PPV1127" s="80"/>
      <c r="PPW1127" s="80"/>
      <c r="PPX1127" s="80"/>
      <c r="PPY1127" s="80"/>
      <c r="PPZ1127" s="80"/>
      <c r="PQA1127" s="80"/>
      <c r="PQB1127" s="80"/>
      <c r="PQC1127" s="80"/>
      <c r="PQD1127" s="80"/>
      <c r="PQE1127" s="80"/>
      <c r="PQF1127" s="80"/>
      <c r="PQG1127" s="80"/>
      <c r="PQH1127" s="80"/>
      <c r="PQI1127" s="80"/>
      <c r="PQJ1127" s="80"/>
      <c r="PQK1127" s="80"/>
      <c r="PQL1127" s="80"/>
      <c r="PQM1127" s="80"/>
      <c r="PQN1127" s="80"/>
      <c r="PQO1127" s="80"/>
      <c r="PQP1127" s="80"/>
      <c r="PQQ1127" s="80"/>
      <c r="PQR1127" s="80"/>
      <c r="PQS1127" s="80"/>
      <c r="PQT1127" s="80"/>
      <c r="PQU1127" s="80"/>
      <c r="PQV1127" s="80"/>
      <c r="PQW1127" s="80"/>
      <c r="PQX1127" s="80"/>
      <c r="PQY1127" s="80"/>
      <c r="PQZ1127" s="80"/>
      <c r="PRA1127" s="80"/>
      <c r="PRB1127" s="80"/>
      <c r="PRC1127" s="80"/>
      <c r="PRD1127" s="80"/>
      <c r="PRE1127" s="80"/>
      <c r="PRF1127" s="80"/>
      <c r="PRG1127" s="80"/>
      <c r="PRH1127" s="80"/>
      <c r="PRI1127" s="80"/>
      <c r="PRJ1127" s="80"/>
      <c r="PRK1127" s="80"/>
      <c r="PRL1127" s="80"/>
      <c r="PRM1127" s="80"/>
      <c r="PRN1127" s="80"/>
      <c r="PRO1127" s="80"/>
      <c r="PRP1127" s="80"/>
      <c r="PRQ1127" s="80"/>
      <c r="PRR1127" s="80"/>
      <c r="PRS1127" s="80"/>
      <c r="PRT1127" s="80"/>
      <c r="PRU1127" s="80"/>
      <c r="PRV1127" s="80"/>
      <c r="PRW1127" s="80"/>
      <c r="PRX1127" s="80"/>
      <c r="PRY1127" s="80"/>
      <c r="PRZ1127" s="80"/>
      <c r="PSA1127" s="80"/>
      <c r="PSB1127" s="80"/>
      <c r="PSC1127" s="80"/>
      <c r="PSD1127" s="80"/>
      <c r="PSE1127" s="80"/>
      <c r="PSF1127" s="80"/>
      <c r="PSG1127" s="80"/>
      <c r="PSH1127" s="80"/>
      <c r="PSI1127" s="80"/>
      <c r="PSJ1127" s="80"/>
      <c r="PSK1127" s="80"/>
      <c r="PSL1127" s="80"/>
      <c r="PSM1127" s="80"/>
      <c r="PSN1127" s="80"/>
      <c r="PSO1127" s="80"/>
      <c r="PSP1127" s="80"/>
      <c r="PSQ1127" s="80"/>
      <c r="PSR1127" s="80"/>
      <c r="PSS1127" s="80"/>
      <c r="PST1127" s="80"/>
      <c r="PSU1127" s="80"/>
      <c r="PSV1127" s="80"/>
      <c r="PSW1127" s="80"/>
      <c r="PSX1127" s="80"/>
      <c r="PSY1127" s="80"/>
      <c r="PSZ1127" s="80"/>
      <c r="PTA1127" s="80"/>
      <c r="PTB1127" s="80"/>
      <c r="PTC1127" s="80"/>
      <c r="PTD1127" s="80"/>
      <c r="PTE1127" s="80"/>
      <c r="PTF1127" s="80"/>
      <c r="PTG1127" s="80"/>
      <c r="PTH1127" s="80"/>
      <c r="PTI1127" s="80"/>
      <c r="PTJ1127" s="80"/>
      <c r="PTK1127" s="80"/>
      <c r="PTL1127" s="80"/>
      <c r="PTM1127" s="80"/>
      <c r="PTN1127" s="80"/>
      <c r="PTO1127" s="80"/>
      <c r="PTP1127" s="80"/>
      <c r="PTQ1127" s="80"/>
      <c r="PTR1127" s="80"/>
      <c r="PTS1127" s="80"/>
      <c r="PTT1127" s="80"/>
      <c r="PTU1127" s="80"/>
      <c r="PTV1127" s="80"/>
      <c r="PTW1127" s="80"/>
      <c r="PTX1127" s="80"/>
      <c r="PTY1127" s="80"/>
      <c r="PTZ1127" s="80"/>
      <c r="PUA1127" s="80"/>
      <c r="PUB1127" s="80"/>
      <c r="PUC1127" s="80"/>
      <c r="PUD1127" s="80"/>
      <c r="PUE1127" s="80"/>
      <c r="PUF1127" s="80"/>
      <c r="PUG1127" s="80"/>
      <c r="PUH1127" s="80"/>
      <c r="PUI1127" s="80"/>
      <c r="PUJ1127" s="80"/>
      <c r="PUK1127" s="80"/>
      <c r="PUL1127" s="80"/>
      <c r="PUM1127" s="80"/>
      <c r="PUN1127" s="80"/>
      <c r="PUO1127" s="80"/>
      <c r="PUP1127" s="80"/>
      <c r="PUQ1127" s="80"/>
      <c r="PUR1127" s="80"/>
      <c r="PUS1127" s="80"/>
      <c r="PUT1127" s="80"/>
      <c r="PUU1127" s="80"/>
      <c r="PUV1127" s="80"/>
      <c r="PUW1127" s="80"/>
      <c r="PUX1127" s="80"/>
      <c r="PUY1127" s="80"/>
      <c r="PUZ1127" s="80"/>
      <c r="PVA1127" s="80"/>
      <c r="PVB1127" s="80"/>
      <c r="PVC1127" s="80"/>
      <c r="PVD1127" s="80"/>
      <c r="PVE1127" s="80"/>
      <c r="PVF1127" s="80"/>
      <c r="PVG1127" s="80"/>
      <c r="PVH1127" s="80"/>
      <c r="PVI1127" s="80"/>
      <c r="PVJ1127" s="80"/>
      <c r="PVK1127" s="80"/>
      <c r="PVL1127" s="80"/>
      <c r="PVM1127" s="80"/>
      <c r="PVN1127" s="80"/>
      <c r="PVO1127" s="80"/>
      <c r="PVP1127" s="80"/>
      <c r="PVQ1127" s="80"/>
      <c r="PVR1127" s="80"/>
      <c r="PVS1127" s="80"/>
      <c r="PVT1127" s="80"/>
      <c r="PVU1127" s="80"/>
      <c r="PVV1127" s="80"/>
      <c r="PVW1127" s="80"/>
      <c r="PVX1127" s="80"/>
      <c r="PVY1127" s="80"/>
      <c r="PVZ1127" s="80"/>
      <c r="PWA1127" s="80"/>
      <c r="PWB1127" s="80"/>
      <c r="PWC1127" s="80"/>
      <c r="PWD1127" s="80"/>
      <c r="PWE1127" s="80"/>
      <c r="PWF1127" s="80"/>
      <c r="PWG1127" s="80"/>
      <c r="PWH1127" s="80"/>
      <c r="PWI1127" s="80"/>
      <c r="PWJ1127" s="80"/>
      <c r="PWK1127" s="80"/>
      <c r="PWL1127" s="80"/>
      <c r="PWM1127" s="80"/>
      <c r="PWN1127" s="80"/>
      <c r="PWO1127" s="80"/>
      <c r="PWP1127" s="80"/>
      <c r="PWQ1127" s="80"/>
      <c r="PWR1127" s="80"/>
      <c r="PWS1127" s="80"/>
      <c r="PWT1127" s="80"/>
      <c r="PWU1127" s="80"/>
      <c r="PWV1127" s="80"/>
      <c r="PWW1127" s="80"/>
      <c r="PWX1127" s="80"/>
      <c r="PWY1127" s="80"/>
      <c r="PWZ1127" s="80"/>
      <c r="PXA1127" s="80"/>
      <c r="PXB1127" s="80"/>
      <c r="PXC1127" s="80"/>
      <c r="PXD1127" s="80"/>
      <c r="PXE1127" s="80"/>
      <c r="PXF1127" s="80"/>
      <c r="PXG1127" s="80"/>
      <c r="PXH1127" s="80"/>
      <c r="PXI1127" s="80"/>
      <c r="PXJ1127" s="80"/>
      <c r="PXK1127" s="80"/>
      <c r="PXL1127" s="80"/>
      <c r="PXM1127" s="80"/>
      <c r="PXN1127" s="80"/>
      <c r="PXO1127" s="80"/>
      <c r="PXP1127" s="80"/>
      <c r="PXQ1127" s="80"/>
      <c r="PXR1127" s="80"/>
      <c r="PXS1127" s="80"/>
      <c r="PXT1127" s="80"/>
      <c r="PXU1127" s="80"/>
      <c r="PXV1127" s="80"/>
      <c r="PXW1127" s="80"/>
      <c r="PXX1127" s="80"/>
      <c r="PXY1127" s="80"/>
      <c r="PXZ1127" s="80"/>
      <c r="PYA1127" s="80"/>
      <c r="PYB1127" s="80"/>
      <c r="PYC1127" s="80"/>
      <c r="PYD1127" s="80"/>
      <c r="PYE1127" s="80"/>
      <c r="PYF1127" s="80"/>
      <c r="PYG1127" s="80"/>
      <c r="PYH1127" s="80"/>
      <c r="PYI1127" s="80"/>
      <c r="PYJ1127" s="80"/>
      <c r="PYK1127" s="80"/>
      <c r="PYL1127" s="80"/>
      <c r="PYM1127" s="80"/>
      <c r="PYN1127" s="80"/>
      <c r="PYO1127" s="80"/>
      <c r="PYP1127" s="80"/>
      <c r="PYQ1127" s="80"/>
      <c r="PYR1127" s="80"/>
      <c r="PYS1127" s="80"/>
      <c r="PYT1127" s="80"/>
      <c r="PYU1127" s="80"/>
      <c r="PYV1127" s="80"/>
      <c r="PYW1127" s="80"/>
      <c r="PYX1127" s="80"/>
      <c r="PYY1127" s="80"/>
      <c r="PYZ1127" s="80"/>
      <c r="PZA1127" s="80"/>
      <c r="PZB1127" s="80"/>
      <c r="PZC1127" s="80"/>
      <c r="PZD1127" s="80"/>
      <c r="PZE1127" s="80"/>
      <c r="PZF1127" s="80"/>
      <c r="PZG1127" s="80"/>
      <c r="PZH1127" s="80"/>
      <c r="PZI1127" s="80"/>
      <c r="PZJ1127" s="80"/>
      <c r="PZK1127" s="80"/>
      <c r="PZL1127" s="80"/>
      <c r="PZM1127" s="80"/>
      <c r="PZN1127" s="80"/>
      <c r="PZO1127" s="80"/>
      <c r="PZP1127" s="80"/>
      <c r="PZQ1127" s="80"/>
      <c r="PZR1127" s="80"/>
      <c r="PZS1127" s="80"/>
      <c r="PZT1127" s="80"/>
      <c r="PZU1127" s="80"/>
      <c r="PZV1127" s="80"/>
      <c r="PZW1127" s="80"/>
      <c r="PZX1127" s="80"/>
      <c r="PZY1127" s="80"/>
      <c r="PZZ1127" s="80"/>
      <c r="QAA1127" s="80"/>
      <c r="QAB1127" s="80"/>
      <c r="QAC1127" s="80"/>
      <c r="QAD1127" s="80"/>
      <c r="QAE1127" s="80"/>
      <c r="QAF1127" s="80"/>
      <c r="QAG1127" s="80"/>
      <c r="QAH1127" s="80"/>
      <c r="QAI1127" s="80"/>
      <c r="QAJ1127" s="80"/>
      <c r="QAK1127" s="80"/>
      <c r="QAL1127" s="80"/>
      <c r="QAM1127" s="80"/>
      <c r="QAN1127" s="80"/>
      <c r="QAO1127" s="80"/>
      <c r="QAP1127" s="80"/>
      <c r="QAQ1127" s="80"/>
      <c r="QAR1127" s="80"/>
      <c r="QAS1127" s="80"/>
      <c r="QAT1127" s="80"/>
      <c r="QAU1127" s="80"/>
      <c r="QAV1127" s="80"/>
      <c r="QAW1127" s="80"/>
      <c r="QAX1127" s="80"/>
      <c r="QAY1127" s="80"/>
      <c r="QAZ1127" s="80"/>
      <c r="QBA1127" s="80"/>
      <c r="QBB1127" s="80"/>
      <c r="QBC1127" s="80"/>
      <c r="QBD1127" s="80"/>
      <c r="QBE1127" s="80"/>
      <c r="QBF1127" s="80"/>
      <c r="QBG1127" s="80"/>
      <c r="QBH1127" s="80"/>
      <c r="QBI1127" s="80"/>
      <c r="QBJ1127" s="80"/>
      <c r="QBK1127" s="80"/>
      <c r="QBL1127" s="80"/>
      <c r="QBM1127" s="80"/>
      <c r="QBN1127" s="80"/>
      <c r="QBO1127" s="80"/>
      <c r="QBP1127" s="80"/>
      <c r="QBQ1127" s="80"/>
      <c r="QBR1127" s="80"/>
      <c r="QBS1127" s="80"/>
      <c r="QBT1127" s="80"/>
      <c r="QBU1127" s="80"/>
      <c r="QBV1127" s="80"/>
      <c r="QBW1127" s="80"/>
      <c r="QBX1127" s="80"/>
      <c r="QBY1127" s="80"/>
      <c r="QBZ1127" s="80"/>
      <c r="QCA1127" s="80"/>
      <c r="QCB1127" s="80"/>
      <c r="QCC1127" s="80"/>
      <c r="QCD1127" s="80"/>
      <c r="QCE1127" s="80"/>
      <c r="QCF1127" s="80"/>
      <c r="QCG1127" s="80"/>
      <c r="QCH1127" s="80"/>
      <c r="QCI1127" s="80"/>
      <c r="QCJ1127" s="80"/>
      <c r="QCK1127" s="80"/>
      <c r="QCL1127" s="80"/>
      <c r="QCM1127" s="80"/>
      <c r="QCN1127" s="80"/>
      <c r="QCO1127" s="80"/>
      <c r="QCP1127" s="80"/>
      <c r="QCQ1127" s="80"/>
      <c r="QCR1127" s="80"/>
      <c r="QCS1127" s="80"/>
      <c r="QCT1127" s="80"/>
      <c r="QCU1127" s="80"/>
      <c r="QCV1127" s="80"/>
      <c r="QCW1127" s="80"/>
      <c r="QCX1127" s="80"/>
      <c r="QCY1127" s="80"/>
      <c r="QCZ1127" s="80"/>
      <c r="QDA1127" s="80"/>
      <c r="QDB1127" s="80"/>
      <c r="QDC1127" s="80"/>
      <c r="QDD1127" s="80"/>
      <c r="QDE1127" s="80"/>
      <c r="QDF1127" s="80"/>
      <c r="QDG1127" s="80"/>
      <c r="QDH1127" s="80"/>
      <c r="QDI1127" s="80"/>
      <c r="QDJ1127" s="80"/>
      <c r="QDK1127" s="80"/>
      <c r="QDL1127" s="80"/>
      <c r="QDM1127" s="80"/>
      <c r="QDN1127" s="80"/>
      <c r="QDO1127" s="80"/>
      <c r="QDP1127" s="80"/>
      <c r="QDQ1127" s="80"/>
      <c r="QDR1127" s="80"/>
      <c r="QDS1127" s="80"/>
      <c r="QDT1127" s="80"/>
      <c r="QDU1127" s="80"/>
      <c r="QDV1127" s="80"/>
      <c r="QDW1127" s="80"/>
      <c r="QDX1127" s="80"/>
      <c r="QDY1127" s="80"/>
      <c r="QDZ1127" s="80"/>
      <c r="QEA1127" s="80"/>
      <c r="QEB1127" s="80"/>
      <c r="QEC1127" s="80"/>
      <c r="QED1127" s="80"/>
      <c r="QEE1127" s="80"/>
      <c r="QEF1127" s="80"/>
      <c r="QEG1127" s="80"/>
      <c r="QEH1127" s="80"/>
      <c r="QEI1127" s="80"/>
      <c r="QEJ1127" s="80"/>
      <c r="QEK1127" s="80"/>
      <c r="QEL1127" s="80"/>
      <c r="QEM1127" s="80"/>
      <c r="QEN1127" s="80"/>
      <c r="QEO1127" s="80"/>
      <c r="QEP1127" s="80"/>
      <c r="QEQ1127" s="80"/>
      <c r="QER1127" s="80"/>
      <c r="QES1127" s="80"/>
      <c r="QET1127" s="80"/>
      <c r="QEU1127" s="80"/>
      <c r="QEV1127" s="80"/>
      <c r="QEW1127" s="80"/>
      <c r="QEX1127" s="80"/>
      <c r="QEY1127" s="80"/>
      <c r="QEZ1127" s="80"/>
      <c r="QFA1127" s="80"/>
      <c r="QFB1127" s="80"/>
      <c r="QFC1127" s="80"/>
      <c r="QFD1127" s="80"/>
      <c r="QFE1127" s="80"/>
      <c r="QFF1127" s="80"/>
      <c r="QFG1127" s="80"/>
      <c r="QFH1127" s="80"/>
      <c r="QFI1127" s="80"/>
      <c r="QFJ1127" s="80"/>
      <c r="QFK1127" s="80"/>
      <c r="QFL1127" s="80"/>
      <c r="QFM1127" s="80"/>
      <c r="QFN1127" s="80"/>
      <c r="QFO1127" s="80"/>
      <c r="QFP1127" s="80"/>
      <c r="QFQ1127" s="80"/>
      <c r="QFR1127" s="80"/>
      <c r="QFS1127" s="80"/>
      <c r="QFT1127" s="80"/>
      <c r="QFU1127" s="80"/>
      <c r="QFV1127" s="80"/>
      <c r="QFW1127" s="80"/>
      <c r="QFX1127" s="80"/>
      <c r="QFY1127" s="80"/>
      <c r="QFZ1127" s="80"/>
      <c r="QGA1127" s="80"/>
      <c r="QGB1127" s="80"/>
      <c r="QGC1127" s="80"/>
      <c r="QGD1127" s="80"/>
      <c r="QGE1127" s="80"/>
      <c r="QGF1127" s="80"/>
      <c r="QGG1127" s="80"/>
      <c r="QGH1127" s="80"/>
      <c r="QGI1127" s="80"/>
      <c r="QGJ1127" s="80"/>
      <c r="QGK1127" s="80"/>
      <c r="QGL1127" s="80"/>
      <c r="QGM1127" s="80"/>
      <c r="QGN1127" s="80"/>
      <c r="QGO1127" s="80"/>
      <c r="QGP1127" s="80"/>
      <c r="QGQ1127" s="80"/>
      <c r="QGR1127" s="80"/>
      <c r="QGS1127" s="80"/>
      <c r="QGT1127" s="80"/>
      <c r="QGU1127" s="80"/>
      <c r="QGV1127" s="80"/>
      <c r="QGW1127" s="80"/>
      <c r="QGX1127" s="80"/>
      <c r="QGY1127" s="80"/>
      <c r="QGZ1127" s="80"/>
      <c r="QHA1127" s="80"/>
      <c r="QHB1127" s="80"/>
      <c r="QHC1127" s="80"/>
      <c r="QHD1127" s="80"/>
      <c r="QHE1127" s="80"/>
      <c r="QHF1127" s="80"/>
      <c r="QHG1127" s="80"/>
      <c r="QHH1127" s="80"/>
      <c r="QHI1127" s="80"/>
      <c r="QHJ1127" s="80"/>
      <c r="QHK1127" s="80"/>
      <c r="QHL1127" s="80"/>
      <c r="QHM1127" s="80"/>
      <c r="QHN1127" s="80"/>
      <c r="QHO1127" s="80"/>
      <c r="QHP1127" s="80"/>
      <c r="QHQ1127" s="80"/>
      <c r="QHR1127" s="80"/>
      <c r="QHS1127" s="80"/>
      <c r="QHT1127" s="80"/>
      <c r="QHU1127" s="80"/>
      <c r="QHV1127" s="80"/>
      <c r="QHW1127" s="80"/>
      <c r="QHX1127" s="80"/>
      <c r="QHY1127" s="80"/>
      <c r="QHZ1127" s="80"/>
      <c r="QIA1127" s="80"/>
      <c r="QIB1127" s="80"/>
      <c r="QIC1127" s="80"/>
      <c r="QID1127" s="80"/>
      <c r="QIE1127" s="80"/>
      <c r="QIF1127" s="80"/>
      <c r="QIG1127" s="80"/>
      <c r="QIH1127" s="80"/>
      <c r="QII1127" s="80"/>
      <c r="QIJ1127" s="80"/>
      <c r="QIK1127" s="80"/>
      <c r="QIL1127" s="80"/>
      <c r="QIM1127" s="80"/>
      <c r="QIN1127" s="80"/>
      <c r="QIO1127" s="80"/>
      <c r="QIP1127" s="80"/>
      <c r="QIQ1127" s="80"/>
      <c r="QIR1127" s="80"/>
      <c r="QIS1127" s="80"/>
      <c r="QIT1127" s="80"/>
      <c r="QIU1127" s="80"/>
      <c r="QIV1127" s="80"/>
      <c r="QIW1127" s="80"/>
      <c r="QIX1127" s="80"/>
      <c r="QIY1127" s="80"/>
      <c r="QIZ1127" s="80"/>
      <c r="QJA1127" s="80"/>
      <c r="QJB1127" s="80"/>
      <c r="QJC1127" s="80"/>
      <c r="QJD1127" s="80"/>
      <c r="QJE1127" s="80"/>
      <c r="QJF1127" s="80"/>
      <c r="QJG1127" s="80"/>
      <c r="QJH1127" s="80"/>
      <c r="QJI1127" s="80"/>
      <c r="QJJ1127" s="80"/>
      <c r="QJK1127" s="80"/>
      <c r="QJL1127" s="80"/>
      <c r="QJM1127" s="80"/>
      <c r="QJN1127" s="80"/>
      <c r="QJO1127" s="80"/>
      <c r="QJP1127" s="80"/>
      <c r="QJQ1127" s="80"/>
      <c r="QJR1127" s="80"/>
      <c r="QJS1127" s="80"/>
      <c r="QJT1127" s="80"/>
      <c r="QJU1127" s="80"/>
      <c r="QJV1127" s="80"/>
      <c r="QJW1127" s="80"/>
      <c r="QJX1127" s="80"/>
      <c r="QJY1127" s="80"/>
      <c r="QJZ1127" s="80"/>
      <c r="QKA1127" s="80"/>
      <c r="QKB1127" s="80"/>
      <c r="QKC1127" s="80"/>
      <c r="QKD1127" s="80"/>
      <c r="QKE1127" s="80"/>
      <c r="QKF1127" s="80"/>
      <c r="QKG1127" s="80"/>
      <c r="QKH1127" s="80"/>
      <c r="QKI1127" s="80"/>
      <c r="QKJ1127" s="80"/>
      <c r="QKK1127" s="80"/>
      <c r="QKL1127" s="80"/>
      <c r="QKM1127" s="80"/>
      <c r="QKN1127" s="80"/>
      <c r="QKO1127" s="80"/>
      <c r="QKP1127" s="80"/>
      <c r="QKQ1127" s="80"/>
      <c r="QKR1127" s="80"/>
      <c r="QKS1127" s="80"/>
      <c r="QKT1127" s="80"/>
      <c r="QKU1127" s="80"/>
      <c r="QKV1127" s="80"/>
      <c r="QKW1127" s="80"/>
      <c r="QKX1127" s="80"/>
      <c r="QKY1127" s="80"/>
      <c r="QKZ1127" s="80"/>
      <c r="QLA1127" s="80"/>
      <c r="QLB1127" s="80"/>
      <c r="QLC1127" s="80"/>
      <c r="QLD1127" s="80"/>
      <c r="QLE1127" s="80"/>
      <c r="QLF1127" s="80"/>
      <c r="QLG1127" s="80"/>
      <c r="QLH1127" s="80"/>
      <c r="QLI1127" s="80"/>
      <c r="QLJ1127" s="80"/>
      <c r="QLK1127" s="80"/>
      <c r="QLL1127" s="80"/>
      <c r="QLM1127" s="80"/>
      <c r="QLN1127" s="80"/>
      <c r="QLO1127" s="80"/>
      <c r="QLP1127" s="80"/>
      <c r="QLQ1127" s="80"/>
      <c r="QLR1127" s="80"/>
      <c r="QLS1127" s="80"/>
      <c r="QLT1127" s="80"/>
      <c r="QLU1127" s="80"/>
      <c r="QLV1127" s="80"/>
      <c r="QLW1127" s="80"/>
      <c r="QLX1127" s="80"/>
      <c r="QLY1127" s="80"/>
      <c r="QLZ1127" s="80"/>
      <c r="QMA1127" s="80"/>
      <c r="QMB1127" s="80"/>
      <c r="QMC1127" s="80"/>
      <c r="QMD1127" s="80"/>
      <c r="QME1127" s="80"/>
      <c r="QMF1127" s="80"/>
      <c r="QMG1127" s="80"/>
      <c r="QMH1127" s="80"/>
      <c r="QMI1127" s="80"/>
      <c r="QMJ1127" s="80"/>
      <c r="QMK1127" s="80"/>
      <c r="QML1127" s="80"/>
      <c r="QMM1127" s="80"/>
      <c r="QMN1127" s="80"/>
      <c r="QMO1127" s="80"/>
      <c r="QMP1127" s="80"/>
      <c r="QMQ1127" s="80"/>
      <c r="QMR1127" s="80"/>
      <c r="QMS1127" s="80"/>
      <c r="QMT1127" s="80"/>
      <c r="QMU1127" s="80"/>
      <c r="QMV1127" s="80"/>
      <c r="QMW1127" s="80"/>
      <c r="QMX1127" s="80"/>
      <c r="QMY1127" s="80"/>
      <c r="QMZ1127" s="80"/>
      <c r="QNA1127" s="80"/>
      <c r="QNB1127" s="80"/>
      <c r="QNC1127" s="80"/>
      <c r="QND1127" s="80"/>
      <c r="QNE1127" s="80"/>
      <c r="QNF1127" s="80"/>
      <c r="QNG1127" s="80"/>
      <c r="QNH1127" s="80"/>
      <c r="QNI1127" s="80"/>
      <c r="QNJ1127" s="80"/>
      <c r="QNK1127" s="80"/>
      <c r="QNL1127" s="80"/>
      <c r="QNM1127" s="80"/>
      <c r="QNN1127" s="80"/>
      <c r="QNO1127" s="80"/>
      <c r="QNP1127" s="80"/>
      <c r="QNQ1127" s="80"/>
      <c r="QNR1127" s="80"/>
      <c r="QNS1127" s="80"/>
      <c r="QNT1127" s="80"/>
      <c r="QNU1127" s="80"/>
      <c r="QNV1127" s="80"/>
      <c r="QNW1127" s="80"/>
      <c r="QNX1127" s="80"/>
      <c r="QNY1127" s="80"/>
      <c r="QNZ1127" s="80"/>
      <c r="QOA1127" s="80"/>
      <c r="QOB1127" s="80"/>
      <c r="QOC1127" s="80"/>
      <c r="QOD1127" s="80"/>
      <c r="QOE1127" s="80"/>
      <c r="QOF1127" s="80"/>
      <c r="QOG1127" s="80"/>
      <c r="QOH1127" s="80"/>
      <c r="QOI1127" s="80"/>
      <c r="QOJ1127" s="80"/>
      <c r="QOK1127" s="80"/>
      <c r="QOL1127" s="80"/>
      <c r="QOM1127" s="80"/>
      <c r="QON1127" s="80"/>
      <c r="QOO1127" s="80"/>
      <c r="QOP1127" s="80"/>
      <c r="QOQ1127" s="80"/>
      <c r="QOR1127" s="80"/>
      <c r="QOS1127" s="80"/>
      <c r="QOT1127" s="80"/>
      <c r="QOU1127" s="80"/>
      <c r="QOV1127" s="80"/>
      <c r="QOW1127" s="80"/>
      <c r="QOX1127" s="80"/>
      <c r="QOY1127" s="80"/>
      <c r="QOZ1127" s="80"/>
      <c r="QPA1127" s="80"/>
      <c r="QPB1127" s="80"/>
      <c r="QPC1127" s="80"/>
      <c r="QPD1127" s="80"/>
      <c r="QPE1127" s="80"/>
      <c r="QPF1127" s="80"/>
      <c r="QPG1127" s="80"/>
      <c r="QPH1127" s="80"/>
      <c r="QPI1127" s="80"/>
      <c r="QPJ1127" s="80"/>
      <c r="QPK1127" s="80"/>
      <c r="QPL1127" s="80"/>
      <c r="QPM1127" s="80"/>
      <c r="QPN1127" s="80"/>
      <c r="QPO1127" s="80"/>
      <c r="QPP1127" s="80"/>
      <c r="QPQ1127" s="80"/>
      <c r="QPR1127" s="80"/>
      <c r="QPS1127" s="80"/>
      <c r="QPT1127" s="80"/>
      <c r="QPU1127" s="80"/>
      <c r="QPV1127" s="80"/>
      <c r="QPW1127" s="80"/>
      <c r="QPX1127" s="80"/>
      <c r="QPY1127" s="80"/>
      <c r="QPZ1127" s="80"/>
      <c r="QQA1127" s="80"/>
      <c r="QQB1127" s="80"/>
      <c r="QQC1127" s="80"/>
      <c r="QQD1127" s="80"/>
      <c r="QQE1127" s="80"/>
      <c r="QQF1127" s="80"/>
      <c r="QQG1127" s="80"/>
      <c r="QQH1127" s="80"/>
      <c r="QQI1127" s="80"/>
      <c r="QQJ1127" s="80"/>
      <c r="QQK1127" s="80"/>
      <c r="QQL1127" s="80"/>
      <c r="QQM1127" s="80"/>
      <c r="QQN1127" s="80"/>
      <c r="QQO1127" s="80"/>
      <c r="QQP1127" s="80"/>
      <c r="QQQ1127" s="80"/>
      <c r="QQR1127" s="80"/>
      <c r="QQS1127" s="80"/>
      <c r="QQT1127" s="80"/>
      <c r="QQU1127" s="80"/>
      <c r="QQV1127" s="80"/>
      <c r="QQW1127" s="80"/>
      <c r="QQX1127" s="80"/>
      <c r="QQY1127" s="80"/>
      <c r="QQZ1127" s="80"/>
      <c r="QRA1127" s="80"/>
      <c r="QRB1127" s="80"/>
      <c r="QRC1127" s="80"/>
      <c r="QRD1127" s="80"/>
      <c r="QRE1127" s="80"/>
      <c r="QRF1127" s="80"/>
      <c r="QRG1127" s="80"/>
      <c r="QRH1127" s="80"/>
      <c r="QRI1127" s="80"/>
      <c r="QRJ1127" s="80"/>
      <c r="QRK1127" s="80"/>
      <c r="QRL1127" s="80"/>
      <c r="QRM1127" s="80"/>
      <c r="QRN1127" s="80"/>
      <c r="QRO1127" s="80"/>
      <c r="QRP1127" s="80"/>
      <c r="QRQ1127" s="80"/>
      <c r="QRR1127" s="80"/>
      <c r="QRS1127" s="80"/>
      <c r="QRT1127" s="80"/>
      <c r="QRU1127" s="80"/>
      <c r="QRV1127" s="80"/>
      <c r="QRW1127" s="80"/>
      <c r="QRX1127" s="80"/>
      <c r="QRY1127" s="80"/>
      <c r="QRZ1127" s="80"/>
      <c r="QSA1127" s="80"/>
      <c r="QSB1127" s="80"/>
      <c r="QSC1127" s="80"/>
      <c r="QSD1127" s="80"/>
      <c r="QSE1127" s="80"/>
      <c r="QSF1127" s="80"/>
      <c r="QSG1127" s="80"/>
      <c r="QSH1127" s="80"/>
      <c r="QSI1127" s="80"/>
      <c r="QSJ1127" s="80"/>
      <c r="QSK1127" s="80"/>
      <c r="QSL1127" s="80"/>
      <c r="QSM1127" s="80"/>
      <c r="QSN1127" s="80"/>
      <c r="QSO1127" s="80"/>
      <c r="QSP1127" s="80"/>
      <c r="QSQ1127" s="80"/>
      <c r="QSR1127" s="80"/>
      <c r="QSS1127" s="80"/>
      <c r="QST1127" s="80"/>
      <c r="QSU1127" s="80"/>
      <c r="QSV1127" s="80"/>
      <c r="QSW1127" s="80"/>
      <c r="QSX1127" s="80"/>
      <c r="QSY1127" s="80"/>
      <c r="QSZ1127" s="80"/>
      <c r="QTA1127" s="80"/>
      <c r="QTB1127" s="80"/>
      <c r="QTC1127" s="80"/>
      <c r="QTD1127" s="80"/>
      <c r="QTE1127" s="80"/>
      <c r="QTF1127" s="80"/>
      <c r="QTG1127" s="80"/>
      <c r="QTH1127" s="80"/>
      <c r="QTI1127" s="80"/>
      <c r="QTJ1127" s="80"/>
      <c r="QTK1127" s="80"/>
      <c r="QTL1127" s="80"/>
      <c r="QTM1127" s="80"/>
      <c r="QTN1127" s="80"/>
      <c r="QTO1127" s="80"/>
      <c r="QTP1127" s="80"/>
      <c r="QTQ1127" s="80"/>
      <c r="QTR1127" s="80"/>
      <c r="QTS1127" s="80"/>
      <c r="QTT1127" s="80"/>
      <c r="QTU1127" s="80"/>
      <c r="QTV1127" s="80"/>
      <c r="QTW1127" s="80"/>
      <c r="QTX1127" s="80"/>
      <c r="QTY1127" s="80"/>
      <c r="QTZ1127" s="80"/>
      <c r="QUA1127" s="80"/>
      <c r="QUB1127" s="80"/>
      <c r="QUC1127" s="80"/>
      <c r="QUD1127" s="80"/>
      <c r="QUE1127" s="80"/>
      <c r="QUF1127" s="80"/>
      <c r="QUG1127" s="80"/>
      <c r="QUH1127" s="80"/>
      <c r="QUI1127" s="80"/>
      <c r="QUJ1127" s="80"/>
      <c r="QUK1127" s="80"/>
      <c r="QUL1127" s="80"/>
      <c r="QUM1127" s="80"/>
      <c r="QUN1127" s="80"/>
      <c r="QUO1127" s="80"/>
      <c r="QUP1127" s="80"/>
      <c r="QUQ1127" s="80"/>
      <c r="QUR1127" s="80"/>
      <c r="QUS1127" s="80"/>
      <c r="QUT1127" s="80"/>
      <c r="QUU1127" s="80"/>
      <c r="QUV1127" s="80"/>
      <c r="QUW1127" s="80"/>
      <c r="QUX1127" s="80"/>
      <c r="QUY1127" s="80"/>
      <c r="QUZ1127" s="80"/>
      <c r="QVA1127" s="80"/>
      <c r="QVB1127" s="80"/>
      <c r="QVC1127" s="80"/>
      <c r="QVD1127" s="80"/>
      <c r="QVE1127" s="80"/>
      <c r="QVF1127" s="80"/>
      <c r="QVG1127" s="80"/>
      <c r="QVH1127" s="80"/>
      <c r="QVI1127" s="80"/>
      <c r="QVJ1127" s="80"/>
      <c r="QVK1127" s="80"/>
      <c r="QVL1127" s="80"/>
      <c r="QVM1127" s="80"/>
      <c r="QVN1127" s="80"/>
      <c r="QVO1127" s="80"/>
      <c r="QVP1127" s="80"/>
      <c r="QVQ1127" s="80"/>
      <c r="QVR1127" s="80"/>
      <c r="QVS1127" s="80"/>
      <c r="QVT1127" s="80"/>
      <c r="QVU1127" s="80"/>
      <c r="QVV1127" s="80"/>
      <c r="QVW1127" s="80"/>
      <c r="QVX1127" s="80"/>
      <c r="QVY1127" s="80"/>
      <c r="QVZ1127" s="80"/>
      <c r="QWA1127" s="80"/>
      <c r="QWB1127" s="80"/>
      <c r="QWC1127" s="80"/>
      <c r="QWD1127" s="80"/>
      <c r="QWE1127" s="80"/>
      <c r="QWF1127" s="80"/>
      <c r="QWG1127" s="80"/>
      <c r="QWH1127" s="80"/>
      <c r="QWI1127" s="80"/>
      <c r="QWJ1127" s="80"/>
      <c r="QWK1127" s="80"/>
      <c r="QWL1127" s="80"/>
      <c r="QWM1127" s="80"/>
      <c r="QWN1127" s="80"/>
      <c r="QWO1127" s="80"/>
      <c r="QWP1127" s="80"/>
      <c r="QWQ1127" s="80"/>
      <c r="QWR1127" s="80"/>
      <c r="QWS1127" s="80"/>
      <c r="QWT1127" s="80"/>
      <c r="QWU1127" s="80"/>
      <c r="QWV1127" s="80"/>
      <c r="QWW1127" s="80"/>
      <c r="QWX1127" s="80"/>
      <c r="QWY1127" s="80"/>
      <c r="QWZ1127" s="80"/>
      <c r="QXA1127" s="80"/>
      <c r="QXB1127" s="80"/>
      <c r="QXC1127" s="80"/>
      <c r="QXD1127" s="80"/>
      <c r="QXE1127" s="80"/>
      <c r="QXF1127" s="80"/>
      <c r="QXG1127" s="80"/>
      <c r="QXH1127" s="80"/>
      <c r="QXI1127" s="80"/>
      <c r="QXJ1127" s="80"/>
      <c r="QXK1127" s="80"/>
      <c r="QXL1127" s="80"/>
      <c r="QXM1127" s="80"/>
      <c r="QXN1127" s="80"/>
      <c r="QXO1127" s="80"/>
      <c r="QXP1127" s="80"/>
      <c r="QXQ1127" s="80"/>
      <c r="QXR1127" s="80"/>
      <c r="QXS1127" s="80"/>
      <c r="QXT1127" s="80"/>
      <c r="QXU1127" s="80"/>
      <c r="QXV1127" s="80"/>
      <c r="QXW1127" s="80"/>
      <c r="QXX1127" s="80"/>
      <c r="QXY1127" s="80"/>
      <c r="QXZ1127" s="80"/>
      <c r="QYA1127" s="80"/>
      <c r="QYB1127" s="80"/>
      <c r="QYC1127" s="80"/>
      <c r="QYD1127" s="80"/>
      <c r="QYE1127" s="80"/>
      <c r="QYF1127" s="80"/>
      <c r="QYG1127" s="80"/>
      <c r="QYH1127" s="80"/>
      <c r="QYI1127" s="80"/>
      <c r="QYJ1127" s="80"/>
      <c r="QYK1127" s="80"/>
      <c r="QYL1127" s="80"/>
      <c r="QYM1127" s="80"/>
      <c r="QYN1127" s="80"/>
      <c r="QYO1127" s="80"/>
      <c r="QYP1127" s="80"/>
      <c r="QYQ1127" s="80"/>
      <c r="QYR1127" s="80"/>
      <c r="QYS1127" s="80"/>
      <c r="QYT1127" s="80"/>
      <c r="QYU1127" s="80"/>
      <c r="QYV1127" s="80"/>
      <c r="QYW1127" s="80"/>
      <c r="QYX1127" s="80"/>
      <c r="QYY1127" s="80"/>
      <c r="QYZ1127" s="80"/>
      <c r="QZA1127" s="80"/>
      <c r="QZB1127" s="80"/>
      <c r="QZC1127" s="80"/>
      <c r="QZD1127" s="80"/>
      <c r="QZE1127" s="80"/>
      <c r="QZF1127" s="80"/>
      <c r="QZG1127" s="80"/>
      <c r="QZH1127" s="80"/>
      <c r="QZI1127" s="80"/>
      <c r="QZJ1127" s="80"/>
      <c r="QZK1127" s="80"/>
      <c r="QZL1127" s="80"/>
      <c r="QZM1127" s="80"/>
      <c r="QZN1127" s="80"/>
      <c r="QZO1127" s="80"/>
      <c r="QZP1127" s="80"/>
      <c r="QZQ1127" s="80"/>
      <c r="QZR1127" s="80"/>
      <c r="QZS1127" s="80"/>
      <c r="QZT1127" s="80"/>
      <c r="QZU1127" s="80"/>
      <c r="QZV1127" s="80"/>
      <c r="QZW1127" s="80"/>
      <c r="QZX1127" s="80"/>
      <c r="QZY1127" s="80"/>
      <c r="QZZ1127" s="80"/>
      <c r="RAA1127" s="80"/>
      <c r="RAB1127" s="80"/>
      <c r="RAC1127" s="80"/>
      <c r="RAD1127" s="80"/>
      <c r="RAE1127" s="80"/>
      <c r="RAF1127" s="80"/>
      <c r="RAG1127" s="80"/>
      <c r="RAH1127" s="80"/>
      <c r="RAI1127" s="80"/>
      <c r="RAJ1127" s="80"/>
      <c r="RAK1127" s="80"/>
      <c r="RAL1127" s="80"/>
      <c r="RAM1127" s="80"/>
      <c r="RAN1127" s="80"/>
      <c r="RAO1127" s="80"/>
      <c r="RAP1127" s="80"/>
      <c r="RAQ1127" s="80"/>
      <c r="RAR1127" s="80"/>
      <c r="RAS1127" s="80"/>
      <c r="RAT1127" s="80"/>
      <c r="RAU1127" s="80"/>
      <c r="RAV1127" s="80"/>
      <c r="RAW1127" s="80"/>
      <c r="RAX1127" s="80"/>
      <c r="RAY1127" s="80"/>
      <c r="RAZ1127" s="80"/>
      <c r="RBA1127" s="80"/>
      <c r="RBB1127" s="80"/>
      <c r="RBC1127" s="80"/>
      <c r="RBD1127" s="80"/>
      <c r="RBE1127" s="80"/>
      <c r="RBF1127" s="80"/>
      <c r="RBG1127" s="80"/>
      <c r="RBH1127" s="80"/>
      <c r="RBI1127" s="80"/>
      <c r="RBJ1127" s="80"/>
      <c r="RBK1127" s="80"/>
      <c r="RBL1127" s="80"/>
      <c r="RBM1127" s="80"/>
      <c r="RBN1127" s="80"/>
      <c r="RBO1127" s="80"/>
      <c r="RBP1127" s="80"/>
      <c r="RBQ1127" s="80"/>
      <c r="RBR1127" s="80"/>
      <c r="RBS1127" s="80"/>
      <c r="RBT1127" s="80"/>
      <c r="RBU1127" s="80"/>
      <c r="RBV1127" s="80"/>
      <c r="RBW1127" s="80"/>
      <c r="RBX1127" s="80"/>
      <c r="RBY1127" s="80"/>
      <c r="RBZ1127" s="80"/>
      <c r="RCA1127" s="80"/>
      <c r="RCB1127" s="80"/>
      <c r="RCC1127" s="80"/>
      <c r="RCD1127" s="80"/>
      <c r="RCE1127" s="80"/>
      <c r="RCF1127" s="80"/>
      <c r="RCG1127" s="80"/>
      <c r="RCH1127" s="80"/>
      <c r="RCI1127" s="80"/>
      <c r="RCJ1127" s="80"/>
      <c r="RCK1127" s="80"/>
      <c r="RCL1127" s="80"/>
      <c r="RCM1127" s="80"/>
      <c r="RCN1127" s="80"/>
      <c r="RCO1127" s="80"/>
      <c r="RCP1127" s="80"/>
      <c r="RCQ1127" s="80"/>
      <c r="RCR1127" s="80"/>
      <c r="RCS1127" s="80"/>
      <c r="RCT1127" s="80"/>
      <c r="RCU1127" s="80"/>
      <c r="RCV1127" s="80"/>
      <c r="RCW1127" s="80"/>
      <c r="RCX1127" s="80"/>
      <c r="RCY1127" s="80"/>
      <c r="RCZ1127" s="80"/>
      <c r="RDA1127" s="80"/>
      <c r="RDB1127" s="80"/>
      <c r="RDC1127" s="80"/>
      <c r="RDD1127" s="80"/>
      <c r="RDE1127" s="80"/>
      <c r="RDF1127" s="80"/>
      <c r="RDG1127" s="80"/>
      <c r="RDH1127" s="80"/>
      <c r="RDI1127" s="80"/>
      <c r="RDJ1127" s="80"/>
      <c r="RDK1127" s="80"/>
      <c r="RDL1127" s="80"/>
      <c r="RDM1127" s="80"/>
      <c r="RDN1127" s="80"/>
      <c r="RDO1127" s="80"/>
      <c r="RDP1127" s="80"/>
      <c r="RDQ1127" s="80"/>
      <c r="RDR1127" s="80"/>
      <c r="RDS1127" s="80"/>
      <c r="RDT1127" s="80"/>
      <c r="RDU1127" s="80"/>
      <c r="RDV1127" s="80"/>
      <c r="RDW1127" s="80"/>
      <c r="RDX1127" s="80"/>
      <c r="RDY1127" s="80"/>
      <c r="RDZ1127" s="80"/>
      <c r="REA1127" s="80"/>
      <c r="REB1127" s="80"/>
      <c r="REC1127" s="80"/>
      <c r="RED1127" s="80"/>
      <c r="REE1127" s="80"/>
      <c r="REF1127" s="80"/>
      <c r="REG1127" s="80"/>
      <c r="REH1127" s="80"/>
      <c r="REI1127" s="80"/>
      <c r="REJ1127" s="80"/>
      <c r="REK1127" s="80"/>
      <c r="REL1127" s="80"/>
      <c r="REM1127" s="80"/>
      <c r="REN1127" s="80"/>
      <c r="REO1127" s="80"/>
      <c r="REP1127" s="80"/>
      <c r="REQ1127" s="80"/>
      <c r="RER1127" s="80"/>
      <c r="RES1127" s="80"/>
      <c r="RET1127" s="80"/>
      <c r="REU1127" s="80"/>
      <c r="REV1127" s="80"/>
      <c r="REW1127" s="80"/>
      <c r="REX1127" s="80"/>
      <c r="REY1127" s="80"/>
      <c r="REZ1127" s="80"/>
      <c r="RFA1127" s="80"/>
      <c r="RFB1127" s="80"/>
      <c r="RFC1127" s="80"/>
      <c r="RFD1127" s="80"/>
      <c r="RFE1127" s="80"/>
      <c r="RFF1127" s="80"/>
      <c r="RFG1127" s="80"/>
      <c r="RFH1127" s="80"/>
      <c r="RFI1127" s="80"/>
      <c r="RFJ1127" s="80"/>
      <c r="RFK1127" s="80"/>
      <c r="RFL1127" s="80"/>
      <c r="RFM1127" s="80"/>
      <c r="RFN1127" s="80"/>
      <c r="RFO1127" s="80"/>
      <c r="RFP1127" s="80"/>
      <c r="RFQ1127" s="80"/>
      <c r="RFR1127" s="80"/>
      <c r="RFS1127" s="80"/>
      <c r="RFT1127" s="80"/>
      <c r="RFU1127" s="80"/>
      <c r="RFV1127" s="80"/>
      <c r="RFW1127" s="80"/>
      <c r="RFX1127" s="80"/>
      <c r="RFY1127" s="80"/>
      <c r="RFZ1127" s="80"/>
      <c r="RGA1127" s="80"/>
      <c r="RGB1127" s="80"/>
      <c r="RGC1127" s="80"/>
      <c r="RGD1127" s="80"/>
      <c r="RGE1127" s="80"/>
      <c r="RGF1127" s="80"/>
      <c r="RGG1127" s="80"/>
      <c r="RGH1127" s="80"/>
      <c r="RGI1127" s="80"/>
      <c r="RGJ1127" s="80"/>
      <c r="RGK1127" s="80"/>
      <c r="RGL1127" s="80"/>
      <c r="RGM1127" s="80"/>
      <c r="RGN1127" s="80"/>
      <c r="RGO1127" s="80"/>
      <c r="RGP1127" s="80"/>
      <c r="RGQ1127" s="80"/>
      <c r="RGR1127" s="80"/>
      <c r="RGS1127" s="80"/>
      <c r="RGT1127" s="80"/>
      <c r="RGU1127" s="80"/>
      <c r="RGV1127" s="80"/>
      <c r="RGW1127" s="80"/>
      <c r="RGX1127" s="80"/>
      <c r="RGY1127" s="80"/>
      <c r="RGZ1127" s="80"/>
      <c r="RHA1127" s="80"/>
      <c r="RHB1127" s="80"/>
      <c r="RHC1127" s="80"/>
      <c r="RHD1127" s="80"/>
      <c r="RHE1127" s="80"/>
      <c r="RHF1127" s="80"/>
      <c r="RHG1127" s="80"/>
      <c r="RHH1127" s="80"/>
      <c r="RHI1127" s="80"/>
      <c r="RHJ1127" s="80"/>
      <c r="RHK1127" s="80"/>
      <c r="RHL1127" s="80"/>
      <c r="RHM1127" s="80"/>
      <c r="RHN1127" s="80"/>
      <c r="RHO1127" s="80"/>
      <c r="RHP1127" s="80"/>
      <c r="RHQ1127" s="80"/>
      <c r="RHR1127" s="80"/>
      <c r="RHS1127" s="80"/>
      <c r="RHT1127" s="80"/>
      <c r="RHU1127" s="80"/>
      <c r="RHV1127" s="80"/>
      <c r="RHW1127" s="80"/>
      <c r="RHX1127" s="80"/>
      <c r="RHY1127" s="80"/>
      <c r="RHZ1127" s="80"/>
      <c r="RIA1127" s="80"/>
      <c r="RIB1127" s="80"/>
      <c r="RIC1127" s="80"/>
      <c r="RID1127" s="80"/>
      <c r="RIE1127" s="80"/>
      <c r="RIF1127" s="80"/>
      <c r="RIG1127" s="80"/>
      <c r="RIH1127" s="80"/>
      <c r="RII1127" s="80"/>
      <c r="RIJ1127" s="80"/>
      <c r="RIK1127" s="80"/>
      <c r="RIL1127" s="80"/>
      <c r="RIM1127" s="80"/>
      <c r="RIN1127" s="80"/>
      <c r="RIO1127" s="80"/>
      <c r="RIP1127" s="80"/>
      <c r="RIQ1127" s="80"/>
      <c r="RIR1127" s="80"/>
      <c r="RIS1127" s="80"/>
      <c r="RIT1127" s="80"/>
      <c r="RIU1127" s="80"/>
      <c r="RIV1127" s="80"/>
      <c r="RIW1127" s="80"/>
      <c r="RIX1127" s="80"/>
      <c r="RIY1127" s="80"/>
      <c r="RIZ1127" s="80"/>
      <c r="RJA1127" s="80"/>
      <c r="RJB1127" s="80"/>
      <c r="RJC1127" s="80"/>
      <c r="RJD1127" s="80"/>
      <c r="RJE1127" s="80"/>
      <c r="RJF1127" s="80"/>
      <c r="RJG1127" s="80"/>
      <c r="RJH1127" s="80"/>
      <c r="RJI1127" s="80"/>
      <c r="RJJ1127" s="80"/>
      <c r="RJK1127" s="80"/>
      <c r="RJL1127" s="80"/>
      <c r="RJM1127" s="80"/>
      <c r="RJN1127" s="80"/>
      <c r="RJO1127" s="80"/>
      <c r="RJP1127" s="80"/>
      <c r="RJQ1127" s="80"/>
      <c r="RJR1127" s="80"/>
      <c r="RJS1127" s="80"/>
      <c r="RJT1127" s="80"/>
      <c r="RJU1127" s="80"/>
      <c r="RJV1127" s="80"/>
      <c r="RJW1127" s="80"/>
      <c r="RJX1127" s="80"/>
      <c r="RJY1127" s="80"/>
      <c r="RJZ1127" s="80"/>
      <c r="RKA1127" s="80"/>
      <c r="RKB1127" s="80"/>
      <c r="RKC1127" s="80"/>
      <c r="RKD1127" s="80"/>
      <c r="RKE1127" s="80"/>
      <c r="RKF1127" s="80"/>
      <c r="RKG1127" s="80"/>
      <c r="RKH1127" s="80"/>
      <c r="RKI1127" s="80"/>
      <c r="RKJ1127" s="80"/>
      <c r="RKK1127" s="80"/>
      <c r="RKL1127" s="80"/>
      <c r="RKM1127" s="80"/>
      <c r="RKN1127" s="80"/>
      <c r="RKO1127" s="80"/>
      <c r="RKP1127" s="80"/>
      <c r="RKQ1127" s="80"/>
      <c r="RKR1127" s="80"/>
      <c r="RKS1127" s="80"/>
      <c r="RKT1127" s="80"/>
      <c r="RKU1127" s="80"/>
      <c r="RKV1127" s="80"/>
      <c r="RKW1127" s="80"/>
      <c r="RKX1127" s="80"/>
      <c r="RKY1127" s="80"/>
      <c r="RKZ1127" s="80"/>
      <c r="RLA1127" s="80"/>
      <c r="RLB1127" s="80"/>
      <c r="RLC1127" s="80"/>
      <c r="RLD1127" s="80"/>
      <c r="RLE1127" s="80"/>
      <c r="RLF1127" s="80"/>
      <c r="RLG1127" s="80"/>
      <c r="RLH1127" s="80"/>
      <c r="RLI1127" s="80"/>
      <c r="RLJ1127" s="80"/>
      <c r="RLK1127" s="80"/>
      <c r="RLL1127" s="80"/>
      <c r="RLM1127" s="80"/>
      <c r="RLN1127" s="80"/>
      <c r="RLO1127" s="80"/>
      <c r="RLP1127" s="80"/>
      <c r="RLQ1127" s="80"/>
      <c r="RLR1127" s="80"/>
      <c r="RLS1127" s="80"/>
      <c r="RLT1127" s="80"/>
      <c r="RLU1127" s="80"/>
      <c r="RLV1127" s="80"/>
      <c r="RLW1127" s="80"/>
      <c r="RLX1127" s="80"/>
      <c r="RLY1127" s="80"/>
      <c r="RLZ1127" s="80"/>
      <c r="RMA1127" s="80"/>
      <c r="RMB1127" s="80"/>
      <c r="RMC1127" s="80"/>
      <c r="RMD1127" s="80"/>
      <c r="RME1127" s="80"/>
      <c r="RMF1127" s="80"/>
      <c r="RMG1127" s="80"/>
      <c r="RMH1127" s="80"/>
      <c r="RMI1127" s="80"/>
      <c r="RMJ1127" s="80"/>
      <c r="RMK1127" s="80"/>
      <c r="RML1127" s="80"/>
      <c r="RMM1127" s="80"/>
      <c r="RMN1127" s="80"/>
      <c r="RMO1127" s="80"/>
      <c r="RMP1127" s="80"/>
      <c r="RMQ1127" s="80"/>
      <c r="RMR1127" s="80"/>
      <c r="RMS1127" s="80"/>
      <c r="RMT1127" s="80"/>
      <c r="RMU1127" s="80"/>
      <c r="RMV1127" s="80"/>
      <c r="RMW1127" s="80"/>
      <c r="RMX1127" s="80"/>
      <c r="RMY1127" s="80"/>
      <c r="RMZ1127" s="80"/>
      <c r="RNA1127" s="80"/>
      <c r="RNB1127" s="80"/>
      <c r="RNC1127" s="80"/>
      <c r="RND1127" s="80"/>
      <c r="RNE1127" s="80"/>
      <c r="RNF1127" s="80"/>
      <c r="RNG1127" s="80"/>
      <c r="RNH1127" s="80"/>
      <c r="RNI1127" s="80"/>
      <c r="RNJ1127" s="80"/>
      <c r="RNK1127" s="80"/>
      <c r="RNL1127" s="80"/>
      <c r="RNM1127" s="80"/>
      <c r="RNN1127" s="80"/>
      <c r="RNO1127" s="80"/>
      <c r="RNP1127" s="80"/>
      <c r="RNQ1127" s="80"/>
      <c r="RNR1127" s="80"/>
      <c r="RNS1127" s="80"/>
      <c r="RNT1127" s="80"/>
      <c r="RNU1127" s="80"/>
      <c r="RNV1127" s="80"/>
      <c r="RNW1127" s="80"/>
      <c r="RNX1127" s="80"/>
      <c r="RNY1127" s="80"/>
      <c r="RNZ1127" s="80"/>
      <c r="ROA1127" s="80"/>
      <c r="ROB1127" s="80"/>
      <c r="ROC1127" s="80"/>
      <c r="ROD1127" s="80"/>
      <c r="ROE1127" s="80"/>
      <c r="ROF1127" s="80"/>
      <c r="ROG1127" s="80"/>
      <c r="ROH1127" s="80"/>
      <c r="ROI1127" s="80"/>
      <c r="ROJ1127" s="80"/>
      <c r="ROK1127" s="80"/>
      <c r="ROL1127" s="80"/>
      <c r="ROM1127" s="80"/>
      <c r="RON1127" s="80"/>
      <c r="ROO1127" s="80"/>
      <c r="ROP1127" s="80"/>
      <c r="ROQ1127" s="80"/>
      <c r="ROR1127" s="80"/>
      <c r="ROS1127" s="80"/>
      <c r="ROT1127" s="80"/>
      <c r="ROU1127" s="80"/>
      <c r="ROV1127" s="80"/>
      <c r="ROW1127" s="80"/>
      <c r="ROX1127" s="80"/>
      <c r="ROY1127" s="80"/>
      <c r="ROZ1127" s="80"/>
      <c r="RPA1127" s="80"/>
      <c r="RPB1127" s="80"/>
      <c r="RPC1127" s="80"/>
      <c r="RPD1127" s="80"/>
      <c r="RPE1127" s="80"/>
      <c r="RPF1127" s="80"/>
      <c r="RPG1127" s="80"/>
      <c r="RPH1127" s="80"/>
      <c r="RPI1127" s="80"/>
      <c r="RPJ1127" s="80"/>
      <c r="RPK1127" s="80"/>
      <c r="RPL1127" s="80"/>
      <c r="RPM1127" s="80"/>
      <c r="RPN1127" s="80"/>
      <c r="RPO1127" s="80"/>
      <c r="RPP1127" s="80"/>
      <c r="RPQ1127" s="80"/>
      <c r="RPR1127" s="80"/>
      <c r="RPS1127" s="80"/>
      <c r="RPT1127" s="80"/>
      <c r="RPU1127" s="80"/>
      <c r="RPV1127" s="80"/>
      <c r="RPW1127" s="80"/>
      <c r="RPX1127" s="80"/>
      <c r="RPY1127" s="80"/>
      <c r="RPZ1127" s="80"/>
      <c r="RQA1127" s="80"/>
      <c r="RQB1127" s="80"/>
      <c r="RQC1127" s="80"/>
      <c r="RQD1127" s="80"/>
      <c r="RQE1127" s="80"/>
      <c r="RQF1127" s="80"/>
      <c r="RQG1127" s="80"/>
      <c r="RQH1127" s="80"/>
      <c r="RQI1127" s="80"/>
      <c r="RQJ1127" s="80"/>
      <c r="RQK1127" s="80"/>
      <c r="RQL1127" s="80"/>
      <c r="RQM1127" s="80"/>
      <c r="RQN1127" s="80"/>
      <c r="RQO1127" s="80"/>
      <c r="RQP1127" s="80"/>
      <c r="RQQ1127" s="80"/>
      <c r="RQR1127" s="80"/>
      <c r="RQS1127" s="80"/>
      <c r="RQT1127" s="80"/>
      <c r="RQU1127" s="80"/>
      <c r="RQV1127" s="80"/>
      <c r="RQW1127" s="80"/>
      <c r="RQX1127" s="80"/>
      <c r="RQY1127" s="80"/>
      <c r="RQZ1127" s="80"/>
      <c r="RRA1127" s="80"/>
      <c r="RRB1127" s="80"/>
      <c r="RRC1127" s="80"/>
      <c r="RRD1127" s="80"/>
      <c r="RRE1127" s="80"/>
      <c r="RRF1127" s="80"/>
      <c r="RRG1127" s="80"/>
      <c r="RRH1127" s="80"/>
      <c r="RRI1127" s="80"/>
      <c r="RRJ1127" s="80"/>
      <c r="RRK1127" s="80"/>
      <c r="RRL1127" s="80"/>
      <c r="RRM1127" s="80"/>
      <c r="RRN1127" s="80"/>
      <c r="RRO1127" s="80"/>
      <c r="RRP1127" s="80"/>
      <c r="RRQ1127" s="80"/>
      <c r="RRR1127" s="80"/>
      <c r="RRS1127" s="80"/>
      <c r="RRT1127" s="80"/>
      <c r="RRU1127" s="80"/>
      <c r="RRV1127" s="80"/>
      <c r="RRW1127" s="80"/>
      <c r="RRX1127" s="80"/>
      <c r="RRY1127" s="80"/>
      <c r="RRZ1127" s="80"/>
      <c r="RSA1127" s="80"/>
      <c r="RSB1127" s="80"/>
      <c r="RSC1127" s="80"/>
      <c r="RSD1127" s="80"/>
      <c r="RSE1127" s="80"/>
      <c r="RSF1127" s="80"/>
      <c r="RSG1127" s="80"/>
      <c r="RSH1127" s="80"/>
      <c r="RSI1127" s="80"/>
      <c r="RSJ1127" s="80"/>
      <c r="RSK1127" s="80"/>
      <c r="RSL1127" s="80"/>
      <c r="RSM1127" s="80"/>
      <c r="RSN1127" s="80"/>
      <c r="RSO1127" s="80"/>
      <c r="RSP1127" s="80"/>
      <c r="RSQ1127" s="80"/>
      <c r="RSR1127" s="80"/>
      <c r="RSS1127" s="80"/>
      <c r="RST1127" s="80"/>
      <c r="RSU1127" s="80"/>
      <c r="RSV1127" s="80"/>
      <c r="RSW1127" s="80"/>
      <c r="RSX1127" s="80"/>
      <c r="RSY1127" s="80"/>
      <c r="RSZ1127" s="80"/>
      <c r="RTA1127" s="80"/>
      <c r="RTB1127" s="80"/>
      <c r="RTC1127" s="80"/>
      <c r="RTD1127" s="80"/>
      <c r="RTE1127" s="80"/>
      <c r="RTF1127" s="80"/>
      <c r="RTG1127" s="80"/>
      <c r="RTH1127" s="80"/>
      <c r="RTI1127" s="80"/>
      <c r="RTJ1127" s="80"/>
      <c r="RTK1127" s="80"/>
      <c r="RTL1127" s="80"/>
      <c r="RTM1127" s="80"/>
      <c r="RTN1127" s="80"/>
      <c r="RTO1127" s="80"/>
      <c r="RTP1127" s="80"/>
      <c r="RTQ1127" s="80"/>
      <c r="RTR1127" s="80"/>
      <c r="RTS1127" s="80"/>
      <c r="RTT1127" s="80"/>
      <c r="RTU1127" s="80"/>
      <c r="RTV1127" s="80"/>
      <c r="RTW1127" s="80"/>
      <c r="RTX1127" s="80"/>
      <c r="RTY1127" s="80"/>
      <c r="RTZ1127" s="80"/>
      <c r="RUA1127" s="80"/>
      <c r="RUB1127" s="80"/>
      <c r="RUC1127" s="80"/>
      <c r="RUD1127" s="80"/>
      <c r="RUE1127" s="80"/>
      <c r="RUF1127" s="80"/>
      <c r="RUG1127" s="80"/>
      <c r="RUH1127" s="80"/>
      <c r="RUI1127" s="80"/>
      <c r="RUJ1127" s="80"/>
      <c r="RUK1127" s="80"/>
      <c r="RUL1127" s="80"/>
      <c r="RUM1127" s="80"/>
      <c r="RUN1127" s="80"/>
      <c r="RUO1127" s="80"/>
      <c r="RUP1127" s="80"/>
      <c r="RUQ1127" s="80"/>
      <c r="RUR1127" s="80"/>
      <c r="RUS1127" s="80"/>
      <c r="RUT1127" s="80"/>
      <c r="RUU1127" s="80"/>
      <c r="RUV1127" s="80"/>
      <c r="RUW1127" s="80"/>
      <c r="RUX1127" s="80"/>
      <c r="RUY1127" s="80"/>
      <c r="RUZ1127" s="80"/>
      <c r="RVA1127" s="80"/>
      <c r="RVB1127" s="80"/>
      <c r="RVC1127" s="80"/>
      <c r="RVD1127" s="80"/>
      <c r="RVE1127" s="80"/>
      <c r="RVF1127" s="80"/>
      <c r="RVG1127" s="80"/>
      <c r="RVH1127" s="80"/>
      <c r="RVI1127" s="80"/>
      <c r="RVJ1127" s="80"/>
      <c r="RVK1127" s="80"/>
      <c r="RVL1127" s="80"/>
      <c r="RVM1127" s="80"/>
      <c r="RVN1127" s="80"/>
      <c r="RVO1127" s="80"/>
      <c r="RVP1127" s="80"/>
      <c r="RVQ1127" s="80"/>
      <c r="RVR1127" s="80"/>
      <c r="RVS1127" s="80"/>
      <c r="RVT1127" s="80"/>
      <c r="RVU1127" s="80"/>
      <c r="RVV1127" s="80"/>
      <c r="RVW1127" s="80"/>
      <c r="RVX1127" s="80"/>
      <c r="RVY1127" s="80"/>
      <c r="RVZ1127" s="80"/>
      <c r="RWA1127" s="80"/>
      <c r="RWB1127" s="80"/>
      <c r="RWC1127" s="80"/>
      <c r="RWD1127" s="80"/>
      <c r="RWE1127" s="80"/>
      <c r="RWF1127" s="80"/>
      <c r="RWG1127" s="80"/>
      <c r="RWH1127" s="80"/>
      <c r="RWI1127" s="80"/>
      <c r="RWJ1127" s="80"/>
      <c r="RWK1127" s="80"/>
      <c r="RWL1127" s="80"/>
      <c r="RWM1127" s="80"/>
      <c r="RWN1127" s="80"/>
      <c r="RWO1127" s="80"/>
      <c r="RWP1127" s="80"/>
      <c r="RWQ1127" s="80"/>
      <c r="RWR1127" s="80"/>
      <c r="RWS1127" s="80"/>
      <c r="RWT1127" s="80"/>
      <c r="RWU1127" s="80"/>
      <c r="RWV1127" s="80"/>
      <c r="RWW1127" s="80"/>
      <c r="RWX1127" s="80"/>
      <c r="RWY1127" s="80"/>
      <c r="RWZ1127" s="80"/>
      <c r="RXA1127" s="80"/>
      <c r="RXB1127" s="80"/>
      <c r="RXC1127" s="80"/>
      <c r="RXD1127" s="80"/>
      <c r="RXE1127" s="80"/>
      <c r="RXF1127" s="80"/>
      <c r="RXG1127" s="80"/>
      <c r="RXH1127" s="80"/>
      <c r="RXI1127" s="80"/>
      <c r="RXJ1127" s="80"/>
      <c r="RXK1127" s="80"/>
      <c r="RXL1127" s="80"/>
      <c r="RXM1127" s="80"/>
      <c r="RXN1127" s="80"/>
      <c r="RXO1127" s="80"/>
      <c r="RXP1127" s="80"/>
      <c r="RXQ1127" s="80"/>
      <c r="RXR1127" s="80"/>
      <c r="RXS1127" s="80"/>
      <c r="RXT1127" s="80"/>
      <c r="RXU1127" s="80"/>
      <c r="RXV1127" s="80"/>
      <c r="RXW1127" s="80"/>
      <c r="RXX1127" s="80"/>
      <c r="RXY1127" s="80"/>
      <c r="RXZ1127" s="80"/>
      <c r="RYA1127" s="80"/>
      <c r="RYB1127" s="80"/>
      <c r="RYC1127" s="80"/>
      <c r="RYD1127" s="80"/>
      <c r="RYE1127" s="80"/>
      <c r="RYF1127" s="80"/>
      <c r="RYG1127" s="80"/>
      <c r="RYH1127" s="80"/>
      <c r="RYI1127" s="80"/>
      <c r="RYJ1127" s="80"/>
      <c r="RYK1127" s="80"/>
      <c r="RYL1127" s="80"/>
      <c r="RYM1127" s="80"/>
      <c r="RYN1127" s="80"/>
      <c r="RYO1127" s="80"/>
      <c r="RYP1127" s="80"/>
      <c r="RYQ1127" s="80"/>
      <c r="RYR1127" s="80"/>
      <c r="RYS1127" s="80"/>
      <c r="RYT1127" s="80"/>
      <c r="RYU1127" s="80"/>
      <c r="RYV1127" s="80"/>
      <c r="RYW1127" s="80"/>
      <c r="RYX1127" s="80"/>
      <c r="RYY1127" s="80"/>
      <c r="RYZ1127" s="80"/>
      <c r="RZA1127" s="80"/>
      <c r="RZB1127" s="80"/>
      <c r="RZC1127" s="80"/>
      <c r="RZD1127" s="80"/>
      <c r="RZE1127" s="80"/>
      <c r="RZF1127" s="80"/>
      <c r="RZG1127" s="80"/>
      <c r="RZH1127" s="80"/>
      <c r="RZI1127" s="80"/>
      <c r="RZJ1127" s="80"/>
      <c r="RZK1127" s="80"/>
      <c r="RZL1127" s="80"/>
      <c r="RZM1127" s="80"/>
      <c r="RZN1127" s="80"/>
      <c r="RZO1127" s="80"/>
      <c r="RZP1127" s="80"/>
      <c r="RZQ1127" s="80"/>
      <c r="RZR1127" s="80"/>
      <c r="RZS1127" s="80"/>
      <c r="RZT1127" s="80"/>
      <c r="RZU1127" s="80"/>
      <c r="RZV1127" s="80"/>
      <c r="RZW1127" s="80"/>
      <c r="RZX1127" s="80"/>
      <c r="RZY1127" s="80"/>
      <c r="RZZ1127" s="80"/>
      <c r="SAA1127" s="80"/>
      <c r="SAB1127" s="80"/>
      <c r="SAC1127" s="80"/>
      <c r="SAD1127" s="80"/>
      <c r="SAE1127" s="80"/>
      <c r="SAF1127" s="80"/>
      <c r="SAG1127" s="80"/>
      <c r="SAH1127" s="80"/>
      <c r="SAI1127" s="80"/>
      <c r="SAJ1127" s="80"/>
      <c r="SAK1127" s="80"/>
      <c r="SAL1127" s="80"/>
      <c r="SAM1127" s="80"/>
      <c r="SAN1127" s="80"/>
      <c r="SAO1127" s="80"/>
      <c r="SAP1127" s="80"/>
      <c r="SAQ1127" s="80"/>
      <c r="SAR1127" s="80"/>
      <c r="SAS1127" s="80"/>
      <c r="SAT1127" s="80"/>
      <c r="SAU1127" s="80"/>
      <c r="SAV1127" s="80"/>
      <c r="SAW1127" s="80"/>
      <c r="SAX1127" s="80"/>
      <c r="SAY1127" s="80"/>
      <c r="SAZ1127" s="80"/>
      <c r="SBA1127" s="80"/>
      <c r="SBB1127" s="80"/>
      <c r="SBC1127" s="80"/>
      <c r="SBD1127" s="80"/>
      <c r="SBE1127" s="80"/>
      <c r="SBF1127" s="80"/>
      <c r="SBG1127" s="80"/>
      <c r="SBH1127" s="80"/>
      <c r="SBI1127" s="80"/>
      <c r="SBJ1127" s="80"/>
      <c r="SBK1127" s="80"/>
      <c r="SBL1127" s="80"/>
      <c r="SBM1127" s="80"/>
      <c r="SBN1127" s="80"/>
      <c r="SBO1127" s="80"/>
      <c r="SBP1127" s="80"/>
      <c r="SBQ1127" s="80"/>
      <c r="SBR1127" s="80"/>
      <c r="SBS1127" s="80"/>
      <c r="SBT1127" s="80"/>
      <c r="SBU1127" s="80"/>
      <c r="SBV1127" s="80"/>
      <c r="SBW1127" s="80"/>
      <c r="SBX1127" s="80"/>
      <c r="SBY1127" s="80"/>
      <c r="SBZ1127" s="80"/>
      <c r="SCA1127" s="80"/>
      <c r="SCB1127" s="80"/>
      <c r="SCC1127" s="80"/>
      <c r="SCD1127" s="80"/>
      <c r="SCE1127" s="80"/>
      <c r="SCF1127" s="80"/>
      <c r="SCG1127" s="80"/>
      <c r="SCH1127" s="80"/>
      <c r="SCI1127" s="80"/>
      <c r="SCJ1127" s="80"/>
      <c r="SCK1127" s="80"/>
      <c r="SCL1127" s="80"/>
      <c r="SCM1127" s="80"/>
      <c r="SCN1127" s="80"/>
      <c r="SCO1127" s="80"/>
      <c r="SCP1127" s="80"/>
      <c r="SCQ1127" s="80"/>
      <c r="SCR1127" s="80"/>
      <c r="SCS1127" s="80"/>
      <c r="SCT1127" s="80"/>
      <c r="SCU1127" s="80"/>
      <c r="SCV1127" s="80"/>
      <c r="SCW1127" s="80"/>
      <c r="SCX1127" s="80"/>
      <c r="SCY1127" s="80"/>
      <c r="SCZ1127" s="80"/>
      <c r="SDA1127" s="80"/>
      <c r="SDB1127" s="80"/>
      <c r="SDC1127" s="80"/>
      <c r="SDD1127" s="80"/>
      <c r="SDE1127" s="80"/>
      <c r="SDF1127" s="80"/>
      <c r="SDG1127" s="80"/>
      <c r="SDH1127" s="80"/>
      <c r="SDI1127" s="80"/>
      <c r="SDJ1127" s="80"/>
      <c r="SDK1127" s="80"/>
      <c r="SDL1127" s="80"/>
      <c r="SDM1127" s="80"/>
      <c r="SDN1127" s="80"/>
      <c r="SDO1127" s="80"/>
      <c r="SDP1127" s="80"/>
      <c r="SDQ1127" s="80"/>
      <c r="SDR1127" s="80"/>
      <c r="SDS1127" s="80"/>
      <c r="SDT1127" s="80"/>
      <c r="SDU1127" s="80"/>
      <c r="SDV1127" s="80"/>
      <c r="SDW1127" s="80"/>
      <c r="SDX1127" s="80"/>
      <c r="SDY1127" s="80"/>
      <c r="SDZ1127" s="80"/>
      <c r="SEA1127" s="80"/>
      <c r="SEB1127" s="80"/>
      <c r="SEC1127" s="80"/>
      <c r="SED1127" s="80"/>
      <c r="SEE1127" s="80"/>
      <c r="SEF1127" s="80"/>
      <c r="SEG1127" s="80"/>
      <c r="SEH1127" s="80"/>
      <c r="SEI1127" s="80"/>
      <c r="SEJ1127" s="80"/>
      <c r="SEK1127" s="80"/>
      <c r="SEL1127" s="80"/>
      <c r="SEM1127" s="80"/>
      <c r="SEN1127" s="80"/>
      <c r="SEO1127" s="80"/>
      <c r="SEP1127" s="80"/>
      <c r="SEQ1127" s="80"/>
      <c r="SER1127" s="80"/>
      <c r="SES1127" s="80"/>
      <c r="SET1127" s="80"/>
      <c r="SEU1127" s="80"/>
      <c r="SEV1127" s="80"/>
      <c r="SEW1127" s="80"/>
      <c r="SEX1127" s="80"/>
      <c r="SEY1127" s="80"/>
      <c r="SEZ1127" s="80"/>
      <c r="SFA1127" s="80"/>
      <c r="SFB1127" s="80"/>
      <c r="SFC1127" s="80"/>
      <c r="SFD1127" s="80"/>
      <c r="SFE1127" s="80"/>
      <c r="SFF1127" s="80"/>
      <c r="SFG1127" s="80"/>
      <c r="SFH1127" s="80"/>
      <c r="SFI1127" s="80"/>
      <c r="SFJ1127" s="80"/>
      <c r="SFK1127" s="80"/>
      <c r="SFL1127" s="80"/>
      <c r="SFM1127" s="80"/>
      <c r="SFN1127" s="80"/>
      <c r="SFO1127" s="80"/>
      <c r="SFP1127" s="80"/>
      <c r="SFQ1127" s="80"/>
      <c r="SFR1127" s="80"/>
      <c r="SFS1127" s="80"/>
      <c r="SFT1127" s="80"/>
      <c r="SFU1127" s="80"/>
      <c r="SFV1127" s="80"/>
      <c r="SFW1127" s="80"/>
      <c r="SFX1127" s="80"/>
      <c r="SFY1127" s="80"/>
      <c r="SFZ1127" s="80"/>
      <c r="SGA1127" s="80"/>
      <c r="SGB1127" s="80"/>
      <c r="SGC1127" s="80"/>
      <c r="SGD1127" s="80"/>
      <c r="SGE1127" s="80"/>
      <c r="SGF1127" s="80"/>
      <c r="SGG1127" s="80"/>
      <c r="SGH1127" s="80"/>
      <c r="SGI1127" s="80"/>
      <c r="SGJ1127" s="80"/>
      <c r="SGK1127" s="80"/>
      <c r="SGL1127" s="80"/>
      <c r="SGM1127" s="80"/>
      <c r="SGN1127" s="80"/>
      <c r="SGO1127" s="80"/>
      <c r="SGP1127" s="80"/>
      <c r="SGQ1127" s="80"/>
      <c r="SGR1127" s="80"/>
      <c r="SGS1127" s="80"/>
      <c r="SGT1127" s="80"/>
      <c r="SGU1127" s="80"/>
      <c r="SGV1127" s="80"/>
      <c r="SGW1127" s="80"/>
      <c r="SGX1127" s="80"/>
      <c r="SGY1127" s="80"/>
      <c r="SGZ1127" s="80"/>
      <c r="SHA1127" s="80"/>
      <c r="SHB1127" s="80"/>
      <c r="SHC1127" s="80"/>
      <c r="SHD1127" s="80"/>
      <c r="SHE1127" s="80"/>
      <c r="SHF1127" s="80"/>
      <c r="SHG1127" s="80"/>
      <c r="SHH1127" s="80"/>
      <c r="SHI1127" s="80"/>
      <c r="SHJ1127" s="80"/>
      <c r="SHK1127" s="80"/>
      <c r="SHL1127" s="80"/>
      <c r="SHM1127" s="80"/>
      <c r="SHN1127" s="80"/>
      <c r="SHO1127" s="80"/>
      <c r="SHP1127" s="80"/>
      <c r="SHQ1127" s="80"/>
      <c r="SHR1127" s="80"/>
      <c r="SHS1127" s="80"/>
      <c r="SHT1127" s="80"/>
      <c r="SHU1127" s="80"/>
      <c r="SHV1127" s="80"/>
      <c r="SHW1127" s="80"/>
      <c r="SHX1127" s="80"/>
      <c r="SHY1127" s="80"/>
      <c r="SHZ1127" s="80"/>
      <c r="SIA1127" s="80"/>
      <c r="SIB1127" s="80"/>
      <c r="SIC1127" s="80"/>
      <c r="SID1127" s="80"/>
      <c r="SIE1127" s="80"/>
      <c r="SIF1127" s="80"/>
      <c r="SIG1127" s="80"/>
      <c r="SIH1127" s="80"/>
      <c r="SII1127" s="80"/>
      <c r="SIJ1127" s="80"/>
      <c r="SIK1127" s="80"/>
      <c r="SIL1127" s="80"/>
      <c r="SIM1127" s="80"/>
      <c r="SIN1127" s="80"/>
      <c r="SIO1127" s="80"/>
      <c r="SIP1127" s="80"/>
      <c r="SIQ1127" s="80"/>
      <c r="SIR1127" s="80"/>
      <c r="SIS1127" s="80"/>
      <c r="SIT1127" s="80"/>
      <c r="SIU1127" s="80"/>
      <c r="SIV1127" s="80"/>
      <c r="SIW1127" s="80"/>
      <c r="SIX1127" s="80"/>
      <c r="SIY1127" s="80"/>
      <c r="SIZ1127" s="80"/>
      <c r="SJA1127" s="80"/>
      <c r="SJB1127" s="80"/>
      <c r="SJC1127" s="80"/>
      <c r="SJD1127" s="80"/>
      <c r="SJE1127" s="80"/>
      <c r="SJF1127" s="80"/>
      <c r="SJG1127" s="80"/>
      <c r="SJH1127" s="80"/>
      <c r="SJI1127" s="80"/>
      <c r="SJJ1127" s="80"/>
      <c r="SJK1127" s="80"/>
      <c r="SJL1127" s="80"/>
      <c r="SJM1127" s="80"/>
      <c r="SJN1127" s="80"/>
      <c r="SJO1127" s="80"/>
      <c r="SJP1127" s="80"/>
      <c r="SJQ1127" s="80"/>
      <c r="SJR1127" s="80"/>
      <c r="SJS1127" s="80"/>
      <c r="SJT1127" s="80"/>
      <c r="SJU1127" s="80"/>
      <c r="SJV1127" s="80"/>
      <c r="SJW1127" s="80"/>
      <c r="SJX1127" s="80"/>
      <c r="SJY1127" s="80"/>
      <c r="SJZ1127" s="80"/>
      <c r="SKA1127" s="80"/>
      <c r="SKB1127" s="80"/>
      <c r="SKC1127" s="80"/>
      <c r="SKD1127" s="80"/>
      <c r="SKE1127" s="80"/>
      <c r="SKF1127" s="80"/>
      <c r="SKG1127" s="80"/>
      <c r="SKH1127" s="80"/>
      <c r="SKI1127" s="80"/>
      <c r="SKJ1127" s="80"/>
      <c r="SKK1127" s="80"/>
      <c r="SKL1127" s="80"/>
      <c r="SKM1127" s="80"/>
      <c r="SKN1127" s="80"/>
      <c r="SKO1127" s="80"/>
      <c r="SKP1127" s="80"/>
      <c r="SKQ1127" s="80"/>
      <c r="SKR1127" s="80"/>
      <c r="SKS1127" s="80"/>
      <c r="SKT1127" s="80"/>
      <c r="SKU1127" s="80"/>
      <c r="SKV1127" s="80"/>
      <c r="SKW1127" s="80"/>
      <c r="SKX1127" s="80"/>
      <c r="SKY1127" s="80"/>
      <c r="SKZ1127" s="80"/>
      <c r="SLA1127" s="80"/>
      <c r="SLB1127" s="80"/>
      <c r="SLC1127" s="80"/>
      <c r="SLD1127" s="80"/>
      <c r="SLE1127" s="80"/>
      <c r="SLF1127" s="80"/>
      <c r="SLG1127" s="80"/>
      <c r="SLH1127" s="80"/>
      <c r="SLI1127" s="80"/>
      <c r="SLJ1127" s="80"/>
      <c r="SLK1127" s="80"/>
      <c r="SLL1127" s="80"/>
      <c r="SLM1127" s="80"/>
      <c r="SLN1127" s="80"/>
      <c r="SLO1127" s="80"/>
      <c r="SLP1127" s="80"/>
      <c r="SLQ1127" s="80"/>
      <c r="SLR1127" s="80"/>
      <c r="SLS1127" s="80"/>
      <c r="SLT1127" s="80"/>
      <c r="SLU1127" s="80"/>
      <c r="SLV1127" s="80"/>
      <c r="SLW1127" s="80"/>
      <c r="SLX1127" s="80"/>
      <c r="SLY1127" s="80"/>
      <c r="SLZ1127" s="80"/>
      <c r="SMA1127" s="80"/>
      <c r="SMB1127" s="80"/>
      <c r="SMC1127" s="80"/>
      <c r="SMD1127" s="80"/>
      <c r="SME1127" s="80"/>
      <c r="SMF1127" s="80"/>
      <c r="SMG1127" s="80"/>
      <c r="SMH1127" s="80"/>
      <c r="SMI1127" s="80"/>
      <c r="SMJ1127" s="80"/>
      <c r="SMK1127" s="80"/>
      <c r="SML1127" s="80"/>
      <c r="SMM1127" s="80"/>
      <c r="SMN1127" s="80"/>
      <c r="SMO1127" s="80"/>
      <c r="SMP1127" s="80"/>
      <c r="SMQ1127" s="80"/>
      <c r="SMR1127" s="80"/>
      <c r="SMS1127" s="80"/>
      <c r="SMT1127" s="80"/>
      <c r="SMU1127" s="80"/>
      <c r="SMV1127" s="80"/>
      <c r="SMW1127" s="80"/>
      <c r="SMX1127" s="80"/>
      <c r="SMY1127" s="80"/>
      <c r="SMZ1127" s="80"/>
      <c r="SNA1127" s="80"/>
      <c r="SNB1127" s="80"/>
      <c r="SNC1127" s="80"/>
      <c r="SND1127" s="80"/>
      <c r="SNE1127" s="80"/>
      <c r="SNF1127" s="80"/>
      <c r="SNG1127" s="80"/>
      <c r="SNH1127" s="80"/>
      <c r="SNI1127" s="80"/>
      <c r="SNJ1127" s="80"/>
      <c r="SNK1127" s="80"/>
      <c r="SNL1127" s="80"/>
      <c r="SNM1127" s="80"/>
      <c r="SNN1127" s="80"/>
      <c r="SNO1127" s="80"/>
      <c r="SNP1127" s="80"/>
      <c r="SNQ1127" s="80"/>
      <c r="SNR1127" s="80"/>
      <c r="SNS1127" s="80"/>
      <c r="SNT1127" s="80"/>
      <c r="SNU1127" s="80"/>
      <c r="SNV1127" s="80"/>
      <c r="SNW1127" s="80"/>
      <c r="SNX1127" s="80"/>
      <c r="SNY1127" s="80"/>
      <c r="SNZ1127" s="80"/>
      <c r="SOA1127" s="80"/>
      <c r="SOB1127" s="80"/>
      <c r="SOC1127" s="80"/>
      <c r="SOD1127" s="80"/>
      <c r="SOE1127" s="80"/>
      <c r="SOF1127" s="80"/>
      <c r="SOG1127" s="80"/>
      <c r="SOH1127" s="80"/>
      <c r="SOI1127" s="80"/>
      <c r="SOJ1127" s="80"/>
      <c r="SOK1127" s="80"/>
      <c r="SOL1127" s="80"/>
      <c r="SOM1127" s="80"/>
      <c r="SON1127" s="80"/>
      <c r="SOO1127" s="80"/>
      <c r="SOP1127" s="80"/>
      <c r="SOQ1127" s="80"/>
      <c r="SOR1127" s="80"/>
      <c r="SOS1127" s="80"/>
      <c r="SOT1127" s="80"/>
      <c r="SOU1127" s="80"/>
      <c r="SOV1127" s="80"/>
      <c r="SOW1127" s="80"/>
      <c r="SOX1127" s="80"/>
      <c r="SOY1127" s="80"/>
      <c r="SOZ1127" s="80"/>
      <c r="SPA1127" s="80"/>
      <c r="SPB1127" s="80"/>
      <c r="SPC1127" s="80"/>
      <c r="SPD1127" s="80"/>
      <c r="SPE1127" s="80"/>
      <c r="SPF1127" s="80"/>
      <c r="SPG1127" s="80"/>
      <c r="SPH1127" s="80"/>
      <c r="SPI1127" s="80"/>
      <c r="SPJ1127" s="80"/>
      <c r="SPK1127" s="80"/>
      <c r="SPL1127" s="80"/>
      <c r="SPM1127" s="80"/>
      <c r="SPN1127" s="80"/>
      <c r="SPO1127" s="80"/>
      <c r="SPP1127" s="80"/>
      <c r="SPQ1127" s="80"/>
      <c r="SPR1127" s="80"/>
      <c r="SPS1127" s="80"/>
      <c r="SPT1127" s="80"/>
      <c r="SPU1127" s="80"/>
      <c r="SPV1127" s="80"/>
      <c r="SPW1127" s="80"/>
      <c r="SPX1127" s="80"/>
      <c r="SPY1127" s="80"/>
      <c r="SPZ1127" s="80"/>
      <c r="SQA1127" s="80"/>
      <c r="SQB1127" s="80"/>
      <c r="SQC1127" s="80"/>
      <c r="SQD1127" s="80"/>
      <c r="SQE1127" s="80"/>
      <c r="SQF1127" s="80"/>
      <c r="SQG1127" s="80"/>
      <c r="SQH1127" s="80"/>
      <c r="SQI1127" s="80"/>
      <c r="SQJ1127" s="80"/>
      <c r="SQK1127" s="80"/>
      <c r="SQL1127" s="80"/>
      <c r="SQM1127" s="80"/>
      <c r="SQN1127" s="80"/>
      <c r="SQO1127" s="80"/>
      <c r="SQP1127" s="80"/>
      <c r="SQQ1127" s="80"/>
      <c r="SQR1127" s="80"/>
      <c r="SQS1127" s="80"/>
      <c r="SQT1127" s="80"/>
      <c r="SQU1127" s="80"/>
      <c r="SQV1127" s="80"/>
      <c r="SQW1127" s="80"/>
      <c r="SQX1127" s="80"/>
      <c r="SQY1127" s="80"/>
      <c r="SQZ1127" s="80"/>
      <c r="SRA1127" s="80"/>
      <c r="SRB1127" s="80"/>
      <c r="SRC1127" s="80"/>
      <c r="SRD1127" s="80"/>
      <c r="SRE1127" s="80"/>
      <c r="SRF1127" s="80"/>
      <c r="SRG1127" s="80"/>
      <c r="SRH1127" s="80"/>
      <c r="SRI1127" s="80"/>
      <c r="SRJ1127" s="80"/>
      <c r="SRK1127" s="80"/>
      <c r="SRL1127" s="80"/>
      <c r="SRM1127" s="80"/>
      <c r="SRN1127" s="80"/>
      <c r="SRO1127" s="80"/>
      <c r="SRP1127" s="80"/>
      <c r="SRQ1127" s="80"/>
      <c r="SRR1127" s="80"/>
      <c r="SRS1127" s="80"/>
      <c r="SRT1127" s="80"/>
      <c r="SRU1127" s="80"/>
      <c r="SRV1127" s="80"/>
      <c r="SRW1127" s="80"/>
      <c r="SRX1127" s="80"/>
      <c r="SRY1127" s="80"/>
      <c r="SRZ1127" s="80"/>
      <c r="SSA1127" s="80"/>
      <c r="SSB1127" s="80"/>
      <c r="SSC1127" s="80"/>
      <c r="SSD1127" s="80"/>
      <c r="SSE1127" s="80"/>
      <c r="SSF1127" s="80"/>
      <c r="SSG1127" s="80"/>
      <c r="SSH1127" s="80"/>
      <c r="SSI1127" s="80"/>
      <c r="SSJ1127" s="80"/>
      <c r="SSK1127" s="80"/>
      <c r="SSL1127" s="80"/>
      <c r="SSM1127" s="80"/>
      <c r="SSN1127" s="80"/>
      <c r="SSO1127" s="80"/>
      <c r="SSP1127" s="80"/>
      <c r="SSQ1127" s="80"/>
      <c r="SSR1127" s="80"/>
      <c r="SSS1127" s="80"/>
      <c r="SST1127" s="80"/>
      <c r="SSU1127" s="80"/>
      <c r="SSV1127" s="80"/>
      <c r="SSW1127" s="80"/>
      <c r="SSX1127" s="80"/>
      <c r="SSY1127" s="80"/>
      <c r="SSZ1127" s="80"/>
      <c r="STA1127" s="80"/>
      <c r="STB1127" s="80"/>
      <c r="STC1127" s="80"/>
      <c r="STD1127" s="80"/>
      <c r="STE1127" s="80"/>
      <c r="STF1127" s="80"/>
      <c r="STG1127" s="80"/>
      <c r="STH1127" s="80"/>
      <c r="STI1127" s="80"/>
      <c r="STJ1127" s="80"/>
      <c r="STK1127" s="80"/>
      <c r="STL1127" s="80"/>
      <c r="STM1127" s="80"/>
      <c r="STN1127" s="80"/>
      <c r="STO1127" s="80"/>
      <c r="STP1127" s="80"/>
      <c r="STQ1127" s="80"/>
      <c r="STR1127" s="80"/>
      <c r="STS1127" s="80"/>
      <c r="STT1127" s="80"/>
      <c r="STU1127" s="80"/>
      <c r="STV1127" s="80"/>
      <c r="STW1127" s="80"/>
      <c r="STX1127" s="80"/>
      <c r="STY1127" s="80"/>
      <c r="STZ1127" s="80"/>
      <c r="SUA1127" s="80"/>
      <c r="SUB1127" s="80"/>
      <c r="SUC1127" s="80"/>
      <c r="SUD1127" s="80"/>
      <c r="SUE1127" s="80"/>
      <c r="SUF1127" s="80"/>
      <c r="SUG1127" s="80"/>
      <c r="SUH1127" s="80"/>
      <c r="SUI1127" s="80"/>
      <c r="SUJ1127" s="80"/>
      <c r="SUK1127" s="80"/>
      <c r="SUL1127" s="80"/>
      <c r="SUM1127" s="80"/>
      <c r="SUN1127" s="80"/>
      <c r="SUO1127" s="80"/>
      <c r="SUP1127" s="80"/>
      <c r="SUQ1127" s="80"/>
      <c r="SUR1127" s="80"/>
      <c r="SUS1127" s="80"/>
      <c r="SUT1127" s="80"/>
      <c r="SUU1127" s="80"/>
      <c r="SUV1127" s="80"/>
      <c r="SUW1127" s="80"/>
      <c r="SUX1127" s="80"/>
      <c r="SUY1127" s="80"/>
      <c r="SUZ1127" s="80"/>
      <c r="SVA1127" s="80"/>
      <c r="SVB1127" s="80"/>
      <c r="SVC1127" s="80"/>
      <c r="SVD1127" s="80"/>
      <c r="SVE1127" s="80"/>
      <c r="SVF1127" s="80"/>
      <c r="SVG1127" s="80"/>
      <c r="SVH1127" s="80"/>
      <c r="SVI1127" s="80"/>
      <c r="SVJ1127" s="80"/>
      <c r="SVK1127" s="80"/>
      <c r="SVL1127" s="80"/>
      <c r="SVM1127" s="80"/>
      <c r="SVN1127" s="80"/>
      <c r="SVO1127" s="80"/>
      <c r="SVP1127" s="80"/>
      <c r="SVQ1127" s="80"/>
      <c r="SVR1127" s="80"/>
      <c r="SVS1127" s="80"/>
      <c r="SVT1127" s="80"/>
      <c r="SVU1127" s="80"/>
      <c r="SVV1127" s="80"/>
      <c r="SVW1127" s="80"/>
      <c r="SVX1127" s="80"/>
      <c r="SVY1127" s="80"/>
      <c r="SVZ1127" s="80"/>
      <c r="SWA1127" s="80"/>
      <c r="SWB1127" s="80"/>
      <c r="SWC1127" s="80"/>
      <c r="SWD1127" s="80"/>
      <c r="SWE1127" s="80"/>
      <c r="SWF1127" s="80"/>
      <c r="SWG1127" s="80"/>
      <c r="SWH1127" s="80"/>
      <c r="SWI1127" s="80"/>
      <c r="SWJ1127" s="80"/>
      <c r="SWK1127" s="80"/>
      <c r="SWL1127" s="80"/>
      <c r="SWM1127" s="80"/>
      <c r="SWN1127" s="80"/>
      <c r="SWO1127" s="80"/>
      <c r="SWP1127" s="80"/>
      <c r="SWQ1127" s="80"/>
      <c r="SWR1127" s="80"/>
      <c r="SWS1127" s="80"/>
      <c r="SWT1127" s="80"/>
      <c r="SWU1127" s="80"/>
      <c r="SWV1127" s="80"/>
      <c r="SWW1127" s="80"/>
      <c r="SWX1127" s="80"/>
      <c r="SWY1127" s="80"/>
      <c r="SWZ1127" s="80"/>
      <c r="SXA1127" s="80"/>
      <c r="SXB1127" s="80"/>
      <c r="SXC1127" s="80"/>
      <c r="SXD1127" s="80"/>
      <c r="SXE1127" s="80"/>
      <c r="SXF1127" s="80"/>
      <c r="SXG1127" s="80"/>
      <c r="SXH1127" s="80"/>
      <c r="SXI1127" s="80"/>
      <c r="SXJ1127" s="80"/>
      <c r="SXK1127" s="80"/>
      <c r="SXL1127" s="80"/>
      <c r="SXM1127" s="80"/>
      <c r="SXN1127" s="80"/>
      <c r="SXO1127" s="80"/>
      <c r="SXP1127" s="80"/>
      <c r="SXQ1127" s="80"/>
      <c r="SXR1127" s="80"/>
      <c r="SXS1127" s="80"/>
      <c r="SXT1127" s="80"/>
      <c r="SXU1127" s="80"/>
      <c r="SXV1127" s="80"/>
      <c r="SXW1127" s="80"/>
      <c r="SXX1127" s="80"/>
      <c r="SXY1127" s="80"/>
      <c r="SXZ1127" s="80"/>
      <c r="SYA1127" s="80"/>
      <c r="SYB1127" s="80"/>
      <c r="SYC1127" s="80"/>
      <c r="SYD1127" s="80"/>
      <c r="SYE1127" s="80"/>
      <c r="SYF1127" s="80"/>
      <c r="SYG1127" s="80"/>
      <c r="SYH1127" s="80"/>
      <c r="SYI1127" s="80"/>
      <c r="SYJ1127" s="80"/>
      <c r="SYK1127" s="80"/>
      <c r="SYL1127" s="80"/>
      <c r="SYM1127" s="80"/>
      <c r="SYN1127" s="80"/>
      <c r="SYO1127" s="80"/>
      <c r="SYP1127" s="80"/>
      <c r="SYQ1127" s="80"/>
      <c r="SYR1127" s="80"/>
      <c r="SYS1127" s="80"/>
      <c r="SYT1127" s="80"/>
      <c r="SYU1127" s="80"/>
      <c r="SYV1127" s="80"/>
      <c r="SYW1127" s="80"/>
      <c r="SYX1127" s="80"/>
      <c r="SYY1127" s="80"/>
      <c r="SYZ1127" s="80"/>
      <c r="SZA1127" s="80"/>
      <c r="SZB1127" s="80"/>
      <c r="SZC1127" s="80"/>
      <c r="SZD1127" s="80"/>
      <c r="SZE1127" s="80"/>
      <c r="SZF1127" s="80"/>
      <c r="SZG1127" s="80"/>
      <c r="SZH1127" s="80"/>
      <c r="SZI1127" s="80"/>
      <c r="SZJ1127" s="80"/>
      <c r="SZK1127" s="80"/>
      <c r="SZL1127" s="80"/>
      <c r="SZM1127" s="80"/>
      <c r="SZN1127" s="80"/>
      <c r="SZO1127" s="80"/>
      <c r="SZP1127" s="80"/>
      <c r="SZQ1127" s="80"/>
      <c r="SZR1127" s="80"/>
      <c r="SZS1127" s="80"/>
      <c r="SZT1127" s="80"/>
      <c r="SZU1127" s="80"/>
      <c r="SZV1127" s="80"/>
      <c r="SZW1127" s="80"/>
      <c r="SZX1127" s="80"/>
      <c r="SZY1127" s="80"/>
      <c r="SZZ1127" s="80"/>
      <c r="TAA1127" s="80"/>
      <c r="TAB1127" s="80"/>
      <c r="TAC1127" s="80"/>
      <c r="TAD1127" s="80"/>
      <c r="TAE1127" s="80"/>
      <c r="TAF1127" s="80"/>
      <c r="TAG1127" s="80"/>
      <c r="TAH1127" s="80"/>
      <c r="TAI1127" s="80"/>
      <c r="TAJ1127" s="80"/>
      <c r="TAK1127" s="80"/>
      <c r="TAL1127" s="80"/>
      <c r="TAM1127" s="80"/>
      <c r="TAN1127" s="80"/>
      <c r="TAO1127" s="80"/>
      <c r="TAP1127" s="80"/>
      <c r="TAQ1127" s="80"/>
      <c r="TAR1127" s="80"/>
      <c r="TAS1127" s="80"/>
      <c r="TAT1127" s="80"/>
      <c r="TAU1127" s="80"/>
      <c r="TAV1127" s="80"/>
      <c r="TAW1127" s="80"/>
      <c r="TAX1127" s="80"/>
      <c r="TAY1127" s="80"/>
      <c r="TAZ1127" s="80"/>
      <c r="TBA1127" s="80"/>
      <c r="TBB1127" s="80"/>
      <c r="TBC1127" s="80"/>
      <c r="TBD1127" s="80"/>
      <c r="TBE1127" s="80"/>
      <c r="TBF1127" s="80"/>
      <c r="TBG1127" s="80"/>
      <c r="TBH1127" s="80"/>
      <c r="TBI1127" s="80"/>
      <c r="TBJ1127" s="80"/>
      <c r="TBK1127" s="80"/>
      <c r="TBL1127" s="80"/>
      <c r="TBM1127" s="80"/>
      <c r="TBN1127" s="80"/>
      <c r="TBO1127" s="80"/>
      <c r="TBP1127" s="80"/>
      <c r="TBQ1127" s="80"/>
      <c r="TBR1127" s="80"/>
      <c r="TBS1127" s="80"/>
      <c r="TBT1127" s="80"/>
      <c r="TBU1127" s="80"/>
      <c r="TBV1127" s="80"/>
      <c r="TBW1127" s="80"/>
      <c r="TBX1127" s="80"/>
      <c r="TBY1127" s="80"/>
      <c r="TBZ1127" s="80"/>
      <c r="TCA1127" s="80"/>
      <c r="TCB1127" s="80"/>
      <c r="TCC1127" s="80"/>
      <c r="TCD1127" s="80"/>
      <c r="TCE1127" s="80"/>
      <c r="TCF1127" s="80"/>
      <c r="TCG1127" s="80"/>
      <c r="TCH1127" s="80"/>
      <c r="TCI1127" s="80"/>
      <c r="TCJ1127" s="80"/>
      <c r="TCK1127" s="80"/>
      <c r="TCL1127" s="80"/>
      <c r="TCM1127" s="80"/>
      <c r="TCN1127" s="80"/>
      <c r="TCO1127" s="80"/>
      <c r="TCP1127" s="80"/>
      <c r="TCQ1127" s="80"/>
      <c r="TCR1127" s="80"/>
      <c r="TCS1127" s="80"/>
      <c r="TCT1127" s="80"/>
      <c r="TCU1127" s="80"/>
      <c r="TCV1127" s="80"/>
      <c r="TCW1127" s="80"/>
      <c r="TCX1127" s="80"/>
      <c r="TCY1127" s="80"/>
      <c r="TCZ1127" s="80"/>
      <c r="TDA1127" s="80"/>
      <c r="TDB1127" s="80"/>
      <c r="TDC1127" s="80"/>
      <c r="TDD1127" s="80"/>
      <c r="TDE1127" s="80"/>
      <c r="TDF1127" s="80"/>
      <c r="TDG1127" s="80"/>
      <c r="TDH1127" s="80"/>
      <c r="TDI1127" s="80"/>
      <c r="TDJ1127" s="80"/>
      <c r="TDK1127" s="80"/>
      <c r="TDL1127" s="80"/>
      <c r="TDM1127" s="80"/>
      <c r="TDN1127" s="80"/>
      <c r="TDO1127" s="80"/>
      <c r="TDP1127" s="80"/>
      <c r="TDQ1127" s="80"/>
      <c r="TDR1127" s="80"/>
      <c r="TDS1127" s="80"/>
      <c r="TDT1127" s="80"/>
      <c r="TDU1127" s="80"/>
      <c r="TDV1127" s="80"/>
      <c r="TDW1127" s="80"/>
      <c r="TDX1127" s="80"/>
      <c r="TDY1127" s="80"/>
      <c r="TDZ1127" s="80"/>
      <c r="TEA1127" s="80"/>
      <c r="TEB1127" s="80"/>
      <c r="TEC1127" s="80"/>
      <c r="TED1127" s="80"/>
      <c r="TEE1127" s="80"/>
      <c r="TEF1127" s="80"/>
      <c r="TEG1127" s="80"/>
      <c r="TEH1127" s="80"/>
      <c r="TEI1127" s="80"/>
      <c r="TEJ1127" s="80"/>
      <c r="TEK1127" s="80"/>
      <c r="TEL1127" s="80"/>
      <c r="TEM1127" s="80"/>
      <c r="TEN1127" s="80"/>
      <c r="TEO1127" s="80"/>
      <c r="TEP1127" s="80"/>
      <c r="TEQ1127" s="80"/>
      <c r="TER1127" s="80"/>
      <c r="TES1127" s="80"/>
      <c r="TET1127" s="80"/>
      <c r="TEU1127" s="80"/>
      <c r="TEV1127" s="80"/>
      <c r="TEW1127" s="80"/>
      <c r="TEX1127" s="80"/>
      <c r="TEY1127" s="80"/>
      <c r="TEZ1127" s="80"/>
      <c r="TFA1127" s="80"/>
      <c r="TFB1127" s="80"/>
      <c r="TFC1127" s="80"/>
      <c r="TFD1127" s="80"/>
      <c r="TFE1127" s="80"/>
      <c r="TFF1127" s="80"/>
      <c r="TFG1127" s="80"/>
      <c r="TFH1127" s="80"/>
      <c r="TFI1127" s="80"/>
      <c r="TFJ1127" s="80"/>
      <c r="TFK1127" s="80"/>
      <c r="TFL1127" s="80"/>
      <c r="TFM1127" s="80"/>
      <c r="TFN1127" s="80"/>
      <c r="TFO1127" s="80"/>
      <c r="TFP1127" s="80"/>
      <c r="TFQ1127" s="80"/>
      <c r="TFR1127" s="80"/>
      <c r="TFS1127" s="80"/>
      <c r="TFT1127" s="80"/>
      <c r="TFU1127" s="80"/>
      <c r="TFV1127" s="80"/>
      <c r="TFW1127" s="80"/>
      <c r="TFX1127" s="80"/>
      <c r="TFY1127" s="80"/>
      <c r="TFZ1127" s="80"/>
      <c r="TGA1127" s="80"/>
      <c r="TGB1127" s="80"/>
      <c r="TGC1127" s="80"/>
      <c r="TGD1127" s="80"/>
      <c r="TGE1127" s="80"/>
      <c r="TGF1127" s="80"/>
      <c r="TGG1127" s="80"/>
      <c r="TGH1127" s="80"/>
      <c r="TGI1127" s="80"/>
      <c r="TGJ1127" s="80"/>
      <c r="TGK1127" s="80"/>
      <c r="TGL1127" s="80"/>
      <c r="TGM1127" s="80"/>
      <c r="TGN1127" s="80"/>
      <c r="TGO1127" s="80"/>
      <c r="TGP1127" s="80"/>
      <c r="TGQ1127" s="80"/>
      <c r="TGR1127" s="80"/>
      <c r="TGS1127" s="80"/>
      <c r="TGT1127" s="80"/>
      <c r="TGU1127" s="80"/>
      <c r="TGV1127" s="80"/>
      <c r="TGW1127" s="80"/>
      <c r="TGX1127" s="80"/>
      <c r="TGY1127" s="80"/>
      <c r="TGZ1127" s="80"/>
      <c r="THA1127" s="80"/>
      <c r="THB1127" s="80"/>
      <c r="THC1127" s="80"/>
      <c r="THD1127" s="80"/>
      <c r="THE1127" s="80"/>
      <c r="THF1127" s="80"/>
      <c r="THG1127" s="80"/>
      <c r="THH1127" s="80"/>
      <c r="THI1127" s="80"/>
      <c r="THJ1127" s="80"/>
      <c r="THK1127" s="80"/>
      <c r="THL1127" s="80"/>
      <c r="THM1127" s="80"/>
      <c r="THN1127" s="80"/>
      <c r="THO1127" s="80"/>
      <c r="THP1127" s="80"/>
      <c r="THQ1127" s="80"/>
      <c r="THR1127" s="80"/>
      <c r="THS1127" s="80"/>
      <c r="THT1127" s="80"/>
      <c r="THU1127" s="80"/>
      <c r="THV1127" s="80"/>
      <c r="THW1127" s="80"/>
      <c r="THX1127" s="80"/>
      <c r="THY1127" s="80"/>
      <c r="THZ1127" s="80"/>
      <c r="TIA1127" s="80"/>
      <c r="TIB1127" s="80"/>
      <c r="TIC1127" s="80"/>
      <c r="TID1127" s="80"/>
      <c r="TIE1127" s="80"/>
      <c r="TIF1127" s="80"/>
      <c r="TIG1127" s="80"/>
      <c r="TIH1127" s="80"/>
      <c r="TII1127" s="80"/>
      <c r="TIJ1127" s="80"/>
      <c r="TIK1127" s="80"/>
      <c r="TIL1127" s="80"/>
      <c r="TIM1127" s="80"/>
      <c r="TIN1127" s="80"/>
      <c r="TIO1127" s="80"/>
      <c r="TIP1127" s="80"/>
      <c r="TIQ1127" s="80"/>
      <c r="TIR1127" s="80"/>
      <c r="TIS1127" s="80"/>
      <c r="TIT1127" s="80"/>
      <c r="TIU1127" s="80"/>
      <c r="TIV1127" s="80"/>
      <c r="TIW1127" s="80"/>
      <c r="TIX1127" s="80"/>
      <c r="TIY1127" s="80"/>
      <c r="TIZ1127" s="80"/>
      <c r="TJA1127" s="80"/>
      <c r="TJB1127" s="80"/>
      <c r="TJC1127" s="80"/>
      <c r="TJD1127" s="80"/>
      <c r="TJE1127" s="80"/>
      <c r="TJF1127" s="80"/>
      <c r="TJG1127" s="80"/>
      <c r="TJH1127" s="80"/>
      <c r="TJI1127" s="80"/>
      <c r="TJJ1127" s="80"/>
      <c r="TJK1127" s="80"/>
      <c r="TJL1127" s="80"/>
      <c r="TJM1127" s="80"/>
      <c r="TJN1127" s="80"/>
      <c r="TJO1127" s="80"/>
      <c r="TJP1127" s="80"/>
      <c r="TJQ1127" s="80"/>
      <c r="TJR1127" s="80"/>
      <c r="TJS1127" s="80"/>
      <c r="TJT1127" s="80"/>
      <c r="TJU1127" s="80"/>
      <c r="TJV1127" s="80"/>
      <c r="TJW1127" s="80"/>
      <c r="TJX1127" s="80"/>
      <c r="TJY1127" s="80"/>
      <c r="TJZ1127" s="80"/>
      <c r="TKA1127" s="80"/>
      <c r="TKB1127" s="80"/>
      <c r="TKC1127" s="80"/>
      <c r="TKD1127" s="80"/>
      <c r="TKE1127" s="80"/>
      <c r="TKF1127" s="80"/>
      <c r="TKG1127" s="80"/>
      <c r="TKH1127" s="80"/>
      <c r="TKI1127" s="80"/>
      <c r="TKJ1127" s="80"/>
      <c r="TKK1127" s="80"/>
      <c r="TKL1127" s="80"/>
      <c r="TKM1127" s="80"/>
      <c r="TKN1127" s="80"/>
      <c r="TKO1127" s="80"/>
      <c r="TKP1127" s="80"/>
      <c r="TKQ1127" s="80"/>
      <c r="TKR1127" s="80"/>
      <c r="TKS1127" s="80"/>
      <c r="TKT1127" s="80"/>
      <c r="TKU1127" s="80"/>
      <c r="TKV1127" s="80"/>
      <c r="TKW1127" s="80"/>
      <c r="TKX1127" s="80"/>
      <c r="TKY1127" s="80"/>
      <c r="TKZ1127" s="80"/>
      <c r="TLA1127" s="80"/>
      <c r="TLB1127" s="80"/>
      <c r="TLC1127" s="80"/>
      <c r="TLD1127" s="80"/>
      <c r="TLE1127" s="80"/>
      <c r="TLF1127" s="80"/>
      <c r="TLG1127" s="80"/>
      <c r="TLH1127" s="80"/>
      <c r="TLI1127" s="80"/>
      <c r="TLJ1127" s="80"/>
      <c r="TLK1127" s="80"/>
      <c r="TLL1127" s="80"/>
      <c r="TLM1127" s="80"/>
      <c r="TLN1127" s="80"/>
      <c r="TLO1127" s="80"/>
      <c r="TLP1127" s="80"/>
      <c r="TLQ1127" s="80"/>
      <c r="TLR1127" s="80"/>
      <c r="TLS1127" s="80"/>
      <c r="TLT1127" s="80"/>
      <c r="TLU1127" s="80"/>
      <c r="TLV1127" s="80"/>
      <c r="TLW1127" s="80"/>
      <c r="TLX1127" s="80"/>
      <c r="TLY1127" s="80"/>
      <c r="TLZ1127" s="80"/>
      <c r="TMA1127" s="80"/>
      <c r="TMB1127" s="80"/>
      <c r="TMC1127" s="80"/>
      <c r="TMD1127" s="80"/>
      <c r="TME1127" s="80"/>
      <c r="TMF1127" s="80"/>
      <c r="TMG1127" s="80"/>
      <c r="TMH1127" s="80"/>
      <c r="TMI1127" s="80"/>
      <c r="TMJ1127" s="80"/>
      <c r="TMK1127" s="80"/>
      <c r="TML1127" s="80"/>
      <c r="TMM1127" s="80"/>
      <c r="TMN1127" s="80"/>
      <c r="TMO1127" s="80"/>
      <c r="TMP1127" s="80"/>
      <c r="TMQ1127" s="80"/>
      <c r="TMR1127" s="80"/>
      <c r="TMS1127" s="80"/>
      <c r="TMT1127" s="80"/>
      <c r="TMU1127" s="80"/>
      <c r="TMV1127" s="80"/>
      <c r="TMW1127" s="80"/>
      <c r="TMX1127" s="80"/>
      <c r="TMY1127" s="80"/>
      <c r="TMZ1127" s="80"/>
      <c r="TNA1127" s="80"/>
      <c r="TNB1127" s="80"/>
      <c r="TNC1127" s="80"/>
      <c r="TND1127" s="80"/>
      <c r="TNE1127" s="80"/>
      <c r="TNF1127" s="80"/>
      <c r="TNG1127" s="80"/>
      <c r="TNH1127" s="80"/>
      <c r="TNI1127" s="80"/>
      <c r="TNJ1127" s="80"/>
      <c r="TNK1127" s="80"/>
      <c r="TNL1127" s="80"/>
      <c r="TNM1127" s="80"/>
      <c r="TNN1127" s="80"/>
      <c r="TNO1127" s="80"/>
      <c r="TNP1127" s="80"/>
      <c r="TNQ1127" s="80"/>
      <c r="TNR1127" s="80"/>
      <c r="TNS1127" s="80"/>
      <c r="TNT1127" s="80"/>
      <c r="TNU1127" s="80"/>
      <c r="TNV1127" s="80"/>
      <c r="TNW1127" s="80"/>
      <c r="TNX1127" s="80"/>
      <c r="TNY1127" s="80"/>
      <c r="TNZ1127" s="80"/>
      <c r="TOA1127" s="80"/>
      <c r="TOB1127" s="80"/>
      <c r="TOC1127" s="80"/>
      <c r="TOD1127" s="80"/>
      <c r="TOE1127" s="80"/>
      <c r="TOF1127" s="80"/>
      <c r="TOG1127" s="80"/>
      <c r="TOH1127" s="80"/>
      <c r="TOI1127" s="80"/>
      <c r="TOJ1127" s="80"/>
      <c r="TOK1127" s="80"/>
      <c r="TOL1127" s="80"/>
      <c r="TOM1127" s="80"/>
      <c r="TON1127" s="80"/>
      <c r="TOO1127" s="80"/>
      <c r="TOP1127" s="80"/>
      <c r="TOQ1127" s="80"/>
      <c r="TOR1127" s="80"/>
      <c r="TOS1127" s="80"/>
      <c r="TOT1127" s="80"/>
      <c r="TOU1127" s="80"/>
      <c r="TOV1127" s="80"/>
      <c r="TOW1127" s="80"/>
      <c r="TOX1127" s="80"/>
      <c r="TOY1127" s="80"/>
      <c r="TOZ1127" s="80"/>
      <c r="TPA1127" s="80"/>
      <c r="TPB1127" s="80"/>
      <c r="TPC1127" s="80"/>
      <c r="TPD1127" s="80"/>
      <c r="TPE1127" s="80"/>
      <c r="TPF1127" s="80"/>
      <c r="TPG1127" s="80"/>
      <c r="TPH1127" s="80"/>
      <c r="TPI1127" s="80"/>
      <c r="TPJ1127" s="80"/>
      <c r="TPK1127" s="80"/>
      <c r="TPL1127" s="80"/>
      <c r="TPM1127" s="80"/>
      <c r="TPN1127" s="80"/>
      <c r="TPO1127" s="80"/>
      <c r="TPP1127" s="80"/>
      <c r="TPQ1127" s="80"/>
      <c r="TPR1127" s="80"/>
      <c r="TPS1127" s="80"/>
      <c r="TPT1127" s="80"/>
      <c r="TPU1127" s="80"/>
      <c r="TPV1127" s="80"/>
      <c r="TPW1127" s="80"/>
      <c r="TPX1127" s="80"/>
      <c r="TPY1127" s="80"/>
      <c r="TPZ1127" s="80"/>
      <c r="TQA1127" s="80"/>
      <c r="TQB1127" s="80"/>
      <c r="TQC1127" s="80"/>
      <c r="TQD1127" s="80"/>
      <c r="TQE1127" s="80"/>
      <c r="TQF1127" s="80"/>
      <c r="TQG1127" s="80"/>
      <c r="TQH1127" s="80"/>
      <c r="TQI1127" s="80"/>
      <c r="TQJ1127" s="80"/>
      <c r="TQK1127" s="80"/>
      <c r="TQL1127" s="80"/>
      <c r="TQM1127" s="80"/>
      <c r="TQN1127" s="80"/>
      <c r="TQO1127" s="80"/>
      <c r="TQP1127" s="80"/>
      <c r="TQQ1127" s="80"/>
      <c r="TQR1127" s="80"/>
      <c r="TQS1127" s="80"/>
      <c r="TQT1127" s="80"/>
      <c r="TQU1127" s="80"/>
      <c r="TQV1127" s="80"/>
      <c r="TQW1127" s="80"/>
      <c r="TQX1127" s="80"/>
      <c r="TQY1127" s="80"/>
      <c r="TQZ1127" s="80"/>
      <c r="TRA1127" s="80"/>
      <c r="TRB1127" s="80"/>
      <c r="TRC1127" s="80"/>
      <c r="TRD1127" s="80"/>
      <c r="TRE1127" s="80"/>
      <c r="TRF1127" s="80"/>
      <c r="TRG1127" s="80"/>
      <c r="TRH1127" s="80"/>
      <c r="TRI1127" s="80"/>
      <c r="TRJ1127" s="80"/>
      <c r="TRK1127" s="80"/>
      <c r="TRL1127" s="80"/>
      <c r="TRM1127" s="80"/>
      <c r="TRN1127" s="80"/>
      <c r="TRO1127" s="80"/>
      <c r="TRP1127" s="80"/>
      <c r="TRQ1127" s="80"/>
      <c r="TRR1127" s="80"/>
      <c r="TRS1127" s="80"/>
      <c r="TRT1127" s="80"/>
      <c r="TRU1127" s="80"/>
      <c r="TRV1127" s="80"/>
      <c r="TRW1127" s="80"/>
      <c r="TRX1127" s="80"/>
      <c r="TRY1127" s="80"/>
      <c r="TRZ1127" s="80"/>
      <c r="TSA1127" s="80"/>
      <c r="TSB1127" s="80"/>
      <c r="TSC1127" s="80"/>
      <c r="TSD1127" s="80"/>
      <c r="TSE1127" s="80"/>
      <c r="TSF1127" s="80"/>
      <c r="TSG1127" s="80"/>
      <c r="TSH1127" s="80"/>
      <c r="TSI1127" s="80"/>
      <c r="TSJ1127" s="80"/>
      <c r="TSK1127" s="80"/>
      <c r="TSL1127" s="80"/>
      <c r="TSM1127" s="80"/>
      <c r="TSN1127" s="80"/>
      <c r="TSO1127" s="80"/>
      <c r="TSP1127" s="80"/>
      <c r="TSQ1127" s="80"/>
      <c r="TSR1127" s="80"/>
      <c r="TSS1127" s="80"/>
      <c r="TST1127" s="80"/>
      <c r="TSU1127" s="80"/>
      <c r="TSV1127" s="80"/>
      <c r="TSW1127" s="80"/>
      <c r="TSX1127" s="80"/>
      <c r="TSY1127" s="80"/>
      <c r="TSZ1127" s="80"/>
      <c r="TTA1127" s="80"/>
      <c r="TTB1127" s="80"/>
      <c r="TTC1127" s="80"/>
      <c r="TTD1127" s="80"/>
      <c r="TTE1127" s="80"/>
      <c r="TTF1127" s="80"/>
      <c r="TTG1127" s="80"/>
      <c r="TTH1127" s="80"/>
      <c r="TTI1127" s="80"/>
      <c r="TTJ1127" s="80"/>
      <c r="TTK1127" s="80"/>
      <c r="TTL1127" s="80"/>
      <c r="TTM1127" s="80"/>
      <c r="TTN1127" s="80"/>
      <c r="TTO1127" s="80"/>
      <c r="TTP1127" s="80"/>
      <c r="TTQ1127" s="80"/>
      <c r="TTR1127" s="80"/>
      <c r="TTS1127" s="80"/>
      <c r="TTT1127" s="80"/>
      <c r="TTU1127" s="80"/>
      <c r="TTV1127" s="80"/>
      <c r="TTW1127" s="80"/>
      <c r="TTX1127" s="80"/>
      <c r="TTY1127" s="80"/>
      <c r="TTZ1127" s="80"/>
      <c r="TUA1127" s="80"/>
      <c r="TUB1127" s="80"/>
      <c r="TUC1127" s="80"/>
      <c r="TUD1127" s="80"/>
      <c r="TUE1127" s="80"/>
      <c r="TUF1127" s="80"/>
      <c r="TUG1127" s="80"/>
      <c r="TUH1127" s="80"/>
      <c r="TUI1127" s="80"/>
      <c r="TUJ1127" s="80"/>
      <c r="TUK1127" s="80"/>
      <c r="TUL1127" s="80"/>
      <c r="TUM1127" s="80"/>
      <c r="TUN1127" s="80"/>
      <c r="TUO1127" s="80"/>
      <c r="TUP1127" s="80"/>
      <c r="TUQ1127" s="80"/>
      <c r="TUR1127" s="80"/>
      <c r="TUS1127" s="80"/>
      <c r="TUT1127" s="80"/>
      <c r="TUU1127" s="80"/>
      <c r="TUV1127" s="80"/>
      <c r="TUW1127" s="80"/>
      <c r="TUX1127" s="80"/>
      <c r="TUY1127" s="80"/>
      <c r="TUZ1127" s="80"/>
      <c r="TVA1127" s="80"/>
      <c r="TVB1127" s="80"/>
      <c r="TVC1127" s="80"/>
      <c r="TVD1127" s="80"/>
      <c r="TVE1127" s="80"/>
      <c r="TVF1127" s="80"/>
      <c r="TVG1127" s="80"/>
      <c r="TVH1127" s="80"/>
      <c r="TVI1127" s="80"/>
      <c r="TVJ1127" s="80"/>
      <c r="TVK1127" s="80"/>
      <c r="TVL1127" s="80"/>
      <c r="TVM1127" s="80"/>
      <c r="TVN1127" s="80"/>
      <c r="TVO1127" s="80"/>
      <c r="TVP1127" s="80"/>
      <c r="TVQ1127" s="80"/>
      <c r="TVR1127" s="80"/>
      <c r="TVS1127" s="80"/>
      <c r="TVT1127" s="80"/>
      <c r="TVU1127" s="80"/>
      <c r="TVV1127" s="80"/>
      <c r="TVW1127" s="80"/>
      <c r="TVX1127" s="80"/>
      <c r="TVY1127" s="80"/>
      <c r="TVZ1127" s="80"/>
      <c r="TWA1127" s="80"/>
      <c r="TWB1127" s="80"/>
      <c r="TWC1127" s="80"/>
      <c r="TWD1127" s="80"/>
      <c r="TWE1127" s="80"/>
      <c r="TWF1127" s="80"/>
      <c r="TWG1127" s="80"/>
      <c r="TWH1127" s="80"/>
      <c r="TWI1127" s="80"/>
      <c r="TWJ1127" s="80"/>
      <c r="TWK1127" s="80"/>
      <c r="TWL1127" s="80"/>
      <c r="TWM1127" s="80"/>
      <c r="TWN1127" s="80"/>
      <c r="TWO1127" s="80"/>
      <c r="TWP1127" s="80"/>
      <c r="TWQ1127" s="80"/>
      <c r="TWR1127" s="80"/>
      <c r="TWS1127" s="80"/>
      <c r="TWT1127" s="80"/>
      <c r="TWU1127" s="80"/>
      <c r="TWV1127" s="80"/>
      <c r="TWW1127" s="80"/>
      <c r="TWX1127" s="80"/>
      <c r="TWY1127" s="80"/>
      <c r="TWZ1127" s="80"/>
      <c r="TXA1127" s="80"/>
      <c r="TXB1127" s="80"/>
      <c r="TXC1127" s="80"/>
      <c r="TXD1127" s="80"/>
      <c r="TXE1127" s="80"/>
      <c r="TXF1127" s="80"/>
      <c r="TXG1127" s="80"/>
      <c r="TXH1127" s="80"/>
      <c r="TXI1127" s="80"/>
      <c r="TXJ1127" s="80"/>
      <c r="TXK1127" s="80"/>
      <c r="TXL1127" s="80"/>
      <c r="TXM1127" s="80"/>
      <c r="TXN1127" s="80"/>
      <c r="TXO1127" s="80"/>
      <c r="TXP1127" s="80"/>
      <c r="TXQ1127" s="80"/>
      <c r="TXR1127" s="80"/>
      <c r="TXS1127" s="80"/>
      <c r="TXT1127" s="80"/>
      <c r="TXU1127" s="80"/>
      <c r="TXV1127" s="80"/>
      <c r="TXW1127" s="80"/>
      <c r="TXX1127" s="80"/>
      <c r="TXY1127" s="80"/>
      <c r="TXZ1127" s="80"/>
      <c r="TYA1127" s="80"/>
      <c r="TYB1127" s="80"/>
      <c r="TYC1127" s="80"/>
      <c r="TYD1127" s="80"/>
      <c r="TYE1127" s="80"/>
      <c r="TYF1127" s="80"/>
      <c r="TYG1127" s="80"/>
      <c r="TYH1127" s="80"/>
      <c r="TYI1127" s="80"/>
      <c r="TYJ1127" s="80"/>
      <c r="TYK1127" s="80"/>
      <c r="TYL1127" s="80"/>
      <c r="TYM1127" s="80"/>
      <c r="TYN1127" s="80"/>
      <c r="TYO1127" s="80"/>
      <c r="TYP1127" s="80"/>
      <c r="TYQ1127" s="80"/>
      <c r="TYR1127" s="80"/>
      <c r="TYS1127" s="80"/>
      <c r="TYT1127" s="80"/>
      <c r="TYU1127" s="80"/>
      <c r="TYV1127" s="80"/>
      <c r="TYW1127" s="80"/>
      <c r="TYX1127" s="80"/>
      <c r="TYY1127" s="80"/>
      <c r="TYZ1127" s="80"/>
      <c r="TZA1127" s="80"/>
      <c r="TZB1127" s="80"/>
      <c r="TZC1127" s="80"/>
      <c r="TZD1127" s="80"/>
      <c r="TZE1127" s="80"/>
      <c r="TZF1127" s="80"/>
      <c r="TZG1127" s="80"/>
      <c r="TZH1127" s="80"/>
      <c r="TZI1127" s="80"/>
      <c r="TZJ1127" s="80"/>
      <c r="TZK1127" s="80"/>
      <c r="TZL1127" s="80"/>
      <c r="TZM1127" s="80"/>
      <c r="TZN1127" s="80"/>
      <c r="TZO1127" s="80"/>
      <c r="TZP1127" s="80"/>
      <c r="TZQ1127" s="80"/>
      <c r="TZR1127" s="80"/>
      <c r="TZS1127" s="80"/>
      <c r="TZT1127" s="80"/>
      <c r="TZU1127" s="80"/>
      <c r="TZV1127" s="80"/>
      <c r="TZW1127" s="80"/>
      <c r="TZX1127" s="80"/>
      <c r="TZY1127" s="80"/>
      <c r="TZZ1127" s="80"/>
      <c r="UAA1127" s="80"/>
      <c r="UAB1127" s="80"/>
      <c r="UAC1127" s="80"/>
      <c r="UAD1127" s="80"/>
      <c r="UAE1127" s="80"/>
      <c r="UAF1127" s="80"/>
      <c r="UAG1127" s="80"/>
      <c r="UAH1127" s="80"/>
      <c r="UAI1127" s="80"/>
      <c r="UAJ1127" s="80"/>
      <c r="UAK1127" s="80"/>
      <c r="UAL1127" s="80"/>
      <c r="UAM1127" s="80"/>
      <c r="UAN1127" s="80"/>
      <c r="UAO1127" s="80"/>
      <c r="UAP1127" s="80"/>
      <c r="UAQ1127" s="80"/>
      <c r="UAR1127" s="80"/>
      <c r="UAS1127" s="80"/>
      <c r="UAT1127" s="80"/>
      <c r="UAU1127" s="80"/>
      <c r="UAV1127" s="80"/>
      <c r="UAW1127" s="80"/>
      <c r="UAX1127" s="80"/>
      <c r="UAY1127" s="80"/>
      <c r="UAZ1127" s="80"/>
      <c r="UBA1127" s="80"/>
      <c r="UBB1127" s="80"/>
      <c r="UBC1127" s="80"/>
      <c r="UBD1127" s="80"/>
      <c r="UBE1127" s="80"/>
      <c r="UBF1127" s="80"/>
      <c r="UBG1127" s="80"/>
      <c r="UBH1127" s="80"/>
      <c r="UBI1127" s="80"/>
      <c r="UBJ1127" s="80"/>
      <c r="UBK1127" s="80"/>
      <c r="UBL1127" s="80"/>
      <c r="UBM1127" s="80"/>
      <c r="UBN1127" s="80"/>
      <c r="UBO1127" s="80"/>
      <c r="UBP1127" s="80"/>
      <c r="UBQ1127" s="80"/>
      <c r="UBR1127" s="80"/>
      <c r="UBS1127" s="80"/>
      <c r="UBT1127" s="80"/>
      <c r="UBU1127" s="80"/>
      <c r="UBV1127" s="80"/>
      <c r="UBW1127" s="80"/>
      <c r="UBX1127" s="80"/>
      <c r="UBY1127" s="80"/>
      <c r="UBZ1127" s="80"/>
      <c r="UCA1127" s="80"/>
      <c r="UCB1127" s="80"/>
      <c r="UCC1127" s="80"/>
      <c r="UCD1127" s="80"/>
      <c r="UCE1127" s="80"/>
      <c r="UCF1127" s="80"/>
      <c r="UCG1127" s="80"/>
      <c r="UCH1127" s="80"/>
      <c r="UCI1127" s="80"/>
      <c r="UCJ1127" s="80"/>
      <c r="UCK1127" s="80"/>
      <c r="UCL1127" s="80"/>
      <c r="UCM1127" s="80"/>
      <c r="UCN1127" s="80"/>
      <c r="UCO1127" s="80"/>
      <c r="UCP1127" s="80"/>
      <c r="UCQ1127" s="80"/>
      <c r="UCR1127" s="80"/>
      <c r="UCS1127" s="80"/>
      <c r="UCT1127" s="80"/>
      <c r="UCU1127" s="80"/>
      <c r="UCV1127" s="80"/>
      <c r="UCW1127" s="80"/>
      <c r="UCX1127" s="80"/>
      <c r="UCY1127" s="80"/>
      <c r="UCZ1127" s="80"/>
      <c r="UDA1127" s="80"/>
      <c r="UDB1127" s="80"/>
      <c r="UDC1127" s="80"/>
      <c r="UDD1127" s="80"/>
      <c r="UDE1127" s="80"/>
      <c r="UDF1127" s="80"/>
      <c r="UDG1127" s="80"/>
      <c r="UDH1127" s="80"/>
      <c r="UDI1127" s="80"/>
      <c r="UDJ1127" s="80"/>
      <c r="UDK1127" s="80"/>
      <c r="UDL1127" s="80"/>
      <c r="UDM1127" s="80"/>
      <c r="UDN1127" s="80"/>
      <c r="UDO1127" s="80"/>
      <c r="UDP1127" s="80"/>
      <c r="UDQ1127" s="80"/>
      <c r="UDR1127" s="80"/>
      <c r="UDS1127" s="80"/>
      <c r="UDT1127" s="80"/>
      <c r="UDU1127" s="80"/>
      <c r="UDV1127" s="80"/>
      <c r="UDW1127" s="80"/>
      <c r="UDX1127" s="80"/>
      <c r="UDY1127" s="80"/>
      <c r="UDZ1127" s="80"/>
      <c r="UEA1127" s="80"/>
      <c r="UEB1127" s="80"/>
      <c r="UEC1127" s="80"/>
      <c r="UED1127" s="80"/>
      <c r="UEE1127" s="80"/>
      <c r="UEF1127" s="80"/>
      <c r="UEG1127" s="80"/>
      <c r="UEH1127" s="80"/>
      <c r="UEI1127" s="80"/>
      <c r="UEJ1127" s="80"/>
      <c r="UEK1127" s="80"/>
      <c r="UEL1127" s="80"/>
      <c r="UEM1127" s="80"/>
      <c r="UEN1127" s="80"/>
      <c r="UEO1127" s="80"/>
      <c r="UEP1127" s="80"/>
      <c r="UEQ1127" s="80"/>
      <c r="UER1127" s="80"/>
      <c r="UES1127" s="80"/>
      <c r="UET1127" s="80"/>
      <c r="UEU1127" s="80"/>
      <c r="UEV1127" s="80"/>
      <c r="UEW1127" s="80"/>
      <c r="UEX1127" s="80"/>
      <c r="UEY1127" s="80"/>
      <c r="UEZ1127" s="80"/>
      <c r="UFA1127" s="80"/>
      <c r="UFB1127" s="80"/>
      <c r="UFC1127" s="80"/>
      <c r="UFD1127" s="80"/>
      <c r="UFE1127" s="80"/>
      <c r="UFF1127" s="80"/>
      <c r="UFG1127" s="80"/>
      <c r="UFH1127" s="80"/>
      <c r="UFI1127" s="80"/>
      <c r="UFJ1127" s="80"/>
      <c r="UFK1127" s="80"/>
      <c r="UFL1127" s="80"/>
      <c r="UFM1127" s="80"/>
      <c r="UFN1127" s="80"/>
      <c r="UFO1127" s="80"/>
      <c r="UFP1127" s="80"/>
      <c r="UFQ1127" s="80"/>
      <c r="UFR1127" s="80"/>
      <c r="UFS1127" s="80"/>
      <c r="UFT1127" s="80"/>
      <c r="UFU1127" s="80"/>
      <c r="UFV1127" s="80"/>
      <c r="UFW1127" s="80"/>
      <c r="UFX1127" s="80"/>
      <c r="UFY1127" s="80"/>
      <c r="UFZ1127" s="80"/>
      <c r="UGA1127" s="80"/>
      <c r="UGB1127" s="80"/>
      <c r="UGC1127" s="80"/>
      <c r="UGD1127" s="80"/>
      <c r="UGE1127" s="80"/>
      <c r="UGF1127" s="80"/>
      <c r="UGG1127" s="80"/>
      <c r="UGH1127" s="80"/>
      <c r="UGI1127" s="80"/>
      <c r="UGJ1127" s="80"/>
      <c r="UGK1127" s="80"/>
      <c r="UGL1127" s="80"/>
      <c r="UGM1127" s="80"/>
      <c r="UGN1127" s="80"/>
      <c r="UGO1127" s="80"/>
      <c r="UGP1127" s="80"/>
      <c r="UGQ1127" s="80"/>
      <c r="UGR1127" s="80"/>
      <c r="UGS1127" s="80"/>
      <c r="UGT1127" s="80"/>
      <c r="UGU1127" s="80"/>
      <c r="UGV1127" s="80"/>
      <c r="UGW1127" s="80"/>
      <c r="UGX1127" s="80"/>
      <c r="UGY1127" s="80"/>
      <c r="UGZ1127" s="80"/>
      <c r="UHA1127" s="80"/>
      <c r="UHB1127" s="80"/>
      <c r="UHC1127" s="80"/>
      <c r="UHD1127" s="80"/>
      <c r="UHE1127" s="80"/>
      <c r="UHF1127" s="80"/>
      <c r="UHG1127" s="80"/>
      <c r="UHH1127" s="80"/>
      <c r="UHI1127" s="80"/>
      <c r="UHJ1127" s="80"/>
      <c r="UHK1127" s="80"/>
      <c r="UHL1127" s="80"/>
      <c r="UHM1127" s="80"/>
      <c r="UHN1127" s="80"/>
      <c r="UHO1127" s="80"/>
      <c r="UHP1127" s="80"/>
      <c r="UHQ1127" s="80"/>
      <c r="UHR1127" s="80"/>
      <c r="UHS1127" s="80"/>
      <c r="UHT1127" s="80"/>
      <c r="UHU1127" s="80"/>
      <c r="UHV1127" s="80"/>
      <c r="UHW1127" s="80"/>
      <c r="UHX1127" s="80"/>
      <c r="UHY1127" s="80"/>
      <c r="UHZ1127" s="80"/>
      <c r="UIA1127" s="80"/>
      <c r="UIB1127" s="80"/>
      <c r="UIC1127" s="80"/>
      <c r="UID1127" s="80"/>
      <c r="UIE1127" s="80"/>
      <c r="UIF1127" s="80"/>
      <c r="UIG1127" s="80"/>
      <c r="UIH1127" s="80"/>
      <c r="UII1127" s="80"/>
      <c r="UIJ1127" s="80"/>
      <c r="UIK1127" s="80"/>
      <c r="UIL1127" s="80"/>
      <c r="UIM1127" s="80"/>
      <c r="UIN1127" s="80"/>
      <c r="UIO1127" s="80"/>
      <c r="UIP1127" s="80"/>
      <c r="UIQ1127" s="80"/>
      <c r="UIR1127" s="80"/>
      <c r="UIS1127" s="80"/>
      <c r="UIT1127" s="80"/>
      <c r="UIU1127" s="80"/>
      <c r="UIV1127" s="80"/>
      <c r="UIW1127" s="80"/>
      <c r="UIX1127" s="80"/>
      <c r="UIY1127" s="80"/>
      <c r="UIZ1127" s="80"/>
      <c r="UJA1127" s="80"/>
      <c r="UJB1127" s="80"/>
      <c r="UJC1127" s="80"/>
      <c r="UJD1127" s="80"/>
      <c r="UJE1127" s="80"/>
      <c r="UJF1127" s="80"/>
      <c r="UJG1127" s="80"/>
      <c r="UJH1127" s="80"/>
      <c r="UJI1127" s="80"/>
      <c r="UJJ1127" s="80"/>
      <c r="UJK1127" s="80"/>
      <c r="UJL1127" s="80"/>
      <c r="UJM1127" s="80"/>
      <c r="UJN1127" s="80"/>
      <c r="UJO1127" s="80"/>
      <c r="UJP1127" s="80"/>
      <c r="UJQ1127" s="80"/>
      <c r="UJR1127" s="80"/>
      <c r="UJS1127" s="80"/>
      <c r="UJT1127" s="80"/>
      <c r="UJU1127" s="80"/>
      <c r="UJV1127" s="80"/>
      <c r="UJW1127" s="80"/>
      <c r="UJX1127" s="80"/>
      <c r="UJY1127" s="80"/>
      <c r="UJZ1127" s="80"/>
      <c r="UKA1127" s="80"/>
      <c r="UKB1127" s="80"/>
      <c r="UKC1127" s="80"/>
      <c r="UKD1127" s="80"/>
      <c r="UKE1127" s="80"/>
      <c r="UKF1127" s="80"/>
      <c r="UKG1127" s="80"/>
      <c r="UKH1127" s="80"/>
      <c r="UKI1127" s="80"/>
      <c r="UKJ1127" s="80"/>
      <c r="UKK1127" s="80"/>
      <c r="UKL1127" s="80"/>
      <c r="UKM1127" s="80"/>
      <c r="UKN1127" s="80"/>
      <c r="UKO1127" s="80"/>
      <c r="UKP1127" s="80"/>
      <c r="UKQ1127" s="80"/>
      <c r="UKR1127" s="80"/>
      <c r="UKS1127" s="80"/>
      <c r="UKT1127" s="80"/>
      <c r="UKU1127" s="80"/>
      <c r="UKV1127" s="80"/>
      <c r="UKW1127" s="80"/>
      <c r="UKX1127" s="80"/>
      <c r="UKY1127" s="80"/>
      <c r="UKZ1127" s="80"/>
      <c r="ULA1127" s="80"/>
      <c r="ULB1127" s="80"/>
      <c r="ULC1127" s="80"/>
      <c r="ULD1127" s="80"/>
      <c r="ULE1127" s="80"/>
      <c r="ULF1127" s="80"/>
      <c r="ULG1127" s="80"/>
      <c r="ULH1127" s="80"/>
      <c r="ULI1127" s="80"/>
      <c r="ULJ1127" s="80"/>
      <c r="ULK1127" s="80"/>
      <c r="ULL1127" s="80"/>
      <c r="ULM1127" s="80"/>
      <c r="ULN1127" s="80"/>
      <c r="ULO1127" s="80"/>
      <c r="ULP1127" s="80"/>
      <c r="ULQ1127" s="80"/>
      <c r="ULR1127" s="80"/>
      <c r="ULS1127" s="80"/>
      <c r="ULT1127" s="80"/>
      <c r="ULU1127" s="80"/>
      <c r="ULV1127" s="80"/>
      <c r="ULW1127" s="80"/>
      <c r="ULX1127" s="80"/>
      <c r="ULY1127" s="80"/>
      <c r="ULZ1127" s="80"/>
      <c r="UMA1127" s="80"/>
      <c r="UMB1127" s="80"/>
      <c r="UMC1127" s="80"/>
      <c r="UMD1127" s="80"/>
      <c r="UME1127" s="80"/>
      <c r="UMF1127" s="80"/>
      <c r="UMG1127" s="80"/>
      <c r="UMH1127" s="80"/>
      <c r="UMI1127" s="80"/>
      <c r="UMJ1127" s="80"/>
      <c r="UMK1127" s="80"/>
      <c r="UML1127" s="80"/>
      <c r="UMM1127" s="80"/>
      <c r="UMN1127" s="80"/>
      <c r="UMO1127" s="80"/>
      <c r="UMP1127" s="80"/>
      <c r="UMQ1127" s="80"/>
      <c r="UMR1127" s="80"/>
      <c r="UMS1127" s="80"/>
      <c r="UMT1127" s="80"/>
      <c r="UMU1127" s="80"/>
      <c r="UMV1127" s="80"/>
      <c r="UMW1127" s="80"/>
      <c r="UMX1127" s="80"/>
      <c r="UMY1127" s="80"/>
      <c r="UMZ1127" s="80"/>
      <c r="UNA1127" s="80"/>
      <c r="UNB1127" s="80"/>
      <c r="UNC1127" s="80"/>
      <c r="UND1127" s="80"/>
      <c r="UNE1127" s="80"/>
      <c r="UNF1127" s="80"/>
      <c r="UNG1127" s="80"/>
      <c r="UNH1127" s="80"/>
      <c r="UNI1127" s="80"/>
      <c r="UNJ1127" s="80"/>
      <c r="UNK1127" s="80"/>
      <c r="UNL1127" s="80"/>
      <c r="UNM1127" s="80"/>
      <c r="UNN1127" s="80"/>
      <c r="UNO1127" s="80"/>
      <c r="UNP1127" s="80"/>
      <c r="UNQ1127" s="80"/>
      <c r="UNR1127" s="80"/>
      <c r="UNS1127" s="80"/>
      <c r="UNT1127" s="80"/>
      <c r="UNU1127" s="80"/>
      <c r="UNV1127" s="80"/>
      <c r="UNW1127" s="80"/>
      <c r="UNX1127" s="80"/>
      <c r="UNY1127" s="80"/>
      <c r="UNZ1127" s="80"/>
      <c r="UOA1127" s="80"/>
      <c r="UOB1127" s="80"/>
      <c r="UOC1127" s="80"/>
      <c r="UOD1127" s="80"/>
      <c r="UOE1127" s="80"/>
      <c r="UOF1127" s="80"/>
      <c r="UOG1127" s="80"/>
      <c r="UOH1127" s="80"/>
      <c r="UOI1127" s="80"/>
      <c r="UOJ1127" s="80"/>
      <c r="UOK1127" s="80"/>
      <c r="UOL1127" s="80"/>
      <c r="UOM1127" s="80"/>
      <c r="UON1127" s="80"/>
      <c r="UOO1127" s="80"/>
      <c r="UOP1127" s="80"/>
      <c r="UOQ1127" s="80"/>
      <c r="UOR1127" s="80"/>
      <c r="UOS1127" s="80"/>
      <c r="UOT1127" s="80"/>
      <c r="UOU1127" s="80"/>
      <c r="UOV1127" s="80"/>
      <c r="UOW1127" s="80"/>
      <c r="UOX1127" s="80"/>
      <c r="UOY1127" s="80"/>
      <c r="UOZ1127" s="80"/>
      <c r="UPA1127" s="80"/>
      <c r="UPB1127" s="80"/>
      <c r="UPC1127" s="80"/>
      <c r="UPD1127" s="80"/>
      <c r="UPE1127" s="80"/>
      <c r="UPF1127" s="80"/>
      <c r="UPG1127" s="80"/>
      <c r="UPH1127" s="80"/>
      <c r="UPI1127" s="80"/>
      <c r="UPJ1127" s="80"/>
      <c r="UPK1127" s="80"/>
      <c r="UPL1127" s="80"/>
      <c r="UPM1127" s="80"/>
      <c r="UPN1127" s="80"/>
      <c r="UPO1127" s="80"/>
      <c r="UPP1127" s="80"/>
      <c r="UPQ1127" s="80"/>
      <c r="UPR1127" s="80"/>
      <c r="UPS1127" s="80"/>
      <c r="UPT1127" s="80"/>
      <c r="UPU1127" s="80"/>
      <c r="UPV1127" s="80"/>
      <c r="UPW1127" s="80"/>
      <c r="UPX1127" s="80"/>
      <c r="UPY1127" s="80"/>
      <c r="UPZ1127" s="80"/>
      <c r="UQA1127" s="80"/>
      <c r="UQB1127" s="80"/>
      <c r="UQC1127" s="80"/>
      <c r="UQD1127" s="80"/>
      <c r="UQE1127" s="80"/>
      <c r="UQF1127" s="80"/>
      <c r="UQG1127" s="80"/>
      <c r="UQH1127" s="80"/>
      <c r="UQI1127" s="80"/>
      <c r="UQJ1127" s="80"/>
      <c r="UQK1127" s="80"/>
      <c r="UQL1127" s="80"/>
      <c r="UQM1127" s="80"/>
      <c r="UQN1127" s="80"/>
      <c r="UQO1127" s="80"/>
      <c r="UQP1127" s="80"/>
      <c r="UQQ1127" s="80"/>
      <c r="UQR1127" s="80"/>
      <c r="UQS1127" s="80"/>
      <c r="UQT1127" s="80"/>
      <c r="UQU1127" s="80"/>
      <c r="UQV1127" s="80"/>
      <c r="UQW1127" s="80"/>
      <c r="UQX1127" s="80"/>
      <c r="UQY1127" s="80"/>
      <c r="UQZ1127" s="80"/>
      <c r="URA1127" s="80"/>
      <c r="URB1127" s="80"/>
      <c r="URC1127" s="80"/>
      <c r="URD1127" s="80"/>
      <c r="URE1127" s="80"/>
      <c r="URF1127" s="80"/>
      <c r="URG1127" s="80"/>
      <c r="URH1127" s="80"/>
      <c r="URI1127" s="80"/>
      <c r="URJ1127" s="80"/>
      <c r="URK1127" s="80"/>
      <c r="URL1127" s="80"/>
      <c r="URM1127" s="80"/>
      <c r="URN1127" s="80"/>
      <c r="URO1127" s="80"/>
      <c r="URP1127" s="80"/>
      <c r="URQ1127" s="80"/>
      <c r="URR1127" s="80"/>
      <c r="URS1127" s="80"/>
      <c r="URT1127" s="80"/>
      <c r="URU1127" s="80"/>
      <c r="URV1127" s="80"/>
      <c r="URW1127" s="80"/>
      <c r="URX1127" s="80"/>
      <c r="URY1127" s="80"/>
      <c r="URZ1127" s="80"/>
      <c r="USA1127" s="80"/>
      <c r="USB1127" s="80"/>
      <c r="USC1127" s="80"/>
      <c r="USD1127" s="80"/>
      <c r="USE1127" s="80"/>
      <c r="USF1127" s="80"/>
      <c r="USG1127" s="80"/>
      <c r="USH1127" s="80"/>
      <c r="USI1127" s="80"/>
      <c r="USJ1127" s="80"/>
      <c r="USK1127" s="80"/>
      <c r="USL1127" s="80"/>
      <c r="USM1127" s="80"/>
      <c r="USN1127" s="80"/>
      <c r="USO1127" s="80"/>
      <c r="USP1127" s="80"/>
      <c r="USQ1127" s="80"/>
      <c r="USR1127" s="80"/>
      <c r="USS1127" s="80"/>
      <c r="UST1127" s="80"/>
      <c r="USU1127" s="80"/>
      <c r="USV1127" s="80"/>
      <c r="USW1127" s="80"/>
      <c r="USX1127" s="80"/>
      <c r="USY1127" s="80"/>
      <c r="USZ1127" s="80"/>
      <c r="UTA1127" s="80"/>
      <c r="UTB1127" s="80"/>
      <c r="UTC1127" s="80"/>
      <c r="UTD1127" s="80"/>
      <c r="UTE1127" s="80"/>
      <c r="UTF1127" s="80"/>
      <c r="UTG1127" s="80"/>
      <c r="UTH1127" s="80"/>
      <c r="UTI1127" s="80"/>
      <c r="UTJ1127" s="80"/>
      <c r="UTK1127" s="80"/>
      <c r="UTL1127" s="80"/>
      <c r="UTM1127" s="80"/>
      <c r="UTN1127" s="80"/>
      <c r="UTO1127" s="80"/>
      <c r="UTP1127" s="80"/>
      <c r="UTQ1127" s="80"/>
      <c r="UTR1127" s="80"/>
      <c r="UTS1127" s="80"/>
      <c r="UTT1127" s="80"/>
      <c r="UTU1127" s="80"/>
      <c r="UTV1127" s="80"/>
      <c r="UTW1127" s="80"/>
      <c r="UTX1127" s="80"/>
      <c r="UTY1127" s="80"/>
      <c r="UTZ1127" s="80"/>
      <c r="UUA1127" s="80"/>
      <c r="UUB1127" s="80"/>
      <c r="UUC1127" s="80"/>
      <c r="UUD1127" s="80"/>
      <c r="UUE1127" s="80"/>
      <c r="UUF1127" s="80"/>
      <c r="UUG1127" s="80"/>
      <c r="UUH1127" s="80"/>
      <c r="UUI1127" s="80"/>
      <c r="UUJ1127" s="80"/>
      <c r="UUK1127" s="80"/>
      <c r="UUL1127" s="80"/>
      <c r="UUM1127" s="80"/>
      <c r="UUN1127" s="80"/>
      <c r="UUO1127" s="80"/>
      <c r="UUP1127" s="80"/>
      <c r="UUQ1127" s="80"/>
      <c r="UUR1127" s="80"/>
      <c r="UUS1127" s="80"/>
      <c r="UUT1127" s="80"/>
      <c r="UUU1127" s="80"/>
      <c r="UUV1127" s="80"/>
      <c r="UUW1127" s="80"/>
      <c r="UUX1127" s="80"/>
      <c r="UUY1127" s="80"/>
      <c r="UUZ1127" s="80"/>
      <c r="UVA1127" s="80"/>
      <c r="UVB1127" s="80"/>
      <c r="UVC1127" s="80"/>
      <c r="UVD1127" s="80"/>
      <c r="UVE1127" s="80"/>
      <c r="UVF1127" s="80"/>
      <c r="UVG1127" s="80"/>
      <c r="UVH1127" s="80"/>
      <c r="UVI1127" s="80"/>
      <c r="UVJ1127" s="80"/>
      <c r="UVK1127" s="80"/>
      <c r="UVL1127" s="80"/>
      <c r="UVM1127" s="80"/>
      <c r="UVN1127" s="80"/>
      <c r="UVO1127" s="80"/>
      <c r="UVP1127" s="80"/>
      <c r="UVQ1127" s="80"/>
      <c r="UVR1127" s="80"/>
      <c r="UVS1127" s="80"/>
      <c r="UVT1127" s="80"/>
      <c r="UVU1127" s="80"/>
      <c r="UVV1127" s="80"/>
      <c r="UVW1127" s="80"/>
      <c r="UVX1127" s="80"/>
      <c r="UVY1127" s="80"/>
      <c r="UVZ1127" s="80"/>
      <c r="UWA1127" s="80"/>
      <c r="UWB1127" s="80"/>
      <c r="UWC1127" s="80"/>
      <c r="UWD1127" s="80"/>
      <c r="UWE1127" s="80"/>
      <c r="UWF1127" s="80"/>
      <c r="UWG1127" s="80"/>
      <c r="UWH1127" s="80"/>
      <c r="UWI1127" s="80"/>
      <c r="UWJ1127" s="80"/>
      <c r="UWK1127" s="80"/>
      <c r="UWL1127" s="80"/>
      <c r="UWM1127" s="80"/>
      <c r="UWN1127" s="80"/>
      <c r="UWO1127" s="80"/>
      <c r="UWP1127" s="80"/>
      <c r="UWQ1127" s="80"/>
      <c r="UWR1127" s="80"/>
      <c r="UWS1127" s="80"/>
      <c r="UWT1127" s="80"/>
      <c r="UWU1127" s="80"/>
      <c r="UWV1127" s="80"/>
      <c r="UWW1127" s="80"/>
      <c r="UWX1127" s="80"/>
      <c r="UWY1127" s="80"/>
      <c r="UWZ1127" s="80"/>
      <c r="UXA1127" s="80"/>
      <c r="UXB1127" s="80"/>
      <c r="UXC1127" s="80"/>
      <c r="UXD1127" s="80"/>
      <c r="UXE1127" s="80"/>
      <c r="UXF1127" s="80"/>
      <c r="UXG1127" s="80"/>
      <c r="UXH1127" s="80"/>
      <c r="UXI1127" s="80"/>
      <c r="UXJ1127" s="80"/>
      <c r="UXK1127" s="80"/>
      <c r="UXL1127" s="80"/>
      <c r="UXM1127" s="80"/>
      <c r="UXN1127" s="80"/>
      <c r="UXO1127" s="80"/>
      <c r="UXP1127" s="80"/>
      <c r="UXQ1127" s="80"/>
      <c r="UXR1127" s="80"/>
      <c r="UXS1127" s="80"/>
      <c r="UXT1127" s="80"/>
      <c r="UXU1127" s="80"/>
      <c r="UXV1127" s="80"/>
      <c r="UXW1127" s="80"/>
      <c r="UXX1127" s="80"/>
      <c r="UXY1127" s="80"/>
      <c r="UXZ1127" s="80"/>
      <c r="UYA1127" s="80"/>
      <c r="UYB1127" s="80"/>
      <c r="UYC1127" s="80"/>
      <c r="UYD1127" s="80"/>
      <c r="UYE1127" s="80"/>
      <c r="UYF1127" s="80"/>
      <c r="UYG1127" s="80"/>
      <c r="UYH1127" s="80"/>
      <c r="UYI1127" s="80"/>
      <c r="UYJ1127" s="80"/>
      <c r="UYK1127" s="80"/>
      <c r="UYL1127" s="80"/>
      <c r="UYM1127" s="80"/>
      <c r="UYN1127" s="80"/>
      <c r="UYO1127" s="80"/>
      <c r="UYP1127" s="80"/>
      <c r="UYQ1127" s="80"/>
      <c r="UYR1127" s="80"/>
      <c r="UYS1127" s="80"/>
      <c r="UYT1127" s="80"/>
      <c r="UYU1127" s="80"/>
      <c r="UYV1127" s="80"/>
      <c r="UYW1127" s="80"/>
      <c r="UYX1127" s="80"/>
      <c r="UYY1127" s="80"/>
      <c r="UYZ1127" s="80"/>
      <c r="UZA1127" s="80"/>
      <c r="UZB1127" s="80"/>
      <c r="UZC1127" s="80"/>
      <c r="UZD1127" s="80"/>
      <c r="UZE1127" s="80"/>
      <c r="UZF1127" s="80"/>
      <c r="UZG1127" s="80"/>
      <c r="UZH1127" s="80"/>
      <c r="UZI1127" s="80"/>
      <c r="UZJ1127" s="80"/>
      <c r="UZK1127" s="80"/>
      <c r="UZL1127" s="80"/>
      <c r="UZM1127" s="80"/>
      <c r="UZN1127" s="80"/>
      <c r="UZO1127" s="80"/>
      <c r="UZP1127" s="80"/>
      <c r="UZQ1127" s="80"/>
      <c r="UZR1127" s="80"/>
      <c r="UZS1127" s="80"/>
      <c r="UZT1127" s="80"/>
      <c r="UZU1127" s="80"/>
      <c r="UZV1127" s="80"/>
      <c r="UZW1127" s="80"/>
      <c r="UZX1127" s="80"/>
      <c r="UZY1127" s="80"/>
      <c r="UZZ1127" s="80"/>
      <c r="VAA1127" s="80"/>
      <c r="VAB1127" s="80"/>
      <c r="VAC1127" s="80"/>
      <c r="VAD1127" s="80"/>
      <c r="VAE1127" s="80"/>
      <c r="VAF1127" s="80"/>
      <c r="VAG1127" s="80"/>
      <c r="VAH1127" s="80"/>
      <c r="VAI1127" s="80"/>
      <c r="VAJ1127" s="80"/>
      <c r="VAK1127" s="80"/>
      <c r="VAL1127" s="80"/>
      <c r="VAM1127" s="80"/>
      <c r="VAN1127" s="80"/>
      <c r="VAO1127" s="80"/>
      <c r="VAP1127" s="80"/>
      <c r="VAQ1127" s="80"/>
      <c r="VAR1127" s="80"/>
      <c r="VAS1127" s="80"/>
      <c r="VAT1127" s="80"/>
      <c r="VAU1127" s="80"/>
      <c r="VAV1127" s="80"/>
      <c r="VAW1127" s="80"/>
      <c r="VAX1127" s="80"/>
      <c r="VAY1127" s="80"/>
      <c r="VAZ1127" s="80"/>
      <c r="VBA1127" s="80"/>
      <c r="VBB1127" s="80"/>
      <c r="VBC1127" s="80"/>
      <c r="VBD1127" s="80"/>
      <c r="VBE1127" s="80"/>
      <c r="VBF1127" s="80"/>
      <c r="VBG1127" s="80"/>
      <c r="VBH1127" s="80"/>
      <c r="VBI1127" s="80"/>
      <c r="VBJ1127" s="80"/>
      <c r="VBK1127" s="80"/>
      <c r="VBL1127" s="80"/>
      <c r="VBM1127" s="80"/>
      <c r="VBN1127" s="80"/>
      <c r="VBO1127" s="80"/>
      <c r="VBP1127" s="80"/>
      <c r="VBQ1127" s="80"/>
      <c r="VBR1127" s="80"/>
      <c r="VBS1127" s="80"/>
      <c r="VBT1127" s="80"/>
      <c r="VBU1127" s="80"/>
      <c r="VBV1127" s="80"/>
      <c r="VBW1127" s="80"/>
      <c r="VBX1127" s="80"/>
      <c r="VBY1127" s="80"/>
      <c r="VBZ1127" s="80"/>
      <c r="VCA1127" s="80"/>
      <c r="VCB1127" s="80"/>
      <c r="VCC1127" s="80"/>
      <c r="VCD1127" s="80"/>
      <c r="VCE1127" s="80"/>
      <c r="VCF1127" s="80"/>
      <c r="VCG1127" s="80"/>
      <c r="VCH1127" s="80"/>
      <c r="VCI1127" s="80"/>
      <c r="VCJ1127" s="80"/>
      <c r="VCK1127" s="80"/>
      <c r="VCL1127" s="80"/>
      <c r="VCM1127" s="80"/>
      <c r="VCN1127" s="80"/>
      <c r="VCO1127" s="80"/>
      <c r="VCP1127" s="80"/>
      <c r="VCQ1127" s="80"/>
      <c r="VCR1127" s="80"/>
      <c r="VCS1127" s="80"/>
      <c r="VCT1127" s="80"/>
      <c r="VCU1127" s="80"/>
      <c r="VCV1127" s="80"/>
      <c r="VCW1127" s="80"/>
      <c r="VCX1127" s="80"/>
      <c r="VCY1127" s="80"/>
      <c r="VCZ1127" s="80"/>
      <c r="VDA1127" s="80"/>
      <c r="VDB1127" s="80"/>
      <c r="VDC1127" s="80"/>
      <c r="VDD1127" s="80"/>
      <c r="VDE1127" s="80"/>
      <c r="VDF1127" s="80"/>
      <c r="VDG1127" s="80"/>
      <c r="VDH1127" s="80"/>
      <c r="VDI1127" s="80"/>
      <c r="VDJ1127" s="80"/>
      <c r="VDK1127" s="80"/>
      <c r="VDL1127" s="80"/>
      <c r="VDM1127" s="80"/>
      <c r="VDN1127" s="80"/>
      <c r="VDO1127" s="80"/>
      <c r="VDP1127" s="80"/>
      <c r="VDQ1127" s="80"/>
      <c r="VDR1127" s="80"/>
      <c r="VDS1127" s="80"/>
      <c r="VDT1127" s="80"/>
      <c r="VDU1127" s="80"/>
      <c r="VDV1127" s="80"/>
      <c r="VDW1127" s="80"/>
      <c r="VDX1127" s="80"/>
      <c r="VDY1127" s="80"/>
      <c r="VDZ1127" s="80"/>
      <c r="VEA1127" s="80"/>
      <c r="VEB1127" s="80"/>
      <c r="VEC1127" s="80"/>
      <c r="VED1127" s="80"/>
      <c r="VEE1127" s="80"/>
      <c r="VEF1127" s="80"/>
      <c r="VEG1127" s="80"/>
      <c r="VEH1127" s="80"/>
      <c r="VEI1127" s="80"/>
      <c r="VEJ1127" s="80"/>
      <c r="VEK1127" s="80"/>
      <c r="VEL1127" s="80"/>
      <c r="VEM1127" s="80"/>
      <c r="VEN1127" s="80"/>
      <c r="VEO1127" s="80"/>
      <c r="VEP1127" s="80"/>
      <c r="VEQ1127" s="80"/>
      <c r="VER1127" s="80"/>
      <c r="VES1127" s="80"/>
      <c r="VET1127" s="80"/>
      <c r="VEU1127" s="80"/>
      <c r="VEV1127" s="80"/>
      <c r="VEW1127" s="80"/>
      <c r="VEX1127" s="80"/>
      <c r="VEY1127" s="80"/>
      <c r="VEZ1127" s="80"/>
      <c r="VFA1127" s="80"/>
      <c r="VFB1127" s="80"/>
      <c r="VFC1127" s="80"/>
      <c r="VFD1127" s="80"/>
      <c r="VFE1127" s="80"/>
      <c r="VFF1127" s="80"/>
      <c r="VFG1127" s="80"/>
      <c r="VFH1127" s="80"/>
      <c r="VFI1127" s="80"/>
      <c r="VFJ1127" s="80"/>
      <c r="VFK1127" s="80"/>
      <c r="VFL1127" s="80"/>
      <c r="VFM1127" s="80"/>
      <c r="VFN1127" s="80"/>
      <c r="VFO1127" s="80"/>
      <c r="VFP1127" s="80"/>
      <c r="VFQ1127" s="80"/>
      <c r="VFR1127" s="80"/>
      <c r="VFS1127" s="80"/>
      <c r="VFT1127" s="80"/>
      <c r="VFU1127" s="80"/>
      <c r="VFV1127" s="80"/>
      <c r="VFW1127" s="80"/>
      <c r="VFX1127" s="80"/>
      <c r="VFY1127" s="80"/>
      <c r="VFZ1127" s="80"/>
      <c r="VGA1127" s="80"/>
      <c r="VGB1127" s="80"/>
      <c r="VGC1127" s="80"/>
      <c r="VGD1127" s="80"/>
      <c r="VGE1127" s="80"/>
      <c r="VGF1127" s="80"/>
      <c r="VGG1127" s="80"/>
      <c r="VGH1127" s="80"/>
      <c r="VGI1127" s="80"/>
      <c r="VGJ1127" s="80"/>
      <c r="VGK1127" s="80"/>
      <c r="VGL1127" s="80"/>
      <c r="VGM1127" s="80"/>
      <c r="VGN1127" s="80"/>
      <c r="VGO1127" s="80"/>
      <c r="VGP1127" s="80"/>
      <c r="VGQ1127" s="80"/>
      <c r="VGR1127" s="80"/>
      <c r="VGS1127" s="80"/>
      <c r="VGT1127" s="80"/>
      <c r="VGU1127" s="80"/>
      <c r="VGV1127" s="80"/>
      <c r="VGW1127" s="80"/>
      <c r="VGX1127" s="80"/>
      <c r="VGY1127" s="80"/>
      <c r="VGZ1127" s="80"/>
      <c r="VHA1127" s="80"/>
      <c r="VHB1127" s="80"/>
      <c r="VHC1127" s="80"/>
      <c r="VHD1127" s="80"/>
      <c r="VHE1127" s="80"/>
      <c r="VHF1127" s="80"/>
      <c r="VHG1127" s="80"/>
      <c r="VHH1127" s="80"/>
      <c r="VHI1127" s="80"/>
      <c r="VHJ1127" s="80"/>
      <c r="VHK1127" s="80"/>
      <c r="VHL1127" s="80"/>
      <c r="VHM1127" s="80"/>
      <c r="VHN1127" s="80"/>
      <c r="VHO1127" s="80"/>
      <c r="VHP1127" s="80"/>
      <c r="VHQ1127" s="80"/>
      <c r="VHR1127" s="80"/>
      <c r="VHS1127" s="80"/>
      <c r="VHT1127" s="80"/>
      <c r="VHU1127" s="80"/>
      <c r="VHV1127" s="80"/>
      <c r="VHW1127" s="80"/>
      <c r="VHX1127" s="80"/>
      <c r="VHY1127" s="80"/>
      <c r="VHZ1127" s="80"/>
      <c r="VIA1127" s="80"/>
      <c r="VIB1127" s="80"/>
      <c r="VIC1127" s="80"/>
      <c r="VID1127" s="80"/>
      <c r="VIE1127" s="80"/>
      <c r="VIF1127" s="80"/>
      <c r="VIG1127" s="80"/>
      <c r="VIH1127" s="80"/>
      <c r="VII1127" s="80"/>
      <c r="VIJ1127" s="80"/>
      <c r="VIK1127" s="80"/>
      <c r="VIL1127" s="80"/>
      <c r="VIM1127" s="80"/>
      <c r="VIN1127" s="80"/>
      <c r="VIO1127" s="80"/>
      <c r="VIP1127" s="80"/>
      <c r="VIQ1127" s="80"/>
      <c r="VIR1127" s="80"/>
      <c r="VIS1127" s="80"/>
      <c r="VIT1127" s="80"/>
      <c r="VIU1127" s="80"/>
      <c r="VIV1127" s="80"/>
      <c r="VIW1127" s="80"/>
      <c r="VIX1127" s="80"/>
      <c r="VIY1127" s="80"/>
      <c r="VIZ1127" s="80"/>
      <c r="VJA1127" s="80"/>
      <c r="VJB1127" s="80"/>
      <c r="VJC1127" s="80"/>
      <c r="VJD1127" s="80"/>
      <c r="VJE1127" s="80"/>
      <c r="VJF1127" s="80"/>
      <c r="VJG1127" s="80"/>
      <c r="VJH1127" s="80"/>
      <c r="VJI1127" s="80"/>
      <c r="VJJ1127" s="80"/>
      <c r="VJK1127" s="80"/>
      <c r="VJL1127" s="80"/>
      <c r="VJM1127" s="80"/>
      <c r="VJN1127" s="80"/>
      <c r="VJO1127" s="80"/>
      <c r="VJP1127" s="80"/>
      <c r="VJQ1127" s="80"/>
      <c r="VJR1127" s="80"/>
      <c r="VJS1127" s="80"/>
      <c r="VJT1127" s="80"/>
      <c r="VJU1127" s="80"/>
      <c r="VJV1127" s="80"/>
      <c r="VJW1127" s="80"/>
      <c r="VJX1127" s="80"/>
      <c r="VJY1127" s="80"/>
      <c r="VJZ1127" s="80"/>
      <c r="VKA1127" s="80"/>
      <c r="VKB1127" s="80"/>
      <c r="VKC1127" s="80"/>
      <c r="VKD1127" s="80"/>
      <c r="VKE1127" s="80"/>
      <c r="VKF1127" s="80"/>
      <c r="VKG1127" s="80"/>
      <c r="VKH1127" s="80"/>
      <c r="VKI1127" s="80"/>
      <c r="VKJ1127" s="80"/>
      <c r="VKK1127" s="80"/>
      <c r="VKL1127" s="80"/>
      <c r="VKM1127" s="80"/>
      <c r="VKN1127" s="80"/>
      <c r="VKO1127" s="80"/>
      <c r="VKP1127" s="80"/>
      <c r="VKQ1127" s="80"/>
      <c r="VKR1127" s="80"/>
      <c r="VKS1127" s="80"/>
      <c r="VKT1127" s="80"/>
      <c r="VKU1127" s="80"/>
      <c r="VKV1127" s="80"/>
      <c r="VKW1127" s="80"/>
      <c r="VKX1127" s="80"/>
      <c r="VKY1127" s="80"/>
      <c r="VKZ1127" s="80"/>
      <c r="VLA1127" s="80"/>
      <c r="VLB1127" s="80"/>
      <c r="VLC1127" s="80"/>
      <c r="VLD1127" s="80"/>
      <c r="VLE1127" s="80"/>
      <c r="VLF1127" s="80"/>
      <c r="VLG1127" s="80"/>
      <c r="VLH1127" s="80"/>
      <c r="VLI1127" s="80"/>
      <c r="VLJ1127" s="80"/>
      <c r="VLK1127" s="80"/>
      <c r="VLL1127" s="80"/>
      <c r="VLM1127" s="80"/>
      <c r="VLN1127" s="80"/>
      <c r="VLO1127" s="80"/>
      <c r="VLP1127" s="80"/>
      <c r="VLQ1127" s="80"/>
      <c r="VLR1127" s="80"/>
      <c r="VLS1127" s="80"/>
      <c r="VLT1127" s="80"/>
      <c r="VLU1127" s="80"/>
      <c r="VLV1127" s="80"/>
      <c r="VLW1127" s="80"/>
      <c r="VLX1127" s="80"/>
      <c r="VLY1127" s="80"/>
      <c r="VLZ1127" s="80"/>
      <c r="VMA1127" s="80"/>
      <c r="VMB1127" s="80"/>
      <c r="VMC1127" s="80"/>
      <c r="VMD1127" s="80"/>
      <c r="VME1127" s="80"/>
      <c r="VMF1127" s="80"/>
      <c r="VMG1127" s="80"/>
      <c r="VMH1127" s="80"/>
      <c r="VMI1127" s="80"/>
      <c r="VMJ1127" s="80"/>
      <c r="VMK1127" s="80"/>
      <c r="VML1127" s="80"/>
      <c r="VMM1127" s="80"/>
      <c r="VMN1127" s="80"/>
      <c r="VMO1127" s="80"/>
      <c r="VMP1127" s="80"/>
      <c r="VMQ1127" s="80"/>
      <c r="VMR1127" s="80"/>
      <c r="VMS1127" s="80"/>
      <c r="VMT1127" s="80"/>
      <c r="VMU1127" s="80"/>
      <c r="VMV1127" s="80"/>
      <c r="VMW1127" s="80"/>
      <c r="VMX1127" s="80"/>
      <c r="VMY1127" s="80"/>
      <c r="VMZ1127" s="80"/>
      <c r="VNA1127" s="80"/>
      <c r="VNB1127" s="80"/>
      <c r="VNC1127" s="80"/>
      <c r="VND1127" s="80"/>
      <c r="VNE1127" s="80"/>
      <c r="VNF1127" s="80"/>
      <c r="VNG1127" s="80"/>
      <c r="VNH1127" s="80"/>
      <c r="VNI1127" s="80"/>
      <c r="VNJ1127" s="80"/>
      <c r="VNK1127" s="80"/>
      <c r="VNL1127" s="80"/>
      <c r="VNM1127" s="80"/>
      <c r="VNN1127" s="80"/>
      <c r="VNO1127" s="80"/>
      <c r="VNP1127" s="80"/>
      <c r="VNQ1127" s="80"/>
      <c r="VNR1127" s="80"/>
      <c r="VNS1127" s="80"/>
      <c r="VNT1127" s="80"/>
      <c r="VNU1127" s="80"/>
      <c r="VNV1127" s="80"/>
      <c r="VNW1127" s="80"/>
      <c r="VNX1127" s="80"/>
      <c r="VNY1127" s="80"/>
      <c r="VNZ1127" s="80"/>
      <c r="VOA1127" s="80"/>
      <c r="VOB1127" s="80"/>
      <c r="VOC1127" s="80"/>
      <c r="VOD1127" s="80"/>
      <c r="VOE1127" s="80"/>
      <c r="VOF1127" s="80"/>
      <c r="VOG1127" s="80"/>
      <c r="VOH1127" s="80"/>
      <c r="VOI1127" s="80"/>
      <c r="VOJ1127" s="80"/>
      <c r="VOK1127" s="80"/>
      <c r="VOL1127" s="80"/>
      <c r="VOM1127" s="80"/>
      <c r="VON1127" s="80"/>
      <c r="VOO1127" s="80"/>
      <c r="VOP1127" s="80"/>
      <c r="VOQ1127" s="80"/>
      <c r="VOR1127" s="80"/>
      <c r="VOS1127" s="80"/>
      <c r="VOT1127" s="80"/>
      <c r="VOU1127" s="80"/>
      <c r="VOV1127" s="80"/>
      <c r="VOW1127" s="80"/>
      <c r="VOX1127" s="80"/>
      <c r="VOY1127" s="80"/>
      <c r="VOZ1127" s="80"/>
      <c r="VPA1127" s="80"/>
      <c r="VPB1127" s="80"/>
      <c r="VPC1127" s="80"/>
      <c r="VPD1127" s="80"/>
      <c r="VPE1127" s="80"/>
      <c r="VPF1127" s="80"/>
      <c r="VPG1127" s="80"/>
      <c r="VPH1127" s="80"/>
      <c r="VPI1127" s="80"/>
      <c r="VPJ1127" s="80"/>
      <c r="VPK1127" s="80"/>
      <c r="VPL1127" s="80"/>
      <c r="VPM1127" s="80"/>
      <c r="VPN1127" s="80"/>
      <c r="VPO1127" s="80"/>
      <c r="VPP1127" s="80"/>
      <c r="VPQ1127" s="80"/>
      <c r="VPR1127" s="80"/>
      <c r="VPS1127" s="80"/>
      <c r="VPT1127" s="80"/>
      <c r="VPU1127" s="80"/>
      <c r="VPV1127" s="80"/>
      <c r="VPW1127" s="80"/>
      <c r="VPX1127" s="80"/>
      <c r="VPY1127" s="80"/>
      <c r="VPZ1127" s="80"/>
      <c r="VQA1127" s="80"/>
      <c r="VQB1127" s="80"/>
      <c r="VQC1127" s="80"/>
      <c r="VQD1127" s="80"/>
      <c r="VQE1127" s="80"/>
      <c r="VQF1127" s="80"/>
      <c r="VQG1127" s="80"/>
      <c r="VQH1127" s="80"/>
      <c r="VQI1127" s="80"/>
      <c r="VQJ1127" s="80"/>
      <c r="VQK1127" s="80"/>
      <c r="VQL1127" s="80"/>
      <c r="VQM1127" s="80"/>
      <c r="VQN1127" s="80"/>
      <c r="VQO1127" s="80"/>
      <c r="VQP1127" s="80"/>
      <c r="VQQ1127" s="80"/>
      <c r="VQR1127" s="80"/>
      <c r="VQS1127" s="80"/>
      <c r="VQT1127" s="80"/>
      <c r="VQU1127" s="80"/>
      <c r="VQV1127" s="80"/>
      <c r="VQW1127" s="80"/>
      <c r="VQX1127" s="80"/>
      <c r="VQY1127" s="80"/>
      <c r="VQZ1127" s="80"/>
      <c r="VRA1127" s="80"/>
      <c r="VRB1127" s="80"/>
      <c r="VRC1127" s="80"/>
      <c r="VRD1127" s="80"/>
      <c r="VRE1127" s="80"/>
      <c r="VRF1127" s="80"/>
      <c r="VRG1127" s="80"/>
      <c r="VRH1127" s="80"/>
      <c r="VRI1127" s="80"/>
      <c r="VRJ1127" s="80"/>
      <c r="VRK1127" s="80"/>
      <c r="VRL1127" s="80"/>
      <c r="VRM1127" s="80"/>
      <c r="VRN1127" s="80"/>
      <c r="VRO1127" s="80"/>
      <c r="VRP1127" s="80"/>
      <c r="VRQ1127" s="80"/>
      <c r="VRR1127" s="80"/>
      <c r="VRS1127" s="80"/>
      <c r="VRT1127" s="80"/>
      <c r="VRU1127" s="80"/>
      <c r="VRV1127" s="80"/>
      <c r="VRW1127" s="80"/>
      <c r="VRX1127" s="80"/>
      <c r="VRY1127" s="80"/>
      <c r="VRZ1127" s="80"/>
      <c r="VSA1127" s="80"/>
      <c r="VSB1127" s="80"/>
      <c r="VSC1127" s="80"/>
      <c r="VSD1127" s="80"/>
      <c r="VSE1127" s="80"/>
      <c r="VSF1127" s="80"/>
      <c r="VSG1127" s="80"/>
      <c r="VSH1127" s="80"/>
      <c r="VSI1127" s="80"/>
      <c r="VSJ1127" s="80"/>
      <c r="VSK1127" s="80"/>
      <c r="VSL1127" s="80"/>
      <c r="VSM1127" s="80"/>
      <c r="VSN1127" s="80"/>
      <c r="VSO1127" s="80"/>
      <c r="VSP1127" s="80"/>
      <c r="VSQ1127" s="80"/>
      <c r="VSR1127" s="80"/>
      <c r="VSS1127" s="80"/>
      <c r="VST1127" s="80"/>
      <c r="VSU1127" s="80"/>
      <c r="VSV1127" s="80"/>
      <c r="VSW1127" s="80"/>
      <c r="VSX1127" s="80"/>
      <c r="VSY1127" s="80"/>
      <c r="VSZ1127" s="80"/>
      <c r="VTA1127" s="80"/>
      <c r="VTB1127" s="80"/>
      <c r="VTC1127" s="80"/>
      <c r="VTD1127" s="80"/>
      <c r="VTE1127" s="80"/>
      <c r="VTF1127" s="80"/>
      <c r="VTG1127" s="80"/>
      <c r="VTH1127" s="80"/>
      <c r="VTI1127" s="80"/>
      <c r="VTJ1127" s="80"/>
      <c r="VTK1127" s="80"/>
      <c r="VTL1127" s="80"/>
      <c r="VTM1127" s="80"/>
      <c r="VTN1127" s="80"/>
      <c r="VTO1127" s="80"/>
      <c r="VTP1127" s="80"/>
      <c r="VTQ1127" s="80"/>
      <c r="VTR1127" s="80"/>
      <c r="VTS1127" s="80"/>
      <c r="VTT1127" s="80"/>
      <c r="VTU1127" s="80"/>
      <c r="VTV1127" s="80"/>
      <c r="VTW1127" s="80"/>
      <c r="VTX1127" s="80"/>
      <c r="VTY1127" s="80"/>
      <c r="VTZ1127" s="80"/>
      <c r="VUA1127" s="80"/>
      <c r="VUB1127" s="80"/>
      <c r="VUC1127" s="80"/>
      <c r="VUD1127" s="80"/>
      <c r="VUE1127" s="80"/>
      <c r="VUF1127" s="80"/>
      <c r="VUG1127" s="80"/>
      <c r="VUH1127" s="80"/>
      <c r="VUI1127" s="80"/>
      <c r="VUJ1127" s="80"/>
      <c r="VUK1127" s="80"/>
      <c r="VUL1127" s="80"/>
      <c r="VUM1127" s="80"/>
      <c r="VUN1127" s="80"/>
      <c r="VUO1127" s="80"/>
      <c r="VUP1127" s="80"/>
      <c r="VUQ1127" s="80"/>
      <c r="VUR1127" s="80"/>
      <c r="VUS1127" s="80"/>
      <c r="VUT1127" s="80"/>
      <c r="VUU1127" s="80"/>
      <c r="VUV1127" s="80"/>
      <c r="VUW1127" s="80"/>
      <c r="VUX1127" s="80"/>
      <c r="VUY1127" s="80"/>
      <c r="VUZ1127" s="80"/>
      <c r="VVA1127" s="80"/>
      <c r="VVB1127" s="80"/>
      <c r="VVC1127" s="80"/>
      <c r="VVD1127" s="80"/>
      <c r="VVE1127" s="80"/>
      <c r="VVF1127" s="80"/>
      <c r="VVG1127" s="80"/>
      <c r="VVH1127" s="80"/>
      <c r="VVI1127" s="80"/>
      <c r="VVJ1127" s="80"/>
      <c r="VVK1127" s="80"/>
      <c r="VVL1127" s="80"/>
      <c r="VVM1127" s="80"/>
      <c r="VVN1127" s="80"/>
      <c r="VVO1127" s="80"/>
      <c r="VVP1127" s="80"/>
      <c r="VVQ1127" s="80"/>
      <c r="VVR1127" s="80"/>
      <c r="VVS1127" s="80"/>
      <c r="VVT1127" s="80"/>
      <c r="VVU1127" s="80"/>
      <c r="VVV1127" s="80"/>
      <c r="VVW1127" s="80"/>
      <c r="VVX1127" s="80"/>
      <c r="VVY1127" s="80"/>
      <c r="VVZ1127" s="80"/>
      <c r="VWA1127" s="80"/>
      <c r="VWB1127" s="80"/>
      <c r="VWC1127" s="80"/>
      <c r="VWD1127" s="80"/>
      <c r="VWE1127" s="80"/>
      <c r="VWF1127" s="80"/>
      <c r="VWG1127" s="80"/>
      <c r="VWH1127" s="80"/>
      <c r="VWI1127" s="80"/>
      <c r="VWJ1127" s="80"/>
      <c r="VWK1127" s="80"/>
      <c r="VWL1127" s="80"/>
      <c r="VWM1127" s="80"/>
      <c r="VWN1127" s="80"/>
      <c r="VWO1127" s="80"/>
      <c r="VWP1127" s="80"/>
      <c r="VWQ1127" s="80"/>
      <c r="VWR1127" s="80"/>
      <c r="VWS1127" s="80"/>
      <c r="VWT1127" s="80"/>
      <c r="VWU1127" s="80"/>
      <c r="VWV1127" s="80"/>
      <c r="VWW1127" s="80"/>
      <c r="VWX1127" s="80"/>
      <c r="VWY1127" s="80"/>
      <c r="VWZ1127" s="80"/>
      <c r="VXA1127" s="80"/>
      <c r="VXB1127" s="80"/>
      <c r="VXC1127" s="80"/>
      <c r="VXD1127" s="80"/>
      <c r="VXE1127" s="80"/>
      <c r="VXF1127" s="80"/>
      <c r="VXG1127" s="80"/>
      <c r="VXH1127" s="80"/>
      <c r="VXI1127" s="80"/>
      <c r="VXJ1127" s="80"/>
      <c r="VXK1127" s="80"/>
      <c r="VXL1127" s="80"/>
      <c r="VXM1127" s="80"/>
      <c r="VXN1127" s="80"/>
      <c r="VXO1127" s="80"/>
      <c r="VXP1127" s="80"/>
      <c r="VXQ1127" s="80"/>
      <c r="VXR1127" s="80"/>
      <c r="VXS1127" s="80"/>
      <c r="VXT1127" s="80"/>
      <c r="VXU1127" s="80"/>
      <c r="VXV1127" s="80"/>
      <c r="VXW1127" s="80"/>
      <c r="VXX1127" s="80"/>
      <c r="VXY1127" s="80"/>
      <c r="VXZ1127" s="80"/>
      <c r="VYA1127" s="80"/>
      <c r="VYB1127" s="80"/>
      <c r="VYC1127" s="80"/>
      <c r="VYD1127" s="80"/>
      <c r="VYE1127" s="80"/>
      <c r="VYF1127" s="80"/>
      <c r="VYG1127" s="80"/>
      <c r="VYH1127" s="80"/>
      <c r="VYI1127" s="80"/>
      <c r="VYJ1127" s="80"/>
      <c r="VYK1127" s="80"/>
      <c r="VYL1127" s="80"/>
      <c r="VYM1127" s="80"/>
      <c r="VYN1127" s="80"/>
      <c r="VYO1127" s="80"/>
      <c r="VYP1127" s="80"/>
      <c r="VYQ1127" s="80"/>
      <c r="VYR1127" s="80"/>
      <c r="VYS1127" s="80"/>
      <c r="VYT1127" s="80"/>
      <c r="VYU1127" s="80"/>
      <c r="VYV1127" s="80"/>
      <c r="VYW1127" s="80"/>
      <c r="VYX1127" s="80"/>
      <c r="VYY1127" s="80"/>
      <c r="VYZ1127" s="80"/>
      <c r="VZA1127" s="80"/>
      <c r="VZB1127" s="80"/>
      <c r="VZC1127" s="80"/>
      <c r="VZD1127" s="80"/>
      <c r="VZE1127" s="80"/>
      <c r="VZF1127" s="80"/>
      <c r="VZG1127" s="80"/>
      <c r="VZH1127" s="80"/>
      <c r="VZI1127" s="80"/>
      <c r="VZJ1127" s="80"/>
      <c r="VZK1127" s="80"/>
      <c r="VZL1127" s="80"/>
      <c r="VZM1127" s="80"/>
      <c r="VZN1127" s="80"/>
      <c r="VZO1127" s="80"/>
      <c r="VZP1127" s="80"/>
      <c r="VZQ1127" s="80"/>
      <c r="VZR1127" s="80"/>
      <c r="VZS1127" s="80"/>
      <c r="VZT1127" s="80"/>
      <c r="VZU1127" s="80"/>
      <c r="VZV1127" s="80"/>
      <c r="VZW1127" s="80"/>
      <c r="VZX1127" s="80"/>
      <c r="VZY1127" s="80"/>
      <c r="VZZ1127" s="80"/>
      <c r="WAA1127" s="80"/>
      <c r="WAB1127" s="80"/>
      <c r="WAC1127" s="80"/>
      <c r="WAD1127" s="80"/>
      <c r="WAE1127" s="80"/>
      <c r="WAF1127" s="80"/>
      <c r="WAG1127" s="80"/>
      <c r="WAH1127" s="80"/>
      <c r="WAI1127" s="80"/>
      <c r="WAJ1127" s="80"/>
      <c r="WAK1127" s="80"/>
      <c r="WAL1127" s="80"/>
      <c r="WAM1127" s="80"/>
      <c r="WAN1127" s="80"/>
      <c r="WAO1127" s="80"/>
      <c r="WAP1127" s="80"/>
      <c r="WAQ1127" s="80"/>
      <c r="WAR1127" s="80"/>
      <c r="WAS1127" s="80"/>
      <c r="WAT1127" s="80"/>
      <c r="WAU1127" s="80"/>
      <c r="WAV1127" s="80"/>
      <c r="WAW1127" s="80"/>
      <c r="WAX1127" s="80"/>
      <c r="WAY1127" s="80"/>
      <c r="WAZ1127" s="80"/>
      <c r="WBA1127" s="80"/>
      <c r="WBB1127" s="80"/>
      <c r="WBC1127" s="80"/>
      <c r="WBD1127" s="80"/>
      <c r="WBE1127" s="80"/>
      <c r="WBF1127" s="80"/>
      <c r="WBG1127" s="80"/>
      <c r="WBH1127" s="80"/>
      <c r="WBI1127" s="80"/>
      <c r="WBJ1127" s="80"/>
      <c r="WBK1127" s="80"/>
      <c r="WBL1127" s="80"/>
      <c r="WBM1127" s="80"/>
      <c r="WBN1127" s="80"/>
      <c r="WBO1127" s="80"/>
      <c r="WBP1127" s="80"/>
      <c r="WBQ1127" s="80"/>
      <c r="WBR1127" s="80"/>
      <c r="WBS1127" s="80"/>
      <c r="WBT1127" s="80"/>
      <c r="WBU1127" s="80"/>
      <c r="WBV1127" s="80"/>
      <c r="WBW1127" s="80"/>
      <c r="WBX1127" s="80"/>
      <c r="WBY1127" s="80"/>
      <c r="WBZ1127" s="80"/>
      <c r="WCA1127" s="80"/>
      <c r="WCB1127" s="80"/>
      <c r="WCC1127" s="80"/>
      <c r="WCD1127" s="80"/>
      <c r="WCE1127" s="80"/>
      <c r="WCF1127" s="80"/>
      <c r="WCG1127" s="80"/>
      <c r="WCH1127" s="80"/>
      <c r="WCI1127" s="80"/>
      <c r="WCJ1127" s="80"/>
      <c r="WCK1127" s="80"/>
      <c r="WCL1127" s="80"/>
      <c r="WCM1127" s="80"/>
      <c r="WCN1127" s="80"/>
      <c r="WCO1127" s="80"/>
      <c r="WCP1127" s="80"/>
      <c r="WCQ1127" s="80"/>
      <c r="WCR1127" s="80"/>
      <c r="WCS1127" s="80"/>
      <c r="WCT1127" s="80"/>
      <c r="WCU1127" s="80"/>
      <c r="WCV1127" s="80"/>
      <c r="WCW1127" s="80"/>
      <c r="WCX1127" s="80"/>
      <c r="WCY1127" s="80"/>
      <c r="WCZ1127" s="80"/>
      <c r="WDA1127" s="80"/>
      <c r="WDB1127" s="80"/>
      <c r="WDC1127" s="80"/>
      <c r="WDD1127" s="80"/>
      <c r="WDE1127" s="80"/>
      <c r="WDF1127" s="80"/>
      <c r="WDG1127" s="80"/>
      <c r="WDH1127" s="80"/>
      <c r="WDI1127" s="80"/>
      <c r="WDJ1127" s="80"/>
      <c r="WDK1127" s="80"/>
      <c r="WDL1127" s="80"/>
      <c r="WDM1127" s="80"/>
      <c r="WDN1127" s="80"/>
      <c r="WDO1127" s="80"/>
      <c r="WDP1127" s="80"/>
      <c r="WDQ1127" s="80"/>
      <c r="WDR1127" s="80"/>
      <c r="WDS1127" s="80"/>
      <c r="WDT1127" s="80"/>
      <c r="WDU1127" s="80"/>
      <c r="WDV1127" s="80"/>
      <c r="WDW1127" s="80"/>
      <c r="WDX1127" s="80"/>
      <c r="WDY1127" s="80"/>
      <c r="WDZ1127" s="80"/>
      <c r="WEA1127" s="80"/>
      <c r="WEB1127" s="80"/>
      <c r="WEC1127" s="80"/>
      <c r="WED1127" s="80"/>
      <c r="WEE1127" s="80"/>
      <c r="WEF1127" s="80"/>
      <c r="WEG1127" s="80"/>
      <c r="WEH1127" s="80"/>
      <c r="WEI1127" s="80"/>
      <c r="WEJ1127" s="80"/>
      <c r="WEK1127" s="80"/>
      <c r="WEL1127" s="80"/>
      <c r="WEM1127" s="80"/>
      <c r="WEN1127" s="80"/>
      <c r="WEO1127" s="80"/>
      <c r="WEP1127" s="80"/>
      <c r="WEQ1127" s="80"/>
      <c r="WER1127" s="80"/>
      <c r="WES1127" s="80"/>
      <c r="WET1127" s="80"/>
      <c r="WEU1127" s="80"/>
      <c r="WEV1127" s="80"/>
      <c r="WEW1127" s="80"/>
      <c r="WEX1127" s="80"/>
      <c r="WEY1127" s="80"/>
      <c r="WEZ1127" s="80"/>
      <c r="WFA1127" s="80"/>
      <c r="WFB1127" s="80"/>
      <c r="WFC1127" s="80"/>
      <c r="WFD1127" s="80"/>
      <c r="WFE1127" s="80"/>
      <c r="WFF1127" s="80"/>
      <c r="WFG1127" s="80"/>
      <c r="WFH1127" s="80"/>
      <c r="WFI1127" s="80"/>
      <c r="WFJ1127" s="80"/>
      <c r="WFK1127" s="80"/>
      <c r="WFL1127" s="80"/>
      <c r="WFM1127" s="80"/>
      <c r="WFN1127" s="80"/>
      <c r="WFO1127" s="80"/>
      <c r="WFP1127" s="80"/>
      <c r="WFQ1127" s="80"/>
      <c r="WFR1127" s="80"/>
      <c r="WFS1127" s="80"/>
      <c r="WFT1127" s="80"/>
      <c r="WFU1127" s="80"/>
      <c r="WFV1127" s="80"/>
      <c r="WFW1127" s="80"/>
      <c r="WFX1127" s="80"/>
      <c r="WFY1127" s="80"/>
      <c r="WFZ1127" s="80"/>
      <c r="WGA1127" s="80"/>
      <c r="WGB1127" s="80"/>
      <c r="WGC1127" s="80"/>
      <c r="WGD1127" s="80"/>
      <c r="WGE1127" s="80"/>
      <c r="WGF1127" s="80"/>
      <c r="WGG1127" s="80"/>
      <c r="WGH1127" s="80"/>
      <c r="WGI1127" s="80"/>
      <c r="WGJ1127" s="80"/>
      <c r="WGK1127" s="80"/>
      <c r="WGL1127" s="80"/>
      <c r="WGM1127" s="80"/>
      <c r="WGN1127" s="80"/>
      <c r="WGO1127" s="80"/>
      <c r="WGP1127" s="80"/>
      <c r="WGQ1127" s="80"/>
      <c r="WGR1127" s="80"/>
      <c r="WGS1127" s="80"/>
      <c r="WGT1127" s="80"/>
      <c r="WGU1127" s="80"/>
      <c r="WGV1127" s="80"/>
      <c r="WGW1127" s="80"/>
      <c r="WGX1127" s="80"/>
      <c r="WGY1127" s="80"/>
      <c r="WGZ1127" s="80"/>
      <c r="WHA1127" s="80"/>
      <c r="WHB1127" s="80"/>
      <c r="WHC1127" s="80"/>
      <c r="WHD1127" s="80"/>
      <c r="WHE1127" s="80"/>
      <c r="WHF1127" s="80"/>
      <c r="WHG1127" s="80"/>
      <c r="WHH1127" s="80"/>
      <c r="WHI1127" s="80"/>
      <c r="WHJ1127" s="80"/>
      <c r="WHK1127" s="80"/>
      <c r="WHL1127" s="80"/>
      <c r="WHM1127" s="80"/>
      <c r="WHN1127" s="80"/>
      <c r="WHO1127" s="80"/>
      <c r="WHP1127" s="80"/>
      <c r="WHQ1127" s="80"/>
      <c r="WHR1127" s="80"/>
      <c r="WHS1127" s="80"/>
      <c r="WHT1127" s="80"/>
      <c r="WHU1127" s="80"/>
      <c r="WHV1127" s="80"/>
      <c r="WHW1127" s="80"/>
      <c r="WHX1127" s="80"/>
      <c r="WHY1127" s="80"/>
      <c r="WHZ1127" s="80"/>
      <c r="WIA1127" s="80"/>
      <c r="WIB1127" s="80"/>
      <c r="WIC1127" s="80"/>
      <c r="WID1127" s="80"/>
      <c r="WIE1127" s="80"/>
      <c r="WIF1127" s="80"/>
      <c r="WIG1127" s="80"/>
      <c r="WIH1127" s="80"/>
      <c r="WII1127" s="80"/>
      <c r="WIJ1127" s="80"/>
      <c r="WIK1127" s="80"/>
      <c r="WIL1127" s="80"/>
      <c r="WIM1127" s="80"/>
      <c r="WIN1127" s="80"/>
      <c r="WIO1127" s="80"/>
      <c r="WIP1127" s="80"/>
      <c r="WIQ1127" s="80"/>
      <c r="WIR1127" s="80"/>
      <c r="WIS1127" s="80"/>
      <c r="WIT1127" s="80"/>
      <c r="WIU1127" s="80"/>
      <c r="WIV1127" s="80"/>
      <c r="WIW1127" s="80"/>
      <c r="WIX1127" s="80"/>
      <c r="WIY1127" s="80"/>
      <c r="WIZ1127" s="80"/>
      <c r="WJA1127" s="80"/>
      <c r="WJB1127" s="80"/>
      <c r="WJC1127" s="80"/>
      <c r="WJD1127" s="80"/>
      <c r="WJE1127" s="80"/>
      <c r="WJF1127" s="80"/>
      <c r="WJG1127" s="80"/>
      <c r="WJH1127" s="80"/>
      <c r="WJI1127" s="80"/>
      <c r="WJJ1127" s="80"/>
      <c r="WJK1127" s="80"/>
      <c r="WJL1127" s="80"/>
      <c r="WJM1127" s="80"/>
      <c r="WJN1127" s="80"/>
      <c r="WJO1127" s="80"/>
      <c r="WJP1127" s="80"/>
      <c r="WJQ1127" s="80"/>
      <c r="WJR1127" s="80"/>
      <c r="WJS1127" s="80"/>
      <c r="WJT1127" s="80"/>
      <c r="WJU1127" s="80"/>
      <c r="WJV1127" s="80"/>
      <c r="WJW1127" s="80"/>
      <c r="WJX1127" s="80"/>
      <c r="WJY1127" s="80"/>
      <c r="WJZ1127" s="80"/>
      <c r="WKA1127" s="80"/>
      <c r="WKB1127" s="80"/>
      <c r="WKC1127" s="80"/>
      <c r="WKD1127" s="80"/>
      <c r="WKE1127" s="80"/>
      <c r="WKF1127" s="80"/>
      <c r="WKG1127" s="80"/>
      <c r="WKH1127" s="80"/>
      <c r="WKI1127" s="80"/>
      <c r="WKJ1127" s="80"/>
      <c r="WKK1127" s="80"/>
      <c r="WKL1127" s="80"/>
      <c r="WKM1127" s="80"/>
      <c r="WKN1127" s="80"/>
      <c r="WKO1127" s="80"/>
      <c r="WKP1127" s="80"/>
      <c r="WKQ1127" s="80"/>
      <c r="WKR1127" s="80"/>
      <c r="WKS1127" s="80"/>
      <c r="WKT1127" s="80"/>
      <c r="WKU1127" s="80"/>
      <c r="WKV1127" s="80"/>
      <c r="WKW1127" s="80"/>
      <c r="WKX1127" s="80"/>
      <c r="WKY1127" s="80"/>
      <c r="WKZ1127" s="80"/>
      <c r="WLA1127" s="80"/>
      <c r="WLB1127" s="80"/>
      <c r="WLC1127" s="80"/>
      <c r="WLD1127" s="80"/>
      <c r="WLE1127" s="80"/>
      <c r="WLF1127" s="80"/>
      <c r="WLG1127" s="80"/>
      <c r="WLH1127" s="80"/>
      <c r="WLI1127" s="80"/>
      <c r="WLJ1127" s="80"/>
      <c r="WLK1127" s="80"/>
      <c r="WLL1127" s="80"/>
      <c r="WLM1127" s="80"/>
      <c r="WLN1127" s="80"/>
      <c r="WLO1127" s="80"/>
      <c r="WLP1127" s="80"/>
      <c r="WLQ1127" s="80"/>
      <c r="WLR1127" s="80"/>
      <c r="WLS1127" s="80"/>
      <c r="WLT1127" s="80"/>
      <c r="WLU1127" s="80"/>
      <c r="WLV1127" s="80"/>
      <c r="WLW1127" s="80"/>
      <c r="WLX1127" s="80"/>
      <c r="WLY1127" s="80"/>
      <c r="WLZ1127" s="80"/>
      <c r="WMA1127" s="80"/>
      <c r="WMB1127" s="80"/>
      <c r="WMC1127" s="80"/>
      <c r="WMD1127" s="80"/>
      <c r="WME1127" s="80"/>
      <c r="WMF1127" s="80"/>
      <c r="WMG1127" s="80"/>
      <c r="WMH1127" s="80"/>
      <c r="WMI1127" s="80"/>
      <c r="WMJ1127" s="80"/>
      <c r="WMK1127" s="80"/>
      <c r="WML1127" s="80"/>
      <c r="WMM1127" s="80"/>
      <c r="WMN1127" s="80"/>
      <c r="WMO1127" s="80"/>
      <c r="WMP1127" s="80"/>
      <c r="WMQ1127" s="80"/>
      <c r="WMR1127" s="80"/>
      <c r="WMS1127" s="80"/>
      <c r="WMT1127" s="80"/>
      <c r="WMU1127" s="80"/>
      <c r="WMV1127" s="80"/>
      <c r="WMW1127" s="80"/>
      <c r="WMX1127" s="80"/>
      <c r="WMY1127" s="80"/>
      <c r="WMZ1127" s="80"/>
      <c r="WNA1127" s="80"/>
      <c r="WNB1127" s="80"/>
      <c r="WNC1127" s="80"/>
      <c r="WND1127" s="80"/>
      <c r="WNE1127" s="80"/>
      <c r="WNF1127" s="80"/>
      <c r="WNG1127" s="80"/>
      <c r="WNH1127" s="80"/>
      <c r="WNI1127" s="80"/>
      <c r="WNJ1127" s="80"/>
      <c r="WNK1127" s="80"/>
      <c r="WNL1127" s="80"/>
      <c r="WNM1127" s="80"/>
      <c r="WNN1127" s="80"/>
      <c r="WNO1127" s="80"/>
      <c r="WNP1127" s="80"/>
      <c r="WNQ1127" s="80"/>
      <c r="WNR1127" s="80"/>
      <c r="WNS1127" s="80"/>
      <c r="WNT1127" s="80"/>
      <c r="WNU1127" s="80"/>
      <c r="WNV1127" s="80"/>
      <c r="WNW1127" s="80"/>
      <c r="WNX1127" s="80"/>
      <c r="WNY1127" s="80"/>
      <c r="WNZ1127" s="80"/>
      <c r="WOA1127" s="80"/>
      <c r="WOB1127" s="80"/>
      <c r="WOC1127" s="80"/>
      <c r="WOD1127" s="80"/>
      <c r="WOE1127" s="80"/>
      <c r="WOF1127" s="80"/>
      <c r="WOG1127" s="80"/>
      <c r="WOH1127" s="80"/>
      <c r="WOI1127" s="80"/>
      <c r="WOJ1127" s="80"/>
      <c r="WOK1127" s="80"/>
      <c r="WOL1127" s="80"/>
      <c r="WOM1127" s="80"/>
      <c r="WON1127" s="80"/>
      <c r="WOO1127" s="80"/>
      <c r="WOP1127" s="80"/>
      <c r="WOQ1127" s="80"/>
      <c r="WOR1127" s="80"/>
      <c r="WOS1127" s="80"/>
      <c r="WOT1127" s="80"/>
      <c r="WOU1127" s="80"/>
      <c r="WOV1127" s="80"/>
      <c r="WOW1127" s="80"/>
      <c r="WOX1127" s="80"/>
      <c r="WOY1127" s="80"/>
      <c r="WOZ1127" s="80"/>
      <c r="WPA1127" s="80"/>
      <c r="WPB1127" s="80"/>
      <c r="WPC1127" s="80"/>
      <c r="WPD1127" s="80"/>
      <c r="WPE1127" s="80"/>
      <c r="WPF1127" s="80"/>
      <c r="WPG1127" s="80"/>
      <c r="WPH1127" s="80"/>
      <c r="WPI1127" s="80"/>
      <c r="WPJ1127" s="80"/>
      <c r="WPK1127" s="80"/>
      <c r="WPL1127" s="80"/>
      <c r="WPM1127" s="80"/>
      <c r="WPN1127" s="80"/>
      <c r="WPO1127" s="80"/>
      <c r="WPP1127" s="80"/>
      <c r="WPQ1127" s="80"/>
      <c r="WPR1127" s="80"/>
      <c r="WPS1127" s="80"/>
      <c r="WPT1127" s="80"/>
      <c r="WPU1127" s="80"/>
      <c r="WPV1127" s="80"/>
      <c r="WPW1127" s="80"/>
      <c r="WPX1127" s="80"/>
      <c r="WPY1127" s="80"/>
      <c r="WPZ1127" s="80"/>
      <c r="WQA1127" s="80"/>
      <c r="WQB1127" s="80"/>
      <c r="WQC1127" s="80"/>
      <c r="WQD1127" s="80"/>
      <c r="WQE1127" s="80"/>
      <c r="WQF1127" s="80"/>
      <c r="WQG1127" s="80"/>
      <c r="WQH1127" s="80"/>
      <c r="WQI1127" s="80"/>
      <c r="WQJ1127" s="80"/>
      <c r="WQK1127" s="80"/>
      <c r="WQL1127" s="80"/>
      <c r="WQM1127" s="80"/>
      <c r="WQN1127" s="80"/>
      <c r="WQO1127" s="80"/>
      <c r="WQP1127" s="80"/>
      <c r="WQQ1127" s="80"/>
      <c r="WQR1127" s="80"/>
      <c r="WQS1127" s="80"/>
      <c r="WQT1127" s="80"/>
      <c r="WQU1127" s="80"/>
      <c r="WQV1127" s="80"/>
      <c r="WQW1127" s="80"/>
      <c r="WQX1127" s="80"/>
      <c r="WQY1127" s="80"/>
      <c r="WQZ1127" s="80"/>
      <c r="WRA1127" s="80"/>
      <c r="WRB1127" s="80"/>
      <c r="WRC1127" s="80"/>
      <c r="WRD1127" s="80"/>
      <c r="WRE1127" s="80"/>
      <c r="WRF1127" s="80"/>
      <c r="WRG1127" s="80"/>
      <c r="WRH1127" s="80"/>
      <c r="WRI1127" s="80"/>
      <c r="WRJ1127" s="80"/>
      <c r="WRK1127" s="80"/>
      <c r="WRL1127" s="80"/>
      <c r="WRM1127" s="80"/>
      <c r="WRN1127" s="80"/>
      <c r="WRO1127" s="80"/>
      <c r="WRP1127" s="80"/>
      <c r="WRQ1127" s="80"/>
      <c r="WRR1127" s="80"/>
      <c r="WRS1127" s="80"/>
      <c r="WRT1127" s="80"/>
      <c r="WRU1127" s="80"/>
      <c r="WRV1127" s="80"/>
      <c r="WRW1127" s="80"/>
      <c r="WRX1127" s="80"/>
      <c r="WRY1127" s="80"/>
      <c r="WRZ1127" s="80"/>
      <c r="WSA1127" s="80"/>
      <c r="WSB1127" s="80"/>
      <c r="WSC1127" s="80"/>
      <c r="WSD1127" s="80"/>
      <c r="WSE1127" s="80"/>
      <c r="WSF1127" s="80"/>
      <c r="WSG1127" s="80"/>
      <c r="WSH1127" s="80"/>
      <c r="WSI1127" s="80"/>
      <c r="WSJ1127" s="80"/>
      <c r="WSK1127" s="80"/>
      <c r="WSL1127" s="80"/>
      <c r="WSM1127" s="80"/>
      <c r="WSN1127" s="80"/>
      <c r="WSO1127" s="80"/>
      <c r="WSP1127" s="80"/>
      <c r="WSQ1127" s="80"/>
      <c r="WSR1127" s="80"/>
      <c r="WSS1127" s="80"/>
      <c r="WST1127" s="80"/>
      <c r="WSU1127" s="80"/>
      <c r="WSV1127" s="80"/>
      <c r="WSW1127" s="80"/>
      <c r="WSX1127" s="80"/>
      <c r="WSY1127" s="80"/>
      <c r="WSZ1127" s="80"/>
      <c r="WTA1127" s="80"/>
      <c r="WTB1127" s="80"/>
      <c r="WTC1127" s="80"/>
      <c r="WTD1127" s="80"/>
      <c r="WTE1127" s="80"/>
      <c r="WTF1127" s="80"/>
      <c r="WTG1127" s="80"/>
      <c r="WTH1127" s="80"/>
      <c r="WTI1127" s="80"/>
      <c r="WTJ1127" s="80"/>
      <c r="WTK1127" s="80"/>
      <c r="WTL1127" s="80"/>
      <c r="WTM1127" s="80"/>
      <c r="WTN1127" s="80"/>
      <c r="WTO1127" s="80"/>
      <c r="WTP1127" s="80"/>
      <c r="WTQ1127" s="80"/>
      <c r="WTR1127" s="80"/>
      <c r="WTS1127" s="80"/>
      <c r="WTT1127" s="80"/>
      <c r="WTU1127" s="80"/>
      <c r="WTV1127" s="80"/>
      <c r="WTW1127" s="80"/>
      <c r="WTX1127" s="80"/>
      <c r="WTY1127" s="80"/>
      <c r="WTZ1127" s="80"/>
      <c r="WUA1127" s="80"/>
      <c r="WUB1127" s="80"/>
      <c r="WUC1127" s="80"/>
      <c r="WUD1127" s="80"/>
      <c r="WUE1127" s="80"/>
      <c r="WUF1127" s="80"/>
      <c r="WUG1127" s="80"/>
      <c r="WUH1127" s="80"/>
      <c r="WUI1127" s="80"/>
      <c r="WUJ1127" s="80"/>
      <c r="WUK1127" s="80"/>
      <c r="WUL1127" s="80"/>
      <c r="WUM1127" s="80"/>
      <c r="WUN1127" s="80"/>
      <c r="WUO1127" s="80"/>
      <c r="WUP1127" s="80"/>
      <c r="WUQ1127" s="80"/>
      <c r="WUR1127" s="80"/>
      <c r="WUS1127" s="80"/>
      <c r="WUT1127" s="80"/>
      <c r="WUU1127" s="80"/>
      <c r="WUV1127" s="80"/>
      <c r="WUW1127" s="80"/>
      <c r="WUX1127" s="80"/>
      <c r="WUY1127" s="80"/>
      <c r="WUZ1127" s="80"/>
      <c r="WVA1127" s="80"/>
      <c r="WVB1127" s="80"/>
      <c r="WVC1127" s="80"/>
      <c r="WVD1127" s="80"/>
      <c r="WVE1127" s="80"/>
      <c r="WVF1127" s="80"/>
      <c r="WVG1127" s="80"/>
      <c r="WVH1127" s="80"/>
      <c r="WVI1127" s="80"/>
      <c r="WVJ1127" s="80"/>
      <c r="WVK1127" s="80"/>
      <c r="WVL1127" s="80"/>
      <c r="WVM1127" s="80"/>
      <c r="WVN1127" s="80"/>
      <c r="WVO1127" s="80"/>
      <c r="WVP1127" s="80"/>
      <c r="WVQ1127" s="80"/>
      <c r="WVR1127" s="80"/>
      <c r="WVS1127" s="80"/>
      <c r="WVT1127" s="80"/>
      <c r="WVU1127" s="80"/>
      <c r="WVV1127" s="80"/>
      <c r="WVW1127" s="80"/>
      <c r="WVX1127" s="80"/>
      <c r="WVY1127" s="80"/>
      <c r="WVZ1127" s="80"/>
      <c r="WWA1127" s="80"/>
      <c r="WWB1127" s="80"/>
      <c r="WWC1127" s="80"/>
      <c r="WWD1127" s="80"/>
      <c r="WWE1127" s="80"/>
      <c r="WWF1127" s="80"/>
      <c r="WWG1127" s="80"/>
      <c r="WWH1127" s="80"/>
      <c r="WWI1127" s="80"/>
      <c r="WWJ1127" s="80"/>
      <c r="WWK1127" s="80"/>
      <c r="WWL1127" s="80"/>
      <c r="WWM1127" s="80"/>
      <c r="WWN1127" s="80"/>
      <c r="WWO1127" s="80"/>
      <c r="WWP1127" s="80"/>
      <c r="WWQ1127" s="80"/>
      <c r="WWR1127" s="80"/>
      <c r="WWS1127" s="80"/>
      <c r="WWT1127" s="80"/>
      <c r="WWU1127" s="80"/>
      <c r="WWV1127" s="80"/>
      <c r="WWW1127" s="80"/>
      <c r="WWX1127" s="80"/>
      <c r="WWY1127" s="80"/>
      <c r="WWZ1127" s="80"/>
      <c r="WXA1127" s="80"/>
      <c r="WXB1127" s="80"/>
      <c r="WXC1127" s="80"/>
      <c r="WXD1127" s="80"/>
      <c r="WXE1127" s="80"/>
      <c r="WXF1127" s="80"/>
      <c r="WXG1127" s="80"/>
      <c r="WXH1127" s="80"/>
      <c r="WXI1127" s="80"/>
      <c r="WXJ1127" s="80"/>
      <c r="WXK1127" s="80"/>
      <c r="WXL1127" s="80"/>
      <c r="WXM1127" s="80"/>
      <c r="WXN1127" s="80"/>
      <c r="WXO1127" s="80"/>
      <c r="WXP1127" s="80"/>
      <c r="WXQ1127" s="80"/>
      <c r="WXR1127" s="80"/>
      <c r="WXS1127" s="80"/>
      <c r="WXT1127" s="80"/>
      <c r="WXU1127" s="80"/>
      <c r="WXV1127" s="80"/>
      <c r="WXW1127" s="80"/>
      <c r="WXX1127" s="80"/>
      <c r="WXY1127" s="80"/>
      <c r="WXZ1127" s="80"/>
      <c r="WYA1127" s="80"/>
      <c r="WYB1127" s="80"/>
      <c r="WYC1127" s="80"/>
      <c r="WYD1127" s="80"/>
      <c r="WYE1127" s="80"/>
      <c r="WYF1127" s="80"/>
      <c r="WYG1127" s="80"/>
      <c r="WYH1127" s="80"/>
      <c r="WYI1127" s="80"/>
      <c r="WYJ1127" s="80"/>
      <c r="WYK1127" s="80"/>
      <c r="WYL1127" s="80"/>
      <c r="WYM1127" s="80"/>
      <c r="WYN1127" s="80"/>
      <c r="WYO1127" s="80"/>
      <c r="WYP1127" s="80"/>
      <c r="WYQ1127" s="80"/>
      <c r="WYR1127" s="80"/>
      <c r="WYS1127" s="80"/>
      <c r="WYT1127" s="80"/>
      <c r="WYU1127" s="80"/>
      <c r="WYV1127" s="80"/>
      <c r="WYW1127" s="80"/>
      <c r="WYX1127" s="80"/>
      <c r="WYY1127" s="80"/>
      <c r="WYZ1127" s="80"/>
      <c r="WZA1127" s="80"/>
      <c r="WZB1127" s="80"/>
      <c r="WZC1127" s="80"/>
      <c r="WZD1127" s="80"/>
      <c r="WZE1127" s="80"/>
      <c r="WZF1127" s="80"/>
      <c r="WZG1127" s="80"/>
      <c r="WZH1127" s="80"/>
      <c r="WZI1127" s="80"/>
      <c r="WZJ1127" s="80"/>
      <c r="WZK1127" s="80"/>
      <c r="WZL1127" s="80"/>
      <c r="WZM1127" s="80"/>
      <c r="WZN1127" s="80"/>
      <c r="WZO1127" s="80"/>
      <c r="WZP1127" s="80"/>
      <c r="WZQ1127" s="80"/>
      <c r="WZR1127" s="80"/>
      <c r="WZS1127" s="80"/>
      <c r="WZT1127" s="80"/>
      <c r="WZU1127" s="80"/>
      <c r="WZV1127" s="80"/>
      <c r="WZW1127" s="80"/>
      <c r="WZX1127" s="80"/>
      <c r="WZY1127" s="80"/>
      <c r="WZZ1127" s="80"/>
      <c r="XAA1127" s="80"/>
      <c r="XAB1127" s="80"/>
      <c r="XAC1127" s="80"/>
      <c r="XAD1127" s="80"/>
      <c r="XAE1127" s="80"/>
      <c r="XAF1127" s="80"/>
      <c r="XAG1127" s="80"/>
      <c r="XAH1127" s="80"/>
      <c r="XAI1127" s="80"/>
      <c r="XAJ1127" s="80"/>
      <c r="XAK1127" s="80"/>
      <c r="XAL1127" s="80"/>
      <c r="XAM1127" s="80"/>
      <c r="XAN1127" s="80"/>
      <c r="XAO1127" s="80"/>
      <c r="XAP1127" s="80"/>
      <c r="XAQ1127" s="80"/>
      <c r="XAR1127" s="80"/>
      <c r="XAS1127" s="80"/>
      <c r="XAT1127" s="80"/>
      <c r="XAU1127" s="80"/>
      <c r="XAV1127" s="80"/>
      <c r="XAW1127" s="80"/>
      <c r="XAX1127" s="80"/>
      <c r="XAY1127" s="80"/>
      <c r="XAZ1127" s="80"/>
      <c r="XBA1127" s="80"/>
      <c r="XBB1127" s="80"/>
      <c r="XBC1127" s="80"/>
      <c r="XBD1127" s="80"/>
      <c r="XBE1127" s="80"/>
      <c r="XBF1127" s="80"/>
      <c r="XBG1127" s="80"/>
      <c r="XBH1127" s="80"/>
      <c r="XBI1127" s="80"/>
      <c r="XBJ1127" s="80"/>
      <c r="XBK1127" s="80"/>
      <c r="XBL1127" s="80"/>
      <c r="XBM1127" s="80"/>
      <c r="XBN1127" s="80"/>
      <c r="XBO1127" s="80"/>
      <c r="XBP1127" s="80"/>
      <c r="XBQ1127" s="80"/>
      <c r="XBR1127" s="80"/>
      <c r="XBS1127" s="80"/>
      <c r="XBT1127" s="80"/>
      <c r="XBU1127" s="3"/>
      <c r="XBV1127" s="3"/>
      <c r="XBW1127" s="3"/>
      <c r="XBX1127" s="3"/>
      <c r="XBY1127" s="3"/>
      <c r="XBZ1127" s="3"/>
      <c r="XCA1127" s="3"/>
      <c r="XCB1127" s="3"/>
      <c r="XCC1127" s="3"/>
      <c r="XCD1127" s="3"/>
      <c r="XCE1127" s="3"/>
      <c r="XCF1127" s="3"/>
      <c r="XCG1127" s="3"/>
      <c r="XCH1127" s="3"/>
      <c r="XCI1127" s="3"/>
      <c r="XCJ1127" s="3"/>
      <c r="XCK1127" s="3"/>
      <c r="XCL1127" s="3"/>
      <c r="XCM1127" s="3"/>
      <c r="XCN1127" s="3"/>
      <c r="XCO1127" s="3"/>
      <c r="XCP1127" s="3"/>
      <c r="XCQ1127" s="3"/>
      <c r="XCR1127" s="3"/>
      <c r="XCS1127" s="3"/>
      <c r="XCT1127" s="3"/>
      <c r="XCU1127" s="3"/>
      <c r="XCV1127" s="3"/>
      <c r="XCW1127" s="3"/>
      <c r="XCX1127" s="3"/>
      <c r="XCY1127" s="3"/>
      <c r="XCZ1127" s="3"/>
      <c r="XDA1127" s="3"/>
      <c r="XDB1127" s="3"/>
      <c r="XDC1127" s="3"/>
      <c r="XDD1127" s="3"/>
      <c r="XDE1127" s="3"/>
      <c r="XDF1127" s="3"/>
      <c r="XDG1127" s="3"/>
      <c r="XDH1127" s="3"/>
      <c r="XDI1127" s="3"/>
      <c r="XDJ1127" s="3"/>
      <c r="XDK1127" s="3"/>
      <c r="XDL1127" s="3"/>
      <c r="XDM1127" s="3"/>
      <c r="XDN1127" s="3"/>
      <c r="XDO1127" s="3"/>
      <c r="XDP1127" s="3"/>
      <c r="XDQ1127" s="3"/>
      <c r="XDR1127" s="3"/>
      <c r="XDS1127" s="3"/>
      <c r="XDT1127" s="3"/>
      <c r="XDU1127" s="3"/>
    </row>
    <row r="1128" customHeight="1" spans="1:1024 1025:16349">
      <c r="B1128" s="197"/>
      <c r="C1128" s="91"/>
      <c r="D1128" s="91"/>
      <c r="E1128" s="198"/>
      <c r="F1128" s="199"/>
      <c r="G1128" s="68">
        <v>0</v>
      </c>
      <c r="H1128" s="25">
        <f t="shared" si="64"/>
        <v>0</v>
      </c>
    </row>
    <row r="1129" customHeight="1" spans="1:1024 1025:16349">
      <c r="B1129" s="21" t="s">
        <v>1354</v>
      </c>
      <c r="C1129" s="22" t="s">
        <v>1355</v>
      </c>
      <c r="D1129" s="88" t="s">
        <v>1356</v>
      </c>
      <c r="E1129" s="23"/>
      <c r="F1129" s="200"/>
      <c r="G1129" s="68">
        <v>0</v>
      </c>
      <c r="H1129" s="25">
        <f t="shared" si="64"/>
        <v>0</v>
      </c>
    </row>
    <row r="1130" customHeight="1" spans="1:1024 1025:16349">
      <c r="B1130" s="84"/>
      <c r="C1130" s="22" t="s">
        <v>199</v>
      </c>
      <c r="D1130" s="88" t="s">
        <v>200</v>
      </c>
      <c r="E1130" s="86"/>
      <c r="F1130" s="87"/>
      <c r="G1130" s="68">
        <v>0</v>
      </c>
      <c r="H1130" s="25">
        <f t="shared" si="64"/>
        <v>0</v>
      </c>
    </row>
    <row r="1131" customHeight="1" spans="1:1024 1025:16349">
      <c r="B1131" s="84"/>
      <c r="C1131" s="22" t="s">
        <v>201</v>
      </c>
      <c r="D1131" s="88" t="s">
        <v>202</v>
      </c>
      <c r="E1131" s="201" t="s">
        <v>203</v>
      </c>
      <c r="F1131" s="202"/>
      <c r="G1131" s="68">
        <v>0</v>
      </c>
      <c r="H1131" s="25">
        <f t="shared" si="64"/>
        <v>0</v>
      </c>
    </row>
    <row r="1132" customHeight="1" spans="1:1024 1025:16349">
      <c r="B1132" s="84"/>
      <c r="C1132" s="91"/>
      <c r="D1132" s="91"/>
      <c r="E1132" s="86"/>
      <c r="F1132" s="170"/>
      <c r="G1132" s="68">
        <v>0</v>
      </c>
      <c r="H1132" s="25">
        <f t="shared" si="64"/>
        <v>0</v>
      </c>
    </row>
    <row r="1133" customHeight="1" spans="1:1024 1025:16349">
      <c r="B1133" s="84" t="s">
        <v>1357</v>
      </c>
      <c r="C1133" s="22" t="s">
        <v>1358</v>
      </c>
      <c r="D1133" s="88" t="s">
        <v>1359</v>
      </c>
      <c r="E1133" s="86"/>
      <c r="F1133" s="170"/>
      <c r="G1133" s="68">
        <v>0</v>
      </c>
      <c r="H1133" s="25">
        <f t="shared" si="64"/>
        <v>0</v>
      </c>
    </row>
    <row r="1134" customHeight="1" spans="1:1024 1025:16349">
      <c r="B1134" s="203" t="s">
        <v>1360</v>
      </c>
      <c r="C1134" s="204" t="s">
        <v>1361</v>
      </c>
      <c r="D1134" s="205" t="s">
        <v>1362</v>
      </c>
      <c r="E1134" s="206"/>
      <c r="F1134" s="170"/>
      <c r="G1134" s="68">
        <v>0</v>
      </c>
      <c r="H1134" s="25">
        <f t="shared" si="64"/>
        <v>0</v>
      </c>
    </row>
    <row r="1135" customHeight="1" spans="1:1024 1025:16349">
      <c r="A1135" s="8">
        <f ca="1" t="shared" ref="A1135:A1139" si="65">COUNTA(OFFSET(A$1,0,0,ROW()-1,1))+1</f>
        <v>452</v>
      </c>
      <c r="B1135" s="203" t="s">
        <v>1363</v>
      </c>
      <c r="C1135" s="89" t="s">
        <v>1364</v>
      </c>
      <c r="D1135" s="89" t="s">
        <v>1365</v>
      </c>
      <c r="E1135" s="206" t="s">
        <v>238</v>
      </c>
      <c r="F1135" s="170">
        <v>2</v>
      </c>
      <c r="G1135" s="68">
        <v>404652.832981078</v>
      </c>
      <c r="H1135" s="25">
        <f t="shared" si="64"/>
        <v>809306</v>
      </c>
    </row>
    <row r="1136" customHeight="1" spans="1:1024 1025:16349">
      <c r="B1136" s="203" t="s">
        <v>1366</v>
      </c>
      <c r="C1136" s="22" t="s">
        <v>1367</v>
      </c>
      <c r="D1136" s="22" t="s">
        <v>1368</v>
      </c>
      <c r="E1136" s="206"/>
      <c r="F1136" s="170"/>
      <c r="G1136" s="68">
        <v>0</v>
      </c>
      <c r="H1136" s="25">
        <f t="shared" si="64"/>
        <v>0</v>
      </c>
    </row>
    <row r="1137" customHeight="1" spans="1:8">
      <c r="A1137" s="8">
        <f ca="1" t="shared" si="65"/>
        <v>453</v>
      </c>
      <c r="B1137" s="203" t="s">
        <v>1369</v>
      </c>
      <c r="C1137" s="89" t="s">
        <v>1370</v>
      </c>
      <c r="D1137" s="90" t="s">
        <v>1371</v>
      </c>
      <c r="E1137" s="206" t="s">
        <v>1372</v>
      </c>
      <c r="F1137" s="170">
        <v>1</v>
      </c>
      <c r="G1137" s="68">
        <v>479449.382743908</v>
      </c>
      <c r="H1137" s="25">
        <f t="shared" si="64"/>
        <v>479449</v>
      </c>
    </row>
    <row r="1138" customHeight="1" spans="1:8">
      <c r="B1138" s="203" t="s">
        <v>1373</v>
      </c>
      <c r="C1138" s="22" t="s">
        <v>1374</v>
      </c>
      <c r="D1138" s="22" t="s">
        <v>1375</v>
      </c>
      <c r="E1138" s="206"/>
      <c r="F1138" s="170"/>
      <c r="G1138" s="68">
        <v>0</v>
      </c>
      <c r="H1138" s="25">
        <f t="shared" si="64"/>
        <v>0</v>
      </c>
    </row>
    <row r="1139" customHeight="1" spans="1:8">
      <c r="A1139" s="8">
        <f ca="1" t="shared" si="65"/>
        <v>454</v>
      </c>
      <c r="B1139" s="203" t="s">
        <v>1376</v>
      </c>
      <c r="C1139" s="89" t="s">
        <v>1377</v>
      </c>
      <c r="D1139" s="90" t="s">
        <v>1378</v>
      </c>
      <c r="E1139" s="206" t="s">
        <v>1372</v>
      </c>
      <c r="F1139" s="170">
        <v>1</v>
      </c>
      <c r="G1139" s="68">
        <v>490585.425652817</v>
      </c>
      <c r="H1139" s="25">
        <f t="shared" si="64"/>
        <v>490585</v>
      </c>
    </row>
    <row r="1140" customHeight="1" spans="1:8">
      <c r="B1140" s="203" t="s">
        <v>1379</v>
      </c>
      <c r="C1140" s="22" t="s">
        <v>1380</v>
      </c>
      <c r="D1140" s="22" t="s">
        <v>1381</v>
      </c>
      <c r="E1140" s="206"/>
      <c r="F1140" s="170"/>
      <c r="G1140" s="68">
        <v>0</v>
      </c>
      <c r="H1140" s="25">
        <f t="shared" si="64"/>
        <v>0</v>
      </c>
    </row>
    <row r="1141" customHeight="1" spans="1:8">
      <c r="A1141" s="8">
        <f ca="1" t="shared" ref="A1141:A1147" si="66">COUNTA(OFFSET(A$1,0,0,ROW()-1,1))+1</f>
        <v>455</v>
      </c>
      <c r="B1141" s="203" t="s">
        <v>1382</v>
      </c>
      <c r="C1141" s="89" t="s">
        <v>1383</v>
      </c>
      <c r="D1141" s="90" t="s">
        <v>1384</v>
      </c>
      <c r="E1141" s="206" t="s">
        <v>1372</v>
      </c>
      <c r="F1141" s="170">
        <v>1</v>
      </c>
      <c r="G1141" s="68">
        <v>552695.335586586</v>
      </c>
      <c r="H1141" s="25">
        <f t="shared" si="64"/>
        <v>552695</v>
      </c>
    </row>
    <row r="1142" customHeight="1" spans="1:8">
      <c r="B1142" s="203" t="s">
        <v>1385</v>
      </c>
      <c r="C1142" s="22" t="s">
        <v>1386</v>
      </c>
      <c r="D1142" s="22" t="s">
        <v>1387</v>
      </c>
      <c r="E1142" s="206"/>
      <c r="F1142" s="170"/>
      <c r="G1142" s="68">
        <v>0</v>
      </c>
      <c r="H1142" s="25">
        <f t="shared" si="64"/>
        <v>0</v>
      </c>
    </row>
    <row r="1143" customHeight="1" spans="1:8">
      <c r="A1143" s="8">
        <f ca="1" t="shared" si="66"/>
        <v>456</v>
      </c>
      <c r="B1143" s="203" t="s">
        <v>1388</v>
      </c>
      <c r="C1143" s="89" t="s">
        <v>1389</v>
      </c>
      <c r="D1143" s="90" t="s">
        <v>1390</v>
      </c>
      <c r="E1143" s="206" t="s">
        <v>1372</v>
      </c>
      <c r="F1143" s="170">
        <v>1</v>
      </c>
      <c r="G1143" s="68">
        <v>25122.5152539357</v>
      </c>
      <c r="H1143" s="25">
        <f t="shared" si="64"/>
        <v>25123</v>
      </c>
    </row>
    <row r="1144" customHeight="1" spans="1:8">
      <c r="B1144" s="203" t="s">
        <v>1391</v>
      </c>
      <c r="C1144" s="22" t="s">
        <v>1392</v>
      </c>
      <c r="D1144" s="22" t="s">
        <v>1393</v>
      </c>
      <c r="E1144" s="206"/>
      <c r="F1144" s="170"/>
      <c r="G1144" s="68">
        <v>0</v>
      </c>
      <c r="H1144" s="25">
        <f t="shared" si="64"/>
        <v>0</v>
      </c>
    </row>
    <row r="1145" customHeight="1" spans="1:8">
      <c r="A1145" s="8">
        <f ca="1" t="shared" si="66"/>
        <v>457</v>
      </c>
      <c r="B1145" s="203" t="s">
        <v>1394</v>
      </c>
      <c r="C1145" s="89" t="s">
        <v>1395</v>
      </c>
      <c r="D1145" s="89" t="s">
        <v>1396</v>
      </c>
      <c r="E1145" s="206" t="s">
        <v>1372</v>
      </c>
      <c r="F1145" s="170">
        <v>2</v>
      </c>
      <c r="G1145" s="68">
        <v>576805.327053644</v>
      </c>
      <c r="H1145" s="25">
        <f t="shared" si="64"/>
        <v>1153611</v>
      </c>
    </row>
    <row r="1146" customHeight="1" spans="1:8">
      <c r="A1146" s="8">
        <f ca="1" t="shared" si="66"/>
        <v>458</v>
      </c>
      <c r="B1146" s="203" t="s">
        <v>1397</v>
      </c>
      <c r="C1146" s="89" t="s">
        <v>1398</v>
      </c>
      <c r="D1146" s="89" t="s">
        <v>1399</v>
      </c>
      <c r="E1146" s="206" t="s">
        <v>1372</v>
      </c>
      <c r="F1146" s="170">
        <v>1</v>
      </c>
      <c r="G1146" s="68">
        <v>6411.71409565935</v>
      </c>
      <c r="H1146" s="25">
        <f t="shared" si="64"/>
        <v>6412</v>
      </c>
    </row>
    <row r="1147" customHeight="1" spans="1:8">
      <c r="A1147" s="8">
        <f ca="1" t="shared" si="66"/>
        <v>459</v>
      </c>
      <c r="B1147" s="203" t="s">
        <v>1400</v>
      </c>
      <c r="C1147" s="89" t="s">
        <v>1401</v>
      </c>
      <c r="D1147" s="89" t="s">
        <v>1402</v>
      </c>
      <c r="E1147" s="206" t="s">
        <v>1372</v>
      </c>
      <c r="F1147" s="170">
        <v>1</v>
      </c>
      <c r="G1147" s="68">
        <v>3970.94190665013</v>
      </c>
      <c r="H1147" s="25">
        <f t="shared" si="64"/>
        <v>3971</v>
      </c>
    </row>
    <row r="1148" customHeight="1" spans="1:8">
      <c r="B1148" s="203" t="s">
        <v>1403</v>
      </c>
      <c r="C1148" s="22" t="s">
        <v>1404</v>
      </c>
      <c r="D1148" s="88" t="s">
        <v>1405</v>
      </c>
      <c r="E1148" s="206"/>
      <c r="F1148" s="170"/>
      <c r="G1148" s="68">
        <v>0</v>
      </c>
      <c r="H1148" s="25">
        <f t="shared" si="64"/>
        <v>0</v>
      </c>
    </row>
    <row r="1149" customHeight="1" spans="1:8">
      <c r="A1149" s="8">
        <f ca="1" t="shared" ref="A1149:A1155" si="67">COUNTA(OFFSET(A$1,0,0,ROW()-1,1))+1</f>
        <v>460</v>
      </c>
      <c r="B1149" s="203" t="s">
        <v>1406</v>
      </c>
      <c r="C1149" s="89" t="s">
        <v>1407</v>
      </c>
      <c r="D1149" s="89" t="s">
        <v>1408</v>
      </c>
      <c r="E1149" s="206" t="s">
        <v>1372</v>
      </c>
      <c r="F1149" s="170">
        <v>1</v>
      </c>
      <c r="G1149" s="68">
        <v>38481.5158150167</v>
      </c>
      <c r="H1149" s="25">
        <f t="shared" si="64"/>
        <v>38482</v>
      </c>
    </row>
    <row r="1150" customHeight="1" spans="1:8">
      <c r="B1150" s="203" t="s">
        <v>1409</v>
      </c>
      <c r="C1150" s="22" t="s">
        <v>1410</v>
      </c>
      <c r="D1150" s="88" t="s">
        <v>1411</v>
      </c>
      <c r="E1150" s="206"/>
      <c r="F1150" s="170"/>
      <c r="G1150" s="68">
        <v>0</v>
      </c>
      <c r="H1150" s="25">
        <f t="shared" si="64"/>
        <v>0</v>
      </c>
    </row>
    <row r="1151" customHeight="1" spans="1:8">
      <c r="A1151" s="8">
        <f ca="1" t="shared" si="67"/>
        <v>461</v>
      </c>
      <c r="B1151" s="203" t="s">
        <v>1412</v>
      </c>
      <c r="C1151" s="89" t="s">
        <v>1413</v>
      </c>
      <c r="D1151" s="90" t="s">
        <v>1414</v>
      </c>
      <c r="E1151" s="206" t="s">
        <v>1372</v>
      </c>
      <c r="F1151" s="170">
        <v>2</v>
      </c>
      <c r="G1151" s="68">
        <v>25843.2339861653</v>
      </c>
      <c r="H1151" s="25">
        <f t="shared" si="64"/>
        <v>51686</v>
      </c>
    </row>
    <row r="1152" customHeight="1" spans="1:8">
      <c r="B1152" s="203" t="s">
        <v>1415</v>
      </c>
      <c r="C1152" s="22" t="s">
        <v>1416</v>
      </c>
      <c r="D1152" s="88" t="s">
        <v>1417</v>
      </c>
      <c r="E1152" s="206"/>
      <c r="F1152" s="170"/>
      <c r="G1152" s="68">
        <v>0</v>
      </c>
      <c r="H1152" s="25">
        <f t="shared" si="64"/>
        <v>0</v>
      </c>
    </row>
    <row r="1153" customHeight="1" spans="1:8">
      <c r="A1153" s="8">
        <f ca="1" t="shared" si="67"/>
        <v>462</v>
      </c>
      <c r="B1153" s="203" t="s">
        <v>1418</v>
      </c>
      <c r="C1153" s="89" t="s">
        <v>1419</v>
      </c>
      <c r="D1153" s="90" t="s">
        <v>1420</v>
      </c>
      <c r="E1153" s="206" t="s">
        <v>1372</v>
      </c>
      <c r="F1153" s="170">
        <v>1</v>
      </c>
      <c r="G1153" s="68">
        <v>19449.2358376086</v>
      </c>
      <c r="H1153" s="25">
        <f t="shared" si="64"/>
        <v>19449</v>
      </c>
    </row>
    <row r="1154" customHeight="1" spans="1:8">
      <c r="A1154" s="8">
        <f ca="1" t="shared" si="67"/>
        <v>463</v>
      </c>
      <c r="B1154" s="203" t="s">
        <v>1421</v>
      </c>
      <c r="C1154" s="89" t="s">
        <v>1422</v>
      </c>
      <c r="D1154" s="90" t="s">
        <v>1423</v>
      </c>
      <c r="E1154" s="206" t="s">
        <v>1372</v>
      </c>
      <c r="F1154" s="170">
        <v>1</v>
      </c>
      <c r="G1154" s="68">
        <v>12010.8</v>
      </c>
      <c r="H1154" s="25">
        <f t="shared" si="64"/>
        <v>12011</v>
      </c>
    </row>
    <row r="1155" customHeight="1" spans="1:8">
      <c r="A1155" s="8">
        <f ca="1" t="shared" si="67"/>
        <v>464</v>
      </c>
      <c r="B1155" s="203" t="s">
        <v>1424</v>
      </c>
      <c r="C1155" s="207" t="s">
        <v>1425</v>
      </c>
      <c r="D1155" s="208" t="s">
        <v>1426</v>
      </c>
      <c r="E1155" s="206" t="s">
        <v>1372</v>
      </c>
      <c r="F1155" s="170">
        <v>1</v>
      </c>
      <c r="G1155" s="68">
        <v>19449.2358376086</v>
      </c>
      <c r="H1155" s="25">
        <f t="shared" si="64"/>
        <v>19449</v>
      </c>
    </row>
    <row r="1156" customHeight="1" spans="1:8">
      <c r="B1156" s="203" t="s">
        <v>1427</v>
      </c>
      <c r="C1156" s="22" t="s">
        <v>1428</v>
      </c>
      <c r="D1156" s="88" t="s">
        <v>1429</v>
      </c>
      <c r="E1156" s="206"/>
      <c r="F1156" s="170"/>
      <c r="G1156" s="68">
        <v>0</v>
      </c>
      <c r="H1156" s="25">
        <f t="shared" si="64"/>
        <v>0</v>
      </c>
    </row>
    <row r="1157" customHeight="1" spans="1:8">
      <c r="A1157" s="8">
        <f ca="1" t="shared" ref="A1157:A1161" si="68">COUNTA(OFFSET(A$1,0,0,ROW()-1,1))+1</f>
        <v>465</v>
      </c>
      <c r="B1157" s="203" t="s">
        <v>1430</v>
      </c>
      <c r="C1157" s="89" t="s">
        <v>1431</v>
      </c>
      <c r="D1157" s="90" t="s">
        <v>1432</v>
      </c>
      <c r="E1157" s="206" t="s">
        <v>1372</v>
      </c>
      <c r="F1157" s="170">
        <v>1</v>
      </c>
      <c r="G1157" s="68">
        <v>84773.4182519977</v>
      </c>
      <c r="H1157" s="25">
        <f t="shared" si="64"/>
        <v>84773</v>
      </c>
    </row>
    <row r="1158" customHeight="1" spans="1:8">
      <c r="B1158" s="203" t="s">
        <v>1433</v>
      </c>
      <c r="C1158" s="22" t="s">
        <v>1434</v>
      </c>
      <c r="D1158" s="88" t="s">
        <v>1435</v>
      </c>
      <c r="E1158" s="206"/>
      <c r="F1158" s="170"/>
      <c r="G1158" s="68">
        <v>0</v>
      </c>
      <c r="H1158" s="25">
        <f t="shared" si="64"/>
        <v>0</v>
      </c>
    </row>
    <row r="1159" customHeight="1" spans="1:8">
      <c r="A1159" s="8">
        <f ca="1" t="shared" si="68"/>
        <v>466</v>
      </c>
      <c r="B1159" s="203" t="s">
        <v>1436</v>
      </c>
      <c r="C1159" s="89" t="s">
        <v>1437</v>
      </c>
      <c r="D1159" s="90" t="s">
        <v>1438</v>
      </c>
      <c r="E1159" s="206" t="s">
        <v>1372</v>
      </c>
      <c r="F1159" s="170">
        <v>1</v>
      </c>
      <c r="G1159" s="68">
        <v>32002.5320878142</v>
      </c>
      <c r="H1159" s="25">
        <f t="shared" si="64"/>
        <v>32003</v>
      </c>
    </row>
    <row r="1160" customHeight="1" spans="1:8">
      <c r="B1160" s="203" t="s">
        <v>1439</v>
      </c>
      <c r="C1160" s="22" t="s">
        <v>1440</v>
      </c>
      <c r="D1160" s="88" t="s">
        <v>1441</v>
      </c>
      <c r="E1160" s="206"/>
      <c r="F1160" s="170"/>
      <c r="G1160" s="68">
        <v>0</v>
      </c>
      <c r="H1160" s="25">
        <f t="shared" ref="H1160:H1223" si="69">IFERROR(ROUND(G1160*F1160,0),0)</f>
        <v>0</v>
      </c>
    </row>
    <row r="1161" customHeight="1" spans="1:8">
      <c r="A1161" s="8">
        <f ca="1" t="shared" si="68"/>
        <v>467</v>
      </c>
      <c r="B1161" s="203" t="s">
        <v>1442</v>
      </c>
      <c r="C1161" s="89" t="s">
        <v>1443</v>
      </c>
      <c r="D1161" s="90" t="s">
        <v>1444</v>
      </c>
      <c r="E1161" s="206" t="s">
        <v>1445</v>
      </c>
      <c r="F1161" s="170">
        <v>1</v>
      </c>
      <c r="G1161" s="68">
        <v>60054</v>
      </c>
      <c r="H1161" s="25">
        <f t="shared" si="69"/>
        <v>60054</v>
      </c>
    </row>
    <row r="1162" customHeight="1" spans="1:8">
      <c r="B1162" s="203" t="s">
        <v>1446</v>
      </c>
      <c r="C1162" s="22" t="s">
        <v>1447</v>
      </c>
      <c r="D1162" s="88" t="s">
        <v>1448</v>
      </c>
      <c r="E1162" s="206"/>
      <c r="F1162" s="170"/>
      <c r="G1162" s="68">
        <v>0</v>
      </c>
      <c r="H1162" s="25">
        <f t="shared" si="69"/>
        <v>0</v>
      </c>
    </row>
    <row r="1163" customHeight="1" spans="1:8">
      <c r="A1163" s="8">
        <f ca="1" t="shared" ref="A1163:A1173" si="70">COUNTA(OFFSET(A$1,0,0,ROW()-1,1))+1</f>
        <v>468</v>
      </c>
      <c r="B1163" s="203" t="s">
        <v>1449</v>
      </c>
      <c r="C1163" s="89" t="s">
        <v>1450</v>
      </c>
      <c r="D1163" s="90" t="s">
        <v>1451</v>
      </c>
      <c r="E1163" s="206" t="s">
        <v>1445</v>
      </c>
      <c r="F1163" s="170">
        <v>1</v>
      </c>
      <c r="G1163" s="68">
        <v>7849.10459316184</v>
      </c>
      <c r="H1163" s="25">
        <f t="shared" si="69"/>
        <v>7849</v>
      </c>
    </row>
    <row r="1164" customHeight="1" spans="1:8">
      <c r="B1164" s="203" t="s">
        <v>1452</v>
      </c>
      <c r="C1164" s="22" t="s">
        <v>1453</v>
      </c>
      <c r="D1164" s="88" t="s">
        <v>1454</v>
      </c>
      <c r="E1164" s="206"/>
      <c r="F1164" s="170"/>
      <c r="G1164" s="68">
        <v>0</v>
      </c>
      <c r="H1164" s="25">
        <f t="shared" si="69"/>
        <v>0</v>
      </c>
    </row>
    <row r="1165" customHeight="1" spans="1:8">
      <c r="A1165" s="8">
        <f ca="1" t="shared" si="70"/>
        <v>469</v>
      </c>
      <c r="B1165" s="203" t="s">
        <v>1455</v>
      </c>
      <c r="C1165" s="89" t="s">
        <v>1456</v>
      </c>
      <c r="D1165" s="90" t="s">
        <v>1457</v>
      </c>
      <c r="E1165" s="206" t="s">
        <v>1445</v>
      </c>
      <c r="F1165" s="170">
        <v>1</v>
      </c>
      <c r="G1165" s="68">
        <v>20781.0254999162</v>
      </c>
      <c r="H1165" s="25">
        <f t="shared" si="69"/>
        <v>20781</v>
      </c>
    </row>
    <row r="1166" customHeight="1" spans="1:8">
      <c r="B1166" s="203" t="s">
        <v>1458</v>
      </c>
      <c r="C1166" s="22" t="s">
        <v>1459</v>
      </c>
      <c r="D1166" s="88" t="s">
        <v>1460</v>
      </c>
      <c r="E1166" s="86"/>
      <c r="F1166" s="170"/>
      <c r="G1166" s="68">
        <v>0</v>
      </c>
      <c r="H1166" s="25">
        <f t="shared" si="69"/>
        <v>0</v>
      </c>
    </row>
    <row r="1167" customHeight="1" spans="1:8">
      <c r="A1167" s="8">
        <f ca="1" t="shared" si="70"/>
        <v>470</v>
      </c>
      <c r="B1167" s="203" t="s">
        <v>1461</v>
      </c>
      <c r="C1167" s="89" t="s">
        <v>1462</v>
      </c>
      <c r="D1167" s="90" t="s">
        <v>1463</v>
      </c>
      <c r="E1167" s="86" t="s">
        <v>1445</v>
      </c>
      <c r="F1167" s="170">
        <v>1</v>
      </c>
      <c r="G1167" s="68">
        <v>18016.2</v>
      </c>
      <c r="H1167" s="25">
        <f t="shared" si="69"/>
        <v>18016</v>
      </c>
    </row>
    <row r="1168" customHeight="1" spans="1:8">
      <c r="A1168" s="8">
        <f ca="1" t="shared" si="70"/>
        <v>471</v>
      </c>
      <c r="B1168" s="203" t="s">
        <v>1464</v>
      </c>
      <c r="C1168" s="89" t="s">
        <v>1465</v>
      </c>
      <c r="D1168" s="90" t="s">
        <v>1466</v>
      </c>
      <c r="E1168" s="86" t="s">
        <v>1445</v>
      </c>
      <c r="F1168" s="170">
        <v>4</v>
      </c>
      <c r="G1168" s="68">
        <v>3603.24</v>
      </c>
      <c r="H1168" s="25">
        <f t="shared" si="69"/>
        <v>14413</v>
      </c>
    </row>
    <row r="1169" customHeight="1" spans="1:8">
      <c r="A1169" s="8">
        <f ca="1" t="shared" si="70"/>
        <v>472</v>
      </c>
      <c r="B1169" s="203" t="s">
        <v>1467</v>
      </c>
      <c r="C1169" s="89" t="s">
        <v>1468</v>
      </c>
      <c r="D1169" s="90" t="s">
        <v>1469</v>
      </c>
      <c r="E1169" s="86" t="s">
        <v>1445</v>
      </c>
      <c r="F1169" s="170">
        <v>4</v>
      </c>
      <c r="G1169" s="68">
        <v>3603.24</v>
      </c>
      <c r="H1169" s="25">
        <f t="shared" si="69"/>
        <v>14413</v>
      </c>
    </row>
    <row r="1170" customHeight="1" spans="1:8">
      <c r="A1170" s="8">
        <f ca="1" t="shared" si="70"/>
        <v>473</v>
      </c>
      <c r="B1170" s="203" t="s">
        <v>1470</v>
      </c>
      <c r="C1170" s="89" t="s">
        <v>1471</v>
      </c>
      <c r="D1170" s="90" t="s">
        <v>1472</v>
      </c>
      <c r="E1170" s="206" t="s">
        <v>1445</v>
      </c>
      <c r="F1170" s="170">
        <v>1</v>
      </c>
      <c r="G1170" s="68">
        <v>24021.6</v>
      </c>
      <c r="H1170" s="25">
        <f t="shared" si="69"/>
        <v>24022</v>
      </c>
    </row>
    <row r="1171" customHeight="1" spans="1:8">
      <c r="A1171" s="8">
        <f ca="1" t="shared" si="70"/>
        <v>474</v>
      </c>
      <c r="B1171" s="203" t="s">
        <v>1473</v>
      </c>
      <c r="C1171" s="89" t="s">
        <v>1474</v>
      </c>
      <c r="D1171" s="89" t="s">
        <v>1475</v>
      </c>
      <c r="E1171" s="206" t="s">
        <v>1445</v>
      </c>
      <c r="F1171" s="170">
        <v>1</v>
      </c>
      <c r="G1171" s="68">
        <v>24021.6</v>
      </c>
      <c r="H1171" s="25">
        <f t="shared" si="69"/>
        <v>24022</v>
      </c>
    </row>
    <row r="1172" customHeight="1" spans="1:8">
      <c r="A1172" s="8">
        <f ca="1" t="shared" si="70"/>
        <v>475</v>
      </c>
      <c r="B1172" s="203" t="s">
        <v>1476</v>
      </c>
      <c r="C1172" s="89" t="s">
        <v>1477</v>
      </c>
      <c r="D1172" s="89" t="s">
        <v>1478</v>
      </c>
      <c r="E1172" s="206" t="s">
        <v>1445</v>
      </c>
      <c r="F1172" s="170">
        <v>1</v>
      </c>
      <c r="G1172" s="68">
        <v>24021.6</v>
      </c>
      <c r="H1172" s="25">
        <f t="shared" si="69"/>
        <v>24022</v>
      </c>
    </row>
    <row r="1173" customHeight="1" spans="1:8">
      <c r="A1173" s="8">
        <f ca="1" t="shared" si="70"/>
        <v>476</v>
      </c>
      <c r="B1173" s="203" t="s">
        <v>1479</v>
      </c>
      <c r="C1173" s="89" t="s">
        <v>1480</v>
      </c>
      <c r="D1173" s="90" t="s">
        <v>1481</v>
      </c>
      <c r="E1173" s="206" t="s">
        <v>1445</v>
      </c>
      <c r="F1173" s="170">
        <v>1</v>
      </c>
      <c r="G1173" s="68">
        <v>6005.4</v>
      </c>
      <c r="H1173" s="25">
        <f t="shared" si="69"/>
        <v>6005</v>
      </c>
    </row>
    <row r="1174" customHeight="1" spans="1:8">
      <c r="B1174" s="203" t="s">
        <v>1482</v>
      </c>
      <c r="C1174" s="22" t="s">
        <v>1483</v>
      </c>
      <c r="D1174" s="88" t="s">
        <v>1484</v>
      </c>
      <c r="E1174" s="206"/>
      <c r="F1174" s="170"/>
      <c r="G1174" s="68">
        <v>0</v>
      </c>
      <c r="H1174" s="25">
        <f t="shared" si="69"/>
        <v>0</v>
      </c>
    </row>
    <row r="1175" customHeight="1" spans="1:8">
      <c r="A1175" s="8">
        <f ca="1" t="shared" ref="A1175:A1181" si="71">COUNTA(OFFSET(A$1,0,0,ROW()-1,1))+1</f>
        <v>477</v>
      </c>
      <c r="B1175" s="203" t="s">
        <v>1485</v>
      </c>
      <c r="C1175" s="89" t="s">
        <v>1486</v>
      </c>
      <c r="D1175" s="90" t="s">
        <v>1487</v>
      </c>
      <c r="E1175" s="206" t="s">
        <v>1445</v>
      </c>
      <c r="F1175" s="170">
        <v>1</v>
      </c>
      <c r="G1175" s="68">
        <v>0</v>
      </c>
      <c r="H1175" s="25">
        <f t="shared" si="69"/>
        <v>0</v>
      </c>
    </row>
    <row r="1176" customHeight="1" spans="1:8">
      <c r="A1176" s="8">
        <f ca="1" t="shared" si="71"/>
        <v>478</v>
      </c>
      <c r="B1176" s="203" t="s">
        <v>1488</v>
      </c>
      <c r="C1176" s="89" t="s">
        <v>1489</v>
      </c>
      <c r="D1176" s="89" t="s">
        <v>1490</v>
      </c>
      <c r="E1176" s="206" t="s">
        <v>225</v>
      </c>
      <c r="F1176" s="170">
        <v>13000</v>
      </c>
      <c r="G1176" s="68">
        <v>7.21671496909472</v>
      </c>
      <c r="H1176" s="25">
        <f t="shared" si="69"/>
        <v>93817</v>
      </c>
    </row>
    <row r="1177" customHeight="1" spans="1:8">
      <c r="A1177" s="8">
        <f ca="1" t="shared" si="71"/>
        <v>479</v>
      </c>
      <c r="B1177" s="203" t="s">
        <v>1491</v>
      </c>
      <c r="C1177" s="89" t="s">
        <v>1492</v>
      </c>
      <c r="D1177" s="89" t="s">
        <v>1493</v>
      </c>
      <c r="E1177" s="206" t="s">
        <v>225</v>
      </c>
      <c r="F1177" s="170">
        <v>500</v>
      </c>
      <c r="G1177" s="68">
        <v>7.21671496909472</v>
      </c>
      <c r="H1177" s="25">
        <f t="shared" si="69"/>
        <v>3608</v>
      </c>
    </row>
    <row r="1178" customHeight="1" spans="1:8">
      <c r="A1178" s="8">
        <f ca="1" t="shared" si="71"/>
        <v>480</v>
      </c>
      <c r="B1178" s="203" t="s">
        <v>1494</v>
      </c>
      <c r="C1178" s="89" t="s">
        <v>1495</v>
      </c>
      <c r="D1178" s="89" t="s">
        <v>1496</v>
      </c>
      <c r="E1178" s="206" t="s">
        <v>238</v>
      </c>
      <c r="F1178" s="170">
        <v>100</v>
      </c>
      <c r="G1178" s="68">
        <v>77.6708600712201</v>
      </c>
      <c r="H1178" s="25">
        <f t="shared" si="69"/>
        <v>7767</v>
      </c>
    </row>
    <row r="1179" customHeight="1" spans="1:8">
      <c r="A1179" s="8">
        <f ca="1" t="shared" si="71"/>
        <v>481</v>
      </c>
      <c r="B1179" s="203" t="s">
        <v>1497</v>
      </c>
      <c r="C1179" s="89" t="s">
        <v>1498</v>
      </c>
      <c r="D1179" s="89" t="s">
        <v>1499</v>
      </c>
      <c r="E1179" s="206" t="s">
        <v>238</v>
      </c>
      <c r="F1179" s="170">
        <v>150</v>
      </c>
      <c r="G1179" s="68">
        <v>77.6708600712201</v>
      </c>
      <c r="H1179" s="25">
        <f t="shared" si="69"/>
        <v>11651</v>
      </c>
    </row>
    <row r="1180" customHeight="1" spans="1:8">
      <c r="A1180" s="8">
        <f ca="1" t="shared" si="71"/>
        <v>482</v>
      </c>
      <c r="B1180" s="203" t="s">
        <v>1500</v>
      </c>
      <c r="C1180" s="89" t="s">
        <v>1501</v>
      </c>
      <c r="D1180" s="90" t="s">
        <v>1502</v>
      </c>
      <c r="E1180" s="206" t="s">
        <v>225</v>
      </c>
      <c r="F1180" s="170">
        <v>500</v>
      </c>
      <c r="G1180" s="68">
        <v>7.21671496909472</v>
      </c>
      <c r="H1180" s="25">
        <f t="shared" si="69"/>
        <v>3608</v>
      </c>
    </row>
    <row r="1181" customHeight="1" spans="1:8">
      <c r="A1181" s="8">
        <f ca="1" t="shared" si="71"/>
        <v>483</v>
      </c>
      <c r="B1181" s="203" t="s">
        <v>1503</v>
      </c>
      <c r="C1181" s="89" t="s">
        <v>1504</v>
      </c>
      <c r="D1181" s="90" t="s">
        <v>1505</v>
      </c>
      <c r="E1181" s="206" t="s">
        <v>225</v>
      </c>
      <c r="F1181" s="170">
        <v>100</v>
      </c>
      <c r="G1181" s="68">
        <v>7.21671496909472</v>
      </c>
      <c r="H1181" s="25">
        <f t="shared" si="69"/>
        <v>722</v>
      </c>
    </row>
    <row r="1182" customHeight="1" spans="1:8">
      <c r="B1182" s="84" t="s">
        <v>1506</v>
      </c>
      <c r="C1182" s="89" t="s">
        <v>1507</v>
      </c>
      <c r="D1182" s="90" t="s">
        <v>1508</v>
      </c>
      <c r="E1182" s="86"/>
      <c r="F1182" s="170"/>
      <c r="G1182" s="68">
        <v>0</v>
      </c>
      <c r="H1182" s="25">
        <f t="shared" si="69"/>
        <v>0</v>
      </c>
    </row>
    <row r="1183" customHeight="1" spans="1:8">
      <c r="B1183" s="203" t="s">
        <v>1506</v>
      </c>
      <c r="C1183" s="89" t="s">
        <v>1507</v>
      </c>
      <c r="D1183" s="90" t="s">
        <v>1508</v>
      </c>
      <c r="E1183" s="206"/>
      <c r="F1183" s="170"/>
      <c r="G1183" s="68">
        <v>0</v>
      </c>
      <c r="H1183" s="25">
        <f t="shared" si="69"/>
        <v>0</v>
      </c>
    </row>
    <row r="1184" customHeight="1" spans="1:8">
      <c r="B1184" s="21"/>
      <c r="C1184" s="103" t="s">
        <v>1509</v>
      </c>
      <c r="D1184" s="104" t="s">
        <v>1510</v>
      </c>
      <c r="E1184" s="105"/>
      <c r="F1184" s="209"/>
      <c r="G1184" s="68">
        <v>0</v>
      </c>
      <c r="H1184" s="25">
        <f t="shared" si="69"/>
        <v>0</v>
      </c>
    </row>
    <row r="1185" customHeight="1" spans="1:8">
      <c r="B1185" s="84"/>
      <c r="C1185" s="91"/>
      <c r="D1185" s="91"/>
      <c r="E1185" s="86"/>
      <c r="F1185" s="170"/>
      <c r="G1185" s="68">
        <v>0</v>
      </c>
      <c r="H1185" s="25">
        <f t="shared" si="69"/>
        <v>0</v>
      </c>
    </row>
    <row r="1186" customHeight="1" spans="1:8">
      <c r="B1186" s="84" t="s">
        <v>1511</v>
      </c>
      <c r="C1186" s="22" t="s">
        <v>1512</v>
      </c>
      <c r="D1186" s="88" t="s">
        <v>1513</v>
      </c>
      <c r="E1186" s="86"/>
      <c r="F1186" s="170"/>
      <c r="G1186" s="68">
        <v>0</v>
      </c>
      <c r="H1186" s="25">
        <f t="shared" si="69"/>
        <v>0</v>
      </c>
    </row>
    <row r="1187" customHeight="1" spans="1:8">
      <c r="B1187" s="84" t="s">
        <v>1514</v>
      </c>
      <c r="C1187" s="204" t="s">
        <v>1515</v>
      </c>
      <c r="D1187" s="204" t="s">
        <v>1516</v>
      </c>
      <c r="E1187" s="86"/>
      <c r="F1187" s="170"/>
      <c r="G1187" s="68">
        <v>0</v>
      </c>
      <c r="H1187" s="25">
        <f t="shared" si="69"/>
        <v>0</v>
      </c>
    </row>
    <row r="1188" customHeight="1" spans="1:8">
      <c r="A1188" s="8">
        <f ca="1" t="shared" ref="A1188:A1190" si="72">COUNTA(OFFSET(A$1,0,0,ROW()-1,1))+1</f>
        <v>484</v>
      </c>
      <c r="B1188" s="203" t="s">
        <v>1517</v>
      </c>
      <c r="C1188" s="89" t="s">
        <v>1518</v>
      </c>
      <c r="D1188" s="89" t="s">
        <v>1519</v>
      </c>
      <c r="E1188" s="206" t="s">
        <v>238</v>
      </c>
      <c r="F1188" s="170">
        <v>1</v>
      </c>
      <c r="G1188" s="68">
        <v>755284.057257134</v>
      </c>
      <c r="H1188" s="25">
        <f t="shared" si="69"/>
        <v>755284</v>
      </c>
    </row>
    <row r="1189" customHeight="1" spans="1:8">
      <c r="A1189" s="8">
        <f ca="1" t="shared" si="72"/>
        <v>485</v>
      </c>
      <c r="B1189" s="203" t="s">
        <v>1520</v>
      </c>
      <c r="C1189" s="89" t="s">
        <v>1521</v>
      </c>
      <c r="D1189" s="90" t="s">
        <v>1522</v>
      </c>
      <c r="E1189" s="206" t="s">
        <v>238</v>
      </c>
      <c r="F1189" s="170">
        <v>1</v>
      </c>
      <c r="G1189" s="68">
        <v>468499.467889617</v>
      </c>
      <c r="H1189" s="25">
        <f t="shared" si="69"/>
        <v>468499</v>
      </c>
    </row>
    <row r="1190" customHeight="1" spans="1:8">
      <c r="A1190" s="8">
        <f ca="1" t="shared" si="72"/>
        <v>486</v>
      </c>
      <c r="B1190" s="203" t="s">
        <v>1523</v>
      </c>
      <c r="C1190" s="89" t="s">
        <v>1407</v>
      </c>
      <c r="D1190" s="89" t="s">
        <v>1408</v>
      </c>
      <c r="E1190" s="206" t="s">
        <v>1372</v>
      </c>
      <c r="F1190" s="170">
        <v>1</v>
      </c>
      <c r="G1190" s="68">
        <v>4420.06131242053</v>
      </c>
      <c r="H1190" s="25">
        <f t="shared" si="69"/>
        <v>4420</v>
      </c>
    </row>
    <row r="1191" customHeight="1" spans="1:8">
      <c r="B1191" s="84" t="s">
        <v>1524</v>
      </c>
      <c r="C1191" s="204" t="s">
        <v>1525</v>
      </c>
      <c r="D1191" s="204" t="s">
        <v>1526</v>
      </c>
      <c r="E1191" s="86"/>
      <c r="F1191" s="170"/>
      <c r="G1191" s="68">
        <v>0</v>
      </c>
      <c r="H1191" s="25">
        <f t="shared" si="69"/>
        <v>0</v>
      </c>
    </row>
    <row r="1192" customHeight="1" spans="1:8">
      <c r="A1192" s="8">
        <f ca="1">COUNTA(OFFSET(A$1,0,0,ROW()-1,1))+1</f>
        <v>487</v>
      </c>
      <c r="B1192" s="203" t="s">
        <v>1527</v>
      </c>
      <c r="C1192" s="89" t="s">
        <v>1528</v>
      </c>
      <c r="D1192" s="89" t="s">
        <v>1529</v>
      </c>
      <c r="E1192" s="206" t="s">
        <v>238</v>
      </c>
      <c r="F1192" s="170">
        <v>4</v>
      </c>
      <c r="G1192" s="68">
        <v>137354.525479616</v>
      </c>
      <c r="H1192" s="25">
        <f t="shared" si="69"/>
        <v>549418</v>
      </c>
    </row>
    <row r="1193" customHeight="1" spans="1:8">
      <c r="B1193" s="203" t="s">
        <v>1530</v>
      </c>
      <c r="C1193" s="204" t="s">
        <v>1531</v>
      </c>
      <c r="D1193" s="205" t="s">
        <v>1532</v>
      </c>
      <c r="E1193" s="206"/>
      <c r="F1193" s="170"/>
      <c r="G1193" s="68">
        <v>0</v>
      </c>
      <c r="H1193" s="25">
        <f t="shared" si="69"/>
        <v>0</v>
      </c>
    </row>
    <row r="1194" customHeight="1" spans="1:8">
      <c r="A1194" s="8">
        <f ca="1">COUNTA(OFFSET(A$1,0,0,ROW()-1,1))+1</f>
        <v>488</v>
      </c>
      <c r="B1194" s="203" t="s">
        <v>1533</v>
      </c>
      <c r="C1194" s="89" t="s">
        <v>1534</v>
      </c>
      <c r="D1194" s="89" t="s">
        <v>1535</v>
      </c>
      <c r="E1194" s="206" t="s">
        <v>238</v>
      </c>
      <c r="F1194" s="170">
        <v>4</v>
      </c>
      <c r="G1194" s="68">
        <v>146008.586154293</v>
      </c>
      <c r="H1194" s="25">
        <f t="shared" si="69"/>
        <v>584034</v>
      </c>
    </row>
    <row r="1195" customHeight="1" spans="1:8">
      <c r="B1195" s="21"/>
      <c r="C1195" s="103" t="s">
        <v>1536</v>
      </c>
      <c r="D1195" s="104" t="s">
        <v>1537</v>
      </c>
      <c r="E1195" s="105"/>
      <c r="F1195" s="209"/>
      <c r="G1195" s="68">
        <v>0</v>
      </c>
      <c r="H1195" s="25">
        <f t="shared" si="69"/>
        <v>0</v>
      </c>
    </row>
    <row r="1196" customHeight="1" spans="1:8">
      <c r="B1196" s="84"/>
      <c r="C1196" s="91"/>
      <c r="D1196" s="91"/>
      <c r="E1196" s="86"/>
      <c r="F1196" s="170"/>
      <c r="G1196" s="68">
        <v>0</v>
      </c>
      <c r="H1196" s="25">
        <f t="shared" si="69"/>
        <v>0</v>
      </c>
    </row>
    <row r="1197" customHeight="1" spans="1:8">
      <c r="B1197" s="84" t="s">
        <v>1538</v>
      </c>
      <c r="C1197" s="22" t="s">
        <v>1539</v>
      </c>
      <c r="D1197" s="88" t="s">
        <v>1540</v>
      </c>
      <c r="E1197" s="86"/>
      <c r="F1197" s="170"/>
      <c r="G1197" s="68">
        <v>0</v>
      </c>
      <c r="H1197" s="25">
        <f t="shared" si="69"/>
        <v>0</v>
      </c>
    </row>
    <row r="1198" customHeight="1" spans="1:8">
      <c r="B1198" s="203" t="s">
        <v>1541</v>
      </c>
      <c r="C1198" s="22" t="s">
        <v>1542</v>
      </c>
      <c r="D1198" s="88" t="s">
        <v>1543</v>
      </c>
      <c r="E1198" s="206"/>
      <c r="F1198" s="170"/>
      <c r="G1198" s="68">
        <v>0</v>
      </c>
      <c r="H1198" s="25">
        <f t="shared" si="69"/>
        <v>0</v>
      </c>
    </row>
    <row r="1199" customHeight="1" spans="1:8">
      <c r="A1199" s="8">
        <f ca="1" t="shared" ref="A1199:A1221" si="73">COUNTA(OFFSET(A$1,0,0,ROW()-1,1))+1</f>
        <v>489</v>
      </c>
      <c r="B1199" s="203" t="s">
        <v>1544</v>
      </c>
      <c r="C1199" s="89" t="s">
        <v>1545</v>
      </c>
      <c r="D1199" s="89" t="s">
        <v>1546</v>
      </c>
      <c r="E1199" s="206" t="s">
        <v>225</v>
      </c>
      <c r="F1199" s="170">
        <v>300</v>
      </c>
      <c r="G1199" s="68">
        <v>333.90024</v>
      </c>
      <c r="H1199" s="25">
        <f t="shared" si="69"/>
        <v>100170</v>
      </c>
    </row>
    <row r="1200" customHeight="1" spans="1:8">
      <c r="A1200" s="8">
        <f ca="1" t="shared" si="73"/>
        <v>490</v>
      </c>
      <c r="B1200" s="203" t="s">
        <v>1547</v>
      </c>
      <c r="C1200" s="89" t="s">
        <v>1548</v>
      </c>
      <c r="D1200" s="89" t="s">
        <v>1549</v>
      </c>
      <c r="E1200" s="206" t="s">
        <v>225</v>
      </c>
      <c r="F1200" s="170">
        <v>50</v>
      </c>
      <c r="G1200" s="68">
        <v>333.90024</v>
      </c>
      <c r="H1200" s="25">
        <f t="shared" si="69"/>
        <v>16695</v>
      </c>
    </row>
    <row r="1201" customHeight="1" spans="1:8">
      <c r="A1201" s="8">
        <f ca="1" t="shared" si="73"/>
        <v>491</v>
      </c>
      <c r="B1201" s="203" t="s">
        <v>1550</v>
      </c>
      <c r="C1201" s="89" t="s">
        <v>1551</v>
      </c>
      <c r="D1201" s="89" t="s">
        <v>1552</v>
      </c>
      <c r="E1201" s="206" t="s">
        <v>225</v>
      </c>
      <c r="F1201" s="170">
        <v>50</v>
      </c>
      <c r="G1201" s="68">
        <v>667.80048</v>
      </c>
      <c r="H1201" s="25">
        <f t="shared" si="69"/>
        <v>33390</v>
      </c>
    </row>
    <row r="1202" customHeight="1" spans="1:8">
      <c r="A1202" s="8">
        <f ca="1" t="shared" si="73"/>
        <v>492</v>
      </c>
      <c r="B1202" s="203" t="s">
        <v>1553</v>
      </c>
      <c r="C1202" s="89" t="s">
        <v>1554</v>
      </c>
      <c r="D1202" s="89" t="s">
        <v>1555</v>
      </c>
      <c r="E1202" s="206" t="s">
        <v>225</v>
      </c>
      <c r="F1202" s="170">
        <v>50</v>
      </c>
      <c r="G1202" s="68">
        <v>667.80048</v>
      </c>
      <c r="H1202" s="25">
        <f t="shared" si="69"/>
        <v>33390</v>
      </c>
    </row>
    <row r="1203" customHeight="1" spans="1:8">
      <c r="A1203" s="8">
        <f ca="1" t="shared" si="73"/>
        <v>493</v>
      </c>
      <c r="B1203" s="203" t="s">
        <v>1556</v>
      </c>
      <c r="C1203" s="89" t="s">
        <v>1557</v>
      </c>
      <c r="D1203" s="90" t="s">
        <v>1558</v>
      </c>
      <c r="E1203" s="206" t="s">
        <v>225</v>
      </c>
      <c r="F1203" s="170">
        <v>330</v>
      </c>
      <c r="G1203" s="68">
        <v>387.209143410922</v>
      </c>
      <c r="H1203" s="25">
        <f t="shared" si="69"/>
        <v>127779</v>
      </c>
    </row>
    <row r="1204" customHeight="1" spans="1:8">
      <c r="A1204" s="8">
        <f ca="1" t="shared" si="73"/>
        <v>494</v>
      </c>
      <c r="B1204" s="203" t="s">
        <v>1559</v>
      </c>
      <c r="C1204" s="89" t="s">
        <v>1560</v>
      </c>
      <c r="D1204" s="90" t="s">
        <v>1561</v>
      </c>
      <c r="E1204" s="206" t="s">
        <v>225</v>
      </c>
      <c r="F1204" s="170">
        <v>30</v>
      </c>
      <c r="G1204" s="68">
        <v>387.209143410922</v>
      </c>
      <c r="H1204" s="25">
        <f t="shared" si="69"/>
        <v>11616</v>
      </c>
    </row>
    <row r="1205" customHeight="1" spans="1:8">
      <c r="A1205" s="8">
        <f ca="1" t="shared" si="73"/>
        <v>495</v>
      </c>
      <c r="B1205" s="203" t="s">
        <v>1562</v>
      </c>
      <c r="C1205" s="89" t="s">
        <v>1563</v>
      </c>
      <c r="D1205" s="90" t="s">
        <v>1564</v>
      </c>
      <c r="E1205" s="206" t="s">
        <v>225</v>
      </c>
      <c r="F1205" s="170">
        <v>630</v>
      </c>
      <c r="G1205" s="68">
        <v>80.47236</v>
      </c>
      <c r="H1205" s="25">
        <f t="shared" si="69"/>
        <v>50698</v>
      </c>
    </row>
    <row r="1206" customHeight="1" spans="1:8">
      <c r="A1206" s="8">
        <f ca="1" t="shared" si="73"/>
        <v>496</v>
      </c>
      <c r="B1206" s="203" t="s">
        <v>1565</v>
      </c>
      <c r="C1206" s="89" t="s">
        <v>1566</v>
      </c>
      <c r="D1206" s="90" t="s">
        <v>1567</v>
      </c>
      <c r="E1206" s="206" t="s">
        <v>225</v>
      </c>
      <c r="F1206" s="170">
        <v>30</v>
      </c>
      <c r="G1206" s="68">
        <v>80.47236</v>
      </c>
      <c r="H1206" s="25">
        <f t="shared" si="69"/>
        <v>2414</v>
      </c>
    </row>
    <row r="1207" customHeight="1" spans="1:8">
      <c r="A1207" s="8">
        <f ca="1" t="shared" si="73"/>
        <v>497</v>
      </c>
      <c r="B1207" s="203" t="s">
        <v>1568</v>
      </c>
      <c r="C1207" s="89" t="s">
        <v>1569</v>
      </c>
      <c r="D1207" s="90" t="s">
        <v>1570</v>
      </c>
      <c r="E1207" s="206" t="s">
        <v>225</v>
      </c>
      <c r="F1207" s="170">
        <v>380</v>
      </c>
      <c r="G1207" s="68">
        <v>387.209143410922</v>
      </c>
      <c r="H1207" s="25">
        <f t="shared" si="69"/>
        <v>147139</v>
      </c>
    </row>
    <row r="1208" customHeight="1" spans="1:8">
      <c r="A1208" s="8">
        <f ca="1" t="shared" si="73"/>
        <v>498</v>
      </c>
      <c r="B1208" s="203" t="s">
        <v>1571</v>
      </c>
      <c r="C1208" s="89" t="s">
        <v>1572</v>
      </c>
      <c r="D1208" s="90" t="s">
        <v>1573</v>
      </c>
      <c r="E1208" s="206" t="s">
        <v>225</v>
      </c>
      <c r="F1208" s="170">
        <v>200</v>
      </c>
      <c r="G1208" s="68">
        <v>387.209143410922</v>
      </c>
      <c r="H1208" s="25">
        <f t="shared" si="69"/>
        <v>77442</v>
      </c>
    </row>
    <row r="1209" customHeight="1" spans="1:8">
      <c r="A1209" s="8">
        <f ca="1" t="shared" si="73"/>
        <v>499</v>
      </c>
      <c r="B1209" s="203" t="s">
        <v>1574</v>
      </c>
      <c r="C1209" s="89" t="s">
        <v>1575</v>
      </c>
      <c r="D1209" s="90" t="s">
        <v>1576</v>
      </c>
      <c r="E1209" s="206" t="s">
        <v>225</v>
      </c>
      <c r="F1209" s="170">
        <v>70</v>
      </c>
      <c r="G1209" s="68">
        <v>193.604571705461</v>
      </c>
      <c r="H1209" s="25">
        <f t="shared" si="69"/>
        <v>13552</v>
      </c>
    </row>
    <row r="1210" customHeight="1" spans="1:8">
      <c r="A1210" s="8">
        <f ca="1" t="shared" si="73"/>
        <v>500</v>
      </c>
      <c r="B1210" s="203" t="s">
        <v>1577</v>
      </c>
      <c r="C1210" s="89" t="s">
        <v>1578</v>
      </c>
      <c r="D1210" s="90" t="s">
        <v>1579</v>
      </c>
      <c r="E1210" s="206" t="s">
        <v>225</v>
      </c>
      <c r="F1210" s="170">
        <v>30</v>
      </c>
      <c r="G1210" s="68">
        <v>387.209143410922</v>
      </c>
      <c r="H1210" s="25">
        <f t="shared" si="69"/>
        <v>11616</v>
      </c>
    </row>
    <row r="1211" customHeight="1" spans="1:8">
      <c r="A1211" s="8">
        <f ca="1" t="shared" si="73"/>
        <v>501</v>
      </c>
      <c r="B1211" s="203" t="s">
        <v>1580</v>
      </c>
      <c r="C1211" s="89" t="s">
        <v>1581</v>
      </c>
      <c r="D1211" s="90" t="s">
        <v>1582</v>
      </c>
      <c r="E1211" s="206" t="s">
        <v>225</v>
      </c>
      <c r="F1211" s="170">
        <v>430</v>
      </c>
      <c r="G1211" s="68">
        <v>387.209143410922</v>
      </c>
      <c r="H1211" s="25">
        <f t="shared" si="69"/>
        <v>166500</v>
      </c>
    </row>
    <row r="1212" customHeight="1" spans="1:8">
      <c r="A1212" s="8">
        <f ca="1" t="shared" si="73"/>
        <v>502</v>
      </c>
      <c r="B1212" s="203" t="s">
        <v>1583</v>
      </c>
      <c r="C1212" s="89" t="s">
        <v>1584</v>
      </c>
      <c r="D1212" s="90" t="s">
        <v>1585</v>
      </c>
      <c r="E1212" s="206" t="s">
        <v>225</v>
      </c>
      <c r="F1212" s="170">
        <v>400</v>
      </c>
      <c r="G1212" s="68">
        <v>387.209143410922</v>
      </c>
      <c r="H1212" s="25">
        <f t="shared" si="69"/>
        <v>154884</v>
      </c>
    </row>
    <row r="1213" customHeight="1" spans="1:8">
      <c r="A1213" s="8">
        <f ca="1" t="shared" si="73"/>
        <v>503</v>
      </c>
      <c r="B1213" s="203" t="s">
        <v>1586</v>
      </c>
      <c r="C1213" s="89" t="s">
        <v>1587</v>
      </c>
      <c r="D1213" s="90" t="s">
        <v>1588</v>
      </c>
      <c r="E1213" s="206" t="s">
        <v>225</v>
      </c>
      <c r="F1213" s="170">
        <v>370</v>
      </c>
      <c r="G1213" s="68">
        <v>333.90024</v>
      </c>
      <c r="H1213" s="25">
        <f t="shared" si="69"/>
        <v>123543</v>
      </c>
    </row>
    <row r="1214" customHeight="1" spans="1:8">
      <c r="A1214" s="8">
        <f ca="1" t="shared" si="73"/>
        <v>504</v>
      </c>
      <c r="B1214" s="203" t="s">
        <v>1589</v>
      </c>
      <c r="C1214" s="89" t="s">
        <v>1590</v>
      </c>
      <c r="D1214" s="90" t="s">
        <v>1591</v>
      </c>
      <c r="E1214" s="206" t="s">
        <v>225</v>
      </c>
      <c r="F1214" s="170">
        <v>150</v>
      </c>
      <c r="G1214" s="68">
        <v>193.604571705461</v>
      </c>
      <c r="H1214" s="25">
        <f t="shared" si="69"/>
        <v>29041</v>
      </c>
    </row>
    <row r="1215" customHeight="1" spans="1:8">
      <c r="A1215" s="8">
        <f ca="1" t="shared" si="73"/>
        <v>505</v>
      </c>
      <c r="B1215" s="203" t="s">
        <v>1592</v>
      </c>
      <c r="C1215" s="89" t="s">
        <v>1593</v>
      </c>
      <c r="D1215" s="90" t="s">
        <v>1594</v>
      </c>
      <c r="E1215" s="206" t="s">
        <v>225</v>
      </c>
      <c r="F1215" s="170">
        <v>70</v>
      </c>
      <c r="G1215" s="68">
        <v>333.90024</v>
      </c>
      <c r="H1215" s="25">
        <f t="shared" si="69"/>
        <v>23373</v>
      </c>
    </row>
    <row r="1216" customHeight="1" spans="1:8">
      <c r="A1216" s="8">
        <f ca="1" t="shared" si="73"/>
        <v>506</v>
      </c>
      <c r="B1216" s="203" t="s">
        <v>1595</v>
      </c>
      <c r="C1216" s="89" t="s">
        <v>1581</v>
      </c>
      <c r="D1216" s="90" t="s">
        <v>1582</v>
      </c>
      <c r="E1216" s="206" t="s">
        <v>225</v>
      </c>
      <c r="F1216" s="170">
        <v>380</v>
      </c>
      <c r="G1216" s="68">
        <v>387.209143410922</v>
      </c>
      <c r="H1216" s="25">
        <f t="shared" si="69"/>
        <v>147139</v>
      </c>
    </row>
    <row r="1217" customHeight="1" spans="1:8">
      <c r="A1217" s="8">
        <f ca="1" t="shared" si="73"/>
        <v>507</v>
      </c>
      <c r="B1217" s="203" t="s">
        <v>1596</v>
      </c>
      <c r="C1217" s="89" t="s">
        <v>1597</v>
      </c>
      <c r="D1217" s="90" t="s">
        <v>1598</v>
      </c>
      <c r="E1217" s="206" t="s">
        <v>225</v>
      </c>
      <c r="F1217" s="170">
        <v>480</v>
      </c>
      <c r="G1217" s="68">
        <v>580.813715116383</v>
      </c>
      <c r="H1217" s="25">
        <f t="shared" si="69"/>
        <v>278791</v>
      </c>
    </row>
    <row r="1218" customHeight="1" spans="1:8">
      <c r="A1218" s="8">
        <f ca="1" t="shared" si="73"/>
        <v>508</v>
      </c>
      <c r="B1218" s="203" t="s">
        <v>1599</v>
      </c>
      <c r="C1218" s="89" t="s">
        <v>1600</v>
      </c>
      <c r="D1218" s="90" t="s">
        <v>1601</v>
      </c>
      <c r="E1218" s="206" t="s">
        <v>225</v>
      </c>
      <c r="F1218" s="170">
        <v>480</v>
      </c>
      <c r="G1218" s="68">
        <v>387.209143410922</v>
      </c>
      <c r="H1218" s="25">
        <f t="shared" si="69"/>
        <v>185860</v>
      </c>
    </row>
    <row r="1219" customHeight="1" spans="1:8">
      <c r="A1219" s="8">
        <f ca="1" t="shared" si="73"/>
        <v>509</v>
      </c>
      <c r="B1219" s="203" t="s">
        <v>1602</v>
      </c>
      <c r="C1219" s="89" t="s">
        <v>1603</v>
      </c>
      <c r="D1219" s="90" t="s">
        <v>1604</v>
      </c>
      <c r="E1219" s="206" t="s">
        <v>225</v>
      </c>
      <c r="F1219" s="170">
        <v>100</v>
      </c>
      <c r="G1219" s="68">
        <v>387.209143410922</v>
      </c>
      <c r="H1219" s="25">
        <f t="shared" si="69"/>
        <v>38721</v>
      </c>
    </row>
    <row r="1220" customHeight="1" spans="1:8">
      <c r="A1220" s="8">
        <f ca="1" t="shared" si="73"/>
        <v>510</v>
      </c>
      <c r="B1220" s="203" t="s">
        <v>1605</v>
      </c>
      <c r="C1220" s="89" t="s">
        <v>1606</v>
      </c>
      <c r="D1220" s="90" t="s">
        <v>1607</v>
      </c>
      <c r="E1220" s="206" t="s">
        <v>225</v>
      </c>
      <c r="F1220" s="170">
        <v>100</v>
      </c>
      <c r="G1220" s="68">
        <v>387.209143410922</v>
      </c>
      <c r="H1220" s="25">
        <f t="shared" si="69"/>
        <v>38721</v>
      </c>
    </row>
    <row r="1221" customHeight="1" spans="1:8">
      <c r="A1221" s="8">
        <f ca="1" t="shared" si="73"/>
        <v>511</v>
      </c>
      <c r="B1221" s="203" t="s">
        <v>1608</v>
      </c>
      <c r="C1221" s="89" t="s">
        <v>1609</v>
      </c>
      <c r="D1221" s="90" t="s">
        <v>1610</v>
      </c>
      <c r="E1221" s="206" t="s">
        <v>225</v>
      </c>
      <c r="F1221" s="170">
        <v>100</v>
      </c>
      <c r="G1221" s="68">
        <v>387.209143410922</v>
      </c>
      <c r="H1221" s="25">
        <f t="shared" si="69"/>
        <v>38721</v>
      </c>
    </row>
    <row r="1222" customHeight="1" spans="1:8">
      <c r="B1222" s="84" t="s">
        <v>1611</v>
      </c>
      <c r="C1222" s="22" t="s">
        <v>1612</v>
      </c>
      <c r="D1222" s="88" t="s">
        <v>1613</v>
      </c>
      <c r="E1222" s="86"/>
      <c r="F1222" s="170"/>
      <c r="G1222" s="68">
        <v>0</v>
      </c>
      <c r="H1222" s="25">
        <f t="shared" si="69"/>
        <v>0</v>
      </c>
    </row>
    <row r="1223" customHeight="1" spans="1:8">
      <c r="A1223" s="8">
        <f ca="1" t="shared" ref="A1223:A1229" si="74">COUNTA(OFFSET(A$1,0,0,ROW()-1,1))+1</f>
        <v>512</v>
      </c>
      <c r="B1223" s="203" t="s">
        <v>1614</v>
      </c>
      <c r="C1223" s="89" t="s">
        <v>1615</v>
      </c>
      <c r="D1223" s="90" t="s">
        <v>1616</v>
      </c>
      <c r="E1223" s="206" t="s">
        <v>225</v>
      </c>
      <c r="F1223" s="170">
        <v>100</v>
      </c>
      <c r="G1223" s="68">
        <v>80.47236</v>
      </c>
      <c r="H1223" s="25">
        <f t="shared" si="69"/>
        <v>8047</v>
      </c>
    </row>
    <row r="1224" customHeight="1" spans="1:8">
      <c r="A1224" s="8">
        <f ca="1" t="shared" si="74"/>
        <v>513</v>
      </c>
      <c r="B1224" s="203" t="s">
        <v>1617</v>
      </c>
      <c r="C1224" s="89" t="s">
        <v>1615</v>
      </c>
      <c r="D1224" s="90" t="s">
        <v>1616</v>
      </c>
      <c r="E1224" s="206" t="s">
        <v>225</v>
      </c>
      <c r="F1224" s="170">
        <v>100</v>
      </c>
      <c r="G1224" s="68">
        <v>80.47236</v>
      </c>
      <c r="H1224" s="25">
        <f t="shared" ref="H1224:H1287" si="75">IFERROR(ROUND(G1224*F1224,0),0)</f>
        <v>8047</v>
      </c>
    </row>
    <row r="1225" customHeight="1" spans="1:8">
      <c r="A1225" s="8">
        <f ca="1" t="shared" si="74"/>
        <v>514</v>
      </c>
      <c r="B1225" s="203" t="s">
        <v>1618</v>
      </c>
      <c r="C1225" s="89" t="s">
        <v>1619</v>
      </c>
      <c r="D1225" s="90" t="s">
        <v>1620</v>
      </c>
      <c r="E1225" s="206" t="s">
        <v>225</v>
      </c>
      <c r="F1225" s="170">
        <v>95</v>
      </c>
      <c r="G1225" s="68">
        <v>80.47236</v>
      </c>
      <c r="H1225" s="25">
        <f t="shared" si="75"/>
        <v>7645</v>
      </c>
    </row>
    <row r="1226" customHeight="1" spans="1:8">
      <c r="A1226" s="8">
        <f ca="1" t="shared" si="74"/>
        <v>515</v>
      </c>
      <c r="B1226" s="203" t="s">
        <v>1621</v>
      </c>
      <c r="C1226" s="89" t="s">
        <v>1619</v>
      </c>
      <c r="D1226" s="90" t="s">
        <v>1620</v>
      </c>
      <c r="E1226" s="206" t="s">
        <v>225</v>
      </c>
      <c r="F1226" s="170">
        <v>95</v>
      </c>
      <c r="G1226" s="68">
        <v>80.47236</v>
      </c>
      <c r="H1226" s="25">
        <f t="shared" si="75"/>
        <v>7645</v>
      </c>
    </row>
    <row r="1227" customHeight="1" spans="1:8">
      <c r="A1227" s="8">
        <f ca="1" t="shared" si="74"/>
        <v>516</v>
      </c>
      <c r="B1227" s="203" t="s">
        <v>1622</v>
      </c>
      <c r="C1227" s="89" t="s">
        <v>1623</v>
      </c>
      <c r="D1227" s="90" t="s">
        <v>1624</v>
      </c>
      <c r="E1227" s="206" t="s">
        <v>225</v>
      </c>
      <c r="F1227" s="210">
        <v>220</v>
      </c>
      <c r="G1227" s="68">
        <v>80.47236</v>
      </c>
      <c r="H1227" s="25">
        <f t="shared" si="75"/>
        <v>17704</v>
      </c>
    </row>
    <row r="1228" customHeight="1" spans="1:8">
      <c r="A1228" s="8">
        <f ca="1" t="shared" si="74"/>
        <v>517</v>
      </c>
      <c r="B1228" s="203" t="s">
        <v>1625</v>
      </c>
      <c r="C1228" s="89" t="s">
        <v>1623</v>
      </c>
      <c r="D1228" s="90" t="s">
        <v>1624</v>
      </c>
      <c r="E1228" s="206" t="s">
        <v>225</v>
      </c>
      <c r="F1228" s="170">
        <v>220</v>
      </c>
      <c r="G1228" s="68">
        <v>80.47236</v>
      </c>
      <c r="H1228" s="25">
        <f t="shared" si="75"/>
        <v>17704</v>
      </c>
    </row>
    <row r="1229" customHeight="1" spans="1:8">
      <c r="A1229" s="8">
        <f ca="1" t="shared" si="74"/>
        <v>518</v>
      </c>
      <c r="B1229" s="203" t="s">
        <v>1626</v>
      </c>
      <c r="C1229" s="89" t="s">
        <v>1627</v>
      </c>
      <c r="D1229" s="90" t="s">
        <v>1628</v>
      </c>
      <c r="E1229" s="206" t="s">
        <v>225</v>
      </c>
      <c r="F1229" s="170">
        <v>230</v>
      </c>
      <c r="G1229" s="68">
        <v>80.47236</v>
      </c>
      <c r="H1229" s="25">
        <f t="shared" si="75"/>
        <v>18509</v>
      </c>
    </row>
    <row r="1230" customHeight="1" spans="1:8">
      <c r="B1230" s="21"/>
      <c r="C1230" s="103" t="s">
        <v>1629</v>
      </c>
      <c r="D1230" s="104" t="s">
        <v>1630</v>
      </c>
      <c r="E1230" s="105"/>
      <c r="F1230" s="209"/>
      <c r="G1230" s="68">
        <v>0</v>
      </c>
      <c r="H1230" s="25">
        <f t="shared" si="75"/>
        <v>0</v>
      </c>
    </row>
    <row r="1231" customHeight="1" spans="1:8">
      <c r="B1231" s="84"/>
      <c r="C1231" s="91"/>
      <c r="D1231" s="91"/>
      <c r="E1231" s="86"/>
      <c r="F1231" s="170"/>
      <c r="G1231" s="68">
        <v>0</v>
      </c>
      <c r="H1231" s="25">
        <f t="shared" si="75"/>
        <v>0</v>
      </c>
    </row>
    <row r="1232" customHeight="1" spans="1:8">
      <c r="B1232" s="84" t="s">
        <v>1631</v>
      </c>
      <c r="C1232" s="22" t="s">
        <v>1632</v>
      </c>
      <c r="D1232" s="88" t="s">
        <v>1633</v>
      </c>
      <c r="E1232" s="86"/>
      <c r="F1232" s="170"/>
      <c r="G1232" s="68">
        <v>0</v>
      </c>
      <c r="H1232" s="25">
        <f t="shared" si="75"/>
        <v>0</v>
      </c>
    </row>
    <row r="1233" customHeight="1" spans="1:8">
      <c r="B1233" s="203" t="s">
        <v>1634</v>
      </c>
      <c r="C1233" s="22" t="s">
        <v>1635</v>
      </c>
      <c r="D1233" s="88" t="s">
        <v>1636</v>
      </c>
      <c r="E1233" s="206" t="s">
        <v>225</v>
      </c>
      <c r="F1233" s="170"/>
      <c r="G1233" s="68">
        <v>0</v>
      </c>
      <c r="H1233" s="25">
        <f t="shared" si="75"/>
        <v>0</v>
      </c>
    </row>
    <row r="1234" customHeight="1" spans="1:8">
      <c r="A1234" s="8">
        <f ca="1" t="shared" ref="A1234:A1238" si="76">COUNTA(OFFSET(A$1,0,0,ROW()-1,1))+1</f>
        <v>519</v>
      </c>
      <c r="B1234" s="203" t="s">
        <v>1637</v>
      </c>
      <c r="C1234" s="89" t="s">
        <v>1638</v>
      </c>
      <c r="D1234" s="90" t="s">
        <v>1639</v>
      </c>
      <c r="E1234" s="206" t="s">
        <v>225</v>
      </c>
      <c r="F1234" s="170">
        <v>520</v>
      </c>
      <c r="G1234" s="68">
        <v>387.233927430279</v>
      </c>
      <c r="H1234" s="25">
        <f t="shared" si="75"/>
        <v>201362</v>
      </c>
    </row>
    <row r="1235" customHeight="1" spans="1:8">
      <c r="A1235" s="8">
        <f ca="1" t="shared" si="76"/>
        <v>520</v>
      </c>
      <c r="B1235" s="203" t="s">
        <v>1640</v>
      </c>
      <c r="C1235" s="89" t="s">
        <v>1641</v>
      </c>
      <c r="D1235" s="90" t="s">
        <v>1642</v>
      </c>
      <c r="E1235" s="206" t="s">
        <v>225</v>
      </c>
      <c r="F1235" s="170">
        <v>700</v>
      </c>
      <c r="G1235" s="68">
        <v>258.155951620186</v>
      </c>
      <c r="H1235" s="25">
        <f t="shared" si="75"/>
        <v>180709</v>
      </c>
    </row>
    <row r="1236" customHeight="1" spans="1:8">
      <c r="A1236" s="8">
        <f ca="1" t="shared" si="76"/>
        <v>521</v>
      </c>
      <c r="B1236" s="203" t="s">
        <v>1643</v>
      </c>
      <c r="C1236" s="89" t="s">
        <v>1644</v>
      </c>
      <c r="D1236" s="90" t="s">
        <v>1645</v>
      </c>
      <c r="E1236" s="206" t="s">
        <v>225</v>
      </c>
      <c r="F1236" s="170">
        <v>4000</v>
      </c>
      <c r="G1236" s="68">
        <v>107.29648</v>
      </c>
      <c r="H1236" s="25">
        <f t="shared" si="75"/>
        <v>429186</v>
      </c>
    </row>
    <row r="1237" customHeight="1" spans="1:8">
      <c r="A1237" s="8">
        <f ca="1" t="shared" si="76"/>
        <v>522</v>
      </c>
      <c r="B1237" s="203" t="s">
        <v>1646</v>
      </c>
      <c r="C1237" s="89" t="s">
        <v>1647</v>
      </c>
      <c r="D1237" s="90" t="s">
        <v>1648</v>
      </c>
      <c r="E1237" s="206" t="s">
        <v>225</v>
      </c>
      <c r="F1237" s="170">
        <v>690</v>
      </c>
      <c r="G1237" s="68">
        <v>19.8152066598371</v>
      </c>
      <c r="H1237" s="25">
        <f t="shared" si="75"/>
        <v>13672</v>
      </c>
    </row>
    <row r="1238" customHeight="1" spans="1:8">
      <c r="A1238" s="8">
        <f ca="1" t="shared" si="76"/>
        <v>523</v>
      </c>
      <c r="B1238" s="203" t="s">
        <v>1649</v>
      </c>
      <c r="C1238" s="89" t="s">
        <v>1650</v>
      </c>
      <c r="D1238" s="90" t="s">
        <v>1651</v>
      </c>
      <c r="E1238" s="206" t="s">
        <v>225</v>
      </c>
      <c r="F1238" s="170">
        <v>500</v>
      </c>
      <c r="G1238" s="68">
        <v>580.39182692835</v>
      </c>
      <c r="H1238" s="25">
        <f t="shared" si="75"/>
        <v>290196</v>
      </c>
    </row>
    <row r="1239" customHeight="1" spans="1:8">
      <c r="B1239" s="203" t="s">
        <v>1652</v>
      </c>
      <c r="C1239" s="22" t="s">
        <v>1653</v>
      </c>
      <c r="D1239" s="22" t="s">
        <v>1654</v>
      </c>
      <c r="E1239" s="206"/>
      <c r="F1239" s="170"/>
      <c r="G1239" s="68">
        <v>0</v>
      </c>
      <c r="H1239" s="25">
        <f t="shared" si="75"/>
        <v>0</v>
      </c>
    </row>
    <row r="1240" customHeight="1" spans="1:8">
      <c r="A1240" s="8">
        <f ca="1" t="shared" ref="A1240:A1243" si="77">COUNTA(OFFSET(A$1,0,0,ROW()-1,1))+1</f>
        <v>524</v>
      </c>
      <c r="B1240" s="203" t="s">
        <v>1655</v>
      </c>
      <c r="C1240" s="89" t="s">
        <v>1656</v>
      </c>
      <c r="D1240" s="89" t="s">
        <v>1657</v>
      </c>
      <c r="E1240" s="206" t="s">
        <v>225</v>
      </c>
      <c r="F1240" s="170">
        <v>460</v>
      </c>
      <c r="G1240" s="68">
        <v>14.6163466927425</v>
      </c>
      <c r="H1240" s="25">
        <f t="shared" si="75"/>
        <v>6724</v>
      </c>
    </row>
    <row r="1241" customHeight="1" spans="1:8">
      <c r="A1241" s="8">
        <f ca="1" t="shared" si="77"/>
        <v>525</v>
      </c>
      <c r="B1241" s="203" t="s">
        <v>1658</v>
      </c>
      <c r="C1241" s="89" t="s">
        <v>1659</v>
      </c>
      <c r="D1241" s="89" t="s">
        <v>1660</v>
      </c>
      <c r="E1241" s="206" t="s">
        <v>225</v>
      </c>
      <c r="F1241" s="170">
        <v>150</v>
      </c>
      <c r="G1241" s="68">
        <v>19.8152066598371</v>
      </c>
      <c r="H1241" s="25">
        <f t="shared" si="75"/>
        <v>2972</v>
      </c>
    </row>
    <row r="1242" customHeight="1" spans="1:8">
      <c r="A1242" s="8">
        <f ca="1" t="shared" si="77"/>
        <v>526</v>
      </c>
      <c r="B1242" s="203" t="s">
        <v>1661</v>
      </c>
      <c r="C1242" s="89" t="s">
        <v>1662</v>
      </c>
      <c r="D1242" s="89" t="s">
        <v>1663</v>
      </c>
      <c r="E1242" s="206" t="s">
        <v>225</v>
      </c>
      <c r="F1242" s="170">
        <v>200</v>
      </c>
      <c r="G1242" s="68">
        <v>19.8152066598371</v>
      </c>
      <c r="H1242" s="25">
        <f t="shared" si="75"/>
        <v>3963</v>
      </c>
    </row>
    <row r="1243" customHeight="1" spans="1:8">
      <c r="A1243" s="8">
        <f ca="1" t="shared" si="77"/>
        <v>527</v>
      </c>
      <c r="B1243" s="203" t="s">
        <v>1664</v>
      </c>
      <c r="C1243" s="89" t="s">
        <v>1665</v>
      </c>
      <c r="D1243" s="89" t="s">
        <v>1666</v>
      </c>
      <c r="E1243" s="206" t="s">
        <v>225</v>
      </c>
      <c r="F1243" s="170">
        <v>200</v>
      </c>
      <c r="G1243" s="68">
        <v>580.39182692835</v>
      </c>
      <c r="H1243" s="25">
        <f t="shared" si="75"/>
        <v>116078</v>
      </c>
    </row>
    <row r="1244" customHeight="1" spans="1:8">
      <c r="B1244" s="203" t="s">
        <v>1667</v>
      </c>
      <c r="C1244" s="22" t="s">
        <v>1668</v>
      </c>
      <c r="D1244" s="88" t="s">
        <v>1669</v>
      </c>
      <c r="E1244" s="206"/>
      <c r="F1244" s="170"/>
      <c r="G1244" s="68">
        <v>0</v>
      </c>
      <c r="H1244" s="25">
        <f t="shared" si="75"/>
        <v>0</v>
      </c>
    </row>
    <row r="1245" customHeight="1" spans="1:8">
      <c r="A1245" s="8">
        <f ca="1">COUNTA(OFFSET(A$1,0,0,ROW()-1,1))+1</f>
        <v>528</v>
      </c>
      <c r="B1245" s="203" t="s">
        <v>1670</v>
      </c>
      <c r="C1245" s="89" t="s">
        <v>1671</v>
      </c>
      <c r="D1245" s="90" t="s">
        <v>1672</v>
      </c>
      <c r="E1245" s="206" t="s">
        <v>225</v>
      </c>
      <c r="F1245" s="170">
        <v>2000</v>
      </c>
      <c r="G1245" s="68">
        <v>19.8152066598371</v>
      </c>
      <c r="H1245" s="25">
        <f t="shared" si="75"/>
        <v>39630</v>
      </c>
    </row>
    <row r="1246" customHeight="1" spans="1:8">
      <c r="B1246" s="203" t="s">
        <v>1673</v>
      </c>
      <c r="C1246" s="22" t="s">
        <v>1674</v>
      </c>
      <c r="D1246" s="22" t="s">
        <v>1675</v>
      </c>
      <c r="E1246" s="206"/>
      <c r="F1246" s="170"/>
      <c r="G1246" s="68">
        <v>0</v>
      </c>
      <c r="H1246" s="25">
        <f t="shared" si="75"/>
        <v>0</v>
      </c>
    </row>
    <row r="1247" customHeight="1" spans="1:8">
      <c r="A1247" s="8">
        <f ca="1">COUNTA(OFFSET(A$1,0,0,ROW()-1,1))+1</f>
        <v>529</v>
      </c>
      <c r="B1247" s="203" t="s">
        <v>1676</v>
      </c>
      <c r="C1247" s="89" t="s">
        <v>1677</v>
      </c>
      <c r="D1247" s="89" t="s">
        <v>1678</v>
      </c>
      <c r="E1247" s="206" t="s">
        <v>225</v>
      </c>
      <c r="F1247" s="170">
        <v>2000</v>
      </c>
      <c r="G1247" s="68">
        <v>129.077975810093</v>
      </c>
      <c r="H1247" s="25">
        <f t="shared" si="75"/>
        <v>258156</v>
      </c>
    </row>
    <row r="1248" customHeight="1" spans="1:8">
      <c r="B1248" s="203" t="s">
        <v>1679</v>
      </c>
      <c r="C1248" s="22" t="s">
        <v>1680</v>
      </c>
      <c r="D1248" s="88" t="s">
        <v>1681</v>
      </c>
      <c r="E1248" s="206"/>
      <c r="F1248" s="170"/>
      <c r="G1248" s="68">
        <v>0</v>
      </c>
      <c r="H1248" s="25">
        <f t="shared" si="75"/>
        <v>0</v>
      </c>
    </row>
    <row r="1249" customHeight="1" spans="1:8">
      <c r="B1249" s="203" t="s">
        <v>1682</v>
      </c>
      <c r="C1249" s="89" t="s">
        <v>1683</v>
      </c>
      <c r="D1249" s="90" t="s">
        <v>1684</v>
      </c>
      <c r="E1249" s="206" t="s">
        <v>225</v>
      </c>
      <c r="F1249" s="170"/>
      <c r="G1249" s="68">
        <v>0</v>
      </c>
      <c r="H1249" s="25">
        <f t="shared" si="75"/>
        <v>0</v>
      </c>
    </row>
    <row r="1250" customHeight="1" spans="1:8">
      <c r="B1250" s="21"/>
      <c r="C1250" s="103" t="s">
        <v>1685</v>
      </c>
      <c r="D1250" s="104" t="s">
        <v>1686</v>
      </c>
      <c r="E1250" s="105"/>
      <c r="F1250" s="209"/>
      <c r="G1250" s="68">
        <v>0</v>
      </c>
      <c r="H1250" s="25">
        <f t="shared" si="75"/>
        <v>0</v>
      </c>
    </row>
    <row r="1251" customHeight="1" spans="1:8">
      <c r="B1251" s="84"/>
      <c r="C1251" s="91"/>
      <c r="D1251" s="91"/>
      <c r="E1251" s="86"/>
      <c r="F1251" s="170"/>
      <c r="G1251" s="68">
        <v>0</v>
      </c>
      <c r="H1251" s="25">
        <f t="shared" si="75"/>
        <v>0</v>
      </c>
    </row>
    <row r="1252" customHeight="1" spans="1:8">
      <c r="B1252" s="84" t="s">
        <v>1687</v>
      </c>
      <c r="C1252" s="22" t="s">
        <v>1688</v>
      </c>
      <c r="D1252" s="88" t="s">
        <v>1689</v>
      </c>
      <c r="E1252" s="86"/>
      <c r="F1252" s="170"/>
      <c r="G1252" s="68">
        <v>0</v>
      </c>
      <c r="H1252" s="25">
        <f t="shared" si="75"/>
        <v>0</v>
      </c>
    </row>
    <row r="1253" customHeight="1" spans="1:8">
      <c r="B1253" s="203" t="s">
        <v>1690</v>
      </c>
      <c r="C1253" s="22" t="s">
        <v>1691</v>
      </c>
      <c r="D1253" s="88" t="s">
        <v>1692</v>
      </c>
      <c r="E1253" s="206"/>
      <c r="F1253" s="170"/>
      <c r="G1253" s="68">
        <v>0</v>
      </c>
      <c r="H1253" s="25">
        <f t="shared" si="75"/>
        <v>0</v>
      </c>
    </row>
    <row r="1254" customHeight="1" spans="1:8">
      <c r="A1254" s="8">
        <f ca="1" t="shared" ref="A1254:A1257" si="78">COUNTA(OFFSET(A$1,0,0,ROW()-1,1))+1</f>
        <v>530</v>
      </c>
      <c r="B1254" s="203" t="s">
        <v>1693</v>
      </c>
      <c r="C1254" s="89" t="s">
        <v>1694</v>
      </c>
      <c r="D1254" s="90" t="s">
        <v>1695</v>
      </c>
      <c r="E1254" s="206" t="s">
        <v>238</v>
      </c>
      <c r="F1254" s="170">
        <v>20</v>
      </c>
      <c r="G1254" s="68">
        <v>47688.1805921893</v>
      </c>
      <c r="H1254" s="25">
        <f t="shared" si="75"/>
        <v>953764</v>
      </c>
    </row>
    <row r="1255" customHeight="1" spans="1:8">
      <c r="A1255" s="8">
        <f ca="1" t="shared" si="78"/>
        <v>531</v>
      </c>
      <c r="B1255" s="203" t="s">
        <v>1696</v>
      </c>
      <c r="C1255" s="89" t="s">
        <v>1697</v>
      </c>
      <c r="D1255" s="90" t="s">
        <v>1698</v>
      </c>
      <c r="E1255" s="206" t="s">
        <v>238</v>
      </c>
      <c r="F1255" s="170">
        <v>12</v>
      </c>
      <c r="G1255" s="68">
        <v>47688.1805921893</v>
      </c>
      <c r="H1255" s="25">
        <f t="shared" si="75"/>
        <v>572258</v>
      </c>
    </row>
    <row r="1256" customHeight="1" spans="1:8">
      <c r="B1256" s="203" t="s">
        <v>1699</v>
      </c>
      <c r="C1256" s="22" t="s">
        <v>1700</v>
      </c>
      <c r="D1256" s="88" t="s">
        <v>1701</v>
      </c>
      <c r="E1256" s="206"/>
      <c r="F1256" s="170"/>
      <c r="G1256" s="68">
        <v>0</v>
      </c>
      <c r="H1256" s="25">
        <f t="shared" si="75"/>
        <v>0</v>
      </c>
    </row>
    <row r="1257" customHeight="1" spans="1:8">
      <c r="A1257" s="8">
        <f ca="1" t="shared" si="78"/>
        <v>532</v>
      </c>
      <c r="B1257" s="203" t="s">
        <v>1702</v>
      </c>
      <c r="C1257" s="89" t="s">
        <v>1703</v>
      </c>
      <c r="D1257" s="89" t="s">
        <v>1704</v>
      </c>
      <c r="E1257" s="206" t="s">
        <v>238</v>
      </c>
      <c r="F1257" s="170">
        <v>32</v>
      </c>
      <c r="G1257" s="68">
        <v>10493.7530943297</v>
      </c>
      <c r="H1257" s="25">
        <f t="shared" si="75"/>
        <v>335800</v>
      </c>
    </row>
    <row r="1258" customHeight="1" spans="1:8">
      <c r="B1258" s="203" t="s">
        <v>1705</v>
      </c>
      <c r="C1258" s="22" t="s">
        <v>1706</v>
      </c>
      <c r="D1258" s="88" t="s">
        <v>1707</v>
      </c>
      <c r="E1258" s="206"/>
      <c r="F1258" s="170"/>
      <c r="G1258" s="68">
        <v>0</v>
      </c>
      <c r="H1258" s="25">
        <f t="shared" si="75"/>
        <v>0</v>
      </c>
    </row>
    <row r="1259" customHeight="1" spans="1:8">
      <c r="A1259" s="8">
        <f ca="1">COUNTA(OFFSET(A$1,0,0,ROW()-1,1))+1</f>
        <v>533</v>
      </c>
      <c r="B1259" s="203" t="s">
        <v>1708</v>
      </c>
      <c r="C1259" s="89" t="s">
        <v>1709</v>
      </c>
      <c r="D1259" s="90" t="s">
        <v>1710</v>
      </c>
      <c r="E1259" s="206" t="s">
        <v>238</v>
      </c>
      <c r="F1259" s="170">
        <v>32</v>
      </c>
      <c r="G1259" s="68">
        <v>5101.58227058249</v>
      </c>
      <c r="H1259" s="25">
        <f t="shared" si="75"/>
        <v>163251</v>
      </c>
    </row>
    <row r="1260" customHeight="1" spans="1:8">
      <c r="B1260" s="203" t="s">
        <v>1711</v>
      </c>
      <c r="C1260" s="22" t="s">
        <v>1712</v>
      </c>
      <c r="D1260" s="88" t="s">
        <v>1713</v>
      </c>
      <c r="E1260" s="206"/>
      <c r="F1260" s="170"/>
      <c r="G1260" s="68">
        <v>0</v>
      </c>
      <c r="H1260" s="25">
        <f t="shared" si="75"/>
        <v>0</v>
      </c>
    </row>
    <row r="1261" customHeight="1" spans="1:8">
      <c r="B1261" s="203" t="s">
        <v>1714</v>
      </c>
      <c r="C1261" s="89" t="s">
        <v>1715</v>
      </c>
      <c r="D1261" s="90" t="s">
        <v>1716</v>
      </c>
      <c r="E1261" s="206"/>
      <c r="F1261" s="170"/>
      <c r="G1261" s="68">
        <v>0</v>
      </c>
      <c r="H1261" s="25">
        <f t="shared" si="75"/>
        <v>0</v>
      </c>
    </row>
    <row r="1262" customHeight="1" spans="1:8">
      <c r="A1262" s="8">
        <f ca="1">COUNTA(OFFSET(A$1,0,0,ROW()-1,1))+1</f>
        <v>534</v>
      </c>
      <c r="B1262" s="203" t="s">
        <v>1717</v>
      </c>
      <c r="C1262" s="103" t="s">
        <v>1718</v>
      </c>
      <c r="D1262" s="103" t="s">
        <v>1718</v>
      </c>
      <c r="E1262" s="206" t="s">
        <v>225</v>
      </c>
      <c r="F1262" s="170">
        <v>2500</v>
      </c>
      <c r="G1262" s="68">
        <v>0</v>
      </c>
      <c r="H1262" s="25">
        <f t="shared" si="75"/>
        <v>0</v>
      </c>
    </row>
    <row r="1263" customHeight="1" spans="1:8">
      <c r="B1263" s="211"/>
      <c r="C1263" s="103" t="s">
        <v>1719</v>
      </c>
      <c r="D1263" s="104" t="s">
        <v>1720</v>
      </c>
      <c r="E1263" s="206"/>
      <c r="F1263" s="209"/>
      <c r="G1263" s="68">
        <v>0</v>
      </c>
      <c r="H1263" s="25">
        <f t="shared" si="75"/>
        <v>0</v>
      </c>
    </row>
    <row r="1264" customHeight="1" spans="1:8">
      <c r="B1264" s="84" t="s">
        <v>1721</v>
      </c>
      <c r="C1264" s="22" t="s">
        <v>1722</v>
      </c>
      <c r="D1264" s="22" t="s">
        <v>1723</v>
      </c>
      <c r="E1264" s="86"/>
      <c r="F1264" s="170"/>
      <c r="G1264" s="68">
        <v>0</v>
      </c>
      <c r="H1264" s="25">
        <f t="shared" si="75"/>
        <v>0</v>
      </c>
    </row>
    <row r="1265" customHeight="1" spans="1:8">
      <c r="B1265" s="203" t="s">
        <v>1724</v>
      </c>
      <c r="C1265" s="22" t="s">
        <v>1725</v>
      </c>
      <c r="D1265" s="22" t="s">
        <v>1726</v>
      </c>
      <c r="E1265" s="206"/>
      <c r="F1265" s="170"/>
      <c r="G1265" s="68">
        <v>0</v>
      </c>
      <c r="H1265" s="25">
        <f t="shared" si="75"/>
        <v>0</v>
      </c>
    </row>
    <row r="1266" customHeight="1" spans="1:8">
      <c r="A1266" s="8">
        <f ca="1" t="shared" ref="A1266:A1270" si="79">COUNTA(OFFSET(A$1,0,0,ROW()-1,1))+1</f>
        <v>535</v>
      </c>
      <c r="B1266" s="203" t="s">
        <v>1727</v>
      </c>
      <c r="C1266" s="89" t="s">
        <v>1728</v>
      </c>
      <c r="D1266" s="89" t="s">
        <v>1729</v>
      </c>
      <c r="E1266" s="206" t="s">
        <v>238</v>
      </c>
      <c r="F1266" s="170">
        <v>7</v>
      </c>
      <c r="G1266" s="68">
        <v>170.78931188355</v>
      </c>
      <c r="H1266" s="25">
        <f t="shared" si="75"/>
        <v>1196</v>
      </c>
    </row>
    <row r="1267" customHeight="1" spans="1:8">
      <c r="B1267" s="203" t="s">
        <v>1730</v>
      </c>
      <c r="C1267" s="22" t="s">
        <v>1731</v>
      </c>
      <c r="D1267" s="22" t="s">
        <v>1732</v>
      </c>
      <c r="E1267" s="206"/>
      <c r="F1267" s="170"/>
      <c r="G1267" s="68">
        <v>0</v>
      </c>
      <c r="H1267" s="25">
        <f t="shared" si="75"/>
        <v>0</v>
      </c>
    </row>
    <row r="1268" customHeight="1" spans="1:8">
      <c r="A1268" s="8">
        <f ca="1" t="shared" si="79"/>
        <v>536</v>
      </c>
      <c r="B1268" s="203" t="s">
        <v>1733</v>
      </c>
      <c r="C1268" s="89" t="s">
        <v>1734</v>
      </c>
      <c r="D1268" s="89" t="s">
        <v>1735</v>
      </c>
      <c r="E1268" s="206" t="s">
        <v>238</v>
      </c>
      <c r="F1268" s="170">
        <v>4</v>
      </c>
      <c r="G1268" s="68">
        <v>8744.79424527477</v>
      </c>
      <c r="H1268" s="25">
        <f t="shared" si="75"/>
        <v>34979</v>
      </c>
    </row>
    <row r="1269" customHeight="1" spans="1:8">
      <c r="B1269" s="203" t="s">
        <v>1736</v>
      </c>
      <c r="C1269" s="22" t="s">
        <v>1737</v>
      </c>
      <c r="D1269" s="88" t="s">
        <v>1738</v>
      </c>
      <c r="E1269" s="206"/>
      <c r="F1269" s="170"/>
      <c r="G1269" s="68">
        <v>0</v>
      </c>
      <c r="H1269" s="25">
        <f t="shared" si="75"/>
        <v>0</v>
      </c>
    </row>
    <row r="1270" customHeight="1" spans="1:8">
      <c r="A1270" s="8">
        <f ca="1" t="shared" si="79"/>
        <v>537</v>
      </c>
      <c r="B1270" s="203" t="s">
        <v>1739</v>
      </c>
      <c r="C1270" s="89" t="s">
        <v>1740</v>
      </c>
      <c r="D1270" s="90" t="s">
        <v>1741</v>
      </c>
      <c r="E1270" s="206" t="s">
        <v>1742</v>
      </c>
      <c r="F1270" s="170">
        <v>4</v>
      </c>
      <c r="G1270" s="68">
        <v>8744.79424527477</v>
      </c>
      <c r="H1270" s="25">
        <f t="shared" si="75"/>
        <v>34979</v>
      </c>
    </row>
    <row r="1271" customHeight="1" spans="1:8">
      <c r="B1271" s="203" t="s">
        <v>1743</v>
      </c>
      <c r="C1271" s="22" t="s">
        <v>1744</v>
      </c>
      <c r="D1271" s="88" t="s">
        <v>1681</v>
      </c>
      <c r="E1271" s="206"/>
      <c r="F1271" s="170"/>
      <c r="G1271" s="68">
        <v>0</v>
      </c>
      <c r="H1271" s="25">
        <f t="shared" si="75"/>
        <v>0</v>
      </c>
    </row>
    <row r="1272" customHeight="1" spans="1:8">
      <c r="B1272" s="203" t="s">
        <v>1745</v>
      </c>
      <c r="C1272" s="89" t="s">
        <v>1715</v>
      </c>
      <c r="D1272" s="90" t="s">
        <v>1716</v>
      </c>
      <c r="E1272" s="206"/>
      <c r="F1272" s="170"/>
      <c r="G1272" s="68">
        <v>0</v>
      </c>
      <c r="H1272" s="25">
        <f t="shared" si="75"/>
        <v>0</v>
      </c>
    </row>
    <row r="1273" customHeight="1" spans="1:8">
      <c r="B1273" s="21"/>
      <c r="C1273" s="103" t="s">
        <v>1746</v>
      </c>
      <c r="D1273" s="104" t="s">
        <v>1747</v>
      </c>
      <c r="E1273" s="105"/>
      <c r="F1273" s="209"/>
      <c r="G1273" s="68">
        <v>0</v>
      </c>
      <c r="H1273" s="25">
        <f t="shared" si="75"/>
        <v>0</v>
      </c>
    </row>
    <row r="1274" customHeight="1" spans="1:8">
      <c r="B1274" s="84"/>
      <c r="C1274" s="91"/>
      <c r="D1274" s="91"/>
      <c r="E1274" s="86"/>
      <c r="F1274" s="170"/>
      <c r="G1274" s="68">
        <v>0</v>
      </c>
      <c r="H1274" s="25">
        <f t="shared" si="75"/>
        <v>0</v>
      </c>
    </row>
    <row r="1275" customHeight="1" spans="1:8">
      <c r="B1275" s="84" t="s">
        <v>1748</v>
      </c>
      <c r="C1275" s="22" t="s">
        <v>1749</v>
      </c>
      <c r="D1275" s="88" t="s">
        <v>1750</v>
      </c>
      <c r="E1275" s="86"/>
      <c r="F1275" s="170"/>
      <c r="G1275" s="68">
        <v>0</v>
      </c>
      <c r="H1275" s="25">
        <f t="shared" si="75"/>
        <v>0</v>
      </c>
    </row>
    <row r="1276" customHeight="1" spans="1:8">
      <c r="B1276" s="203" t="s">
        <v>1751</v>
      </c>
      <c r="C1276" s="22" t="s">
        <v>1752</v>
      </c>
      <c r="D1276" s="88" t="s">
        <v>1753</v>
      </c>
      <c r="E1276" s="206"/>
      <c r="F1276" s="170"/>
      <c r="G1276" s="68">
        <v>0</v>
      </c>
      <c r="H1276" s="25">
        <f t="shared" si="75"/>
        <v>0</v>
      </c>
    </row>
    <row r="1277" customHeight="1" spans="1:8">
      <c r="A1277" s="8">
        <f ca="1" t="shared" ref="A1277:A1282" si="80">COUNTA(OFFSET(A$1,0,0,ROW()-1,1))+1</f>
        <v>538</v>
      </c>
      <c r="B1277" s="203" t="s">
        <v>1754</v>
      </c>
      <c r="C1277" s="89" t="s">
        <v>1755</v>
      </c>
      <c r="D1277" s="90" t="s">
        <v>1756</v>
      </c>
      <c r="E1277" s="206" t="s">
        <v>238</v>
      </c>
      <c r="F1277" s="170">
        <v>24</v>
      </c>
      <c r="G1277" s="68">
        <v>5101.5822705825</v>
      </c>
      <c r="H1277" s="25">
        <f t="shared" si="75"/>
        <v>122438</v>
      </c>
    </row>
    <row r="1278" customHeight="1" spans="1:8">
      <c r="B1278" s="203" t="s">
        <v>1757</v>
      </c>
      <c r="C1278" s="22" t="s">
        <v>1758</v>
      </c>
      <c r="D1278" s="88" t="s">
        <v>1759</v>
      </c>
      <c r="E1278" s="206"/>
      <c r="F1278" s="170"/>
      <c r="G1278" s="68">
        <v>0</v>
      </c>
      <c r="H1278" s="25">
        <f t="shared" si="75"/>
        <v>0</v>
      </c>
    </row>
    <row r="1279" customHeight="1" spans="1:8">
      <c r="A1279" s="8">
        <f ca="1" t="shared" si="80"/>
        <v>539</v>
      </c>
      <c r="B1279" s="203" t="s">
        <v>1760</v>
      </c>
      <c r="C1279" s="89" t="s">
        <v>1761</v>
      </c>
      <c r="D1279" s="90" t="s">
        <v>1762</v>
      </c>
      <c r="E1279" s="206" t="s">
        <v>238</v>
      </c>
      <c r="F1279" s="170">
        <v>24</v>
      </c>
      <c r="G1279" s="68">
        <v>3507.39854091294</v>
      </c>
      <c r="H1279" s="25">
        <f t="shared" si="75"/>
        <v>84178</v>
      </c>
    </row>
    <row r="1280" customHeight="1" spans="1:8">
      <c r="A1280" s="8">
        <f ca="1" t="shared" si="80"/>
        <v>540</v>
      </c>
      <c r="B1280" s="203" t="s">
        <v>1763</v>
      </c>
      <c r="C1280" s="89" t="s">
        <v>1764</v>
      </c>
      <c r="D1280" s="90" t="s">
        <v>1765</v>
      </c>
      <c r="E1280" s="206" t="s">
        <v>238</v>
      </c>
      <c r="F1280" s="170">
        <v>24</v>
      </c>
      <c r="G1280" s="68">
        <v>3507.39854091294</v>
      </c>
      <c r="H1280" s="25">
        <f t="shared" si="75"/>
        <v>84178</v>
      </c>
    </row>
    <row r="1281" customHeight="1" spans="1:8">
      <c r="A1281" s="8">
        <f ca="1" t="shared" si="80"/>
        <v>541</v>
      </c>
      <c r="B1281" s="203" t="s">
        <v>1766</v>
      </c>
      <c r="C1281" s="89" t="s">
        <v>1767</v>
      </c>
      <c r="D1281" s="90" t="s">
        <v>1768</v>
      </c>
      <c r="E1281" s="206" t="s">
        <v>238</v>
      </c>
      <c r="F1281" s="170">
        <v>24</v>
      </c>
      <c r="G1281" s="68">
        <v>3507.39854091294</v>
      </c>
      <c r="H1281" s="25">
        <f t="shared" si="75"/>
        <v>84178</v>
      </c>
    </row>
    <row r="1282" customHeight="1" spans="1:8">
      <c r="A1282" s="8">
        <f ca="1" t="shared" si="80"/>
        <v>542</v>
      </c>
      <c r="B1282" s="203" t="s">
        <v>1769</v>
      </c>
      <c r="C1282" s="89" t="s">
        <v>1770</v>
      </c>
      <c r="D1282" s="90" t="s">
        <v>1771</v>
      </c>
      <c r="E1282" s="206" t="s">
        <v>238</v>
      </c>
      <c r="F1282" s="170">
        <v>24</v>
      </c>
      <c r="G1282" s="68">
        <v>3507.39854091294</v>
      </c>
      <c r="H1282" s="25">
        <f t="shared" si="75"/>
        <v>84178</v>
      </c>
    </row>
    <row r="1283" customHeight="1" spans="1:8">
      <c r="B1283" s="203" t="s">
        <v>1772</v>
      </c>
      <c r="C1283" s="22" t="s">
        <v>1773</v>
      </c>
      <c r="D1283" s="88" t="s">
        <v>1774</v>
      </c>
      <c r="E1283" s="206"/>
      <c r="F1283" s="170"/>
      <c r="G1283" s="68">
        <v>0</v>
      </c>
      <c r="H1283" s="25">
        <f t="shared" si="75"/>
        <v>0</v>
      </c>
    </row>
    <row r="1284" customHeight="1" spans="1:8">
      <c r="A1284" s="8">
        <f ca="1" t="shared" ref="A1284:A1288" si="81">COUNTA(OFFSET(A$1,0,0,ROW()-1,1))+1</f>
        <v>543</v>
      </c>
      <c r="B1284" s="203" t="s">
        <v>1775</v>
      </c>
      <c r="C1284" s="89" t="s">
        <v>1776</v>
      </c>
      <c r="D1284" s="89" t="s">
        <v>1777</v>
      </c>
      <c r="E1284" s="206" t="s">
        <v>238</v>
      </c>
      <c r="F1284" s="170">
        <v>644</v>
      </c>
      <c r="G1284" s="68">
        <v>3.53552805212056</v>
      </c>
      <c r="H1284" s="25">
        <f t="shared" si="75"/>
        <v>2277</v>
      </c>
    </row>
    <row r="1285" customHeight="1" spans="1:8">
      <c r="B1285" s="203" t="s">
        <v>1778</v>
      </c>
      <c r="C1285" s="22" t="s">
        <v>1779</v>
      </c>
      <c r="D1285" s="88" t="s">
        <v>1780</v>
      </c>
      <c r="E1285" s="206"/>
      <c r="F1285" s="170"/>
      <c r="G1285" s="68">
        <v>0</v>
      </c>
      <c r="H1285" s="25">
        <f t="shared" si="75"/>
        <v>0</v>
      </c>
    </row>
    <row r="1286" customHeight="1" spans="1:8">
      <c r="A1286" s="8">
        <f ca="1" t="shared" si="81"/>
        <v>544</v>
      </c>
      <c r="B1286" s="203" t="s">
        <v>1781</v>
      </c>
      <c r="C1286" s="89" t="s">
        <v>1782</v>
      </c>
      <c r="D1286" s="90" t="s">
        <v>1783</v>
      </c>
      <c r="E1286" s="206" t="s">
        <v>238</v>
      </c>
      <c r="F1286" s="170">
        <v>24</v>
      </c>
      <c r="G1286" s="68">
        <v>1594.37806530946</v>
      </c>
      <c r="H1286" s="25">
        <f t="shared" si="75"/>
        <v>38265</v>
      </c>
    </row>
    <row r="1287" customHeight="1" spans="1:8">
      <c r="A1287" s="8">
        <f ca="1" t="shared" si="81"/>
        <v>545</v>
      </c>
      <c r="B1287" s="203" t="s">
        <v>1784</v>
      </c>
      <c r="C1287" s="89" t="s">
        <v>1785</v>
      </c>
      <c r="D1287" s="89" t="s">
        <v>1786</v>
      </c>
      <c r="E1287" s="206" t="s">
        <v>238</v>
      </c>
      <c r="F1287" s="170">
        <v>408</v>
      </c>
      <c r="G1287" s="68">
        <v>87.1405126331125</v>
      </c>
      <c r="H1287" s="25">
        <f t="shared" si="75"/>
        <v>35553</v>
      </c>
    </row>
    <row r="1288" customHeight="1" spans="1:8">
      <c r="A1288" s="8">
        <f ca="1" t="shared" si="81"/>
        <v>546</v>
      </c>
      <c r="B1288" s="203" t="s">
        <v>1787</v>
      </c>
      <c r="C1288" s="89" t="s">
        <v>1788</v>
      </c>
      <c r="D1288" s="89" t="s">
        <v>1789</v>
      </c>
      <c r="E1288" s="206" t="s">
        <v>238</v>
      </c>
      <c r="F1288" s="170">
        <v>24</v>
      </c>
      <c r="G1288" s="68">
        <v>2.26018106838491</v>
      </c>
      <c r="H1288" s="25">
        <f t="shared" ref="H1288:H1351" si="82">IFERROR(ROUND(G1288*F1288,0),0)</f>
        <v>54</v>
      </c>
    </row>
    <row r="1289" customHeight="1" spans="1:8">
      <c r="B1289" s="203" t="s">
        <v>1790</v>
      </c>
      <c r="C1289" s="22" t="s">
        <v>1791</v>
      </c>
      <c r="D1289" s="88" t="s">
        <v>1792</v>
      </c>
      <c r="E1289" s="206"/>
      <c r="F1289" s="170"/>
      <c r="G1289" s="68">
        <v>0</v>
      </c>
      <c r="H1289" s="25">
        <f t="shared" si="82"/>
        <v>0</v>
      </c>
    </row>
    <row r="1290" customHeight="1" spans="1:8">
      <c r="B1290" s="203" t="s">
        <v>1793</v>
      </c>
      <c r="C1290" s="89" t="s">
        <v>1794</v>
      </c>
      <c r="D1290" s="90" t="s">
        <v>1795</v>
      </c>
      <c r="E1290" s="206" t="s">
        <v>1742</v>
      </c>
      <c r="F1290" s="170"/>
      <c r="G1290" s="68">
        <v>0</v>
      </c>
      <c r="H1290" s="25">
        <f t="shared" si="82"/>
        <v>0</v>
      </c>
    </row>
    <row r="1291" customHeight="1" spans="1:8">
      <c r="A1291" s="8">
        <f ca="1" t="shared" ref="A1291:A1294" si="83">COUNTA(OFFSET(A$1,0,0,ROW()-1,1))+1</f>
        <v>547</v>
      </c>
      <c r="B1291" s="203" t="s">
        <v>1796</v>
      </c>
      <c r="C1291" s="22" t="s">
        <v>1797</v>
      </c>
      <c r="D1291" s="22" t="s">
        <v>1797</v>
      </c>
      <c r="E1291" s="206" t="s">
        <v>225</v>
      </c>
      <c r="F1291" s="170">
        <v>150</v>
      </c>
      <c r="G1291" s="68">
        <v>98.2853427446489</v>
      </c>
      <c r="H1291" s="25">
        <f t="shared" si="82"/>
        <v>14743</v>
      </c>
    </row>
    <row r="1292" customHeight="1" spans="1:8">
      <c r="A1292" s="8">
        <f ca="1" t="shared" si="83"/>
        <v>548</v>
      </c>
      <c r="B1292" s="203" t="s">
        <v>1798</v>
      </c>
      <c r="C1292" s="22" t="s">
        <v>1799</v>
      </c>
      <c r="D1292" s="22" t="s">
        <v>1799</v>
      </c>
      <c r="E1292" s="206" t="s">
        <v>225</v>
      </c>
      <c r="F1292" s="170">
        <v>6000</v>
      </c>
      <c r="G1292" s="68">
        <v>20.9970867685494</v>
      </c>
      <c r="H1292" s="25">
        <f t="shared" si="82"/>
        <v>125983</v>
      </c>
    </row>
    <row r="1293" customHeight="1" spans="1:8">
      <c r="A1293" s="8">
        <f ca="1" t="shared" si="83"/>
        <v>549</v>
      </c>
      <c r="B1293" s="203" t="s">
        <v>1800</v>
      </c>
      <c r="C1293" s="22" t="s">
        <v>1718</v>
      </c>
      <c r="D1293" s="22" t="s">
        <v>1718</v>
      </c>
      <c r="E1293" s="206" t="s">
        <v>225</v>
      </c>
      <c r="F1293" s="170">
        <v>6000</v>
      </c>
      <c r="G1293" s="68">
        <v>15.6496837813437</v>
      </c>
      <c r="H1293" s="25">
        <f t="shared" si="82"/>
        <v>93898</v>
      </c>
    </row>
    <row r="1294" customHeight="1" spans="1:8">
      <c r="A1294" s="8">
        <f ca="1" t="shared" si="83"/>
        <v>550</v>
      </c>
      <c r="B1294" s="203" t="s">
        <v>1801</v>
      </c>
      <c r="C1294" s="22" t="s">
        <v>1802</v>
      </c>
      <c r="D1294" s="22" t="s">
        <v>1802</v>
      </c>
      <c r="E1294" s="206" t="s">
        <v>225</v>
      </c>
      <c r="F1294" s="170">
        <v>6000</v>
      </c>
      <c r="G1294" s="68">
        <v>10.5601980530819</v>
      </c>
      <c r="H1294" s="25">
        <f t="shared" si="82"/>
        <v>63361</v>
      </c>
    </row>
    <row r="1295" customHeight="1" spans="1:8">
      <c r="B1295" s="84" t="s">
        <v>1803</v>
      </c>
      <c r="C1295" s="22" t="s">
        <v>1804</v>
      </c>
      <c r="D1295" s="88" t="s">
        <v>1805</v>
      </c>
      <c r="E1295" s="86"/>
      <c r="F1295" s="170"/>
      <c r="G1295" s="68">
        <v>0</v>
      </c>
      <c r="H1295" s="25">
        <f t="shared" si="82"/>
        <v>0</v>
      </c>
    </row>
    <row r="1296" customHeight="1" spans="1:8">
      <c r="A1296" s="8">
        <f ca="1" t="shared" ref="A1296:A1298" si="84">COUNTA(OFFSET(A$1,0,0,ROW()-1,1))+1</f>
        <v>551</v>
      </c>
      <c r="B1296" s="84" t="s">
        <v>1806</v>
      </c>
      <c r="C1296" s="89" t="s">
        <v>1807</v>
      </c>
      <c r="D1296" s="90" t="s">
        <v>1808</v>
      </c>
      <c r="E1296" s="86" t="s">
        <v>1742</v>
      </c>
      <c r="F1296" s="170">
        <v>1</v>
      </c>
      <c r="G1296" s="68">
        <v>0</v>
      </c>
      <c r="H1296" s="25">
        <f t="shared" si="82"/>
        <v>0</v>
      </c>
    </row>
    <row r="1297" customHeight="1" spans="1:8">
      <c r="A1297" s="8">
        <f ca="1" t="shared" si="84"/>
        <v>552</v>
      </c>
      <c r="B1297" s="203" t="s">
        <v>1809</v>
      </c>
      <c r="C1297" s="22" t="s">
        <v>1810</v>
      </c>
      <c r="D1297" s="22" t="s">
        <v>1811</v>
      </c>
      <c r="E1297" s="206" t="s">
        <v>225</v>
      </c>
      <c r="F1297" s="170">
        <v>4000</v>
      </c>
      <c r="G1297" s="68">
        <v>51.2564429165267</v>
      </c>
      <c r="H1297" s="25">
        <f t="shared" si="82"/>
        <v>205026</v>
      </c>
    </row>
    <row r="1298" customHeight="1" spans="1:8">
      <c r="A1298" s="8">
        <f ca="1" t="shared" si="84"/>
        <v>553</v>
      </c>
      <c r="B1298" s="203" t="s">
        <v>1812</v>
      </c>
      <c r="C1298" s="22" t="s">
        <v>1813</v>
      </c>
      <c r="D1298" s="22" t="s">
        <v>1814</v>
      </c>
      <c r="E1298" s="206" t="s">
        <v>225</v>
      </c>
      <c r="F1298" s="170">
        <v>1500</v>
      </c>
      <c r="G1298" s="68">
        <v>7.63038243067605</v>
      </c>
      <c r="H1298" s="25">
        <f t="shared" si="82"/>
        <v>11446</v>
      </c>
    </row>
    <row r="1299" customHeight="1" spans="1:8">
      <c r="B1299" s="84" t="s">
        <v>1815</v>
      </c>
      <c r="C1299" s="22" t="s">
        <v>1816</v>
      </c>
      <c r="D1299" s="88" t="s">
        <v>1817</v>
      </c>
      <c r="E1299" s="86"/>
      <c r="F1299" s="170"/>
      <c r="G1299" s="68">
        <v>0</v>
      </c>
      <c r="H1299" s="25">
        <f t="shared" si="82"/>
        <v>0</v>
      </c>
    </row>
    <row r="1300" customHeight="1" spans="1:8">
      <c r="A1300" s="8">
        <f ca="1">COUNTA(OFFSET(A$1,0,0,ROW()-1,1))+1</f>
        <v>554</v>
      </c>
      <c r="B1300" s="203" t="s">
        <v>1818</v>
      </c>
      <c r="C1300" s="89" t="s">
        <v>1819</v>
      </c>
      <c r="D1300" s="90" t="s">
        <v>1820</v>
      </c>
      <c r="E1300" s="206" t="s">
        <v>1742</v>
      </c>
      <c r="F1300" s="170">
        <v>24</v>
      </c>
      <c r="G1300" s="68">
        <v>799.342356980692</v>
      </c>
      <c r="H1300" s="25">
        <f t="shared" si="82"/>
        <v>19184</v>
      </c>
    </row>
    <row r="1301" customHeight="1" spans="1:8">
      <c r="B1301" s="203" t="s">
        <v>1821</v>
      </c>
      <c r="C1301" s="22" t="s">
        <v>1744</v>
      </c>
      <c r="D1301" s="88" t="s">
        <v>1681</v>
      </c>
      <c r="E1301" s="206"/>
      <c r="F1301" s="170"/>
      <c r="G1301" s="68">
        <v>0</v>
      </c>
      <c r="H1301" s="25">
        <f t="shared" si="82"/>
        <v>0</v>
      </c>
    </row>
    <row r="1302" customHeight="1" spans="1:8">
      <c r="B1302" s="203" t="s">
        <v>1822</v>
      </c>
      <c r="C1302" s="89" t="s">
        <v>1715</v>
      </c>
      <c r="D1302" s="90" t="s">
        <v>1716</v>
      </c>
      <c r="E1302" s="206"/>
      <c r="F1302" s="170"/>
      <c r="G1302" s="68">
        <v>0</v>
      </c>
      <c r="H1302" s="25">
        <f t="shared" si="82"/>
        <v>0</v>
      </c>
    </row>
    <row r="1303" customHeight="1" spans="1:8">
      <c r="B1303" s="21"/>
      <c r="C1303" s="103" t="s">
        <v>1823</v>
      </c>
      <c r="D1303" s="104" t="s">
        <v>1824</v>
      </c>
      <c r="E1303" s="105"/>
      <c r="F1303" s="209"/>
      <c r="G1303" s="68">
        <v>0</v>
      </c>
      <c r="H1303" s="25">
        <f t="shared" si="82"/>
        <v>0</v>
      </c>
    </row>
    <row r="1304" customHeight="1" spans="1:8">
      <c r="B1304" s="84"/>
      <c r="C1304" s="91"/>
      <c r="D1304" s="91"/>
      <c r="E1304" s="86"/>
      <c r="F1304" s="170"/>
      <c r="G1304" s="68">
        <v>0</v>
      </c>
      <c r="H1304" s="25">
        <f t="shared" si="82"/>
        <v>0</v>
      </c>
    </row>
    <row r="1305" customHeight="1" spans="1:8">
      <c r="B1305" s="84" t="s">
        <v>1825</v>
      </c>
      <c r="C1305" s="22" t="s">
        <v>1826</v>
      </c>
      <c r="D1305" s="22" t="s">
        <v>1827</v>
      </c>
      <c r="E1305" s="86"/>
      <c r="F1305" s="170"/>
      <c r="G1305" s="68">
        <v>0</v>
      </c>
      <c r="H1305" s="25">
        <f t="shared" si="82"/>
        <v>0</v>
      </c>
    </row>
    <row r="1306" customHeight="1" spans="1:8">
      <c r="B1306" s="203" t="s">
        <v>1828</v>
      </c>
      <c r="C1306" s="22" t="s">
        <v>1829</v>
      </c>
      <c r="D1306" s="22" t="s">
        <v>1830</v>
      </c>
      <c r="E1306" s="206"/>
      <c r="F1306" s="170"/>
      <c r="G1306" s="68">
        <v>0</v>
      </c>
      <c r="H1306" s="25">
        <f t="shared" si="82"/>
        <v>0</v>
      </c>
    </row>
    <row r="1307" customHeight="1" spans="1:8">
      <c r="A1307" s="8">
        <f ca="1">COUNTA(OFFSET(A$1,0,0,ROW()-1,1))+1</f>
        <v>555</v>
      </c>
      <c r="B1307" s="203" t="s">
        <v>1831</v>
      </c>
      <c r="C1307" s="89" t="s">
        <v>1832</v>
      </c>
      <c r="D1307" s="90" t="s">
        <v>1833</v>
      </c>
      <c r="E1307" s="206" t="s">
        <v>238</v>
      </c>
      <c r="F1307" s="170">
        <v>11</v>
      </c>
      <c r="G1307" s="68">
        <v>398.7345384</v>
      </c>
      <c r="H1307" s="25">
        <f t="shared" si="82"/>
        <v>4386</v>
      </c>
    </row>
    <row r="1308" customHeight="1" spans="1:8">
      <c r="A1308" s="8">
        <f ca="1">COUNTA(OFFSET(A$1,0,0,ROW()-1,1))+1</f>
        <v>556</v>
      </c>
      <c r="B1308" s="203" t="s">
        <v>1834</v>
      </c>
      <c r="C1308" s="22" t="s">
        <v>1835</v>
      </c>
      <c r="D1308" s="22" t="s">
        <v>1835</v>
      </c>
      <c r="E1308" s="206" t="s">
        <v>225</v>
      </c>
      <c r="F1308" s="170">
        <v>600</v>
      </c>
      <c r="G1308" s="68">
        <v>452.09688552378</v>
      </c>
      <c r="H1308" s="25">
        <f t="shared" si="82"/>
        <v>271258</v>
      </c>
    </row>
    <row r="1309" customHeight="1" spans="1:8">
      <c r="B1309" s="203" t="s">
        <v>1836</v>
      </c>
      <c r="C1309" s="22" t="s">
        <v>1744</v>
      </c>
      <c r="D1309" s="88" t="s">
        <v>1681</v>
      </c>
      <c r="E1309" s="206"/>
      <c r="F1309" s="170"/>
      <c r="G1309" s="68">
        <v>0</v>
      </c>
      <c r="H1309" s="25">
        <f t="shared" si="82"/>
        <v>0</v>
      </c>
    </row>
    <row r="1310" customHeight="1" spans="1:8">
      <c r="B1310" s="203" t="s">
        <v>1837</v>
      </c>
      <c r="C1310" s="89" t="s">
        <v>1715</v>
      </c>
      <c r="D1310" s="90" t="s">
        <v>1716</v>
      </c>
      <c r="E1310" s="206"/>
      <c r="F1310" s="170"/>
      <c r="G1310" s="68">
        <v>0</v>
      </c>
      <c r="H1310" s="25">
        <f t="shared" si="82"/>
        <v>0</v>
      </c>
    </row>
    <row r="1311" customHeight="1" spans="1:8">
      <c r="B1311" s="21"/>
      <c r="C1311" s="103" t="s">
        <v>1838</v>
      </c>
      <c r="D1311" s="103" t="s">
        <v>1839</v>
      </c>
      <c r="E1311" s="105"/>
      <c r="F1311" s="209"/>
      <c r="G1311" s="68">
        <v>0</v>
      </c>
      <c r="H1311" s="25">
        <f t="shared" si="82"/>
        <v>0</v>
      </c>
    </row>
    <row r="1312" customHeight="1" spans="1:8">
      <c r="B1312" s="84"/>
      <c r="C1312" s="91"/>
      <c r="D1312" s="91"/>
      <c r="E1312" s="86"/>
      <c r="F1312" s="170"/>
      <c r="G1312" s="68">
        <v>0</v>
      </c>
      <c r="H1312" s="25">
        <f t="shared" si="82"/>
        <v>0</v>
      </c>
    </row>
    <row r="1313" customHeight="1" spans="1:8">
      <c r="B1313" s="84" t="s">
        <v>1840</v>
      </c>
      <c r="C1313" s="22" t="s">
        <v>1841</v>
      </c>
      <c r="D1313" s="22" t="s">
        <v>1841</v>
      </c>
      <c r="E1313" s="86"/>
      <c r="F1313" s="170"/>
      <c r="G1313" s="68">
        <v>0</v>
      </c>
      <c r="H1313" s="25">
        <f t="shared" si="82"/>
        <v>0</v>
      </c>
    </row>
    <row r="1314" customHeight="1" spans="1:8">
      <c r="B1314" s="203" t="s">
        <v>1842</v>
      </c>
      <c r="C1314" s="22" t="s">
        <v>1843</v>
      </c>
      <c r="D1314" s="22" t="s">
        <v>1844</v>
      </c>
      <c r="E1314" s="206"/>
      <c r="F1314" s="170"/>
      <c r="G1314" s="68">
        <v>0</v>
      </c>
      <c r="H1314" s="25">
        <f t="shared" si="82"/>
        <v>0</v>
      </c>
    </row>
    <row r="1315" customHeight="1" spans="1:8">
      <c r="A1315" s="8">
        <f ca="1" t="shared" ref="A1315:A1317" si="85">COUNTA(OFFSET(A$1,0,0,ROW()-1,1))+1</f>
        <v>557</v>
      </c>
      <c r="B1315" s="84" t="s">
        <v>1845</v>
      </c>
      <c r="C1315" s="89" t="s">
        <v>1846</v>
      </c>
      <c r="D1315" s="89" t="s">
        <v>1847</v>
      </c>
      <c r="E1315" s="86" t="s">
        <v>238</v>
      </c>
      <c r="F1315" s="170">
        <v>2</v>
      </c>
      <c r="G1315" s="68">
        <v>32078.3547007972</v>
      </c>
      <c r="H1315" s="25">
        <f t="shared" si="82"/>
        <v>64157</v>
      </c>
    </row>
    <row r="1316" customHeight="1" spans="1:8">
      <c r="A1316" s="8">
        <f ca="1" t="shared" si="85"/>
        <v>558</v>
      </c>
      <c r="B1316" s="84" t="s">
        <v>1848</v>
      </c>
      <c r="C1316" s="89" t="s">
        <v>1849</v>
      </c>
      <c r="D1316" s="89" t="s">
        <v>1850</v>
      </c>
      <c r="E1316" s="86" t="s">
        <v>238</v>
      </c>
      <c r="F1316" s="170">
        <v>2</v>
      </c>
      <c r="G1316" s="68">
        <v>194.680107406004</v>
      </c>
      <c r="H1316" s="25">
        <f t="shared" si="82"/>
        <v>389</v>
      </c>
    </row>
    <row r="1317" customHeight="1" spans="1:8">
      <c r="A1317" s="8">
        <f ca="1" t="shared" si="85"/>
        <v>559</v>
      </c>
      <c r="B1317" s="84" t="s">
        <v>1851</v>
      </c>
      <c r="C1317" s="89" t="s">
        <v>1852</v>
      </c>
      <c r="D1317" s="90" t="s">
        <v>1853</v>
      </c>
      <c r="E1317" s="86" t="s">
        <v>238</v>
      </c>
      <c r="F1317" s="170">
        <v>1</v>
      </c>
      <c r="G1317" s="68">
        <v>1059.85894023449</v>
      </c>
      <c r="H1317" s="25">
        <f t="shared" si="82"/>
        <v>1060</v>
      </c>
    </row>
    <row r="1318" customHeight="1" spans="1:8">
      <c r="B1318" s="84" t="s">
        <v>1854</v>
      </c>
      <c r="C1318" s="22" t="s">
        <v>1855</v>
      </c>
      <c r="D1318" s="22" t="s">
        <v>1856</v>
      </c>
      <c r="E1318" s="86"/>
      <c r="F1318" s="170"/>
      <c r="G1318" s="68">
        <v>0</v>
      </c>
      <c r="H1318" s="25">
        <f t="shared" si="82"/>
        <v>0</v>
      </c>
    </row>
    <row r="1319" customHeight="1" spans="1:8">
      <c r="A1319" s="8">
        <f ca="1" t="shared" ref="A1319:A1322" si="86">COUNTA(OFFSET(A$1,0,0,ROW()-1,1))+1</f>
        <v>560</v>
      </c>
      <c r="B1319" s="84" t="s">
        <v>1857</v>
      </c>
      <c r="C1319" s="89" t="s">
        <v>1858</v>
      </c>
      <c r="D1319" s="89" t="s">
        <v>1859</v>
      </c>
      <c r="E1319" s="86" t="s">
        <v>238</v>
      </c>
      <c r="F1319" s="170">
        <v>1</v>
      </c>
      <c r="G1319" s="68">
        <v>1041.51488474235</v>
      </c>
      <c r="H1319" s="25">
        <f t="shared" si="82"/>
        <v>1042</v>
      </c>
    </row>
    <row r="1320" customHeight="1" spans="1:8">
      <c r="A1320" s="8">
        <f ca="1" t="shared" si="86"/>
        <v>561</v>
      </c>
      <c r="B1320" s="84" t="s">
        <v>1860</v>
      </c>
      <c r="C1320" s="89" t="s">
        <v>1861</v>
      </c>
      <c r="D1320" s="89" t="s">
        <v>1862</v>
      </c>
      <c r="E1320" s="86" t="s">
        <v>238</v>
      </c>
      <c r="F1320" s="170">
        <v>1</v>
      </c>
      <c r="G1320" s="68">
        <v>882.096511775399</v>
      </c>
      <c r="H1320" s="25">
        <f t="shared" si="82"/>
        <v>882</v>
      </c>
    </row>
    <row r="1321" customHeight="1" spans="1:8">
      <c r="A1321" s="8">
        <f ca="1" t="shared" si="86"/>
        <v>562</v>
      </c>
      <c r="B1321" s="84" t="s">
        <v>1863</v>
      </c>
      <c r="C1321" s="89" t="s">
        <v>1864</v>
      </c>
      <c r="D1321" s="89" t="s">
        <v>1865</v>
      </c>
      <c r="E1321" s="86" t="s">
        <v>238</v>
      </c>
      <c r="F1321" s="170">
        <v>4</v>
      </c>
      <c r="G1321" s="68">
        <v>882.096511775399</v>
      </c>
      <c r="H1321" s="25">
        <f t="shared" si="82"/>
        <v>3528</v>
      </c>
    </row>
    <row r="1322" customHeight="1" spans="1:8">
      <c r="A1322" s="8">
        <f ca="1" t="shared" si="86"/>
        <v>563</v>
      </c>
      <c r="B1322" s="84" t="s">
        <v>1866</v>
      </c>
      <c r="C1322" s="89" t="s">
        <v>1867</v>
      </c>
      <c r="D1322" s="89" t="s">
        <v>1868</v>
      </c>
      <c r="E1322" s="86" t="s">
        <v>238</v>
      </c>
      <c r="F1322" s="170">
        <v>4</v>
      </c>
      <c r="G1322" s="68">
        <v>882.096511775399</v>
      </c>
      <c r="H1322" s="25">
        <f t="shared" si="82"/>
        <v>3528</v>
      </c>
    </row>
    <row r="1323" customHeight="1" spans="1:8">
      <c r="B1323" s="84" t="s">
        <v>1869</v>
      </c>
      <c r="C1323" s="22" t="s">
        <v>1870</v>
      </c>
      <c r="D1323" s="22" t="s">
        <v>1871</v>
      </c>
      <c r="E1323" s="86"/>
      <c r="F1323" s="170"/>
      <c r="G1323" s="68">
        <v>0</v>
      </c>
      <c r="H1323" s="25">
        <f t="shared" si="82"/>
        <v>0</v>
      </c>
    </row>
    <row r="1324" customHeight="1" spans="1:8">
      <c r="A1324" s="8">
        <f ca="1" t="shared" ref="A1324:A1328" si="87">COUNTA(OFFSET(A$1,0,0,ROW()-1,1))+1</f>
        <v>564</v>
      </c>
      <c r="B1324" s="84" t="s">
        <v>1872</v>
      </c>
      <c r="C1324" s="89" t="s">
        <v>1873</v>
      </c>
      <c r="D1324" s="90" t="s">
        <v>1874</v>
      </c>
      <c r="E1324" s="86" t="s">
        <v>238</v>
      </c>
      <c r="F1324" s="170">
        <v>4</v>
      </c>
      <c r="G1324" s="68">
        <v>349.791769810991</v>
      </c>
      <c r="H1324" s="25">
        <f t="shared" si="82"/>
        <v>1399</v>
      </c>
    </row>
    <row r="1325" customHeight="1" spans="1:8">
      <c r="B1325" s="84" t="s">
        <v>1875</v>
      </c>
      <c r="C1325" s="22" t="s">
        <v>1876</v>
      </c>
      <c r="D1325" s="22" t="s">
        <v>1877</v>
      </c>
      <c r="E1325" s="86"/>
      <c r="F1325" s="170"/>
      <c r="G1325" s="68">
        <v>0</v>
      </c>
      <c r="H1325" s="25">
        <f t="shared" si="82"/>
        <v>0</v>
      </c>
    </row>
    <row r="1326" customHeight="1" spans="1:8">
      <c r="A1326" s="8">
        <f ca="1" t="shared" si="87"/>
        <v>565</v>
      </c>
      <c r="B1326" s="84" t="s">
        <v>1878</v>
      </c>
      <c r="C1326" s="89" t="s">
        <v>1879</v>
      </c>
      <c r="D1326" s="90" t="s">
        <v>1880</v>
      </c>
      <c r="E1326" s="86" t="s">
        <v>238</v>
      </c>
      <c r="F1326" s="170">
        <v>1</v>
      </c>
      <c r="G1326" s="68">
        <v>119331.617046139</v>
      </c>
      <c r="H1326" s="25">
        <f t="shared" si="82"/>
        <v>119332</v>
      </c>
    </row>
    <row r="1327" customHeight="1" spans="1:8">
      <c r="B1327" s="84" t="s">
        <v>1881</v>
      </c>
      <c r="C1327" s="22" t="s">
        <v>1882</v>
      </c>
      <c r="D1327" s="22" t="s">
        <v>1883</v>
      </c>
      <c r="E1327" s="86"/>
      <c r="F1327" s="170"/>
      <c r="G1327" s="68">
        <v>0</v>
      </c>
      <c r="H1327" s="25">
        <f t="shared" si="82"/>
        <v>0</v>
      </c>
    </row>
    <row r="1328" customHeight="1" spans="1:8">
      <c r="A1328" s="8">
        <f ca="1" t="shared" si="87"/>
        <v>566</v>
      </c>
      <c r="B1328" s="84" t="s">
        <v>1884</v>
      </c>
      <c r="C1328" s="89" t="s">
        <v>1885</v>
      </c>
      <c r="D1328" s="89" t="s">
        <v>1886</v>
      </c>
      <c r="E1328" s="86" t="s">
        <v>238</v>
      </c>
      <c r="F1328" s="170">
        <v>2</v>
      </c>
      <c r="G1328" s="68">
        <v>1218.97726615501</v>
      </c>
      <c r="H1328" s="25">
        <f t="shared" si="82"/>
        <v>2438</v>
      </c>
    </row>
    <row r="1329" customHeight="1" spans="1:8">
      <c r="B1329" s="203" t="s">
        <v>1887</v>
      </c>
      <c r="C1329" s="22" t="s">
        <v>1888</v>
      </c>
      <c r="D1329" s="88" t="s">
        <v>1889</v>
      </c>
      <c r="E1329" s="206"/>
      <c r="F1329" s="170"/>
      <c r="G1329" s="68">
        <v>0</v>
      </c>
      <c r="H1329" s="25">
        <f t="shared" si="82"/>
        <v>0</v>
      </c>
    </row>
    <row r="1330" customHeight="1" spans="1:8">
      <c r="B1330" s="203" t="s">
        <v>1890</v>
      </c>
      <c r="C1330" s="89" t="s">
        <v>1891</v>
      </c>
      <c r="D1330" s="90" t="s">
        <v>1892</v>
      </c>
      <c r="E1330" s="206"/>
      <c r="F1330" s="170"/>
      <c r="G1330" s="68">
        <v>0</v>
      </c>
      <c r="H1330" s="25">
        <f t="shared" si="82"/>
        <v>0</v>
      </c>
    </row>
    <row r="1331" customHeight="1" spans="1:8">
      <c r="B1331" s="21"/>
      <c r="C1331" s="103" t="s">
        <v>1893</v>
      </c>
      <c r="D1331" s="104" t="s">
        <v>1894</v>
      </c>
      <c r="E1331" s="105"/>
      <c r="F1331" s="209"/>
      <c r="G1331" s="68">
        <v>0</v>
      </c>
      <c r="H1331" s="25">
        <f t="shared" si="82"/>
        <v>0</v>
      </c>
    </row>
    <row r="1332" customHeight="1" spans="1:8">
      <c r="B1332" s="84"/>
      <c r="C1332" s="91"/>
      <c r="D1332" s="91"/>
      <c r="E1332" s="86"/>
      <c r="F1332" s="170"/>
      <c r="G1332" s="68">
        <v>0</v>
      </c>
      <c r="H1332" s="25">
        <f t="shared" si="82"/>
        <v>0</v>
      </c>
    </row>
    <row r="1333" customHeight="1" spans="1:8">
      <c r="B1333" s="84" t="s">
        <v>1895</v>
      </c>
      <c r="C1333" s="22" t="s">
        <v>1896</v>
      </c>
      <c r="D1333" s="88" t="s">
        <v>1897</v>
      </c>
      <c r="E1333" s="86"/>
      <c r="F1333" s="170"/>
      <c r="G1333" s="68">
        <v>0</v>
      </c>
      <c r="H1333" s="25">
        <f t="shared" si="82"/>
        <v>0</v>
      </c>
    </row>
    <row r="1334" customHeight="1" spans="1:8">
      <c r="B1334" s="84" t="s">
        <v>1898</v>
      </c>
      <c r="C1334" s="22" t="s">
        <v>1899</v>
      </c>
      <c r="D1334" s="88" t="s">
        <v>1900</v>
      </c>
      <c r="E1334" s="86"/>
      <c r="F1334" s="170"/>
      <c r="G1334" s="68">
        <v>0</v>
      </c>
      <c r="H1334" s="25">
        <f t="shared" si="82"/>
        <v>0</v>
      </c>
    </row>
    <row r="1335" customHeight="1" spans="1:8">
      <c r="B1335" s="84" t="s">
        <v>1901</v>
      </c>
      <c r="C1335" s="89" t="s">
        <v>1902</v>
      </c>
      <c r="D1335" s="90" t="s">
        <v>1903</v>
      </c>
      <c r="E1335" s="86" t="s">
        <v>1742</v>
      </c>
      <c r="F1335" s="170"/>
      <c r="G1335" s="68">
        <v>0</v>
      </c>
      <c r="H1335" s="25">
        <f t="shared" si="82"/>
        <v>0</v>
      </c>
    </row>
    <row r="1336" customHeight="1" spans="1:8">
      <c r="B1336" s="21"/>
      <c r="C1336" s="103" t="s">
        <v>1904</v>
      </c>
      <c r="D1336" s="104" t="s">
        <v>1905</v>
      </c>
      <c r="E1336" s="105"/>
      <c r="F1336" s="209"/>
      <c r="G1336" s="68">
        <v>0</v>
      </c>
      <c r="H1336" s="25">
        <f t="shared" si="82"/>
        <v>0</v>
      </c>
    </row>
    <row r="1337" customHeight="1" spans="1:8">
      <c r="B1337" s="84"/>
      <c r="C1337" s="91"/>
      <c r="D1337" s="91"/>
      <c r="E1337" s="86"/>
      <c r="F1337" s="170"/>
      <c r="G1337" s="68">
        <v>0</v>
      </c>
      <c r="H1337" s="25">
        <f t="shared" si="82"/>
        <v>0</v>
      </c>
    </row>
    <row r="1338" customHeight="1" spans="1:8">
      <c r="B1338" s="84" t="s">
        <v>1906</v>
      </c>
      <c r="C1338" s="22" t="s">
        <v>1907</v>
      </c>
      <c r="D1338" s="22" t="s">
        <v>1908</v>
      </c>
      <c r="E1338" s="86"/>
      <c r="F1338" s="107"/>
      <c r="G1338" s="68">
        <v>0</v>
      </c>
      <c r="H1338" s="25">
        <f t="shared" si="82"/>
        <v>0</v>
      </c>
    </row>
    <row r="1339" customHeight="1" spans="1:8">
      <c r="B1339" s="84" t="s">
        <v>1909</v>
      </c>
      <c r="C1339" s="22" t="s">
        <v>1910</v>
      </c>
      <c r="D1339" s="88" t="s">
        <v>1911</v>
      </c>
      <c r="E1339" s="86"/>
      <c r="F1339" s="170"/>
      <c r="G1339" s="68">
        <v>0</v>
      </c>
      <c r="H1339" s="25">
        <f t="shared" si="82"/>
        <v>0</v>
      </c>
    </row>
    <row r="1340" customHeight="1" spans="1:8">
      <c r="B1340" s="84" t="s">
        <v>1912</v>
      </c>
      <c r="C1340" s="204" t="s">
        <v>1913</v>
      </c>
      <c r="D1340" s="205" t="s">
        <v>1914</v>
      </c>
      <c r="E1340" s="86"/>
      <c r="F1340" s="170"/>
      <c r="G1340" s="68">
        <v>0</v>
      </c>
      <c r="H1340" s="25">
        <f t="shared" si="82"/>
        <v>0</v>
      </c>
    </row>
    <row r="1341" customHeight="1" spans="1:8">
      <c r="A1341" s="8">
        <f ca="1" t="shared" ref="A1341:A1346" si="88">COUNTA(OFFSET(A$1,0,0,ROW()-1,1))+1</f>
        <v>567</v>
      </c>
      <c r="B1341" s="84" t="s">
        <v>1915</v>
      </c>
      <c r="C1341" s="89" t="s">
        <v>1916</v>
      </c>
      <c r="D1341" s="90" t="s">
        <v>1917</v>
      </c>
      <c r="E1341" s="86" t="s">
        <v>238</v>
      </c>
      <c r="F1341" s="170">
        <v>3</v>
      </c>
      <c r="G1341" s="68">
        <v>874.640700201877</v>
      </c>
      <c r="H1341" s="25">
        <f t="shared" si="82"/>
        <v>2624</v>
      </c>
    </row>
    <row r="1342" customHeight="1" spans="1:8">
      <c r="A1342" s="8">
        <f ca="1" t="shared" si="88"/>
        <v>568</v>
      </c>
      <c r="B1342" s="84" t="s">
        <v>1918</v>
      </c>
      <c r="C1342" s="89" t="s">
        <v>1919</v>
      </c>
      <c r="D1342" s="90" t="s">
        <v>1920</v>
      </c>
      <c r="E1342" s="86" t="s">
        <v>238</v>
      </c>
      <c r="F1342" s="170">
        <v>2</v>
      </c>
      <c r="G1342" s="68">
        <v>874.640700201877</v>
      </c>
      <c r="H1342" s="25">
        <f t="shared" si="82"/>
        <v>1749</v>
      </c>
    </row>
    <row r="1343" customHeight="1" spans="1:8">
      <c r="A1343" s="8">
        <f ca="1" t="shared" si="88"/>
        <v>569</v>
      </c>
      <c r="B1343" s="84" t="s">
        <v>1921</v>
      </c>
      <c r="C1343" s="89" t="s">
        <v>1922</v>
      </c>
      <c r="D1343" s="90" t="s">
        <v>1923</v>
      </c>
      <c r="E1343" s="86" t="s">
        <v>238</v>
      </c>
      <c r="F1343" s="170">
        <v>1</v>
      </c>
      <c r="G1343" s="68">
        <v>715.222327234921</v>
      </c>
      <c r="H1343" s="25">
        <f t="shared" si="82"/>
        <v>715</v>
      </c>
    </row>
    <row r="1344" customHeight="1" spans="1:8">
      <c r="A1344" s="8">
        <f ca="1" t="shared" si="88"/>
        <v>570</v>
      </c>
      <c r="B1344" s="84" t="s">
        <v>1924</v>
      </c>
      <c r="C1344" s="89" t="s">
        <v>1925</v>
      </c>
      <c r="D1344" s="89" t="s">
        <v>1926</v>
      </c>
      <c r="E1344" s="86" t="s">
        <v>238</v>
      </c>
      <c r="F1344" s="170">
        <v>4</v>
      </c>
      <c r="G1344" s="68">
        <v>715.222327234921</v>
      </c>
      <c r="H1344" s="25">
        <f t="shared" si="82"/>
        <v>2861</v>
      </c>
    </row>
    <row r="1345" customHeight="1" spans="1:8">
      <c r="A1345" s="8">
        <f ca="1" t="shared" si="88"/>
        <v>571</v>
      </c>
      <c r="B1345" s="84" t="s">
        <v>1927</v>
      </c>
      <c r="C1345" s="89" t="s">
        <v>1928</v>
      </c>
      <c r="D1345" s="90" t="s">
        <v>1929</v>
      </c>
      <c r="E1345" s="86" t="s">
        <v>238</v>
      </c>
      <c r="F1345" s="170">
        <v>4</v>
      </c>
      <c r="G1345" s="68">
        <v>715.222327234921</v>
      </c>
      <c r="H1345" s="25">
        <f t="shared" si="82"/>
        <v>2861</v>
      </c>
    </row>
    <row r="1346" customHeight="1" spans="1:8">
      <c r="A1346" s="8">
        <f ca="1" t="shared" si="88"/>
        <v>572</v>
      </c>
      <c r="B1346" s="84" t="s">
        <v>1930</v>
      </c>
      <c r="C1346" s="89" t="s">
        <v>1931</v>
      </c>
      <c r="D1346" s="89" t="s">
        <v>1932</v>
      </c>
      <c r="E1346" s="86" t="s">
        <v>238</v>
      </c>
      <c r="F1346" s="170">
        <v>4</v>
      </c>
      <c r="G1346" s="68">
        <v>715.222327234921</v>
      </c>
      <c r="H1346" s="25">
        <f t="shared" si="82"/>
        <v>2861</v>
      </c>
    </row>
    <row r="1347" customHeight="1" spans="1:8">
      <c r="B1347" s="84" t="s">
        <v>1933</v>
      </c>
      <c r="C1347" s="89" t="s">
        <v>1934</v>
      </c>
      <c r="D1347" s="90" t="s">
        <v>1935</v>
      </c>
      <c r="E1347" s="86" t="s">
        <v>238</v>
      </c>
      <c r="F1347" s="170">
        <v>0</v>
      </c>
      <c r="G1347" s="68">
        <v>715.222327234921</v>
      </c>
      <c r="H1347" s="25">
        <f t="shared" si="82"/>
        <v>0</v>
      </c>
    </row>
    <row r="1348" customHeight="1" spans="1:8">
      <c r="A1348" s="8">
        <f ca="1" t="shared" ref="A1348:A1352" si="89">COUNTA(OFFSET(A$1,0,0,ROW()-1,1))+1</f>
        <v>573</v>
      </c>
      <c r="B1348" s="84" t="s">
        <v>1936</v>
      </c>
      <c r="C1348" s="89" t="s">
        <v>1937</v>
      </c>
      <c r="D1348" s="90" t="s">
        <v>1938</v>
      </c>
      <c r="E1348" s="86" t="s">
        <v>238</v>
      </c>
      <c r="F1348" s="170">
        <v>1</v>
      </c>
      <c r="G1348" s="68">
        <v>715.222327234921</v>
      </c>
      <c r="H1348" s="25">
        <f t="shared" si="82"/>
        <v>715</v>
      </c>
    </row>
    <row r="1349" customHeight="1" spans="1:8">
      <c r="B1349" s="84" t="s">
        <v>1939</v>
      </c>
      <c r="C1349" s="89" t="s">
        <v>1940</v>
      </c>
      <c r="D1349" s="90" t="s">
        <v>1941</v>
      </c>
      <c r="E1349" s="86" t="s">
        <v>238</v>
      </c>
      <c r="F1349" s="170">
        <v>0</v>
      </c>
      <c r="G1349" s="68">
        <v>715.222327234921</v>
      </c>
      <c r="H1349" s="25">
        <f t="shared" si="82"/>
        <v>0</v>
      </c>
    </row>
    <row r="1350" customHeight="1" spans="1:8">
      <c r="A1350" s="8">
        <f ca="1" t="shared" si="89"/>
        <v>574</v>
      </c>
      <c r="B1350" s="84" t="s">
        <v>1942</v>
      </c>
      <c r="C1350" s="89" t="s">
        <v>1943</v>
      </c>
      <c r="D1350" s="90" t="s">
        <v>1944</v>
      </c>
      <c r="E1350" s="86" t="s">
        <v>238</v>
      </c>
      <c r="F1350" s="170">
        <v>2</v>
      </c>
      <c r="G1350" s="68">
        <v>715.222327234921</v>
      </c>
      <c r="H1350" s="25">
        <f t="shared" si="82"/>
        <v>1430</v>
      </c>
    </row>
    <row r="1351" customHeight="1" spans="1:8">
      <c r="A1351" s="8">
        <f ca="1" t="shared" si="89"/>
        <v>575</v>
      </c>
      <c r="B1351" s="84" t="s">
        <v>1945</v>
      </c>
      <c r="C1351" s="89" t="s">
        <v>1946</v>
      </c>
      <c r="D1351" s="89" t="s">
        <v>1947</v>
      </c>
      <c r="E1351" s="86" t="s">
        <v>238</v>
      </c>
      <c r="F1351" s="170">
        <v>150</v>
      </c>
      <c r="G1351" s="68">
        <v>245.662784091363</v>
      </c>
      <c r="H1351" s="25">
        <f t="shared" si="82"/>
        <v>36849</v>
      </c>
    </row>
    <row r="1352" customHeight="1" spans="1:8">
      <c r="A1352" s="8">
        <f ca="1" t="shared" si="89"/>
        <v>576</v>
      </c>
      <c r="B1352" s="84" t="s">
        <v>1948</v>
      </c>
      <c r="C1352" s="89" t="s">
        <v>1949</v>
      </c>
      <c r="D1352" s="90" t="s">
        <v>1950</v>
      </c>
      <c r="E1352" s="86" t="s">
        <v>238</v>
      </c>
      <c r="F1352" s="170">
        <v>1</v>
      </c>
      <c r="G1352" s="68">
        <v>0</v>
      </c>
      <c r="H1352" s="25">
        <f t="shared" ref="H1352:H1415" si="90">IFERROR(ROUND(G1352*F1352,0),0)</f>
        <v>0</v>
      </c>
    </row>
    <row r="1353" customHeight="1" spans="1:8">
      <c r="B1353" s="84" t="s">
        <v>1951</v>
      </c>
      <c r="C1353" s="22" t="s">
        <v>1952</v>
      </c>
      <c r="D1353" s="88" t="s">
        <v>1953</v>
      </c>
      <c r="E1353" s="86"/>
      <c r="F1353" s="170"/>
      <c r="G1353" s="68">
        <v>0</v>
      </c>
      <c r="H1353" s="25">
        <f t="shared" si="90"/>
        <v>0</v>
      </c>
    </row>
    <row r="1354" customHeight="1" spans="1:8">
      <c r="B1354" s="84" t="s">
        <v>1954</v>
      </c>
      <c r="C1354" s="22" t="s">
        <v>1955</v>
      </c>
      <c r="D1354" s="88" t="s">
        <v>1956</v>
      </c>
      <c r="E1354" s="86"/>
      <c r="F1354" s="170"/>
      <c r="G1354" s="68">
        <v>0</v>
      </c>
      <c r="H1354" s="25">
        <f t="shared" si="90"/>
        <v>0</v>
      </c>
    </row>
    <row r="1355" customHeight="1" spans="1:8">
      <c r="B1355" s="84" t="s">
        <v>1957</v>
      </c>
      <c r="C1355" s="89" t="s">
        <v>1958</v>
      </c>
      <c r="D1355" s="90" t="s">
        <v>1959</v>
      </c>
      <c r="E1355" s="86" t="s">
        <v>225</v>
      </c>
      <c r="F1355" s="170"/>
      <c r="G1355" s="68">
        <v>0</v>
      </c>
      <c r="H1355" s="25">
        <f t="shared" si="90"/>
        <v>0</v>
      </c>
    </row>
    <row r="1356" customHeight="1" spans="1:8">
      <c r="A1356" s="8">
        <f ca="1" t="shared" ref="A1356:A1358" si="91">COUNTA(OFFSET(A$1,0,0,ROW()-1,1))+1</f>
        <v>577</v>
      </c>
      <c r="B1356" s="84" t="s">
        <v>1960</v>
      </c>
      <c r="C1356" s="89" t="s">
        <v>1961</v>
      </c>
      <c r="D1356" s="90" t="s">
        <v>1962</v>
      </c>
      <c r="E1356" s="86" t="s">
        <v>225</v>
      </c>
      <c r="F1356" s="170">
        <v>16000</v>
      </c>
      <c r="G1356" s="68">
        <v>2.46578314520806</v>
      </c>
      <c r="H1356" s="25">
        <f t="shared" si="90"/>
        <v>39453</v>
      </c>
    </row>
    <row r="1357" customHeight="1" spans="1:8">
      <c r="A1357" s="8">
        <f ca="1" t="shared" si="91"/>
        <v>578</v>
      </c>
      <c r="B1357" s="84" t="s">
        <v>1963</v>
      </c>
      <c r="C1357" s="89" t="s">
        <v>1964</v>
      </c>
      <c r="D1357" s="90" t="s">
        <v>1965</v>
      </c>
      <c r="E1357" s="86" t="s">
        <v>225</v>
      </c>
      <c r="F1357" s="170">
        <v>1000</v>
      </c>
      <c r="G1357" s="68">
        <v>2.041836</v>
      </c>
      <c r="H1357" s="25">
        <f t="shared" si="90"/>
        <v>2042</v>
      </c>
    </row>
    <row r="1358" customHeight="1" spans="1:8">
      <c r="A1358" s="8">
        <f ca="1" t="shared" si="91"/>
        <v>579</v>
      </c>
      <c r="B1358" s="84" t="s">
        <v>1966</v>
      </c>
      <c r="C1358" s="89" t="s">
        <v>1967</v>
      </c>
      <c r="D1358" s="90" t="s">
        <v>1968</v>
      </c>
      <c r="E1358" s="86" t="s">
        <v>225</v>
      </c>
      <c r="F1358" s="170">
        <v>9000</v>
      </c>
      <c r="G1358" s="68">
        <v>1.82311177900513</v>
      </c>
      <c r="H1358" s="25">
        <f t="shared" si="90"/>
        <v>16408</v>
      </c>
    </row>
    <row r="1359" customHeight="1" spans="1:8">
      <c r="B1359" s="84" t="s">
        <v>1969</v>
      </c>
      <c r="C1359" s="22" t="s">
        <v>1970</v>
      </c>
      <c r="D1359" s="88" t="s">
        <v>1971</v>
      </c>
      <c r="E1359" s="86"/>
      <c r="F1359" s="170"/>
      <c r="G1359" s="68">
        <v>0</v>
      </c>
      <c r="H1359" s="25">
        <f t="shared" si="90"/>
        <v>0</v>
      </c>
    </row>
    <row r="1360" customHeight="1" spans="1:8">
      <c r="B1360" s="84" t="s">
        <v>1972</v>
      </c>
      <c r="C1360" s="22" t="s">
        <v>1973</v>
      </c>
      <c r="D1360" s="88" t="s">
        <v>1974</v>
      </c>
      <c r="E1360" s="86"/>
      <c r="F1360" s="170"/>
      <c r="G1360" s="68">
        <v>0</v>
      </c>
      <c r="H1360" s="25">
        <f t="shared" si="90"/>
        <v>0</v>
      </c>
    </row>
    <row r="1361" customHeight="1" spans="1:8">
      <c r="B1361" s="84" t="s">
        <v>1975</v>
      </c>
      <c r="C1361" s="89" t="s">
        <v>1976</v>
      </c>
      <c r="D1361" s="90" t="s">
        <v>1977</v>
      </c>
      <c r="E1361" s="86" t="s">
        <v>238</v>
      </c>
      <c r="F1361" s="170"/>
      <c r="G1361" s="68">
        <v>0</v>
      </c>
      <c r="H1361" s="25">
        <f t="shared" si="90"/>
        <v>0</v>
      </c>
    </row>
    <row r="1362" customHeight="1" spans="1:8">
      <c r="A1362" s="8">
        <f ca="1" t="shared" ref="A1362:A1364" si="92">COUNTA(OFFSET(A$1,0,0,ROW()-1,1))+1</f>
        <v>580</v>
      </c>
      <c r="B1362" s="84" t="s">
        <v>1978</v>
      </c>
      <c r="C1362" s="89" t="s">
        <v>1979</v>
      </c>
      <c r="D1362" s="90" t="s">
        <v>1980</v>
      </c>
      <c r="E1362" s="86" t="s">
        <v>238</v>
      </c>
      <c r="F1362" s="170">
        <v>60</v>
      </c>
      <c r="G1362" s="68">
        <v>36.0324</v>
      </c>
      <c r="H1362" s="25">
        <f t="shared" si="90"/>
        <v>2162</v>
      </c>
    </row>
    <row r="1363" customHeight="1" spans="1:8">
      <c r="A1363" s="8">
        <f ca="1" t="shared" si="92"/>
        <v>581</v>
      </c>
      <c r="B1363" s="84" t="s">
        <v>1981</v>
      </c>
      <c r="C1363" s="89" t="s">
        <v>1982</v>
      </c>
      <c r="D1363" s="89" t="s">
        <v>1983</v>
      </c>
      <c r="E1363" s="86" t="s">
        <v>238</v>
      </c>
      <c r="F1363" s="170">
        <v>60</v>
      </c>
      <c r="G1363" s="68">
        <v>36.0324</v>
      </c>
      <c r="H1363" s="25">
        <f t="shared" si="90"/>
        <v>2162</v>
      </c>
    </row>
    <row r="1364" customHeight="1" spans="1:8">
      <c r="A1364" s="8">
        <f ca="1" t="shared" si="92"/>
        <v>582</v>
      </c>
      <c r="B1364" s="84" t="s">
        <v>1984</v>
      </c>
      <c r="C1364" s="89" t="s">
        <v>1985</v>
      </c>
      <c r="D1364" s="90" t="s">
        <v>1986</v>
      </c>
      <c r="E1364" s="86" t="s">
        <v>225</v>
      </c>
      <c r="F1364" s="170">
        <v>8000</v>
      </c>
      <c r="G1364" s="68">
        <v>2.36283038848571</v>
      </c>
      <c r="H1364" s="25">
        <f t="shared" si="90"/>
        <v>18903</v>
      </c>
    </row>
    <row r="1365" customHeight="1" spans="1:8">
      <c r="B1365" s="21"/>
      <c r="C1365" s="103" t="s">
        <v>1987</v>
      </c>
      <c r="D1365" s="104" t="s">
        <v>1988</v>
      </c>
      <c r="E1365" s="105"/>
      <c r="F1365" s="209"/>
      <c r="G1365" s="68">
        <v>0</v>
      </c>
      <c r="H1365" s="25">
        <f t="shared" si="90"/>
        <v>0</v>
      </c>
    </row>
    <row r="1366" customHeight="1" spans="1:8">
      <c r="B1366" s="84"/>
      <c r="C1366" s="89"/>
      <c r="D1366" s="89"/>
      <c r="E1366" s="86"/>
      <c r="F1366" s="170"/>
      <c r="G1366" s="68">
        <v>0</v>
      </c>
      <c r="H1366" s="25">
        <f t="shared" si="90"/>
        <v>0</v>
      </c>
    </row>
    <row r="1367" customHeight="1" spans="1:8">
      <c r="B1367" s="84" t="s">
        <v>1989</v>
      </c>
      <c r="C1367" s="89" t="s">
        <v>1990</v>
      </c>
      <c r="D1367" s="90" t="s">
        <v>1991</v>
      </c>
      <c r="E1367" s="86"/>
      <c r="F1367" s="199"/>
      <c r="G1367" s="68">
        <v>0</v>
      </c>
      <c r="H1367" s="25">
        <f t="shared" si="90"/>
        <v>0</v>
      </c>
    </row>
    <row r="1368" customHeight="1" spans="1:8">
      <c r="B1368" s="84" t="s">
        <v>1992</v>
      </c>
      <c r="C1368" s="89" t="s">
        <v>1993</v>
      </c>
      <c r="D1368" s="90" t="s">
        <v>1994</v>
      </c>
      <c r="E1368" s="86"/>
      <c r="F1368" s="199"/>
      <c r="G1368" s="68">
        <v>0</v>
      </c>
      <c r="H1368" s="25">
        <f t="shared" si="90"/>
        <v>0</v>
      </c>
    </row>
    <row r="1369" customHeight="1" spans="1:8">
      <c r="A1369" s="8">
        <f ca="1" t="shared" ref="A1369:A1371" si="93">COUNTA(OFFSET(A$1,0,0,ROW()-1,1))+1</f>
        <v>583</v>
      </c>
      <c r="B1369" s="84" t="s">
        <v>1995</v>
      </c>
      <c r="C1369" s="89" t="s">
        <v>1996</v>
      </c>
      <c r="D1369" s="89" t="s">
        <v>1997</v>
      </c>
      <c r="E1369" s="86" t="s">
        <v>225</v>
      </c>
      <c r="F1369" s="199">
        <v>3700</v>
      </c>
      <c r="G1369" s="68">
        <v>24.5700048617865</v>
      </c>
      <c r="H1369" s="25">
        <f t="shared" si="90"/>
        <v>90909</v>
      </c>
    </row>
    <row r="1370" customHeight="1" spans="1:8">
      <c r="A1370" s="8">
        <f ca="1" t="shared" si="93"/>
        <v>584</v>
      </c>
      <c r="B1370" s="84" t="s">
        <v>1998</v>
      </c>
      <c r="C1370" s="89" t="s">
        <v>1999</v>
      </c>
      <c r="D1370" s="89" t="s">
        <v>2000</v>
      </c>
      <c r="E1370" s="86" t="s">
        <v>225</v>
      </c>
      <c r="F1370" s="199">
        <v>200</v>
      </c>
      <c r="G1370" s="68">
        <v>20.0548300280592</v>
      </c>
      <c r="H1370" s="25">
        <f t="shared" si="90"/>
        <v>4011</v>
      </c>
    </row>
    <row r="1371" customHeight="1" spans="1:8">
      <c r="A1371" s="8">
        <f ca="1" t="shared" si="93"/>
        <v>585</v>
      </c>
      <c r="B1371" s="84" t="s">
        <v>2001</v>
      </c>
      <c r="C1371" s="89" t="s">
        <v>2002</v>
      </c>
      <c r="D1371" s="90" t="s">
        <v>2003</v>
      </c>
      <c r="E1371" s="86" t="s">
        <v>225</v>
      </c>
      <c r="F1371" s="199">
        <v>120</v>
      </c>
      <c r="G1371" s="68">
        <v>25.22268</v>
      </c>
      <c r="H1371" s="25">
        <f t="shared" si="90"/>
        <v>3027</v>
      </c>
    </row>
    <row r="1372" customHeight="1" spans="1:8">
      <c r="B1372" s="212" t="s">
        <v>2004</v>
      </c>
      <c r="C1372" s="89" t="s">
        <v>2005</v>
      </c>
      <c r="D1372" s="90" t="s">
        <v>2006</v>
      </c>
      <c r="E1372" s="86"/>
      <c r="F1372" s="199"/>
      <c r="G1372" s="68">
        <v>0</v>
      </c>
      <c r="H1372" s="25">
        <f t="shared" si="90"/>
        <v>0</v>
      </c>
    </row>
    <row r="1373" customHeight="1" spans="1:8">
      <c r="A1373" s="8">
        <f ca="1" t="shared" ref="A1373:A1384" si="94">COUNTA(OFFSET(A$1,0,0,ROW()-1,1))+1</f>
        <v>586</v>
      </c>
      <c r="B1373" s="212" t="s">
        <v>2007</v>
      </c>
      <c r="C1373" s="89" t="s">
        <v>2008</v>
      </c>
      <c r="D1373" s="90" t="s">
        <v>2009</v>
      </c>
      <c r="E1373" s="86" t="s">
        <v>238</v>
      </c>
      <c r="F1373" s="199">
        <v>10</v>
      </c>
      <c r="G1373" s="68">
        <v>97.6377481676285</v>
      </c>
      <c r="H1373" s="25">
        <f t="shared" si="90"/>
        <v>976</v>
      </c>
    </row>
    <row r="1374" customHeight="1" spans="1:8">
      <c r="A1374" s="8">
        <f ca="1" t="shared" si="94"/>
        <v>587</v>
      </c>
      <c r="B1374" s="212" t="s">
        <v>2010</v>
      </c>
      <c r="C1374" s="89" t="s">
        <v>2011</v>
      </c>
      <c r="D1374" s="90" t="s">
        <v>2012</v>
      </c>
      <c r="E1374" s="86" t="s">
        <v>238</v>
      </c>
      <c r="F1374" s="199">
        <v>62</v>
      </c>
      <c r="G1374" s="68">
        <v>240.216</v>
      </c>
      <c r="H1374" s="25">
        <f t="shared" si="90"/>
        <v>14893</v>
      </c>
    </row>
    <row r="1375" customHeight="1" spans="1:8">
      <c r="A1375" s="8">
        <f ca="1" t="shared" si="94"/>
        <v>588</v>
      </c>
      <c r="B1375" s="212" t="s">
        <v>2013</v>
      </c>
      <c r="C1375" s="89" t="s">
        <v>2014</v>
      </c>
      <c r="D1375" s="90" t="s">
        <v>2015</v>
      </c>
      <c r="E1375" s="86" t="s">
        <v>238</v>
      </c>
      <c r="F1375" s="199">
        <v>2</v>
      </c>
      <c r="G1375" s="68">
        <v>284.157244538967</v>
      </c>
      <c r="H1375" s="25">
        <f t="shared" si="90"/>
        <v>568</v>
      </c>
    </row>
    <row r="1376" customHeight="1" spans="1:8">
      <c r="A1376" s="8">
        <f ca="1" t="shared" si="94"/>
        <v>589</v>
      </c>
      <c r="B1376" s="212" t="s">
        <v>2016</v>
      </c>
      <c r="C1376" s="89" t="s">
        <v>2017</v>
      </c>
      <c r="D1376" s="90" t="s">
        <v>2018</v>
      </c>
      <c r="E1376" s="86" t="s">
        <v>238</v>
      </c>
      <c r="F1376" s="199">
        <v>1</v>
      </c>
      <c r="G1376" s="68">
        <v>12.1865285750477</v>
      </c>
      <c r="H1376" s="25">
        <f t="shared" si="90"/>
        <v>12</v>
      </c>
    </row>
    <row r="1377" customHeight="1" spans="1:8">
      <c r="A1377" s="8">
        <f ca="1" t="shared" si="94"/>
        <v>590</v>
      </c>
      <c r="B1377" s="212" t="s">
        <v>2019</v>
      </c>
      <c r="C1377" s="89" t="s">
        <v>2020</v>
      </c>
      <c r="D1377" s="90" t="s">
        <v>2021</v>
      </c>
      <c r="E1377" s="86" t="s">
        <v>238</v>
      </c>
      <c r="F1377" s="199">
        <v>17</v>
      </c>
      <c r="G1377" s="68">
        <v>2098.75061886595</v>
      </c>
      <c r="H1377" s="25">
        <f t="shared" si="90"/>
        <v>35679</v>
      </c>
    </row>
    <row r="1378" customHeight="1" spans="1:8">
      <c r="A1378" s="8">
        <f ca="1" t="shared" si="94"/>
        <v>591</v>
      </c>
      <c r="B1378" s="212" t="s">
        <v>2022</v>
      </c>
      <c r="C1378" s="89" t="s">
        <v>2023</v>
      </c>
      <c r="D1378" s="90" t="s">
        <v>2024</v>
      </c>
      <c r="E1378" s="86" t="s">
        <v>238</v>
      </c>
      <c r="F1378" s="199">
        <v>55</v>
      </c>
      <c r="G1378" s="68">
        <v>3002.7</v>
      </c>
      <c r="H1378" s="25">
        <f t="shared" si="90"/>
        <v>165149</v>
      </c>
    </row>
    <row r="1379" customHeight="1" spans="1:8">
      <c r="A1379" s="8">
        <f ca="1" t="shared" si="94"/>
        <v>592</v>
      </c>
      <c r="B1379" s="212" t="s">
        <v>2025</v>
      </c>
      <c r="C1379" s="89" t="s">
        <v>2026</v>
      </c>
      <c r="D1379" s="90" t="s">
        <v>2027</v>
      </c>
      <c r="E1379" s="86" t="s">
        <v>238</v>
      </c>
      <c r="F1379" s="199">
        <v>2</v>
      </c>
      <c r="G1379" s="68">
        <v>2098.75061886595</v>
      </c>
      <c r="H1379" s="25">
        <f t="shared" si="90"/>
        <v>4198</v>
      </c>
    </row>
    <row r="1380" customHeight="1" spans="1:8">
      <c r="A1380" s="8">
        <f ca="1" t="shared" si="94"/>
        <v>593</v>
      </c>
      <c r="B1380" s="212" t="s">
        <v>2028</v>
      </c>
      <c r="C1380" s="89" t="s">
        <v>2029</v>
      </c>
      <c r="D1380" s="90" t="s">
        <v>2030</v>
      </c>
      <c r="E1380" s="86" t="s">
        <v>238</v>
      </c>
      <c r="F1380" s="199">
        <v>2</v>
      </c>
      <c r="G1380" s="68">
        <v>2098.75061886595</v>
      </c>
      <c r="H1380" s="25">
        <f t="shared" si="90"/>
        <v>4198</v>
      </c>
    </row>
    <row r="1381" customHeight="1" spans="1:8">
      <c r="A1381" s="8">
        <f ca="1" t="shared" si="94"/>
        <v>594</v>
      </c>
      <c r="B1381" s="212" t="s">
        <v>2031</v>
      </c>
      <c r="C1381" s="89" t="s">
        <v>2032</v>
      </c>
      <c r="D1381" s="90" t="s">
        <v>2033</v>
      </c>
      <c r="E1381" s="86" t="s">
        <v>238</v>
      </c>
      <c r="F1381" s="213">
        <v>24</v>
      </c>
      <c r="G1381" s="68">
        <v>108.564500135951</v>
      </c>
      <c r="H1381" s="25">
        <f t="shared" si="90"/>
        <v>2606</v>
      </c>
    </row>
    <row r="1382" customHeight="1" spans="1:8">
      <c r="A1382" s="8">
        <f ca="1" t="shared" si="94"/>
        <v>595</v>
      </c>
      <c r="B1382" s="212" t="s">
        <v>2034</v>
      </c>
      <c r="C1382" s="89" t="s">
        <v>2035</v>
      </c>
      <c r="D1382" s="90" t="s">
        <v>2036</v>
      </c>
      <c r="E1382" s="86" t="s">
        <v>238</v>
      </c>
      <c r="F1382" s="199">
        <v>55</v>
      </c>
      <c r="G1382" s="68">
        <v>264.462977337844</v>
      </c>
      <c r="H1382" s="25">
        <f t="shared" si="90"/>
        <v>14545</v>
      </c>
    </row>
    <row r="1383" customHeight="1" spans="1:8">
      <c r="A1383" s="8">
        <f ca="1" t="shared" si="94"/>
        <v>596</v>
      </c>
      <c r="B1383" s="212" t="s">
        <v>2037</v>
      </c>
      <c r="C1383" s="89" t="s">
        <v>2038</v>
      </c>
      <c r="D1383" s="90" t="s">
        <v>2039</v>
      </c>
      <c r="E1383" s="86" t="s">
        <v>238</v>
      </c>
      <c r="F1383" s="199">
        <v>10</v>
      </c>
      <c r="G1383" s="68">
        <v>216.637465447757</v>
      </c>
      <c r="H1383" s="25">
        <f t="shared" si="90"/>
        <v>2166</v>
      </c>
    </row>
    <row r="1384" customHeight="1" spans="1:8">
      <c r="A1384" s="8">
        <f ca="1" t="shared" si="94"/>
        <v>597</v>
      </c>
      <c r="B1384" s="212" t="s">
        <v>2040</v>
      </c>
      <c r="C1384" s="89" t="s">
        <v>2041</v>
      </c>
      <c r="D1384" s="90" t="s">
        <v>2042</v>
      </c>
      <c r="E1384" s="86" t="s">
        <v>238</v>
      </c>
      <c r="F1384" s="199">
        <v>13</v>
      </c>
      <c r="G1384" s="68">
        <v>458.970704250365</v>
      </c>
      <c r="H1384" s="25">
        <f t="shared" si="90"/>
        <v>5967</v>
      </c>
    </row>
    <row r="1385" customHeight="1" spans="1:8">
      <c r="B1385" s="84" t="s">
        <v>2043</v>
      </c>
      <c r="C1385" s="89" t="s">
        <v>2044</v>
      </c>
      <c r="D1385" s="90" t="s">
        <v>2045</v>
      </c>
      <c r="E1385" s="86"/>
      <c r="F1385" s="170"/>
      <c r="G1385" s="68">
        <v>0</v>
      </c>
      <c r="H1385" s="25">
        <f t="shared" si="90"/>
        <v>0</v>
      </c>
    </row>
    <row r="1386" customHeight="1" spans="1:8">
      <c r="A1386" s="8">
        <f ca="1" t="shared" ref="A1386:A1391" si="95">COUNTA(OFFSET(A$1,0,0,ROW()-1,1))+1</f>
        <v>598</v>
      </c>
      <c r="B1386" s="84" t="s">
        <v>2046</v>
      </c>
      <c r="C1386" s="214" t="s">
        <v>2047</v>
      </c>
      <c r="D1386" s="215" t="s">
        <v>2048</v>
      </c>
      <c r="E1386" s="86" t="s">
        <v>41</v>
      </c>
      <c r="F1386" s="136">
        <v>1</v>
      </c>
      <c r="G1386" s="68">
        <v>290961.63</v>
      </c>
      <c r="H1386" s="25">
        <f t="shared" si="90"/>
        <v>290962</v>
      </c>
    </row>
    <row r="1387" customHeight="1" spans="1:8">
      <c r="A1387" s="8">
        <f ca="1" t="shared" si="95"/>
        <v>599</v>
      </c>
      <c r="B1387" s="84" t="s">
        <v>2049</v>
      </c>
      <c r="C1387" s="214" t="s">
        <v>2050</v>
      </c>
      <c r="D1387" s="215" t="s">
        <v>2051</v>
      </c>
      <c r="E1387" s="86" t="s">
        <v>41</v>
      </c>
      <c r="F1387" s="216">
        <v>1</v>
      </c>
      <c r="G1387" s="68">
        <v>52373.0934</v>
      </c>
      <c r="H1387" s="25">
        <f t="shared" si="90"/>
        <v>52373</v>
      </c>
    </row>
    <row r="1388" customHeight="1" spans="1:8">
      <c r="A1388" s="8">
        <f ca="1" t="shared" si="95"/>
        <v>600</v>
      </c>
      <c r="B1388" s="84" t="s">
        <v>2052</v>
      </c>
      <c r="C1388" s="214" t="s">
        <v>2053</v>
      </c>
      <c r="D1388" s="215" t="s">
        <v>2054</v>
      </c>
      <c r="E1388" s="86" t="s">
        <v>41</v>
      </c>
      <c r="F1388" s="216">
        <v>1</v>
      </c>
      <c r="G1388" s="68">
        <v>66230.3719022587</v>
      </c>
      <c r="H1388" s="25">
        <f t="shared" si="90"/>
        <v>66230</v>
      </c>
    </row>
    <row r="1389" customHeight="1" spans="1:8">
      <c r="A1389" s="8">
        <f ca="1" t="shared" si="95"/>
        <v>601</v>
      </c>
      <c r="B1389" s="84" t="s">
        <v>2055</v>
      </c>
      <c r="C1389" s="214" t="s">
        <v>2056</v>
      </c>
      <c r="D1389" s="214" t="s">
        <v>2057</v>
      </c>
      <c r="E1389" s="86" t="s">
        <v>41</v>
      </c>
      <c r="F1389" s="216">
        <v>1</v>
      </c>
      <c r="G1389" s="68">
        <v>0</v>
      </c>
      <c r="H1389" s="25">
        <f t="shared" si="90"/>
        <v>0</v>
      </c>
    </row>
    <row r="1390" customHeight="1" spans="1:8">
      <c r="A1390" s="8">
        <f ca="1" t="shared" si="95"/>
        <v>602</v>
      </c>
      <c r="B1390" s="84" t="s">
        <v>2058</v>
      </c>
      <c r="C1390" s="89" t="s">
        <v>2059</v>
      </c>
      <c r="D1390" s="90" t="s">
        <v>2060</v>
      </c>
      <c r="E1390" s="86" t="s">
        <v>41</v>
      </c>
      <c r="F1390" s="136">
        <v>1</v>
      </c>
      <c r="G1390" s="68">
        <v>810.341203199625</v>
      </c>
      <c r="H1390" s="25">
        <f t="shared" si="90"/>
        <v>810</v>
      </c>
    </row>
    <row r="1391" customHeight="1" spans="1:8">
      <c r="A1391" s="8">
        <f ca="1" t="shared" si="95"/>
        <v>603</v>
      </c>
      <c r="B1391" s="84" t="s">
        <v>2061</v>
      </c>
      <c r="C1391" s="89" t="s">
        <v>2062</v>
      </c>
      <c r="D1391" s="90" t="s">
        <v>2063</v>
      </c>
      <c r="E1391" s="86" t="s">
        <v>41</v>
      </c>
      <c r="F1391" s="136">
        <v>1</v>
      </c>
      <c r="G1391" s="68">
        <v>120108</v>
      </c>
      <c r="H1391" s="25">
        <f t="shared" si="90"/>
        <v>120108</v>
      </c>
    </row>
    <row r="1392" customHeight="1" spans="1:8">
      <c r="B1392" s="21"/>
      <c r="C1392" s="103" t="s">
        <v>2064</v>
      </c>
      <c r="D1392" s="104" t="s">
        <v>2065</v>
      </c>
      <c r="E1392" s="105"/>
      <c r="F1392" s="209"/>
      <c r="G1392" s="68">
        <v>0</v>
      </c>
      <c r="H1392" s="25">
        <f t="shared" si="90"/>
        <v>0</v>
      </c>
    </row>
    <row r="1393" customHeight="1" spans="1:8">
      <c r="B1393" s="84"/>
      <c r="C1393" s="89"/>
      <c r="D1393" s="89"/>
      <c r="E1393" s="86"/>
      <c r="F1393" s="170"/>
      <c r="G1393" s="68">
        <v>0</v>
      </c>
      <c r="H1393" s="25">
        <f t="shared" si="90"/>
        <v>0</v>
      </c>
    </row>
    <row r="1394" customHeight="1" spans="1:8">
      <c r="B1394" s="84" t="s">
        <v>2066</v>
      </c>
      <c r="C1394" s="22" t="s">
        <v>2067</v>
      </c>
      <c r="D1394" s="88" t="s">
        <v>2068</v>
      </c>
      <c r="E1394" s="86"/>
      <c r="F1394" s="170"/>
      <c r="G1394" s="68">
        <v>0</v>
      </c>
      <c r="H1394" s="25">
        <f t="shared" si="90"/>
        <v>0</v>
      </c>
    </row>
    <row r="1395" customHeight="1" spans="1:8">
      <c r="B1395" s="84" t="s">
        <v>2069</v>
      </c>
      <c r="C1395" s="22" t="s">
        <v>2070</v>
      </c>
      <c r="D1395" s="88" t="s">
        <v>2071</v>
      </c>
      <c r="E1395" s="86"/>
      <c r="F1395" s="107">
        <v>0</v>
      </c>
      <c r="G1395" s="68">
        <v>0</v>
      </c>
      <c r="H1395" s="25">
        <f t="shared" si="90"/>
        <v>0</v>
      </c>
    </row>
    <row r="1396" customHeight="1" spans="1:8">
      <c r="B1396" s="21"/>
      <c r="C1396" s="103" t="s">
        <v>2072</v>
      </c>
      <c r="D1396" s="104" t="s">
        <v>2073</v>
      </c>
      <c r="E1396" s="105"/>
      <c r="F1396" s="209"/>
      <c r="G1396" s="68">
        <v>0</v>
      </c>
      <c r="H1396" s="25">
        <f t="shared" si="90"/>
        <v>0</v>
      </c>
    </row>
    <row r="1397" customHeight="1" spans="1:8">
      <c r="B1397" s="84"/>
      <c r="C1397" s="91"/>
      <c r="D1397" s="91"/>
      <c r="E1397" s="86"/>
      <c r="F1397" s="170"/>
      <c r="G1397" s="68">
        <v>0</v>
      </c>
      <c r="H1397" s="25">
        <f t="shared" si="90"/>
        <v>0</v>
      </c>
    </row>
    <row r="1398" customHeight="1" spans="1:8">
      <c r="B1398" s="84"/>
      <c r="C1398" s="22" t="s">
        <v>263</v>
      </c>
      <c r="D1398" s="88" t="s">
        <v>264</v>
      </c>
      <c r="E1398" s="86"/>
      <c r="F1398" s="170"/>
      <c r="G1398" s="68">
        <v>0</v>
      </c>
      <c r="H1398" s="25">
        <f t="shared" si="90"/>
        <v>0</v>
      </c>
    </row>
    <row r="1399" customHeight="1" spans="1:8">
      <c r="B1399" s="203" t="s">
        <v>2074</v>
      </c>
      <c r="C1399" s="168" t="s">
        <v>2075</v>
      </c>
      <c r="D1399" s="169" t="s">
        <v>2076</v>
      </c>
      <c r="E1399" s="206" t="s">
        <v>225</v>
      </c>
      <c r="F1399" s="170"/>
      <c r="G1399" s="68">
        <v>0</v>
      </c>
      <c r="H1399" s="25">
        <f t="shared" si="90"/>
        <v>0</v>
      </c>
    </row>
    <row r="1400" customHeight="1" spans="1:8">
      <c r="B1400" s="203" t="s">
        <v>2077</v>
      </c>
      <c r="C1400" s="168" t="s">
        <v>2078</v>
      </c>
      <c r="D1400" s="169" t="s">
        <v>2079</v>
      </c>
      <c r="E1400" s="206" t="s">
        <v>238</v>
      </c>
      <c r="F1400" s="170"/>
      <c r="G1400" s="68">
        <v>0</v>
      </c>
      <c r="H1400" s="25">
        <f t="shared" si="90"/>
        <v>0</v>
      </c>
    </row>
    <row r="1401" customHeight="1" spans="1:8">
      <c r="A1401" s="8">
        <f ca="1">COUNTA(OFFSET(A$1,0,0,ROW()-1,1))+1</f>
        <v>604</v>
      </c>
      <c r="B1401" s="203" t="s">
        <v>2080</v>
      </c>
      <c r="C1401" s="168" t="s">
        <v>2081</v>
      </c>
      <c r="D1401" s="169" t="s">
        <v>2082</v>
      </c>
      <c r="E1401" s="206" t="s">
        <v>238</v>
      </c>
      <c r="F1401" s="170">
        <v>140</v>
      </c>
      <c r="G1401" s="68">
        <v>0</v>
      </c>
      <c r="H1401" s="25">
        <f t="shared" si="90"/>
        <v>0</v>
      </c>
    </row>
    <row r="1402" customHeight="1" spans="1:8">
      <c r="A1402" s="8">
        <f ca="1">COUNTA(OFFSET(A$1,0,0,ROW()-1,1))+1</f>
        <v>605</v>
      </c>
      <c r="B1402" s="203" t="s">
        <v>2083</v>
      </c>
      <c r="C1402" s="168" t="s">
        <v>2084</v>
      </c>
      <c r="D1402" s="169" t="s">
        <v>2085</v>
      </c>
      <c r="E1402" s="206" t="s">
        <v>238</v>
      </c>
      <c r="F1402" s="170">
        <v>300</v>
      </c>
      <c r="G1402" s="68">
        <v>0</v>
      </c>
      <c r="H1402" s="25">
        <f t="shared" si="90"/>
        <v>0</v>
      </c>
    </row>
    <row r="1403" customHeight="1" spans="1:8">
      <c r="B1403" s="203" t="s">
        <v>2086</v>
      </c>
      <c r="C1403" s="168" t="s">
        <v>2087</v>
      </c>
      <c r="D1403" s="169" t="s">
        <v>2088</v>
      </c>
      <c r="E1403" s="206" t="s">
        <v>238</v>
      </c>
      <c r="F1403" s="170"/>
      <c r="G1403" s="68">
        <v>0</v>
      </c>
      <c r="H1403" s="25">
        <f t="shared" si="90"/>
        <v>0</v>
      </c>
    </row>
    <row r="1404" customHeight="1" spans="1:8">
      <c r="B1404" s="197"/>
      <c r="C1404" s="91"/>
      <c r="D1404" s="91"/>
      <c r="E1404" s="86"/>
      <c r="F1404" s="216"/>
      <c r="G1404" s="68">
        <v>0</v>
      </c>
      <c r="H1404" s="25">
        <f t="shared" si="90"/>
        <v>0</v>
      </c>
    </row>
    <row r="1405" customHeight="1" spans="1:8">
      <c r="B1405" s="74"/>
      <c r="C1405" s="75" t="s">
        <v>194</v>
      </c>
      <c r="D1405" s="76" t="s">
        <v>195</v>
      </c>
      <c r="E1405" s="77"/>
      <c r="F1405" s="113"/>
      <c r="G1405" s="78">
        <v>0</v>
      </c>
      <c r="H1405" s="79">
        <f>SUM(H1130:H1404)</f>
        <v>14606322</v>
      </c>
    </row>
    <row r="1406" customHeight="1" spans="1:8">
      <c r="B1406" s="54"/>
      <c r="C1406" s="31"/>
      <c r="D1406" s="55"/>
      <c r="E1406" s="54"/>
      <c r="F1406" s="217"/>
      <c r="G1406" s="68">
        <v>0</v>
      </c>
      <c r="H1406" s="25">
        <f t="shared" si="90"/>
        <v>0</v>
      </c>
    </row>
    <row r="1407" customHeight="1" spans="1:8">
      <c r="B1407" s="218" t="s">
        <v>2089</v>
      </c>
      <c r="C1407" s="219" t="s">
        <v>2090</v>
      </c>
      <c r="D1407" s="220" t="s">
        <v>2091</v>
      </c>
      <c r="E1407" s="221"/>
      <c r="F1407" s="106"/>
      <c r="G1407" s="68">
        <v>0</v>
      </c>
      <c r="H1407" s="25">
        <f t="shared" si="90"/>
        <v>0</v>
      </c>
    </row>
    <row r="1408" customHeight="1" spans="1:8">
      <c r="B1408" s="26"/>
      <c r="C1408" s="46" t="s">
        <v>199</v>
      </c>
      <c r="D1408" s="28" t="s">
        <v>200</v>
      </c>
      <c r="E1408" s="29"/>
      <c r="F1408" s="87"/>
      <c r="G1408" s="68">
        <v>0</v>
      </c>
      <c r="H1408" s="25">
        <f t="shared" si="90"/>
        <v>0</v>
      </c>
    </row>
    <row r="1409" customHeight="1" spans="1:8">
      <c r="B1409" s="26"/>
      <c r="C1409" s="46" t="s">
        <v>201</v>
      </c>
      <c r="D1409" s="28" t="s">
        <v>202</v>
      </c>
      <c r="E1409" s="82" t="s">
        <v>203</v>
      </c>
      <c r="F1409" s="202"/>
      <c r="G1409" s="68">
        <v>0</v>
      </c>
      <c r="H1409" s="25">
        <f t="shared" si="90"/>
        <v>0</v>
      </c>
    </row>
    <row r="1410" customHeight="1" spans="1:8">
      <c r="B1410" s="26"/>
      <c r="C1410" s="222"/>
      <c r="D1410" s="65"/>
      <c r="E1410" s="29"/>
      <c r="F1410" s="87"/>
      <c r="G1410" s="68">
        <v>0</v>
      </c>
      <c r="H1410" s="25">
        <f t="shared" si="90"/>
        <v>0</v>
      </c>
    </row>
    <row r="1411" customHeight="1" spans="1:8">
      <c r="B1411" s="223"/>
      <c r="C1411" s="222"/>
      <c r="D1411" s="65"/>
      <c r="E1411" s="29"/>
      <c r="F1411" s="107"/>
      <c r="G1411" s="68">
        <v>0</v>
      </c>
      <c r="H1411" s="25">
        <f t="shared" si="90"/>
        <v>0</v>
      </c>
    </row>
    <row r="1412" customHeight="1" spans="1:8">
      <c r="B1412" s="26" t="s">
        <v>2092</v>
      </c>
      <c r="C1412" s="46" t="s">
        <v>2093</v>
      </c>
      <c r="D1412" s="28" t="s">
        <v>2094</v>
      </c>
      <c r="E1412" s="29"/>
      <c r="F1412" s="107"/>
      <c r="G1412" s="68">
        <v>0</v>
      </c>
      <c r="H1412" s="25">
        <f t="shared" si="90"/>
        <v>0</v>
      </c>
    </row>
    <row r="1413" customHeight="1" spans="1:8">
      <c r="A1413" s="8">
        <f ca="1" t="shared" ref="A1413:A1419" si="96">COUNTA(OFFSET(A$1,0,0,ROW()-1,1))+1</f>
        <v>606</v>
      </c>
      <c r="B1413" s="84" t="s">
        <v>2095</v>
      </c>
      <c r="C1413" s="224" t="s">
        <v>2096</v>
      </c>
      <c r="D1413" s="225" t="s">
        <v>2097</v>
      </c>
      <c r="E1413" s="86" t="s">
        <v>238</v>
      </c>
      <c r="F1413" s="107">
        <v>2</v>
      </c>
      <c r="G1413" s="68">
        <v>76196.5152</v>
      </c>
      <c r="H1413" s="25">
        <f t="shared" si="90"/>
        <v>152393</v>
      </c>
    </row>
    <row r="1414" customHeight="1" spans="1:8">
      <c r="B1414" s="129"/>
      <c r="C1414" s="226" t="s">
        <v>2098</v>
      </c>
      <c r="D1414" s="227" t="s">
        <v>2099</v>
      </c>
      <c r="E1414" s="138"/>
      <c r="F1414" s="166"/>
      <c r="G1414" s="68">
        <v>0</v>
      </c>
      <c r="H1414" s="25">
        <f t="shared" si="90"/>
        <v>0</v>
      </c>
    </row>
    <row r="1415" customHeight="1" spans="1:8">
      <c r="B1415" s="129"/>
      <c r="C1415" s="228" t="s">
        <v>2100</v>
      </c>
      <c r="D1415" s="229" t="s">
        <v>2101</v>
      </c>
      <c r="E1415" s="138"/>
      <c r="F1415" s="166"/>
      <c r="G1415" s="68">
        <v>0</v>
      </c>
      <c r="H1415" s="25">
        <f t="shared" si="90"/>
        <v>0</v>
      </c>
    </row>
    <row r="1416" customHeight="1" spans="1:8">
      <c r="A1416" s="8">
        <f ca="1" t="shared" si="96"/>
        <v>607</v>
      </c>
      <c r="B1416" s="129"/>
      <c r="C1416" s="230" t="s">
        <v>2102</v>
      </c>
      <c r="D1416" s="231" t="s">
        <v>2103</v>
      </c>
      <c r="E1416" s="232" t="s">
        <v>329</v>
      </c>
      <c r="F1416" s="166">
        <f>63.44*F1413</f>
        <v>126.88</v>
      </c>
      <c r="G1416" s="68">
        <v>0</v>
      </c>
      <c r="H1416" s="25">
        <f t="shared" ref="H1416:H1479" si="97">IFERROR(ROUND(G1416*F1416,0),0)</f>
        <v>0</v>
      </c>
    </row>
    <row r="1417" customHeight="1" spans="1:8">
      <c r="A1417" s="8">
        <f ca="1" t="shared" si="96"/>
        <v>608</v>
      </c>
      <c r="B1417" s="129"/>
      <c r="C1417" s="228" t="s">
        <v>2104</v>
      </c>
      <c r="D1417" s="229" t="s">
        <v>2105</v>
      </c>
      <c r="E1417" s="138" t="s">
        <v>336</v>
      </c>
      <c r="F1417" s="166">
        <f>85.65*F1413</f>
        <v>171.3</v>
      </c>
      <c r="G1417" s="68">
        <v>0</v>
      </c>
      <c r="H1417" s="25">
        <f t="shared" si="97"/>
        <v>0</v>
      </c>
    </row>
    <row r="1418" customHeight="1" spans="1:8">
      <c r="A1418" s="8">
        <f ca="1" t="shared" si="96"/>
        <v>609</v>
      </c>
      <c r="B1418" s="129"/>
      <c r="C1418" s="228" t="s">
        <v>2106</v>
      </c>
      <c r="D1418" s="229" t="s">
        <v>2107</v>
      </c>
      <c r="E1418" s="138" t="s">
        <v>336</v>
      </c>
      <c r="F1418" s="166">
        <f>53.96*F1413</f>
        <v>107.92</v>
      </c>
      <c r="G1418" s="68">
        <v>0</v>
      </c>
      <c r="H1418" s="25">
        <f t="shared" si="97"/>
        <v>0</v>
      </c>
    </row>
    <row r="1419" customHeight="1" spans="1:8">
      <c r="A1419" s="8">
        <f ca="1" t="shared" si="96"/>
        <v>610</v>
      </c>
      <c r="B1419" s="129"/>
      <c r="C1419" s="228" t="s">
        <v>2108</v>
      </c>
      <c r="D1419" s="229" t="s">
        <v>2109</v>
      </c>
      <c r="E1419" s="138" t="s">
        <v>336</v>
      </c>
      <c r="F1419" s="166">
        <f>F1417-F1418</f>
        <v>63.38</v>
      </c>
      <c r="G1419" s="68">
        <v>0</v>
      </c>
      <c r="H1419" s="25">
        <f t="shared" si="97"/>
        <v>0</v>
      </c>
    </row>
    <row r="1420" customHeight="1" spans="1:8">
      <c r="B1420" s="129"/>
      <c r="C1420" s="228" t="s">
        <v>2110</v>
      </c>
      <c r="D1420" s="229" t="s">
        <v>2111</v>
      </c>
      <c r="E1420" s="138" t="s">
        <v>336</v>
      </c>
      <c r="F1420" s="166"/>
      <c r="G1420" s="68">
        <v>0</v>
      </c>
      <c r="H1420" s="25">
        <f t="shared" si="97"/>
        <v>0</v>
      </c>
    </row>
    <row r="1421" customHeight="1" spans="1:8">
      <c r="A1421" s="8">
        <f ca="1" t="shared" ref="A1421:A1425" si="98">COUNTA(OFFSET(A$1,0,0,ROW()-1,1))+1</f>
        <v>611</v>
      </c>
      <c r="B1421" s="129"/>
      <c r="C1421" s="228" t="s">
        <v>2112</v>
      </c>
      <c r="D1421" s="229" t="s">
        <v>2113</v>
      </c>
      <c r="E1421" s="138" t="s">
        <v>336</v>
      </c>
      <c r="F1421" s="166">
        <f>4.5*F1413</f>
        <v>9</v>
      </c>
      <c r="G1421" s="68">
        <v>0</v>
      </c>
      <c r="H1421" s="25">
        <f t="shared" si="97"/>
        <v>0</v>
      </c>
    </row>
    <row r="1422" customHeight="1" spans="1:8">
      <c r="B1422" s="129"/>
      <c r="C1422" s="228" t="s">
        <v>2114</v>
      </c>
      <c r="D1422" s="229" t="s">
        <v>2115</v>
      </c>
      <c r="E1422" s="138"/>
      <c r="F1422" s="166"/>
      <c r="G1422" s="68">
        <v>0</v>
      </c>
      <c r="H1422" s="25">
        <f t="shared" si="97"/>
        <v>0</v>
      </c>
    </row>
    <row r="1423" customHeight="1" spans="1:8">
      <c r="A1423" s="8">
        <f ca="1" t="shared" si="98"/>
        <v>612</v>
      </c>
      <c r="B1423" s="129"/>
      <c r="C1423" s="228" t="s">
        <v>2116</v>
      </c>
      <c r="D1423" s="229" t="s">
        <v>2117</v>
      </c>
      <c r="E1423" s="138" t="s">
        <v>336</v>
      </c>
      <c r="F1423" s="166">
        <f>41.93*F1413</f>
        <v>83.86</v>
      </c>
      <c r="G1423" s="68">
        <v>0</v>
      </c>
      <c r="H1423" s="25">
        <f t="shared" si="97"/>
        <v>0</v>
      </c>
    </row>
    <row r="1424" customHeight="1" spans="1:8">
      <c r="A1424" s="8">
        <f ca="1" t="shared" si="98"/>
        <v>613</v>
      </c>
      <c r="B1424" s="129"/>
      <c r="C1424" s="230" t="s">
        <v>2118</v>
      </c>
      <c r="D1424" s="231" t="s">
        <v>2119</v>
      </c>
      <c r="E1424" s="232" t="s">
        <v>329</v>
      </c>
      <c r="F1424" s="166">
        <f>8.16*F1413</f>
        <v>16.32</v>
      </c>
      <c r="G1424" s="68">
        <v>0</v>
      </c>
      <c r="H1424" s="25">
        <f t="shared" si="97"/>
        <v>0</v>
      </c>
    </row>
    <row r="1425" customHeight="1" spans="1:8">
      <c r="A1425" s="8">
        <f ca="1" t="shared" si="98"/>
        <v>614</v>
      </c>
      <c r="B1425" s="129"/>
      <c r="C1425" s="230" t="s">
        <v>2120</v>
      </c>
      <c r="D1425" s="231" t="s">
        <v>2121</v>
      </c>
      <c r="E1425" s="232" t="s">
        <v>329</v>
      </c>
      <c r="F1425" s="166">
        <f>27.09*F1413</f>
        <v>54.18</v>
      </c>
      <c r="G1425" s="68">
        <v>0</v>
      </c>
      <c r="H1425" s="25">
        <f t="shared" si="97"/>
        <v>0</v>
      </c>
    </row>
    <row r="1426" customHeight="1" spans="1:8">
      <c r="B1426" s="129"/>
      <c r="C1426" s="228" t="s">
        <v>841</v>
      </c>
      <c r="D1426" s="229" t="s">
        <v>842</v>
      </c>
      <c r="E1426" s="138"/>
      <c r="F1426" s="166"/>
      <c r="G1426" s="68">
        <v>0</v>
      </c>
      <c r="H1426" s="25">
        <f t="shared" si="97"/>
        <v>0</v>
      </c>
    </row>
    <row r="1427" customHeight="1" spans="1:8">
      <c r="A1427" s="8">
        <f ca="1" t="shared" ref="A1427:A1431" si="99">COUNTA(OFFSET(A$1,0,0,ROW()-1,1))+1</f>
        <v>615</v>
      </c>
      <c r="B1427" s="129"/>
      <c r="C1427" s="228" t="s">
        <v>841</v>
      </c>
      <c r="D1427" s="229" t="s">
        <v>842</v>
      </c>
      <c r="E1427" s="138" t="s">
        <v>329</v>
      </c>
      <c r="F1427" s="166">
        <f>286.33*F1413</f>
        <v>572.66</v>
      </c>
      <c r="G1427" s="68">
        <v>0</v>
      </c>
      <c r="H1427" s="25">
        <f t="shared" si="97"/>
        <v>0</v>
      </c>
    </row>
    <row r="1428" customHeight="1" spans="1:8">
      <c r="B1428" s="129"/>
      <c r="C1428" s="228" t="s">
        <v>843</v>
      </c>
      <c r="D1428" s="229" t="s">
        <v>844</v>
      </c>
      <c r="E1428" s="138"/>
      <c r="F1428" s="166"/>
      <c r="G1428" s="68">
        <v>0</v>
      </c>
      <c r="H1428" s="25">
        <f t="shared" si="97"/>
        <v>0</v>
      </c>
    </row>
    <row r="1429" customHeight="1" spans="1:8">
      <c r="A1429" s="8">
        <f ca="1" t="shared" si="99"/>
        <v>616</v>
      </c>
      <c r="B1429" s="129"/>
      <c r="C1429" s="228" t="s">
        <v>2122</v>
      </c>
      <c r="D1429" s="229" t="s">
        <v>956</v>
      </c>
      <c r="E1429" s="138" t="s">
        <v>464</v>
      </c>
      <c r="F1429" s="166">
        <f>6219.74*F1413</f>
        <v>12439.48</v>
      </c>
      <c r="G1429" s="68">
        <v>0</v>
      </c>
      <c r="H1429" s="25">
        <f t="shared" si="97"/>
        <v>0</v>
      </c>
    </row>
    <row r="1430" customHeight="1" spans="1:8">
      <c r="B1430" s="129"/>
      <c r="C1430" s="228" t="s">
        <v>2123</v>
      </c>
      <c r="D1430" s="229" t="s">
        <v>2124</v>
      </c>
      <c r="E1430" s="138"/>
      <c r="F1430" s="166"/>
      <c r="G1430" s="68">
        <v>0</v>
      </c>
      <c r="H1430" s="25">
        <f t="shared" si="97"/>
        <v>0</v>
      </c>
    </row>
    <row r="1431" customHeight="1" spans="1:8">
      <c r="A1431" s="8">
        <f ca="1" t="shared" si="99"/>
        <v>617</v>
      </c>
      <c r="B1431" s="129"/>
      <c r="C1431" s="228" t="s">
        <v>2125</v>
      </c>
      <c r="D1431" s="229" t="s">
        <v>2126</v>
      </c>
      <c r="E1431" s="138" t="s">
        <v>329</v>
      </c>
      <c r="F1431" s="166">
        <f>(62+34*0.25)*F1413</f>
        <v>141</v>
      </c>
      <c r="G1431" s="68">
        <v>0</v>
      </c>
      <c r="H1431" s="25">
        <f t="shared" si="97"/>
        <v>0</v>
      </c>
    </row>
    <row r="1432" customHeight="1" spans="1:8">
      <c r="B1432" s="129"/>
      <c r="C1432" s="228" t="s">
        <v>2127</v>
      </c>
      <c r="D1432" s="229" t="s">
        <v>2128</v>
      </c>
      <c r="E1432" s="138" t="s">
        <v>225</v>
      </c>
      <c r="F1432" s="166"/>
      <c r="G1432" s="68">
        <v>0</v>
      </c>
      <c r="H1432" s="25">
        <f t="shared" si="97"/>
        <v>0</v>
      </c>
    </row>
    <row r="1433" customHeight="1" spans="1:8">
      <c r="B1433" s="129"/>
      <c r="C1433" s="226" t="s">
        <v>2129</v>
      </c>
      <c r="D1433" s="227" t="s">
        <v>2130</v>
      </c>
      <c r="E1433" s="138"/>
      <c r="F1433" s="166"/>
      <c r="G1433" s="68">
        <v>0</v>
      </c>
      <c r="H1433" s="25">
        <f t="shared" si="97"/>
        <v>0</v>
      </c>
    </row>
    <row r="1434" customHeight="1" spans="1:8">
      <c r="A1434" s="8">
        <f ca="1" t="shared" ref="A1434:A1437" si="100">COUNTA(OFFSET(A$1,0,0,ROW()-1,1))+1</f>
        <v>618</v>
      </c>
      <c r="B1434" s="129"/>
      <c r="C1434" s="228" t="s">
        <v>2131</v>
      </c>
      <c r="D1434" s="229" t="s">
        <v>2132</v>
      </c>
      <c r="E1434" s="138" t="s">
        <v>329</v>
      </c>
      <c r="F1434" s="166">
        <f>62*F1413</f>
        <v>124</v>
      </c>
      <c r="G1434" s="68">
        <v>0</v>
      </c>
      <c r="H1434" s="25">
        <f t="shared" si="97"/>
        <v>0</v>
      </c>
    </row>
    <row r="1435" customHeight="1" spans="1:8">
      <c r="B1435" s="129"/>
      <c r="C1435" s="228" t="s">
        <v>2133</v>
      </c>
      <c r="D1435" s="229" t="s">
        <v>2134</v>
      </c>
      <c r="E1435" s="138" t="s">
        <v>225</v>
      </c>
      <c r="F1435" s="166"/>
      <c r="G1435" s="68">
        <v>0</v>
      </c>
      <c r="H1435" s="25">
        <f t="shared" si="97"/>
        <v>0</v>
      </c>
    </row>
    <row r="1436" customHeight="1" spans="1:8">
      <c r="A1436" s="8">
        <f ca="1" t="shared" si="100"/>
        <v>619</v>
      </c>
      <c r="B1436" s="129"/>
      <c r="C1436" s="228" t="s">
        <v>2135</v>
      </c>
      <c r="D1436" s="229" t="s">
        <v>2136</v>
      </c>
      <c r="E1436" s="138" t="s">
        <v>225</v>
      </c>
      <c r="F1436" s="166">
        <f>34*F1413</f>
        <v>68</v>
      </c>
      <c r="G1436" s="68">
        <v>0</v>
      </c>
      <c r="H1436" s="25">
        <f t="shared" si="97"/>
        <v>0</v>
      </c>
    </row>
    <row r="1437" customHeight="1" spans="1:8">
      <c r="A1437" s="8">
        <f ca="1" t="shared" si="100"/>
        <v>620</v>
      </c>
      <c r="B1437" s="129"/>
      <c r="C1437" s="228" t="s">
        <v>2137</v>
      </c>
      <c r="D1437" s="229" t="s">
        <v>2138</v>
      </c>
      <c r="E1437" s="138" t="s">
        <v>329</v>
      </c>
      <c r="F1437" s="166">
        <f>68.3*F1413</f>
        <v>136.6</v>
      </c>
      <c r="G1437" s="68">
        <v>0</v>
      </c>
      <c r="H1437" s="25">
        <f t="shared" si="97"/>
        <v>0</v>
      </c>
    </row>
    <row r="1438" customHeight="1" spans="1:8">
      <c r="B1438" s="129"/>
      <c r="C1438" s="228" t="s">
        <v>2139</v>
      </c>
      <c r="D1438" s="229" t="s">
        <v>2140</v>
      </c>
      <c r="E1438" s="138"/>
      <c r="F1438" s="166"/>
      <c r="G1438" s="68">
        <v>0</v>
      </c>
      <c r="H1438" s="25">
        <f t="shared" si="97"/>
        <v>0</v>
      </c>
    </row>
    <row r="1439" customHeight="1" spans="1:8">
      <c r="A1439" s="8">
        <f ca="1" t="shared" ref="A1439:A1445" si="101">COUNTA(OFFSET(A$1,0,0,ROW()-1,1))+1</f>
        <v>621</v>
      </c>
      <c r="B1439" s="129"/>
      <c r="C1439" s="230" t="s">
        <v>2141</v>
      </c>
      <c r="D1439" s="231" t="s">
        <v>2142</v>
      </c>
      <c r="E1439" s="232" t="s">
        <v>336</v>
      </c>
      <c r="F1439" s="166">
        <f>3.57*F1413</f>
        <v>7.14</v>
      </c>
      <c r="G1439" s="68">
        <v>0</v>
      </c>
      <c r="H1439" s="25">
        <f t="shared" si="97"/>
        <v>0</v>
      </c>
    </row>
    <row r="1440" customHeight="1" spans="1:8">
      <c r="B1440" s="129"/>
      <c r="C1440" s="228" t="s">
        <v>2143</v>
      </c>
      <c r="D1440" s="229" t="s">
        <v>2144</v>
      </c>
      <c r="E1440" s="232" t="s">
        <v>336</v>
      </c>
      <c r="F1440" s="233"/>
      <c r="G1440" s="68">
        <v>0</v>
      </c>
      <c r="H1440" s="25">
        <f t="shared" si="97"/>
        <v>0</v>
      </c>
    </row>
    <row r="1441" customHeight="1" spans="1:8">
      <c r="B1441" s="129"/>
      <c r="C1441" s="228" t="s">
        <v>2145</v>
      </c>
      <c r="D1441" s="229" t="s">
        <v>2146</v>
      </c>
      <c r="E1441" s="232" t="s">
        <v>336</v>
      </c>
      <c r="F1441" s="166"/>
      <c r="G1441" s="68">
        <v>0</v>
      </c>
      <c r="H1441" s="25">
        <f t="shared" si="97"/>
        <v>0</v>
      </c>
    </row>
    <row r="1442" customHeight="1" spans="1:8">
      <c r="A1442" s="8">
        <f ca="1" t="shared" si="101"/>
        <v>622</v>
      </c>
      <c r="B1442" s="129"/>
      <c r="C1442" s="228" t="s">
        <v>2147</v>
      </c>
      <c r="D1442" s="229" t="s">
        <v>2148</v>
      </c>
      <c r="E1442" s="232" t="s">
        <v>336</v>
      </c>
      <c r="F1442" s="166">
        <f>20.47*F1413</f>
        <v>40.94</v>
      </c>
      <c r="G1442" s="68">
        <v>0</v>
      </c>
      <c r="H1442" s="25">
        <f t="shared" si="97"/>
        <v>0</v>
      </c>
    </row>
    <row r="1443" customHeight="1" spans="1:8">
      <c r="B1443" s="129"/>
      <c r="C1443" s="228" t="s">
        <v>2149</v>
      </c>
      <c r="D1443" s="229" t="s">
        <v>2150</v>
      </c>
      <c r="E1443" s="138"/>
      <c r="F1443" s="166"/>
      <c r="G1443" s="68">
        <v>0</v>
      </c>
      <c r="H1443" s="25">
        <f t="shared" si="97"/>
        <v>0</v>
      </c>
    </row>
    <row r="1444" customHeight="1" spans="1:8">
      <c r="A1444" s="8">
        <f ca="1" t="shared" si="101"/>
        <v>623</v>
      </c>
      <c r="B1444" s="129"/>
      <c r="C1444" s="228" t="s">
        <v>2151</v>
      </c>
      <c r="D1444" s="229" t="s">
        <v>2152</v>
      </c>
      <c r="E1444" s="138" t="s">
        <v>329</v>
      </c>
      <c r="F1444" s="166">
        <f>153.82*F1413</f>
        <v>307.64</v>
      </c>
      <c r="G1444" s="68">
        <v>0</v>
      </c>
      <c r="H1444" s="25">
        <f t="shared" si="97"/>
        <v>0</v>
      </c>
    </row>
    <row r="1445" customHeight="1" spans="1:8">
      <c r="A1445" s="8">
        <f ca="1" t="shared" si="101"/>
        <v>624</v>
      </c>
      <c r="B1445" s="129"/>
      <c r="C1445" s="230" t="s">
        <v>2153</v>
      </c>
      <c r="D1445" s="231" t="s">
        <v>2154</v>
      </c>
      <c r="E1445" s="232" t="s">
        <v>329</v>
      </c>
      <c r="F1445" s="233">
        <f>20.41*F1413</f>
        <v>40.82</v>
      </c>
      <c r="G1445" s="68">
        <v>0</v>
      </c>
      <c r="H1445" s="25">
        <f t="shared" si="97"/>
        <v>0</v>
      </c>
    </row>
    <row r="1446" customHeight="1" spans="1:8">
      <c r="B1446" s="129"/>
      <c r="C1446" s="228" t="s">
        <v>2155</v>
      </c>
      <c r="D1446" s="229" t="s">
        <v>2156</v>
      </c>
      <c r="E1446" s="138"/>
      <c r="F1446" s="166"/>
      <c r="G1446" s="68">
        <v>0</v>
      </c>
      <c r="H1446" s="25">
        <f t="shared" si="97"/>
        <v>0</v>
      </c>
    </row>
    <row r="1447" customHeight="1" spans="1:8">
      <c r="A1447" s="8">
        <f ca="1" t="shared" ref="A1447:A1450" si="102">COUNTA(OFFSET(A$1,0,0,ROW()-1,1))+1</f>
        <v>625</v>
      </c>
      <c r="B1447" s="129"/>
      <c r="C1447" s="228" t="s">
        <v>2157</v>
      </c>
      <c r="D1447" s="229" t="s">
        <v>2158</v>
      </c>
      <c r="E1447" s="138" t="s">
        <v>329</v>
      </c>
      <c r="F1447" s="166">
        <f>195.25*F1413</f>
        <v>390.5</v>
      </c>
      <c r="G1447" s="68">
        <v>0</v>
      </c>
      <c r="H1447" s="25">
        <f t="shared" si="97"/>
        <v>0</v>
      </c>
    </row>
    <row r="1448" customHeight="1" spans="1:8">
      <c r="B1448" s="129"/>
      <c r="C1448" s="228" t="s">
        <v>2159</v>
      </c>
      <c r="D1448" s="229" t="s">
        <v>2160</v>
      </c>
      <c r="E1448" s="138"/>
      <c r="F1448" s="166"/>
      <c r="G1448" s="68">
        <v>0</v>
      </c>
      <c r="H1448" s="25">
        <f t="shared" si="97"/>
        <v>0</v>
      </c>
    </row>
    <row r="1449" customHeight="1" spans="1:8">
      <c r="A1449" s="8">
        <f ca="1" t="shared" si="102"/>
        <v>626</v>
      </c>
      <c r="B1449" s="129"/>
      <c r="C1449" s="228" t="s">
        <v>2159</v>
      </c>
      <c r="D1449" s="229" t="s">
        <v>2160</v>
      </c>
      <c r="E1449" s="138" t="s">
        <v>329</v>
      </c>
      <c r="F1449" s="166">
        <f>62*F1413*F1413</f>
        <v>248</v>
      </c>
      <c r="G1449" s="68">
        <v>0</v>
      </c>
      <c r="H1449" s="25">
        <f t="shared" si="97"/>
        <v>0</v>
      </c>
    </row>
    <row r="1450" customHeight="1" spans="1:8">
      <c r="A1450" s="8">
        <f ca="1" t="shared" si="102"/>
        <v>627</v>
      </c>
      <c r="B1450" s="129"/>
      <c r="C1450" s="230" t="s">
        <v>2161</v>
      </c>
      <c r="D1450" s="231" t="s">
        <v>2162</v>
      </c>
      <c r="E1450" s="232" t="s">
        <v>329</v>
      </c>
      <c r="F1450" s="166">
        <f>0.9*2.7*F1413</f>
        <v>4.86</v>
      </c>
      <c r="G1450" s="68">
        <v>0</v>
      </c>
      <c r="H1450" s="25">
        <f t="shared" si="97"/>
        <v>0</v>
      </c>
    </row>
    <row r="1451" customHeight="1" spans="1:8">
      <c r="B1451" s="129"/>
      <c r="C1451" s="228" t="s">
        <v>2163</v>
      </c>
      <c r="D1451" s="229" t="s">
        <v>2164</v>
      </c>
      <c r="E1451" s="138" t="s">
        <v>225</v>
      </c>
      <c r="F1451" s="166"/>
      <c r="G1451" s="68">
        <v>0</v>
      </c>
      <c r="H1451" s="25">
        <f t="shared" si="97"/>
        <v>0</v>
      </c>
    </row>
    <row r="1452" customHeight="1" spans="1:8">
      <c r="A1452" s="8">
        <f ca="1" t="shared" ref="A1452:A1456" si="103">COUNTA(OFFSET(A$1,0,0,ROW()-1,1))+1</f>
        <v>628</v>
      </c>
      <c r="B1452" s="129"/>
      <c r="C1452" s="228" t="s">
        <v>2165</v>
      </c>
      <c r="D1452" s="229" t="s">
        <v>2166</v>
      </c>
      <c r="E1452" s="138" t="s">
        <v>225</v>
      </c>
      <c r="F1452" s="166">
        <f>3.9*F1413</f>
        <v>7.8</v>
      </c>
      <c r="G1452" s="68">
        <v>0</v>
      </c>
      <c r="H1452" s="25">
        <f t="shared" si="97"/>
        <v>0</v>
      </c>
    </row>
    <row r="1453" customHeight="1" spans="1:8">
      <c r="B1453" s="129"/>
      <c r="C1453" s="228" t="s">
        <v>2167</v>
      </c>
      <c r="D1453" s="229" t="s">
        <v>2168</v>
      </c>
      <c r="E1453" s="138"/>
      <c r="F1453" s="166"/>
      <c r="G1453" s="68">
        <v>0</v>
      </c>
      <c r="H1453" s="25">
        <f t="shared" si="97"/>
        <v>0</v>
      </c>
    </row>
    <row r="1454" customHeight="1" spans="1:8">
      <c r="A1454" s="8">
        <f ca="1" t="shared" si="103"/>
        <v>629</v>
      </c>
      <c r="B1454" s="129"/>
      <c r="C1454" s="228" t="s">
        <v>2169</v>
      </c>
      <c r="D1454" s="234" t="s">
        <v>2170</v>
      </c>
      <c r="E1454" s="138" t="s">
        <v>238</v>
      </c>
      <c r="F1454" s="166">
        <f>5*F1413</f>
        <v>10</v>
      </c>
      <c r="G1454" s="68">
        <v>0</v>
      </c>
      <c r="H1454" s="25">
        <f t="shared" si="97"/>
        <v>0</v>
      </c>
    </row>
    <row r="1455" customHeight="1" spans="1:8">
      <c r="A1455" s="8">
        <f ca="1" t="shared" si="103"/>
        <v>630</v>
      </c>
      <c r="B1455" s="129"/>
      <c r="C1455" s="228" t="s">
        <v>2171</v>
      </c>
      <c r="D1455" s="234" t="s">
        <v>2172</v>
      </c>
      <c r="E1455" s="138" t="s">
        <v>238</v>
      </c>
      <c r="F1455" s="166">
        <f>1*F1413</f>
        <v>2</v>
      </c>
      <c r="G1455" s="68">
        <v>0</v>
      </c>
      <c r="H1455" s="25">
        <f t="shared" si="97"/>
        <v>0</v>
      </c>
    </row>
    <row r="1456" customHeight="1" spans="1:8">
      <c r="A1456" s="8">
        <f ca="1" t="shared" si="103"/>
        <v>631</v>
      </c>
      <c r="B1456" s="129"/>
      <c r="C1456" s="228" t="s">
        <v>2173</v>
      </c>
      <c r="D1456" s="234" t="s">
        <v>2173</v>
      </c>
      <c r="E1456" s="138" t="s">
        <v>238</v>
      </c>
      <c r="F1456" s="166">
        <f>4*F1413</f>
        <v>8</v>
      </c>
      <c r="G1456" s="68">
        <v>0</v>
      </c>
      <c r="H1456" s="25">
        <f t="shared" si="97"/>
        <v>0</v>
      </c>
    </row>
    <row r="1457" customHeight="1" spans="1:8">
      <c r="B1457" s="129"/>
      <c r="C1457" s="228" t="s">
        <v>2174</v>
      </c>
      <c r="D1457" s="234" t="s">
        <v>2174</v>
      </c>
      <c r="E1457" s="138" t="s">
        <v>238</v>
      </c>
      <c r="F1457" s="166"/>
      <c r="G1457" s="68">
        <v>0</v>
      </c>
      <c r="H1457" s="25">
        <f t="shared" si="97"/>
        <v>0</v>
      </c>
    </row>
    <row r="1458" customHeight="1" spans="1:8">
      <c r="B1458" s="129"/>
      <c r="C1458" s="228" t="s">
        <v>2175</v>
      </c>
      <c r="D1458" s="234" t="s">
        <v>2176</v>
      </c>
      <c r="E1458" s="138" t="s">
        <v>238</v>
      </c>
      <c r="F1458" s="166"/>
      <c r="G1458" s="68">
        <v>0</v>
      </c>
      <c r="H1458" s="25">
        <f t="shared" si="97"/>
        <v>0</v>
      </c>
    </row>
    <row r="1459" customHeight="1" spans="1:8">
      <c r="B1459" s="129"/>
      <c r="C1459" s="228" t="s">
        <v>2177</v>
      </c>
      <c r="D1459" s="229" t="s">
        <v>2178</v>
      </c>
      <c r="E1459" s="138"/>
      <c r="F1459" s="166"/>
      <c r="G1459" s="68">
        <v>0</v>
      </c>
      <c r="H1459" s="25">
        <f t="shared" si="97"/>
        <v>0</v>
      </c>
    </row>
    <row r="1460" customHeight="1" spans="1:8">
      <c r="A1460" s="8">
        <f ca="1" t="shared" ref="A1460:A1479" si="104">COUNTA(OFFSET(A$1,0,0,ROW()-1,1))+1</f>
        <v>632</v>
      </c>
      <c r="B1460" s="129"/>
      <c r="C1460" s="228" t="s">
        <v>2179</v>
      </c>
      <c r="D1460" s="229" t="s">
        <v>2180</v>
      </c>
      <c r="E1460" s="138" t="s">
        <v>2181</v>
      </c>
      <c r="F1460" s="166">
        <f>F1413*2</f>
        <v>4</v>
      </c>
      <c r="G1460" s="68">
        <v>0</v>
      </c>
      <c r="H1460" s="25">
        <f t="shared" si="97"/>
        <v>0</v>
      </c>
    </row>
    <row r="1461" customHeight="1" spans="1:8">
      <c r="A1461" s="8">
        <f ca="1" t="shared" si="104"/>
        <v>633</v>
      </c>
      <c r="B1461" s="129"/>
      <c r="C1461" s="228" t="s">
        <v>2182</v>
      </c>
      <c r="D1461" s="229" t="s">
        <v>2183</v>
      </c>
      <c r="E1461" s="138" t="s">
        <v>2181</v>
      </c>
      <c r="F1461" s="166">
        <f>F1413*2</f>
        <v>4</v>
      </c>
      <c r="G1461" s="68">
        <v>0</v>
      </c>
      <c r="H1461" s="25">
        <f t="shared" si="97"/>
        <v>0</v>
      </c>
    </row>
    <row r="1462" customHeight="1" spans="1:8">
      <c r="A1462" s="8">
        <f ca="1" t="shared" si="104"/>
        <v>634</v>
      </c>
      <c r="B1462" s="129"/>
      <c r="C1462" s="228" t="s">
        <v>2184</v>
      </c>
      <c r="D1462" s="229" t="s">
        <v>2185</v>
      </c>
      <c r="E1462" s="138" t="s">
        <v>2181</v>
      </c>
      <c r="F1462" s="166">
        <f>F1413*2</f>
        <v>4</v>
      </c>
      <c r="G1462" s="68">
        <v>0</v>
      </c>
      <c r="H1462" s="25">
        <f t="shared" si="97"/>
        <v>0</v>
      </c>
    </row>
    <row r="1463" customHeight="1" spans="1:8">
      <c r="A1463" s="8">
        <f ca="1" t="shared" si="104"/>
        <v>635</v>
      </c>
      <c r="B1463" s="129"/>
      <c r="C1463" s="228" t="s">
        <v>2186</v>
      </c>
      <c r="D1463" s="229" t="s">
        <v>2187</v>
      </c>
      <c r="E1463" s="138" t="s">
        <v>2181</v>
      </c>
      <c r="F1463" s="166">
        <f>F1413*2</f>
        <v>4</v>
      </c>
      <c r="G1463" s="68">
        <v>0</v>
      </c>
      <c r="H1463" s="25">
        <f t="shared" si="97"/>
        <v>0</v>
      </c>
    </row>
    <row r="1464" customHeight="1" spans="1:8">
      <c r="A1464" s="8">
        <f ca="1" t="shared" si="104"/>
        <v>636</v>
      </c>
      <c r="B1464" s="129"/>
      <c r="C1464" s="228" t="s">
        <v>2188</v>
      </c>
      <c r="D1464" s="229" t="s">
        <v>2189</v>
      </c>
      <c r="E1464" s="138" t="s">
        <v>2181</v>
      </c>
      <c r="F1464" s="166">
        <f>F1413*2</f>
        <v>4</v>
      </c>
      <c r="G1464" s="68">
        <v>0</v>
      </c>
      <c r="H1464" s="25">
        <f t="shared" si="97"/>
        <v>0</v>
      </c>
    </row>
    <row r="1465" customHeight="1" spans="1:8">
      <c r="A1465" s="8">
        <f ca="1" t="shared" si="104"/>
        <v>637</v>
      </c>
      <c r="B1465" s="129"/>
      <c r="C1465" s="228" t="s">
        <v>2190</v>
      </c>
      <c r="D1465" s="229" t="s">
        <v>2191</v>
      </c>
      <c r="E1465" s="138" t="s">
        <v>2181</v>
      </c>
      <c r="F1465" s="166">
        <f>F1413*2</f>
        <v>4</v>
      </c>
      <c r="G1465" s="68">
        <v>0</v>
      </c>
      <c r="H1465" s="25">
        <f t="shared" si="97"/>
        <v>0</v>
      </c>
    </row>
    <row r="1466" customHeight="1" spans="1:8">
      <c r="A1466" s="8">
        <f ca="1" t="shared" si="104"/>
        <v>638</v>
      </c>
      <c r="B1466" s="129"/>
      <c r="C1466" s="228" t="s">
        <v>2192</v>
      </c>
      <c r="D1466" s="229" t="s">
        <v>2193</v>
      </c>
      <c r="E1466" s="138" t="s">
        <v>2181</v>
      </c>
      <c r="F1466" s="166">
        <f>F1413*2</f>
        <v>4</v>
      </c>
      <c r="G1466" s="68">
        <v>0</v>
      </c>
      <c r="H1466" s="25">
        <f t="shared" si="97"/>
        <v>0</v>
      </c>
    </row>
    <row r="1467" customHeight="1" spans="1:8">
      <c r="A1467" s="8">
        <f ca="1" t="shared" si="104"/>
        <v>639</v>
      </c>
      <c r="B1467" s="129"/>
      <c r="C1467" s="228" t="s">
        <v>2194</v>
      </c>
      <c r="D1467" s="229" t="s">
        <v>2195</v>
      </c>
      <c r="E1467" s="138" t="s">
        <v>2181</v>
      </c>
      <c r="F1467" s="166">
        <f>F1413*2</f>
        <v>4</v>
      </c>
      <c r="G1467" s="68">
        <v>0</v>
      </c>
      <c r="H1467" s="25">
        <f t="shared" si="97"/>
        <v>0</v>
      </c>
    </row>
    <row r="1468" customHeight="1" spans="1:8">
      <c r="A1468" s="8">
        <f ca="1" t="shared" si="104"/>
        <v>640</v>
      </c>
      <c r="B1468" s="129"/>
      <c r="C1468" s="228" t="s">
        <v>2196</v>
      </c>
      <c r="D1468" s="229" t="s">
        <v>2197</v>
      </c>
      <c r="E1468" s="138" t="s">
        <v>2181</v>
      </c>
      <c r="F1468" s="166">
        <f>F1413*2</f>
        <v>4</v>
      </c>
      <c r="G1468" s="68">
        <v>0</v>
      </c>
      <c r="H1468" s="25">
        <f t="shared" si="97"/>
        <v>0</v>
      </c>
    </row>
    <row r="1469" customHeight="1" spans="1:8">
      <c r="A1469" s="8">
        <f ca="1" t="shared" si="104"/>
        <v>641</v>
      </c>
      <c r="B1469" s="129"/>
      <c r="C1469" s="228" t="s">
        <v>2198</v>
      </c>
      <c r="D1469" s="229" t="s">
        <v>2199</v>
      </c>
      <c r="E1469" s="138" t="s">
        <v>2200</v>
      </c>
      <c r="F1469" s="166">
        <f>F1413*1</f>
        <v>2</v>
      </c>
      <c r="G1469" s="68">
        <v>0</v>
      </c>
      <c r="H1469" s="25">
        <f t="shared" si="97"/>
        <v>0</v>
      </c>
    </row>
    <row r="1470" customHeight="1" spans="1:8">
      <c r="A1470" s="8">
        <f ca="1" t="shared" si="104"/>
        <v>642</v>
      </c>
      <c r="B1470" s="129"/>
      <c r="C1470" s="228" t="s">
        <v>2201</v>
      </c>
      <c r="D1470" s="229" t="s">
        <v>2202</v>
      </c>
      <c r="E1470" s="138" t="s">
        <v>2181</v>
      </c>
      <c r="F1470" s="166">
        <f>F1413*6</f>
        <v>12</v>
      </c>
      <c r="G1470" s="68">
        <v>0</v>
      </c>
      <c r="H1470" s="25">
        <f t="shared" si="97"/>
        <v>0</v>
      </c>
    </row>
    <row r="1471" customHeight="1" spans="1:8">
      <c r="A1471" s="8">
        <f ca="1" t="shared" si="104"/>
        <v>643</v>
      </c>
      <c r="B1471" s="129"/>
      <c r="C1471" s="228" t="s">
        <v>2203</v>
      </c>
      <c r="D1471" s="229" t="s">
        <v>2204</v>
      </c>
      <c r="E1471" s="138" t="s">
        <v>2181</v>
      </c>
      <c r="F1471" s="166">
        <f>F1413*12</f>
        <v>24</v>
      </c>
      <c r="G1471" s="68">
        <v>0</v>
      </c>
      <c r="H1471" s="25">
        <f t="shared" si="97"/>
        <v>0</v>
      </c>
    </row>
    <row r="1472" customHeight="1" spans="1:8">
      <c r="A1472" s="8">
        <f ca="1" t="shared" si="104"/>
        <v>644</v>
      </c>
      <c r="B1472" s="129"/>
      <c r="C1472" s="228" t="s">
        <v>2205</v>
      </c>
      <c r="D1472" s="229" t="s">
        <v>2206</v>
      </c>
      <c r="E1472" s="138" t="s">
        <v>2181</v>
      </c>
      <c r="F1472" s="166">
        <f>F1413*4</f>
        <v>8</v>
      </c>
      <c r="G1472" s="68">
        <v>0</v>
      </c>
      <c r="H1472" s="25">
        <f t="shared" si="97"/>
        <v>0</v>
      </c>
    </row>
    <row r="1473" customHeight="1" spans="1:8">
      <c r="A1473" s="8">
        <f ca="1" t="shared" si="104"/>
        <v>645</v>
      </c>
      <c r="B1473" s="129"/>
      <c r="C1473" s="228" t="s">
        <v>2207</v>
      </c>
      <c r="D1473" s="229" t="s">
        <v>2208</v>
      </c>
      <c r="E1473" s="138" t="s">
        <v>2181</v>
      </c>
      <c r="F1473" s="166">
        <f>F1413*2</f>
        <v>4</v>
      </c>
      <c r="G1473" s="68">
        <v>0</v>
      </c>
      <c r="H1473" s="25">
        <f t="shared" si="97"/>
        <v>0</v>
      </c>
    </row>
    <row r="1474" customHeight="1" spans="1:8">
      <c r="A1474" s="8">
        <f ca="1" t="shared" si="104"/>
        <v>646</v>
      </c>
      <c r="B1474" s="129"/>
      <c r="C1474" s="228" t="s">
        <v>2209</v>
      </c>
      <c r="D1474" s="229" t="s">
        <v>2210</v>
      </c>
      <c r="E1474" s="138" t="s">
        <v>510</v>
      </c>
      <c r="F1474" s="166">
        <f>F1413*2</f>
        <v>4</v>
      </c>
      <c r="G1474" s="68">
        <v>0</v>
      </c>
      <c r="H1474" s="25">
        <f t="shared" si="97"/>
        <v>0</v>
      </c>
    </row>
    <row r="1475" customHeight="1" spans="1:8">
      <c r="A1475" s="8">
        <f ca="1" t="shared" si="104"/>
        <v>647</v>
      </c>
      <c r="B1475" s="129"/>
      <c r="C1475" s="228" t="s">
        <v>2211</v>
      </c>
      <c r="D1475" s="229" t="s">
        <v>2212</v>
      </c>
      <c r="E1475" s="138" t="s">
        <v>510</v>
      </c>
      <c r="F1475" s="166">
        <f>F1413*2</f>
        <v>4</v>
      </c>
      <c r="G1475" s="68">
        <v>0</v>
      </c>
      <c r="H1475" s="25">
        <f t="shared" si="97"/>
        <v>0</v>
      </c>
    </row>
    <row r="1476" customHeight="1" spans="1:8">
      <c r="A1476" s="8">
        <f ca="1" t="shared" si="104"/>
        <v>648</v>
      </c>
      <c r="B1476" s="129"/>
      <c r="C1476" s="228" t="s">
        <v>2213</v>
      </c>
      <c r="D1476" s="229" t="s">
        <v>2214</v>
      </c>
      <c r="E1476" s="138" t="s">
        <v>2200</v>
      </c>
      <c r="F1476" s="166">
        <f>F1413*1</f>
        <v>2</v>
      </c>
      <c r="G1476" s="68">
        <v>0</v>
      </c>
      <c r="H1476" s="25">
        <f t="shared" si="97"/>
        <v>0</v>
      </c>
    </row>
    <row r="1477" customHeight="1" spans="1:8">
      <c r="A1477" s="8">
        <f ca="1" t="shared" si="104"/>
        <v>649</v>
      </c>
      <c r="B1477" s="129"/>
      <c r="C1477" s="228" t="s">
        <v>2215</v>
      </c>
      <c r="D1477" s="229" t="s">
        <v>2216</v>
      </c>
      <c r="E1477" s="138" t="s">
        <v>2200</v>
      </c>
      <c r="F1477" s="166">
        <f>F1413*1</f>
        <v>2</v>
      </c>
      <c r="G1477" s="68">
        <v>0</v>
      </c>
      <c r="H1477" s="25">
        <f t="shared" si="97"/>
        <v>0</v>
      </c>
    </row>
    <row r="1478" customHeight="1" spans="1:8">
      <c r="A1478" s="8">
        <f ca="1" t="shared" si="104"/>
        <v>650</v>
      </c>
      <c r="B1478" s="129"/>
      <c r="C1478" s="228" t="s">
        <v>2217</v>
      </c>
      <c r="D1478" s="229" t="s">
        <v>2218</v>
      </c>
      <c r="E1478" s="138" t="s">
        <v>510</v>
      </c>
      <c r="F1478" s="166">
        <f>F1413*2</f>
        <v>4</v>
      </c>
      <c r="G1478" s="68">
        <v>0</v>
      </c>
      <c r="H1478" s="25">
        <f t="shared" si="97"/>
        <v>0</v>
      </c>
    </row>
    <row r="1479" customHeight="1" spans="1:8">
      <c r="A1479" s="8">
        <f ca="1" t="shared" si="104"/>
        <v>651</v>
      </c>
      <c r="B1479" s="129"/>
      <c r="C1479" s="228" t="s">
        <v>2219</v>
      </c>
      <c r="D1479" s="229" t="s">
        <v>2220</v>
      </c>
      <c r="E1479" s="138" t="s">
        <v>2200</v>
      </c>
      <c r="F1479" s="166">
        <f>F1413*1</f>
        <v>2</v>
      </c>
      <c r="G1479" s="68">
        <v>0</v>
      </c>
      <c r="H1479" s="25">
        <f t="shared" si="97"/>
        <v>0</v>
      </c>
    </row>
    <row r="1480" customHeight="1" spans="1:8">
      <c r="B1480" s="129"/>
      <c r="C1480" s="228" t="s">
        <v>2221</v>
      </c>
      <c r="D1480" s="229" t="s">
        <v>2222</v>
      </c>
      <c r="E1480" s="138"/>
      <c r="F1480" s="166"/>
      <c r="G1480" s="68">
        <v>0</v>
      </c>
      <c r="H1480" s="25">
        <f t="shared" ref="H1480:H1543" si="105">IFERROR(ROUND(G1480*F1480,0),0)</f>
        <v>0</v>
      </c>
    </row>
    <row r="1481" customHeight="1" spans="1:8">
      <c r="B1481" s="129"/>
      <c r="C1481" s="228" t="s">
        <v>2223</v>
      </c>
      <c r="D1481" s="229" t="s">
        <v>2224</v>
      </c>
      <c r="E1481" s="138" t="s">
        <v>238</v>
      </c>
      <c r="F1481" s="166"/>
      <c r="G1481" s="68">
        <v>0</v>
      </c>
      <c r="H1481" s="25">
        <f t="shared" si="105"/>
        <v>0</v>
      </c>
    </row>
    <row r="1482" customHeight="1" spans="1:8">
      <c r="B1482" s="129"/>
      <c r="C1482" s="228" t="s">
        <v>2225</v>
      </c>
      <c r="D1482" s="229" t="s">
        <v>2226</v>
      </c>
      <c r="E1482" s="138" t="s">
        <v>238</v>
      </c>
      <c r="F1482" s="166"/>
      <c r="G1482" s="68">
        <v>0</v>
      </c>
      <c r="H1482" s="25">
        <f t="shared" si="105"/>
        <v>0</v>
      </c>
    </row>
    <row r="1483" customHeight="1" spans="1:8">
      <c r="B1483" s="129"/>
      <c r="C1483" s="228" t="s">
        <v>2227</v>
      </c>
      <c r="D1483" s="229" t="s">
        <v>2228</v>
      </c>
      <c r="E1483" s="138" t="s">
        <v>238</v>
      </c>
      <c r="F1483" s="166"/>
      <c r="G1483" s="68">
        <v>0</v>
      </c>
      <c r="H1483" s="25">
        <f t="shared" si="105"/>
        <v>0</v>
      </c>
    </row>
    <row r="1484" customHeight="1" spans="1:8">
      <c r="B1484" s="129"/>
      <c r="C1484" s="228" t="s">
        <v>2229</v>
      </c>
      <c r="D1484" s="229" t="s">
        <v>2230</v>
      </c>
      <c r="E1484" s="138" t="s">
        <v>238</v>
      </c>
      <c r="F1484" s="166"/>
      <c r="G1484" s="68">
        <v>0</v>
      </c>
      <c r="H1484" s="25">
        <f t="shared" si="105"/>
        <v>0</v>
      </c>
    </row>
    <row r="1485" customHeight="1" spans="1:8">
      <c r="B1485" s="129"/>
      <c r="C1485" s="228" t="s">
        <v>2231</v>
      </c>
      <c r="D1485" s="229" t="s">
        <v>2232</v>
      </c>
      <c r="E1485" s="138" t="s">
        <v>238</v>
      </c>
      <c r="F1485" s="166"/>
      <c r="G1485" s="68">
        <v>0</v>
      </c>
      <c r="H1485" s="25">
        <f t="shared" si="105"/>
        <v>0</v>
      </c>
    </row>
    <row r="1486" customHeight="1" spans="1:8">
      <c r="B1486" s="129"/>
      <c r="C1486" s="228" t="s">
        <v>2233</v>
      </c>
      <c r="D1486" s="229" t="s">
        <v>2234</v>
      </c>
      <c r="E1486" s="138" t="s">
        <v>238</v>
      </c>
      <c r="F1486" s="166"/>
      <c r="G1486" s="68">
        <v>0</v>
      </c>
      <c r="H1486" s="25">
        <f t="shared" si="105"/>
        <v>0</v>
      </c>
    </row>
    <row r="1487" customHeight="1" spans="1:8">
      <c r="B1487" s="129"/>
      <c r="C1487" s="228" t="s">
        <v>2235</v>
      </c>
      <c r="D1487" s="229" t="s">
        <v>2236</v>
      </c>
      <c r="E1487" s="138" t="s">
        <v>238</v>
      </c>
      <c r="F1487" s="166"/>
      <c r="G1487" s="68">
        <v>0</v>
      </c>
      <c r="H1487" s="25">
        <f t="shared" si="105"/>
        <v>0</v>
      </c>
    </row>
    <row r="1488" customHeight="1" spans="1:8">
      <c r="B1488" s="129"/>
      <c r="C1488" s="228" t="s">
        <v>2237</v>
      </c>
      <c r="D1488" s="229" t="s">
        <v>2124</v>
      </c>
      <c r="E1488" s="138"/>
      <c r="F1488" s="166"/>
      <c r="G1488" s="68">
        <v>0</v>
      </c>
      <c r="H1488" s="25">
        <f t="shared" si="105"/>
        <v>0</v>
      </c>
    </row>
    <row r="1489" customHeight="1" spans="1:8">
      <c r="A1489" s="8">
        <f ca="1">COUNTA(OFFSET(A$1,0,0,ROW()-1,1))+1</f>
        <v>652</v>
      </c>
      <c r="B1489" s="129"/>
      <c r="C1489" s="230" t="s">
        <v>2238</v>
      </c>
      <c r="D1489" s="231" t="s">
        <v>2239</v>
      </c>
      <c r="E1489" s="232" t="s">
        <v>445</v>
      </c>
      <c r="F1489" s="166">
        <f>3.9*1.2*100/1000*F1413</f>
        <v>0.936</v>
      </c>
      <c r="G1489" s="68">
        <v>0</v>
      </c>
      <c r="H1489" s="25">
        <f t="shared" si="105"/>
        <v>0</v>
      </c>
    </row>
    <row r="1490" customHeight="1" spans="1:8">
      <c r="B1490" s="129"/>
      <c r="C1490" s="228" t="s">
        <v>2240</v>
      </c>
      <c r="D1490" s="229" t="s">
        <v>1234</v>
      </c>
      <c r="E1490" s="138" t="s">
        <v>225</v>
      </c>
      <c r="F1490" s="166"/>
      <c r="G1490" s="68">
        <v>0</v>
      </c>
      <c r="H1490" s="25">
        <f t="shared" si="105"/>
        <v>0</v>
      </c>
    </row>
    <row r="1491" customHeight="1" spans="1:8">
      <c r="B1491" s="129"/>
      <c r="C1491" s="228" t="s">
        <v>2241</v>
      </c>
      <c r="D1491" s="229" t="s">
        <v>2242</v>
      </c>
      <c r="E1491" s="138" t="s">
        <v>225</v>
      </c>
      <c r="F1491" s="166"/>
      <c r="G1491" s="68">
        <v>0</v>
      </c>
      <c r="H1491" s="25">
        <f t="shared" si="105"/>
        <v>0</v>
      </c>
    </row>
    <row r="1492" customHeight="1" spans="1:8">
      <c r="B1492" s="129"/>
      <c r="C1492" s="228" t="s">
        <v>2243</v>
      </c>
      <c r="D1492" s="229" t="s">
        <v>2244</v>
      </c>
      <c r="E1492" s="138" t="s">
        <v>892</v>
      </c>
      <c r="F1492" s="166"/>
      <c r="G1492" s="68">
        <v>0</v>
      </c>
      <c r="H1492" s="25">
        <f t="shared" si="105"/>
        <v>0</v>
      </c>
    </row>
    <row r="1493" customHeight="1" spans="1:8">
      <c r="B1493" s="129"/>
      <c r="C1493" s="228" t="s">
        <v>2245</v>
      </c>
      <c r="D1493" s="229" t="s">
        <v>2246</v>
      </c>
      <c r="E1493" s="138" t="s">
        <v>225</v>
      </c>
      <c r="F1493" s="166"/>
      <c r="G1493" s="68">
        <v>0</v>
      </c>
      <c r="H1493" s="25">
        <f t="shared" si="105"/>
        <v>0</v>
      </c>
    </row>
    <row r="1494" customHeight="1" spans="1:8">
      <c r="B1494" s="129"/>
      <c r="C1494" s="230" t="s">
        <v>2247</v>
      </c>
      <c r="D1494" s="231" t="s">
        <v>2248</v>
      </c>
      <c r="E1494" s="138"/>
      <c r="F1494" s="166"/>
      <c r="G1494" s="68">
        <v>0</v>
      </c>
      <c r="H1494" s="25">
        <f t="shared" si="105"/>
        <v>0</v>
      </c>
    </row>
    <row r="1495" customHeight="1" spans="1:8">
      <c r="A1495" s="8">
        <f ca="1" t="shared" ref="A1495:A1498" si="106">COUNTA(OFFSET(A$1,0,0,ROW()-1,1))+1</f>
        <v>653</v>
      </c>
      <c r="B1495" s="129"/>
      <c r="C1495" s="230" t="s">
        <v>2249</v>
      </c>
      <c r="D1495" s="231" t="s">
        <v>2250</v>
      </c>
      <c r="E1495" s="232" t="s">
        <v>2200</v>
      </c>
      <c r="F1495" s="166">
        <f>1*F1413</f>
        <v>2</v>
      </c>
      <c r="G1495" s="68">
        <v>0</v>
      </c>
      <c r="H1495" s="25">
        <f t="shared" si="105"/>
        <v>0</v>
      </c>
    </row>
    <row r="1496" customHeight="1" spans="1:8">
      <c r="A1496" s="8">
        <f ca="1" t="shared" si="106"/>
        <v>654</v>
      </c>
      <c r="B1496" s="129"/>
      <c r="C1496" s="230" t="s">
        <v>2251</v>
      </c>
      <c r="D1496" s="231" t="s">
        <v>2252</v>
      </c>
      <c r="E1496" s="232" t="s">
        <v>2253</v>
      </c>
      <c r="F1496" s="166">
        <f>63.44*F1413</f>
        <v>126.88</v>
      </c>
      <c r="G1496" s="68">
        <v>0</v>
      </c>
      <c r="H1496" s="25">
        <f t="shared" si="105"/>
        <v>0</v>
      </c>
    </row>
    <row r="1497" customHeight="1" spans="1:8">
      <c r="A1497" s="8">
        <f ca="1" t="shared" si="106"/>
        <v>655</v>
      </c>
      <c r="B1497" s="129"/>
      <c r="C1497" s="230" t="s">
        <v>2254</v>
      </c>
      <c r="D1497" s="231" t="s">
        <v>2255</v>
      </c>
      <c r="E1497" s="232" t="s">
        <v>2200</v>
      </c>
      <c r="F1497" s="166">
        <f>1*F1413</f>
        <v>2</v>
      </c>
      <c r="G1497" s="68">
        <v>0</v>
      </c>
      <c r="H1497" s="25">
        <f t="shared" si="105"/>
        <v>0</v>
      </c>
    </row>
    <row r="1498" customHeight="1" spans="1:8">
      <c r="A1498" s="8">
        <f ca="1" t="shared" si="106"/>
        <v>656</v>
      </c>
      <c r="B1498" s="84" t="s">
        <v>2256</v>
      </c>
      <c r="C1498" s="89" t="s">
        <v>2257</v>
      </c>
      <c r="D1498" s="90" t="s">
        <v>2258</v>
      </c>
      <c r="E1498" s="86" t="s">
        <v>238</v>
      </c>
      <c r="F1498" s="107">
        <v>2</v>
      </c>
      <c r="G1498" s="68">
        <v>76196.5152</v>
      </c>
      <c r="H1498" s="25">
        <f t="shared" si="105"/>
        <v>152393</v>
      </c>
    </row>
    <row r="1499" customHeight="1" spans="1:8">
      <c r="B1499" s="129"/>
      <c r="C1499" s="226" t="s">
        <v>2098</v>
      </c>
      <c r="D1499" s="227" t="s">
        <v>2099</v>
      </c>
      <c r="E1499" s="138"/>
      <c r="F1499" s="166"/>
      <c r="G1499" s="68">
        <v>0</v>
      </c>
      <c r="H1499" s="25">
        <f t="shared" si="105"/>
        <v>0</v>
      </c>
    </row>
    <row r="1500" customHeight="1" spans="1:8">
      <c r="B1500" s="129"/>
      <c r="C1500" s="228" t="s">
        <v>2100</v>
      </c>
      <c r="D1500" s="229" t="s">
        <v>2101</v>
      </c>
      <c r="E1500" s="138"/>
      <c r="F1500" s="166"/>
      <c r="G1500" s="68">
        <v>0</v>
      </c>
      <c r="H1500" s="25">
        <f t="shared" si="105"/>
        <v>0</v>
      </c>
    </row>
    <row r="1501" customHeight="1" spans="1:8">
      <c r="A1501" s="8">
        <f ca="1" t="shared" ref="A1501:A1504" si="107">COUNTA(OFFSET(A$1,0,0,ROW()-1,1))+1</f>
        <v>657</v>
      </c>
      <c r="B1501" s="129"/>
      <c r="C1501" s="230" t="s">
        <v>2102</v>
      </c>
      <c r="D1501" s="231" t="s">
        <v>2103</v>
      </c>
      <c r="E1501" s="232" t="s">
        <v>329</v>
      </c>
      <c r="F1501" s="166">
        <f>63.44*F1498</f>
        <v>126.88</v>
      </c>
      <c r="G1501" s="68">
        <v>0</v>
      </c>
      <c r="H1501" s="25">
        <f t="shared" si="105"/>
        <v>0</v>
      </c>
    </row>
    <row r="1502" customHeight="1" spans="1:8">
      <c r="A1502" s="8">
        <f ca="1" t="shared" si="107"/>
        <v>658</v>
      </c>
      <c r="B1502" s="129"/>
      <c r="C1502" s="228" t="s">
        <v>2104</v>
      </c>
      <c r="D1502" s="229" t="s">
        <v>2105</v>
      </c>
      <c r="E1502" s="138" t="s">
        <v>336</v>
      </c>
      <c r="F1502" s="166">
        <f>85.65*F1498</f>
        <v>171.3</v>
      </c>
      <c r="G1502" s="68">
        <v>0</v>
      </c>
      <c r="H1502" s="25">
        <f t="shared" si="105"/>
        <v>0</v>
      </c>
    </row>
    <row r="1503" customHeight="1" spans="1:8">
      <c r="A1503" s="8">
        <f ca="1" t="shared" si="107"/>
        <v>659</v>
      </c>
      <c r="B1503" s="129"/>
      <c r="C1503" s="228" t="s">
        <v>2106</v>
      </c>
      <c r="D1503" s="229" t="s">
        <v>2107</v>
      </c>
      <c r="E1503" s="138" t="s">
        <v>336</v>
      </c>
      <c r="F1503" s="166">
        <f>53.96*F1498</f>
        <v>107.92</v>
      </c>
      <c r="G1503" s="68">
        <v>0</v>
      </c>
      <c r="H1503" s="25">
        <f t="shared" si="105"/>
        <v>0</v>
      </c>
    </row>
    <row r="1504" customHeight="1" spans="1:8">
      <c r="A1504" s="8">
        <f ca="1" t="shared" si="107"/>
        <v>660</v>
      </c>
      <c r="B1504" s="129"/>
      <c r="C1504" s="228" t="s">
        <v>2108</v>
      </c>
      <c r="D1504" s="229" t="s">
        <v>2109</v>
      </c>
      <c r="E1504" s="138" t="s">
        <v>336</v>
      </c>
      <c r="F1504" s="166">
        <f>F1502-F1503</f>
        <v>63.38</v>
      </c>
      <c r="G1504" s="68">
        <v>0</v>
      </c>
      <c r="H1504" s="25">
        <f t="shared" si="105"/>
        <v>0</v>
      </c>
    </row>
    <row r="1505" customHeight="1" spans="1:8">
      <c r="B1505" s="129"/>
      <c r="C1505" s="228" t="s">
        <v>2110</v>
      </c>
      <c r="D1505" s="229" t="s">
        <v>2111</v>
      </c>
      <c r="E1505" s="138" t="s">
        <v>336</v>
      </c>
      <c r="F1505" s="166"/>
      <c r="G1505" s="68">
        <v>0</v>
      </c>
      <c r="H1505" s="25">
        <f t="shared" si="105"/>
        <v>0</v>
      </c>
    </row>
    <row r="1506" customHeight="1" spans="1:8">
      <c r="A1506" s="8">
        <f ca="1" t="shared" ref="A1506:A1510" si="108">COUNTA(OFFSET(A$1,0,0,ROW()-1,1))+1</f>
        <v>661</v>
      </c>
      <c r="B1506" s="129"/>
      <c r="C1506" s="228" t="s">
        <v>2112</v>
      </c>
      <c r="D1506" s="229" t="s">
        <v>2113</v>
      </c>
      <c r="E1506" s="138" t="s">
        <v>336</v>
      </c>
      <c r="F1506" s="166">
        <f>4.5*F1498</f>
        <v>9</v>
      </c>
      <c r="G1506" s="68">
        <v>0</v>
      </c>
      <c r="H1506" s="25">
        <f t="shared" si="105"/>
        <v>0</v>
      </c>
    </row>
    <row r="1507" customHeight="1" spans="1:8">
      <c r="B1507" s="129"/>
      <c r="C1507" s="228" t="s">
        <v>2114</v>
      </c>
      <c r="D1507" s="229" t="s">
        <v>2115</v>
      </c>
      <c r="E1507" s="138"/>
      <c r="F1507" s="166"/>
      <c r="G1507" s="68">
        <v>0</v>
      </c>
      <c r="H1507" s="25">
        <f t="shared" si="105"/>
        <v>0</v>
      </c>
    </row>
    <row r="1508" customHeight="1" spans="1:8">
      <c r="A1508" s="8">
        <f ca="1" t="shared" si="108"/>
        <v>662</v>
      </c>
      <c r="B1508" s="129"/>
      <c r="C1508" s="228" t="s">
        <v>2116</v>
      </c>
      <c r="D1508" s="229" t="s">
        <v>2117</v>
      </c>
      <c r="E1508" s="138" t="s">
        <v>336</v>
      </c>
      <c r="F1508" s="166">
        <f>41.93*F1498</f>
        <v>83.86</v>
      </c>
      <c r="G1508" s="68">
        <v>0</v>
      </c>
      <c r="H1508" s="25">
        <f t="shared" si="105"/>
        <v>0</v>
      </c>
    </row>
    <row r="1509" customHeight="1" spans="1:8">
      <c r="A1509" s="8">
        <f ca="1" t="shared" si="108"/>
        <v>663</v>
      </c>
      <c r="B1509" s="129"/>
      <c r="C1509" s="230" t="s">
        <v>2118</v>
      </c>
      <c r="D1509" s="231" t="s">
        <v>2119</v>
      </c>
      <c r="E1509" s="232" t="s">
        <v>329</v>
      </c>
      <c r="F1509" s="166">
        <f>8.16*F1498</f>
        <v>16.32</v>
      </c>
      <c r="G1509" s="68">
        <v>0</v>
      </c>
      <c r="H1509" s="25">
        <f t="shared" si="105"/>
        <v>0</v>
      </c>
    </row>
    <row r="1510" customHeight="1" spans="1:8">
      <c r="A1510" s="8">
        <f ca="1" t="shared" si="108"/>
        <v>664</v>
      </c>
      <c r="B1510" s="129"/>
      <c r="C1510" s="230" t="s">
        <v>2120</v>
      </c>
      <c r="D1510" s="231" t="s">
        <v>2121</v>
      </c>
      <c r="E1510" s="232" t="s">
        <v>329</v>
      </c>
      <c r="F1510" s="166">
        <f>27.09*F1498</f>
        <v>54.18</v>
      </c>
      <c r="G1510" s="68">
        <v>0</v>
      </c>
      <c r="H1510" s="25">
        <f t="shared" si="105"/>
        <v>0</v>
      </c>
    </row>
    <row r="1511" customHeight="1" spans="1:8">
      <c r="B1511" s="129"/>
      <c r="C1511" s="228" t="s">
        <v>841</v>
      </c>
      <c r="D1511" s="229" t="s">
        <v>842</v>
      </c>
      <c r="E1511" s="138"/>
      <c r="F1511" s="166"/>
      <c r="G1511" s="68">
        <v>0</v>
      </c>
      <c r="H1511" s="25">
        <f t="shared" si="105"/>
        <v>0</v>
      </c>
    </row>
    <row r="1512" customHeight="1" spans="1:8">
      <c r="A1512" s="8">
        <f ca="1" t="shared" ref="A1512:A1516" si="109">COUNTA(OFFSET(A$1,0,0,ROW()-1,1))+1</f>
        <v>665</v>
      </c>
      <c r="B1512" s="129"/>
      <c r="C1512" s="228" t="s">
        <v>841</v>
      </c>
      <c r="D1512" s="229" t="s">
        <v>842</v>
      </c>
      <c r="E1512" s="138" t="s">
        <v>329</v>
      </c>
      <c r="F1512" s="166">
        <f>286.33*F1498</f>
        <v>572.66</v>
      </c>
      <c r="G1512" s="68">
        <v>0</v>
      </c>
      <c r="H1512" s="25">
        <f t="shared" si="105"/>
        <v>0</v>
      </c>
    </row>
    <row r="1513" customHeight="1" spans="1:8">
      <c r="B1513" s="129"/>
      <c r="C1513" s="228" t="s">
        <v>843</v>
      </c>
      <c r="D1513" s="229" t="s">
        <v>844</v>
      </c>
      <c r="E1513" s="138"/>
      <c r="F1513" s="166"/>
      <c r="G1513" s="68">
        <v>0</v>
      </c>
      <c r="H1513" s="25">
        <f t="shared" si="105"/>
        <v>0</v>
      </c>
    </row>
    <row r="1514" customHeight="1" spans="1:8">
      <c r="A1514" s="8">
        <f ca="1" t="shared" si="109"/>
        <v>666</v>
      </c>
      <c r="B1514" s="129"/>
      <c r="C1514" s="228" t="s">
        <v>2122</v>
      </c>
      <c r="D1514" s="229" t="s">
        <v>956</v>
      </c>
      <c r="E1514" s="138" t="s">
        <v>464</v>
      </c>
      <c r="F1514" s="166">
        <f>6219.74*F1498</f>
        <v>12439.48</v>
      </c>
      <c r="G1514" s="68">
        <v>0</v>
      </c>
      <c r="H1514" s="25">
        <f t="shared" si="105"/>
        <v>0</v>
      </c>
    </row>
    <row r="1515" customHeight="1" spans="1:8">
      <c r="B1515" s="129"/>
      <c r="C1515" s="228" t="s">
        <v>2123</v>
      </c>
      <c r="D1515" s="229" t="s">
        <v>2124</v>
      </c>
      <c r="E1515" s="138"/>
      <c r="F1515" s="166"/>
      <c r="G1515" s="68">
        <v>0</v>
      </c>
      <c r="H1515" s="25">
        <f t="shared" si="105"/>
        <v>0</v>
      </c>
    </row>
    <row r="1516" customHeight="1" spans="1:8">
      <c r="A1516" s="8">
        <f ca="1" t="shared" si="109"/>
        <v>667</v>
      </c>
      <c r="B1516" s="129"/>
      <c r="C1516" s="228" t="s">
        <v>2125</v>
      </c>
      <c r="D1516" s="229" t="s">
        <v>2126</v>
      </c>
      <c r="E1516" s="138" t="s">
        <v>329</v>
      </c>
      <c r="F1516" s="166">
        <f>(62+34*0.25)*F1498</f>
        <v>141</v>
      </c>
      <c r="G1516" s="68">
        <v>0</v>
      </c>
      <c r="H1516" s="25">
        <f t="shared" si="105"/>
        <v>0</v>
      </c>
    </row>
    <row r="1517" customHeight="1" spans="1:8">
      <c r="B1517" s="129"/>
      <c r="C1517" s="228" t="s">
        <v>2127</v>
      </c>
      <c r="D1517" s="229" t="s">
        <v>2128</v>
      </c>
      <c r="E1517" s="138" t="s">
        <v>225</v>
      </c>
      <c r="F1517" s="166"/>
      <c r="G1517" s="68">
        <v>0</v>
      </c>
      <c r="H1517" s="25">
        <f t="shared" si="105"/>
        <v>0</v>
      </c>
    </row>
    <row r="1518" customHeight="1" spans="1:8">
      <c r="B1518" s="129"/>
      <c r="C1518" s="226" t="s">
        <v>2129</v>
      </c>
      <c r="D1518" s="227" t="s">
        <v>2130</v>
      </c>
      <c r="E1518" s="138"/>
      <c r="F1518" s="166"/>
      <c r="G1518" s="68">
        <v>0</v>
      </c>
      <c r="H1518" s="25">
        <f t="shared" si="105"/>
        <v>0</v>
      </c>
    </row>
    <row r="1519" customHeight="1" spans="1:8">
      <c r="A1519" s="8">
        <f ca="1" t="shared" ref="A1519:A1522" si="110">COUNTA(OFFSET(A$1,0,0,ROW()-1,1))+1</f>
        <v>668</v>
      </c>
      <c r="B1519" s="129"/>
      <c r="C1519" s="228" t="s">
        <v>2131</v>
      </c>
      <c r="D1519" s="229" t="s">
        <v>2132</v>
      </c>
      <c r="E1519" s="138" t="s">
        <v>329</v>
      </c>
      <c r="F1519" s="166">
        <f>62*F1498</f>
        <v>124</v>
      </c>
      <c r="G1519" s="68">
        <v>0</v>
      </c>
      <c r="H1519" s="25">
        <f t="shared" si="105"/>
        <v>0</v>
      </c>
    </row>
    <row r="1520" customHeight="1" spans="1:8">
      <c r="B1520" s="129"/>
      <c r="C1520" s="228" t="s">
        <v>2133</v>
      </c>
      <c r="D1520" s="229" t="s">
        <v>2134</v>
      </c>
      <c r="E1520" s="138" t="s">
        <v>225</v>
      </c>
      <c r="F1520" s="166"/>
      <c r="G1520" s="68">
        <v>0</v>
      </c>
      <c r="H1520" s="25">
        <f t="shared" si="105"/>
        <v>0</v>
      </c>
    </row>
    <row r="1521" customHeight="1" spans="1:8">
      <c r="A1521" s="8">
        <f ca="1" t="shared" si="110"/>
        <v>669</v>
      </c>
      <c r="B1521" s="129"/>
      <c r="C1521" s="228" t="s">
        <v>2135</v>
      </c>
      <c r="D1521" s="229" t="s">
        <v>2136</v>
      </c>
      <c r="E1521" s="138" t="s">
        <v>225</v>
      </c>
      <c r="F1521" s="166">
        <f>34*F1498</f>
        <v>68</v>
      </c>
      <c r="G1521" s="68">
        <v>0</v>
      </c>
      <c r="H1521" s="25">
        <f t="shared" si="105"/>
        <v>0</v>
      </c>
    </row>
    <row r="1522" customHeight="1" spans="1:8">
      <c r="A1522" s="8">
        <f ca="1" t="shared" si="110"/>
        <v>670</v>
      </c>
      <c r="B1522" s="129"/>
      <c r="C1522" s="228" t="s">
        <v>2137</v>
      </c>
      <c r="D1522" s="229" t="s">
        <v>2138</v>
      </c>
      <c r="E1522" s="138" t="s">
        <v>329</v>
      </c>
      <c r="F1522" s="166">
        <f>68.3*F1498</f>
        <v>136.6</v>
      </c>
      <c r="G1522" s="68">
        <v>0</v>
      </c>
      <c r="H1522" s="25">
        <f t="shared" si="105"/>
        <v>0</v>
      </c>
    </row>
    <row r="1523" customHeight="1" spans="1:8">
      <c r="B1523" s="129"/>
      <c r="C1523" s="228" t="s">
        <v>2139</v>
      </c>
      <c r="D1523" s="229" t="s">
        <v>2140</v>
      </c>
      <c r="E1523" s="138"/>
      <c r="F1523" s="166"/>
      <c r="G1523" s="68">
        <v>0</v>
      </c>
      <c r="H1523" s="25">
        <f t="shared" si="105"/>
        <v>0</v>
      </c>
    </row>
    <row r="1524" customHeight="1" spans="1:8">
      <c r="A1524" s="8">
        <f ca="1" t="shared" ref="A1524:A1530" si="111">COUNTA(OFFSET(A$1,0,0,ROW()-1,1))+1</f>
        <v>671</v>
      </c>
      <c r="B1524" s="129"/>
      <c r="C1524" s="230" t="s">
        <v>2141</v>
      </c>
      <c r="D1524" s="231" t="s">
        <v>2142</v>
      </c>
      <c r="E1524" s="232" t="s">
        <v>336</v>
      </c>
      <c r="F1524" s="166">
        <f>3.57*F1498</f>
        <v>7.14</v>
      </c>
      <c r="G1524" s="68">
        <v>0</v>
      </c>
      <c r="H1524" s="25">
        <f t="shared" si="105"/>
        <v>0</v>
      </c>
    </row>
    <row r="1525" customHeight="1" spans="1:8">
      <c r="B1525" s="129"/>
      <c r="C1525" s="228" t="s">
        <v>2143</v>
      </c>
      <c r="D1525" s="229" t="s">
        <v>2144</v>
      </c>
      <c r="E1525" s="232" t="s">
        <v>336</v>
      </c>
      <c r="F1525" s="233"/>
      <c r="G1525" s="68">
        <v>0</v>
      </c>
      <c r="H1525" s="25">
        <f t="shared" si="105"/>
        <v>0</v>
      </c>
    </row>
    <row r="1526" customHeight="1" spans="1:8">
      <c r="B1526" s="129"/>
      <c r="C1526" s="228" t="s">
        <v>2145</v>
      </c>
      <c r="D1526" s="229" t="s">
        <v>2146</v>
      </c>
      <c r="E1526" s="232" t="s">
        <v>336</v>
      </c>
      <c r="F1526" s="166"/>
      <c r="G1526" s="68">
        <v>0</v>
      </c>
      <c r="H1526" s="25">
        <f t="shared" si="105"/>
        <v>0</v>
      </c>
    </row>
    <row r="1527" customHeight="1" spans="1:8">
      <c r="A1527" s="8">
        <f ca="1" t="shared" si="111"/>
        <v>672</v>
      </c>
      <c r="B1527" s="129"/>
      <c r="C1527" s="228" t="s">
        <v>2147</v>
      </c>
      <c r="D1527" s="229" t="s">
        <v>2148</v>
      </c>
      <c r="E1527" s="232" t="s">
        <v>336</v>
      </c>
      <c r="F1527" s="166">
        <f>20.47*F1498</f>
        <v>40.94</v>
      </c>
      <c r="G1527" s="68">
        <v>0</v>
      </c>
      <c r="H1527" s="25">
        <f t="shared" si="105"/>
        <v>0</v>
      </c>
    </row>
    <row r="1528" customHeight="1" spans="1:8">
      <c r="B1528" s="129"/>
      <c r="C1528" s="228" t="s">
        <v>2149</v>
      </c>
      <c r="D1528" s="229" t="s">
        <v>2150</v>
      </c>
      <c r="E1528" s="138"/>
      <c r="F1528" s="166"/>
      <c r="G1528" s="68">
        <v>0</v>
      </c>
      <c r="H1528" s="25">
        <f t="shared" si="105"/>
        <v>0</v>
      </c>
    </row>
    <row r="1529" customHeight="1" spans="1:8">
      <c r="A1529" s="8">
        <f ca="1" t="shared" si="111"/>
        <v>673</v>
      </c>
      <c r="B1529" s="129"/>
      <c r="C1529" s="228" t="s">
        <v>2151</v>
      </c>
      <c r="D1529" s="229" t="s">
        <v>2152</v>
      </c>
      <c r="E1529" s="138" t="s">
        <v>329</v>
      </c>
      <c r="F1529" s="166">
        <f>153.82*F1498</f>
        <v>307.64</v>
      </c>
      <c r="G1529" s="68">
        <v>0</v>
      </c>
      <c r="H1529" s="25">
        <f t="shared" si="105"/>
        <v>0</v>
      </c>
    </row>
    <row r="1530" customHeight="1" spans="1:8">
      <c r="A1530" s="8">
        <f ca="1" t="shared" si="111"/>
        <v>674</v>
      </c>
      <c r="B1530" s="129"/>
      <c r="C1530" s="230" t="s">
        <v>2153</v>
      </c>
      <c r="D1530" s="231" t="s">
        <v>2154</v>
      </c>
      <c r="E1530" s="232" t="s">
        <v>329</v>
      </c>
      <c r="F1530" s="233">
        <f>20.41*F1498</f>
        <v>40.82</v>
      </c>
      <c r="G1530" s="68">
        <v>0</v>
      </c>
      <c r="H1530" s="25">
        <f t="shared" si="105"/>
        <v>0</v>
      </c>
    </row>
    <row r="1531" customHeight="1" spans="1:8">
      <c r="B1531" s="129"/>
      <c r="C1531" s="228" t="s">
        <v>2155</v>
      </c>
      <c r="D1531" s="229" t="s">
        <v>2156</v>
      </c>
      <c r="E1531" s="138"/>
      <c r="F1531" s="166"/>
      <c r="G1531" s="68">
        <v>0</v>
      </c>
      <c r="H1531" s="25">
        <f t="shared" si="105"/>
        <v>0</v>
      </c>
    </row>
    <row r="1532" customHeight="1" spans="1:8">
      <c r="A1532" s="8">
        <f ca="1" t="shared" ref="A1532:A1535" si="112">COUNTA(OFFSET(A$1,0,0,ROW()-1,1))+1</f>
        <v>675</v>
      </c>
      <c r="B1532" s="129"/>
      <c r="C1532" s="228" t="s">
        <v>2157</v>
      </c>
      <c r="D1532" s="229" t="s">
        <v>2158</v>
      </c>
      <c r="E1532" s="138" t="s">
        <v>329</v>
      </c>
      <c r="F1532" s="166">
        <f>195.25*F1498</f>
        <v>390.5</v>
      </c>
      <c r="G1532" s="68">
        <v>0</v>
      </c>
      <c r="H1532" s="25">
        <f t="shared" si="105"/>
        <v>0</v>
      </c>
    </row>
    <row r="1533" customHeight="1" spans="1:8">
      <c r="B1533" s="129"/>
      <c r="C1533" s="228" t="s">
        <v>2159</v>
      </c>
      <c r="D1533" s="229" t="s">
        <v>2160</v>
      </c>
      <c r="E1533" s="138"/>
      <c r="F1533" s="166"/>
      <c r="G1533" s="68">
        <v>0</v>
      </c>
      <c r="H1533" s="25">
        <f t="shared" si="105"/>
        <v>0</v>
      </c>
    </row>
    <row r="1534" customHeight="1" spans="1:8">
      <c r="A1534" s="8">
        <f ca="1" t="shared" si="112"/>
        <v>676</v>
      </c>
      <c r="B1534" s="129"/>
      <c r="C1534" s="228" t="s">
        <v>2159</v>
      </c>
      <c r="D1534" s="229" t="s">
        <v>2160</v>
      </c>
      <c r="E1534" s="138" t="s">
        <v>329</v>
      </c>
      <c r="F1534" s="166">
        <f>62*F1498*F1498</f>
        <v>248</v>
      </c>
      <c r="G1534" s="68">
        <v>0</v>
      </c>
      <c r="H1534" s="25">
        <f t="shared" si="105"/>
        <v>0</v>
      </c>
    </row>
    <row r="1535" customHeight="1" spans="1:8">
      <c r="A1535" s="8">
        <f ca="1" t="shared" si="112"/>
        <v>677</v>
      </c>
      <c r="B1535" s="129"/>
      <c r="C1535" s="230" t="s">
        <v>2161</v>
      </c>
      <c r="D1535" s="231" t="s">
        <v>2162</v>
      </c>
      <c r="E1535" s="232" t="s">
        <v>329</v>
      </c>
      <c r="F1535" s="166">
        <f>0.9*2.7*F1498</f>
        <v>4.86</v>
      </c>
      <c r="G1535" s="68">
        <v>0</v>
      </c>
      <c r="H1535" s="25">
        <f t="shared" si="105"/>
        <v>0</v>
      </c>
    </row>
    <row r="1536" customHeight="1" spans="1:8">
      <c r="B1536" s="129"/>
      <c r="C1536" s="228" t="s">
        <v>2163</v>
      </c>
      <c r="D1536" s="229" t="s">
        <v>2164</v>
      </c>
      <c r="E1536" s="138" t="s">
        <v>225</v>
      </c>
      <c r="F1536" s="166"/>
      <c r="G1536" s="68">
        <v>0</v>
      </c>
      <c r="H1536" s="25">
        <f t="shared" si="105"/>
        <v>0</v>
      </c>
    </row>
    <row r="1537" customHeight="1" spans="1:8">
      <c r="A1537" s="8">
        <f ca="1" t="shared" ref="A1537:A1541" si="113">COUNTA(OFFSET(A$1,0,0,ROW()-1,1))+1</f>
        <v>678</v>
      </c>
      <c r="B1537" s="129"/>
      <c r="C1537" s="228" t="s">
        <v>2165</v>
      </c>
      <c r="D1537" s="229" t="s">
        <v>2166</v>
      </c>
      <c r="E1537" s="138" t="s">
        <v>225</v>
      </c>
      <c r="F1537" s="166">
        <f>3.9*F1498</f>
        <v>7.8</v>
      </c>
      <c r="G1537" s="68">
        <v>0</v>
      </c>
      <c r="H1537" s="25">
        <f t="shared" si="105"/>
        <v>0</v>
      </c>
    </row>
    <row r="1538" customHeight="1" spans="1:8">
      <c r="B1538" s="129"/>
      <c r="C1538" s="228" t="s">
        <v>2167</v>
      </c>
      <c r="D1538" s="229" t="s">
        <v>2168</v>
      </c>
      <c r="E1538" s="138"/>
      <c r="F1538" s="166"/>
      <c r="G1538" s="68">
        <v>0</v>
      </c>
      <c r="H1538" s="25">
        <f t="shared" si="105"/>
        <v>0</v>
      </c>
    </row>
    <row r="1539" customHeight="1" spans="1:8">
      <c r="A1539" s="8">
        <f ca="1" t="shared" si="113"/>
        <v>679</v>
      </c>
      <c r="B1539" s="129"/>
      <c r="C1539" s="228" t="s">
        <v>2169</v>
      </c>
      <c r="D1539" s="234" t="s">
        <v>2170</v>
      </c>
      <c r="E1539" s="138" t="s">
        <v>238</v>
      </c>
      <c r="F1539" s="166">
        <f>5*F1498</f>
        <v>10</v>
      </c>
      <c r="G1539" s="68">
        <v>0</v>
      </c>
      <c r="H1539" s="25">
        <f t="shared" si="105"/>
        <v>0</v>
      </c>
    </row>
    <row r="1540" customHeight="1" spans="1:8">
      <c r="A1540" s="8">
        <f ca="1" t="shared" si="113"/>
        <v>680</v>
      </c>
      <c r="B1540" s="129"/>
      <c r="C1540" s="228" t="s">
        <v>2171</v>
      </c>
      <c r="D1540" s="234" t="s">
        <v>2172</v>
      </c>
      <c r="E1540" s="138" t="s">
        <v>238</v>
      </c>
      <c r="F1540" s="166">
        <f>1*F1498</f>
        <v>2</v>
      </c>
      <c r="G1540" s="68">
        <v>0</v>
      </c>
      <c r="H1540" s="25">
        <f t="shared" si="105"/>
        <v>0</v>
      </c>
    </row>
    <row r="1541" customHeight="1" spans="1:8">
      <c r="A1541" s="8">
        <f ca="1" t="shared" si="113"/>
        <v>681</v>
      </c>
      <c r="B1541" s="129"/>
      <c r="C1541" s="228" t="s">
        <v>2173</v>
      </c>
      <c r="D1541" s="234" t="s">
        <v>2173</v>
      </c>
      <c r="E1541" s="138" t="s">
        <v>238</v>
      </c>
      <c r="F1541" s="166">
        <f>4*F1498</f>
        <v>8</v>
      </c>
      <c r="G1541" s="68">
        <v>0</v>
      </c>
      <c r="H1541" s="25">
        <f t="shared" si="105"/>
        <v>0</v>
      </c>
    </row>
    <row r="1542" customHeight="1" spans="1:8">
      <c r="B1542" s="129"/>
      <c r="C1542" s="228" t="s">
        <v>2174</v>
      </c>
      <c r="D1542" s="234" t="s">
        <v>2174</v>
      </c>
      <c r="E1542" s="138" t="s">
        <v>238</v>
      </c>
      <c r="F1542" s="166"/>
      <c r="G1542" s="68">
        <v>0</v>
      </c>
      <c r="H1542" s="25">
        <f t="shared" si="105"/>
        <v>0</v>
      </c>
    </row>
    <row r="1543" customHeight="1" spans="1:8">
      <c r="B1543" s="129"/>
      <c r="C1543" s="228" t="s">
        <v>2175</v>
      </c>
      <c r="D1543" s="234" t="s">
        <v>2176</v>
      </c>
      <c r="E1543" s="138" t="s">
        <v>238</v>
      </c>
      <c r="F1543" s="166"/>
      <c r="G1543" s="68">
        <v>0</v>
      </c>
      <c r="H1543" s="25">
        <f t="shared" si="105"/>
        <v>0</v>
      </c>
    </row>
    <row r="1544" customHeight="1" spans="1:8">
      <c r="B1544" s="129"/>
      <c r="C1544" s="228" t="s">
        <v>2177</v>
      </c>
      <c r="D1544" s="229" t="s">
        <v>2178</v>
      </c>
      <c r="E1544" s="138"/>
      <c r="F1544" s="166"/>
      <c r="G1544" s="68">
        <v>0</v>
      </c>
      <c r="H1544" s="25">
        <f t="shared" ref="H1544:H1607" si="114">IFERROR(ROUND(G1544*F1544,0),0)</f>
        <v>0</v>
      </c>
    </row>
    <row r="1545" customHeight="1" spans="1:8">
      <c r="A1545" s="8">
        <f ca="1" t="shared" ref="A1545:A1564" si="115">COUNTA(OFFSET(A$1,0,0,ROW()-1,1))+1</f>
        <v>682</v>
      </c>
      <c r="B1545" s="129"/>
      <c r="C1545" s="228" t="s">
        <v>2179</v>
      </c>
      <c r="D1545" s="229" t="s">
        <v>2180</v>
      </c>
      <c r="E1545" s="138" t="s">
        <v>2181</v>
      </c>
      <c r="F1545" s="166">
        <f>F1498*2</f>
        <v>4</v>
      </c>
      <c r="G1545" s="68">
        <v>0</v>
      </c>
      <c r="H1545" s="25">
        <f t="shared" si="114"/>
        <v>0</v>
      </c>
    </row>
    <row r="1546" customHeight="1" spans="1:8">
      <c r="A1546" s="8">
        <f ca="1" t="shared" si="115"/>
        <v>683</v>
      </c>
      <c r="B1546" s="129"/>
      <c r="C1546" s="228" t="s">
        <v>2182</v>
      </c>
      <c r="D1546" s="229" t="s">
        <v>2183</v>
      </c>
      <c r="E1546" s="138" t="s">
        <v>2181</v>
      </c>
      <c r="F1546" s="166">
        <f>F1498*2</f>
        <v>4</v>
      </c>
      <c r="G1546" s="68">
        <v>0</v>
      </c>
      <c r="H1546" s="25">
        <f t="shared" si="114"/>
        <v>0</v>
      </c>
    </row>
    <row r="1547" customHeight="1" spans="1:8">
      <c r="A1547" s="8">
        <f ca="1" t="shared" si="115"/>
        <v>684</v>
      </c>
      <c r="B1547" s="129"/>
      <c r="C1547" s="228" t="s">
        <v>2184</v>
      </c>
      <c r="D1547" s="229" t="s">
        <v>2185</v>
      </c>
      <c r="E1547" s="138" t="s">
        <v>2181</v>
      </c>
      <c r="F1547" s="166">
        <f>F1498*2</f>
        <v>4</v>
      </c>
      <c r="G1547" s="68">
        <v>0</v>
      </c>
      <c r="H1547" s="25">
        <f t="shared" si="114"/>
        <v>0</v>
      </c>
    </row>
    <row r="1548" customHeight="1" spans="1:8">
      <c r="A1548" s="8">
        <f ca="1" t="shared" si="115"/>
        <v>685</v>
      </c>
      <c r="B1548" s="129"/>
      <c r="C1548" s="228" t="s">
        <v>2186</v>
      </c>
      <c r="D1548" s="229" t="s">
        <v>2187</v>
      </c>
      <c r="E1548" s="138" t="s">
        <v>2181</v>
      </c>
      <c r="F1548" s="166">
        <f>F1498*2</f>
        <v>4</v>
      </c>
      <c r="G1548" s="68">
        <v>0</v>
      </c>
      <c r="H1548" s="25">
        <f t="shared" si="114"/>
        <v>0</v>
      </c>
    </row>
    <row r="1549" customHeight="1" spans="1:8">
      <c r="A1549" s="8">
        <f ca="1" t="shared" si="115"/>
        <v>686</v>
      </c>
      <c r="B1549" s="129"/>
      <c r="C1549" s="228" t="s">
        <v>2188</v>
      </c>
      <c r="D1549" s="229" t="s">
        <v>2189</v>
      </c>
      <c r="E1549" s="138" t="s">
        <v>2181</v>
      </c>
      <c r="F1549" s="166">
        <f>F1498*2</f>
        <v>4</v>
      </c>
      <c r="G1549" s="68">
        <v>0</v>
      </c>
      <c r="H1549" s="25">
        <f t="shared" si="114"/>
        <v>0</v>
      </c>
    </row>
    <row r="1550" customHeight="1" spans="1:8">
      <c r="A1550" s="8">
        <f ca="1" t="shared" si="115"/>
        <v>687</v>
      </c>
      <c r="B1550" s="129"/>
      <c r="C1550" s="228" t="s">
        <v>2190</v>
      </c>
      <c r="D1550" s="229" t="s">
        <v>2191</v>
      </c>
      <c r="E1550" s="138" t="s">
        <v>2181</v>
      </c>
      <c r="F1550" s="166">
        <f>F1498*2</f>
        <v>4</v>
      </c>
      <c r="G1550" s="68">
        <v>0</v>
      </c>
      <c r="H1550" s="25">
        <f t="shared" si="114"/>
        <v>0</v>
      </c>
    </row>
    <row r="1551" customHeight="1" spans="1:8">
      <c r="A1551" s="8">
        <f ca="1" t="shared" si="115"/>
        <v>688</v>
      </c>
      <c r="B1551" s="129"/>
      <c r="C1551" s="228" t="s">
        <v>2192</v>
      </c>
      <c r="D1551" s="229" t="s">
        <v>2193</v>
      </c>
      <c r="E1551" s="138" t="s">
        <v>2181</v>
      </c>
      <c r="F1551" s="166">
        <f>F1498*2</f>
        <v>4</v>
      </c>
      <c r="G1551" s="68">
        <v>0</v>
      </c>
      <c r="H1551" s="25">
        <f t="shared" si="114"/>
        <v>0</v>
      </c>
    </row>
    <row r="1552" customHeight="1" spans="1:8">
      <c r="A1552" s="8">
        <f ca="1" t="shared" si="115"/>
        <v>689</v>
      </c>
      <c r="B1552" s="129"/>
      <c r="C1552" s="228" t="s">
        <v>2194</v>
      </c>
      <c r="D1552" s="229" t="s">
        <v>2195</v>
      </c>
      <c r="E1552" s="138" t="s">
        <v>2181</v>
      </c>
      <c r="F1552" s="166">
        <f>F1498*2</f>
        <v>4</v>
      </c>
      <c r="G1552" s="68">
        <v>0</v>
      </c>
      <c r="H1552" s="25">
        <f t="shared" si="114"/>
        <v>0</v>
      </c>
    </row>
    <row r="1553" customHeight="1" spans="1:8">
      <c r="A1553" s="8">
        <f ca="1" t="shared" si="115"/>
        <v>690</v>
      </c>
      <c r="B1553" s="129"/>
      <c r="C1553" s="228" t="s">
        <v>2196</v>
      </c>
      <c r="D1553" s="229" t="s">
        <v>2197</v>
      </c>
      <c r="E1553" s="138" t="s">
        <v>2181</v>
      </c>
      <c r="F1553" s="166">
        <f>F1498*2</f>
        <v>4</v>
      </c>
      <c r="G1553" s="68">
        <v>0</v>
      </c>
      <c r="H1553" s="25">
        <f t="shared" si="114"/>
        <v>0</v>
      </c>
    </row>
    <row r="1554" customHeight="1" spans="1:8">
      <c r="A1554" s="8">
        <f ca="1" t="shared" si="115"/>
        <v>691</v>
      </c>
      <c r="B1554" s="129"/>
      <c r="C1554" s="228" t="s">
        <v>2198</v>
      </c>
      <c r="D1554" s="229" t="s">
        <v>2199</v>
      </c>
      <c r="E1554" s="138" t="s">
        <v>2200</v>
      </c>
      <c r="F1554" s="166">
        <f>F1498*1</f>
        <v>2</v>
      </c>
      <c r="G1554" s="68">
        <v>0</v>
      </c>
      <c r="H1554" s="25">
        <f t="shared" si="114"/>
        <v>0</v>
      </c>
    </row>
    <row r="1555" customHeight="1" spans="1:8">
      <c r="A1555" s="8">
        <f ca="1" t="shared" si="115"/>
        <v>692</v>
      </c>
      <c r="B1555" s="129"/>
      <c r="C1555" s="228" t="s">
        <v>2201</v>
      </c>
      <c r="D1555" s="229" t="s">
        <v>2202</v>
      </c>
      <c r="E1555" s="138" t="s">
        <v>2181</v>
      </c>
      <c r="F1555" s="166">
        <f>F1498*6</f>
        <v>12</v>
      </c>
      <c r="G1555" s="68">
        <v>0</v>
      </c>
      <c r="H1555" s="25">
        <f t="shared" si="114"/>
        <v>0</v>
      </c>
    </row>
    <row r="1556" customHeight="1" spans="1:8">
      <c r="A1556" s="8">
        <f ca="1" t="shared" si="115"/>
        <v>693</v>
      </c>
      <c r="B1556" s="129"/>
      <c r="C1556" s="228" t="s">
        <v>2203</v>
      </c>
      <c r="D1556" s="229" t="s">
        <v>2204</v>
      </c>
      <c r="E1556" s="138" t="s">
        <v>2181</v>
      </c>
      <c r="F1556" s="166">
        <f>F1498*12</f>
        <v>24</v>
      </c>
      <c r="G1556" s="68">
        <v>0</v>
      </c>
      <c r="H1556" s="25">
        <f t="shared" si="114"/>
        <v>0</v>
      </c>
    </row>
    <row r="1557" customHeight="1" spans="1:8">
      <c r="A1557" s="8">
        <f ca="1" t="shared" si="115"/>
        <v>694</v>
      </c>
      <c r="B1557" s="129"/>
      <c r="C1557" s="228" t="s">
        <v>2205</v>
      </c>
      <c r="D1557" s="229" t="s">
        <v>2206</v>
      </c>
      <c r="E1557" s="138" t="s">
        <v>2181</v>
      </c>
      <c r="F1557" s="166">
        <f>F1498*4</f>
        <v>8</v>
      </c>
      <c r="G1557" s="68">
        <v>0</v>
      </c>
      <c r="H1557" s="25">
        <f t="shared" si="114"/>
        <v>0</v>
      </c>
    </row>
    <row r="1558" customHeight="1" spans="1:8">
      <c r="A1558" s="8">
        <f ca="1" t="shared" si="115"/>
        <v>695</v>
      </c>
      <c r="B1558" s="129"/>
      <c r="C1558" s="228" t="s">
        <v>2207</v>
      </c>
      <c r="D1558" s="229" t="s">
        <v>2208</v>
      </c>
      <c r="E1558" s="138" t="s">
        <v>2181</v>
      </c>
      <c r="F1558" s="166">
        <f>F1498*2</f>
        <v>4</v>
      </c>
      <c r="G1558" s="68">
        <v>0</v>
      </c>
      <c r="H1558" s="25">
        <f t="shared" si="114"/>
        <v>0</v>
      </c>
    </row>
    <row r="1559" customHeight="1" spans="1:8">
      <c r="A1559" s="8">
        <f ca="1" t="shared" si="115"/>
        <v>696</v>
      </c>
      <c r="B1559" s="129"/>
      <c r="C1559" s="228" t="s">
        <v>2209</v>
      </c>
      <c r="D1559" s="229" t="s">
        <v>2210</v>
      </c>
      <c r="E1559" s="138" t="s">
        <v>510</v>
      </c>
      <c r="F1559" s="166">
        <f>F1498*2</f>
        <v>4</v>
      </c>
      <c r="G1559" s="68">
        <v>0</v>
      </c>
      <c r="H1559" s="25">
        <f t="shared" si="114"/>
        <v>0</v>
      </c>
    </row>
    <row r="1560" customHeight="1" spans="1:8">
      <c r="A1560" s="8">
        <f ca="1" t="shared" si="115"/>
        <v>697</v>
      </c>
      <c r="B1560" s="129"/>
      <c r="C1560" s="228" t="s">
        <v>2211</v>
      </c>
      <c r="D1560" s="229" t="s">
        <v>2212</v>
      </c>
      <c r="E1560" s="138" t="s">
        <v>510</v>
      </c>
      <c r="F1560" s="166">
        <f>F1498*2</f>
        <v>4</v>
      </c>
      <c r="G1560" s="68">
        <v>0</v>
      </c>
      <c r="H1560" s="25">
        <f t="shared" si="114"/>
        <v>0</v>
      </c>
    </row>
    <row r="1561" customHeight="1" spans="1:8">
      <c r="A1561" s="8">
        <f ca="1" t="shared" si="115"/>
        <v>698</v>
      </c>
      <c r="B1561" s="129"/>
      <c r="C1561" s="228" t="s">
        <v>2213</v>
      </c>
      <c r="D1561" s="229" t="s">
        <v>2214</v>
      </c>
      <c r="E1561" s="138" t="s">
        <v>2200</v>
      </c>
      <c r="F1561" s="166">
        <f>F1498*1</f>
        <v>2</v>
      </c>
      <c r="G1561" s="68">
        <v>0</v>
      </c>
      <c r="H1561" s="25">
        <f t="shared" si="114"/>
        <v>0</v>
      </c>
    </row>
    <row r="1562" customHeight="1" spans="1:8">
      <c r="A1562" s="8">
        <f ca="1" t="shared" si="115"/>
        <v>699</v>
      </c>
      <c r="B1562" s="129"/>
      <c r="C1562" s="228" t="s">
        <v>2215</v>
      </c>
      <c r="D1562" s="229" t="s">
        <v>2216</v>
      </c>
      <c r="E1562" s="138" t="s">
        <v>2200</v>
      </c>
      <c r="F1562" s="166">
        <f>F1498*1</f>
        <v>2</v>
      </c>
      <c r="G1562" s="68">
        <v>0</v>
      </c>
      <c r="H1562" s="25">
        <f t="shared" si="114"/>
        <v>0</v>
      </c>
    </row>
    <row r="1563" customHeight="1" spans="1:8">
      <c r="A1563" s="8">
        <f ca="1" t="shared" si="115"/>
        <v>700</v>
      </c>
      <c r="B1563" s="129"/>
      <c r="C1563" s="228" t="s">
        <v>2217</v>
      </c>
      <c r="D1563" s="229" t="s">
        <v>2218</v>
      </c>
      <c r="E1563" s="138" t="s">
        <v>510</v>
      </c>
      <c r="F1563" s="166">
        <f>F1498*2</f>
        <v>4</v>
      </c>
      <c r="G1563" s="68">
        <v>0</v>
      </c>
      <c r="H1563" s="25">
        <f t="shared" si="114"/>
        <v>0</v>
      </c>
    </row>
    <row r="1564" customHeight="1" spans="1:8">
      <c r="A1564" s="8">
        <f ca="1" t="shared" si="115"/>
        <v>701</v>
      </c>
      <c r="B1564" s="129"/>
      <c r="C1564" s="228" t="s">
        <v>2219</v>
      </c>
      <c r="D1564" s="229" t="s">
        <v>2220</v>
      </c>
      <c r="E1564" s="138" t="s">
        <v>2200</v>
      </c>
      <c r="F1564" s="166">
        <f>F1498*1</f>
        <v>2</v>
      </c>
      <c r="G1564" s="68">
        <v>0</v>
      </c>
      <c r="H1564" s="25">
        <f t="shared" si="114"/>
        <v>0</v>
      </c>
    </row>
    <row r="1565" customHeight="1" spans="1:8">
      <c r="B1565" s="129"/>
      <c r="C1565" s="228" t="s">
        <v>2221</v>
      </c>
      <c r="D1565" s="229" t="s">
        <v>2222</v>
      </c>
      <c r="E1565" s="138"/>
      <c r="F1565" s="166"/>
      <c r="G1565" s="68">
        <v>0</v>
      </c>
      <c r="H1565" s="25">
        <f t="shared" si="114"/>
        <v>0</v>
      </c>
    </row>
    <row r="1566" customHeight="1" spans="1:8">
      <c r="B1566" s="129"/>
      <c r="C1566" s="228" t="s">
        <v>2223</v>
      </c>
      <c r="D1566" s="229" t="s">
        <v>2224</v>
      </c>
      <c r="E1566" s="138" t="s">
        <v>238</v>
      </c>
      <c r="F1566" s="166"/>
      <c r="G1566" s="68">
        <v>0</v>
      </c>
      <c r="H1566" s="25">
        <f t="shared" si="114"/>
        <v>0</v>
      </c>
    </row>
    <row r="1567" customHeight="1" spans="1:8">
      <c r="B1567" s="129"/>
      <c r="C1567" s="228" t="s">
        <v>2225</v>
      </c>
      <c r="D1567" s="229" t="s">
        <v>2226</v>
      </c>
      <c r="E1567" s="138" t="s">
        <v>238</v>
      </c>
      <c r="F1567" s="166"/>
      <c r="G1567" s="68">
        <v>0</v>
      </c>
      <c r="H1567" s="25">
        <f t="shared" si="114"/>
        <v>0</v>
      </c>
    </row>
    <row r="1568" customHeight="1" spans="1:8">
      <c r="B1568" s="129"/>
      <c r="C1568" s="228" t="s">
        <v>2227</v>
      </c>
      <c r="D1568" s="229" t="s">
        <v>2228</v>
      </c>
      <c r="E1568" s="138" t="s">
        <v>238</v>
      </c>
      <c r="F1568" s="166"/>
      <c r="G1568" s="68">
        <v>0</v>
      </c>
      <c r="H1568" s="25">
        <f t="shared" si="114"/>
        <v>0</v>
      </c>
    </row>
    <row r="1569" customHeight="1" spans="1:8">
      <c r="B1569" s="129"/>
      <c r="C1569" s="228" t="s">
        <v>2229</v>
      </c>
      <c r="D1569" s="229" t="s">
        <v>2230</v>
      </c>
      <c r="E1569" s="138" t="s">
        <v>238</v>
      </c>
      <c r="F1569" s="166"/>
      <c r="G1569" s="68">
        <v>0</v>
      </c>
      <c r="H1569" s="25">
        <f t="shared" si="114"/>
        <v>0</v>
      </c>
    </row>
    <row r="1570" customHeight="1" spans="1:8">
      <c r="B1570" s="129"/>
      <c r="C1570" s="228" t="s">
        <v>2231</v>
      </c>
      <c r="D1570" s="229" t="s">
        <v>2232</v>
      </c>
      <c r="E1570" s="138" t="s">
        <v>238</v>
      </c>
      <c r="F1570" s="166"/>
      <c r="G1570" s="68">
        <v>0</v>
      </c>
      <c r="H1570" s="25">
        <f t="shared" si="114"/>
        <v>0</v>
      </c>
    </row>
    <row r="1571" customHeight="1" spans="1:8">
      <c r="B1571" s="129"/>
      <c r="C1571" s="228" t="s">
        <v>2233</v>
      </c>
      <c r="D1571" s="229" t="s">
        <v>2234</v>
      </c>
      <c r="E1571" s="138" t="s">
        <v>238</v>
      </c>
      <c r="F1571" s="166"/>
      <c r="G1571" s="68">
        <v>0</v>
      </c>
      <c r="H1571" s="25">
        <f t="shared" si="114"/>
        <v>0</v>
      </c>
    </row>
    <row r="1572" customHeight="1" spans="1:8">
      <c r="B1572" s="129"/>
      <c r="C1572" s="228" t="s">
        <v>2235</v>
      </c>
      <c r="D1572" s="229" t="s">
        <v>2236</v>
      </c>
      <c r="E1572" s="138" t="s">
        <v>238</v>
      </c>
      <c r="F1572" s="166"/>
      <c r="G1572" s="68">
        <v>0</v>
      </c>
      <c r="H1572" s="25">
        <f t="shared" si="114"/>
        <v>0</v>
      </c>
    </row>
    <row r="1573" customHeight="1" spans="1:8">
      <c r="B1573" s="129"/>
      <c r="C1573" s="228" t="s">
        <v>2237</v>
      </c>
      <c r="D1573" s="229" t="s">
        <v>2124</v>
      </c>
      <c r="E1573" s="138"/>
      <c r="F1573" s="166"/>
      <c r="G1573" s="68">
        <v>0</v>
      </c>
      <c r="H1573" s="25">
        <f t="shared" si="114"/>
        <v>0</v>
      </c>
    </row>
    <row r="1574" customHeight="1" spans="1:8">
      <c r="A1574" s="8">
        <f ca="1">COUNTA(OFFSET(A$1,0,0,ROW()-1,1))+1</f>
        <v>702</v>
      </c>
      <c r="B1574" s="129"/>
      <c r="C1574" s="230" t="s">
        <v>2238</v>
      </c>
      <c r="D1574" s="231" t="s">
        <v>2239</v>
      </c>
      <c r="E1574" s="232" t="s">
        <v>445</v>
      </c>
      <c r="F1574" s="166">
        <f>3.9*1.2*100/1000*F1498</f>
        <v>0.936</v>
      </c>
      <c r="G1574" s="68">
        <v>0</v>
      </c>
      <c r="H1574" s="25">
        <f t="shared" si="114"/>
        <v>0</v>
      </c>
    </row>
    <row r="1575" customHeight="1" spans="1:8">
      <c r="B1575" s="129"/>
      <c r="C1575" s="228" t="s">
        <v>2240</v>
      </c>
      <c r="D1575" s="229" t="s">
        <v>1234</v>
      </c>
      <c r="E1575" s="138" t="s">
        <v>225</v>
      </c>
      <c r="F1575" s="166"/>
      <c r="G1575" s="68">
        <v>0</v>
      </c>
      <c r="H1575" s="25">
        <f t="shared" si="114"/>
        <v>0</v>
      </c>
    </row>
    <row r="1576" customHeight="1" spans="1:8">
      <c r="B1576" s="129"/>
      <c r="C1576" s="228" t="s">
        <v>2241</v>
      </c>
      <c r="D1576" s="229" t="s">
        <v>2242</v>
      </c>
      <c r="E1576" s="138" t="s">
        <v>225</v>
      </c>
      <c r="F1576" s="166"/>
      <c r="G1576" s="68">
        <v>0</v>
      </c>
      <c r="H1576" s="25">
        <f t="shared" si="114"/>
        <v>0</v>
      </c>
    </row>
    <row r="1577" customHeight="1" spans="1:8">
      <c r="B1577" s="129"/>
      <c r="C1577" s="228" t="s">
        <v>2243</v>
      </c>
      <c r="D1577" s="229" t="s">
        <v>2244</v>
      </c>
      <c r="E1577" s="138" t="s">
        <v>892</v>
      </c>
      <c r="F1577" s="166"/>
      <c r="G1577" s="68">
        <v>0</v>
      </c>
      <c r="H1577" s="25">
        <f t="shared" si="114"/>
        <v>0</v>
      </c>
    </row>
    <row r="1578" customHeight="1" spans="1:8">
      <c r="B1578" s="129"/>
      <c r="C1578" s="228" t="s">
        <v>2245</v>
      </c>
      <c r="D1578" s="229" t="s">
        <v>2246</v>
      </c>
      <c r="E1578" s="138" t="s">
        <v>225</v>
      </c>
      <c r="F1578" s="166"/>
      <c r="G1578" s="68">
        <v>0</v>
      </c>
      <c r="H1578" s="25">
        <f t="shared" si="114"/>
        <v>0</v>
      </c>
    </row>
    <row r="1579" customHeight="1" spans="1:8">
      <c r="B1579" s="129"/>
      <c r="C1579" s="230" t="s">
        <v>2247</v>
      </c>
      <c r="D1579" s="231" t="s">
        <v>2248</v>
      </c>
      <c r="E1579" s="138"/>
      <c r="F1579" s="166"/>
      <c r="G1579" s="68">
        <v>0</v>
      </c>
      <c r="H1579" s="25">
        <f t="shared" si="114"/>
        <v>0</v>
      </c>
    </row>
    <row r="1580" customHeight="1" spans="1:8">
      <c r="A1580" s="8">
        <f ca="1" t="shared" ref="A1580:A1583" si="116">COUNTA(OFFSET(A$1,0,0,ROW()-1,1))+1</f>
        <v>703</v>
      </c>
      <c r="B1580" s="129"/>
      <c r="C1580" s="230" t="s">
        <v>2249</v>
      </c>
      <c r="D1580" s="231" t="s">
        <v>2250</v>
      </c>
      <c r="E1580" s="232" t="s">
        <v>2200</v>
      </c>
      <c r="F1580" s="166">
        <f>1*F1498</f>
        <v>2</v>
      </c>
      <c r="G1580" s="68">
        <v>0</v>
      </c>
      <c r="H1580" s="25">
        <f t="shared" si="114"/>
        <v>0</v>
      </c>
    </row>
    <row r="1581" customHeight="1" spans="1:8">
      <c r="A1581" s="8">
        <f ca="1" t="shared" si="116"/>
        <v>704</v>
      </c>
      <c r="B1581" s="129"/>
      <c r="C1581" s="230" t="s">
        <v>2251</v>
      </c>
      <c r="D1581" s="231" t="s">
        <v>2252</v>
      </c>
      <c r="E1581" s="232" t="s">
        <v>2253</v>
      </c>
      <c r="F1581" s="166">
        <f>63.44*F1498</f>
        <v>126.88</v>
      </c>
      <c r="G1581" s="68">
        <v>0</v>
      </c>
      <c r="H1581" s="25">
        <f t="shared" si="114"/>
        <v>0</v>
      </c>
    </row>
    <row r="1582" customHeight="1" spans="1:8">
      <c r="A1582" s="8">
        <f ca="1" t="shared" si="116"/>
        <v>705</v>
      </c>
      <c r="B1582" s="129"/>
      <c r="C1582" s="230" t="s">
        <v>2254</v>
      </c>
      <c r="D1582" s="231" t="s">
        <v>2255</v>
      </c>
      <c r="E1582" s="232" t="s">
        <v>2200</v>
      </c>
      <c r="F1582" s="166">
        <f>1*F1498</f>
        <v>2</v>
      </c>
      <c r="G1582" s="68">
        <v>0</v>
      </c>
      <c r="H1582" s="25">
        <f t="shared" si="114"/>
        <v>0</v>
      </c>
    </row>
    <row r="1583" customHeight="1" spans="1:8">
      <c r="A1583" s="8">
        <f ca="1" t="shared" si="116"/>
        <v>706</v>
      </c>
      <c r="B1583" s="84" t="s">
        <v>2259</v>
      </c>
      <c r="C1583" s="89" t="s">
        <v>2260</v>
      </c>
      <c r="D1583" s="90" t="s">
        <v>2261</v>
      </c>
      <c r="E1583" s="86" t="s">
        <v>238</v>
      </c>
      <c r="F1583" s="107">
        <v>1</v>
      </c>
      <c r="G1583" s="68">
        <v>76196.5152</v>
      </c>
      <c r="H1583" s="25">
        <f t="shared" si="114"/>
        <v>76197</v>
      </c>
    </row>
    <row r="1584" customHeight="1" spans="1:8">
      <c r="B1584" s="129"/>
      <c r="C1584" s="226" t="s">
        <v>2098</v>
      </c>
      <c r="D1584" s="227" t="s">
        <v>2099</v>
      </c>
      <c r="E1584" s="138"/>
      <c r="F1584" s="166"/>
      <c r="G1584" s="68">
        <v>0</v>
      </c>
      <c r="H1584" s="25">
        <f t="shared" si="114"/>
        <v>0</v>
      </c>
    </row>
    <row r="1585" customHeight="1" spans="1:8">
      <c r="B1585" s="129"/>
      <c r="C1585" s="228" t="s">
        <v>2100</v>
      </c>
      <c r="D1585" s="229" t="s">
        <v>2101</v>
      </c>
      <c r="E1585" s="138"/>
      <c r="F1585" s="166"/>
      <c r="G1585" s="68">
        <v>0</v>
      </c>
      <c r="H1585" s="25">
        <f t="shared" si="114"/>
        <v>0</v>
      </c>
    </row>
    <row r="1586" customHeight="1" spans="1:8">
      <c r="A1586" s="8">
        <f ca="1" t="shared" ref="A1586:A1589" si="117">COUNTA(OFFSET(A$1,0,0,ROW()-1,1))+1</f>
        <v>707</v>
      </c>
      <c r="B1586" s="129"/>
      <c r="C1586" s="230" t="s">
        <v>2102</v>
      </c>
      <c r="D1586" s="231" t="s">
        <v>2103</v>
      </c>
      <c r="E1586" s="232" t="s">
        <v>329</v>
      </c>
      <c r="F1586" s="166">
        <f>63.44</f>
        <v>63.44</v>
      </c>
      <c r="G1586" s="68">
        <v>0</v>
      </c>
      <c r="H1586" s="25">
        <f t="shared" si="114"/>
        <v>0</v>
      </c>
    </row>
    <row r="1587" customHeight="1" spans="1:8">
      <c r="A1587" s="8">
        <f ca="1" t="shared" si="117"/>
        <v>708</v>
      </c>
      <c r="B1587" s="129"/>
      <c r="C1587" s="228" t="s">
        <v>2104</v>
      </c>
      <c r="D1587" s="229" t="s">
        <v>2105</v>
      </c>
      <c r="E1587" s="138" t="s">
        <v>336</v>
      </c>
      <c r="F1587" s="166">
        <f>85.65</f>
        <v>85.65</v>
      </c>
      <c r="G1587" s="68">
        <v>0</v>
      </c>
      <c r="H1587" s="25">
        <f t="shared" si="114"/>
        <v>0</v>
      </c>
    </row>
    <row r="1588" customHeight="1" spans="1:8">
      <c r="A1588" s="8">
        <f ca="1" t="shared" si="117"/>
        <v>709</v>
      </c>
      <c r="B1588" s="129"/>
      <c r="C1588" s="228" t="s">
        <v>2106</v>
      </c>
      <c r="D1588" s="229" t="s">
        <v>2107</v>
      </c>
      <c r="E1588" s="138" t="s">
        <v>336</v>
      </c>
      <c r="F1588" s="166">
        <f>53.96</f>
        <v>53.96</v>
      </c>
      <c r="G1588" s="68">
        <v>0</v>
      </c>
      <c r="H1588" s="25">
        <f t="shared" si="114"/>
        <v>0</v>
      </c>
    </row>
    <row r="1589" customHeight="1" spans="1:8">
      <c r="A1589" s="8">
        <f ca="1" t="shared" si="117"/>
        <v>710</v>
      </c>
      <c r="B1589" s="129"/>
      <c r="C1589" s="228" t="s">
        <v>2108</v>
      </c>
      <c r="D1589" s="229" t="s">
        <v>2109</v>
      </c>
      <c r="E1589" s="138" t="s">
        <v>336</v>
      </c>
      <c r="F1589" s="166">
        <f>F1587-F1588</f>
        <v>31.69</v>
      </c>
      <c r="G1589" s="68">
        <v>0</v>
      </c>
      <c r="H1589" s="25">
        <f t="shared" si="114"/>
        <v>0</v>
      </c>
    </row>
    <row r="1590" customHeight="1" spans="1:8">
      <c r="B1590" s="129"/>
      <c r="C1590" s="228" t="s">
        <v>2110</v>
      </c>
      <c r="D1590" s="229" t="s">
        <v>2111</v>
      </c>
      <c r="E1590" s="138" t="s">
        <v>336</v>
      </c>
      <c r="F1590" s="166"/>
      <c r="G1590" s="68">
        <v>0</v>
      </c>
      <c r="H1590" s="25">
        <f t="shared" si="114"/>
        <v>0</v>
      </c>
    </row>
    <row r="1591" customHeight="1" spans="1:8">
      <c r="A1591" s="8">
        <f ca="1" t="shared" ref="A1591:A1595" si="118">COUNTA(OFFSET(A$1,0,0,ROW()-1,1))+1</f>
        <v>711</v>
      </c>
      <c r="B1591" s="129"/>
      <c r="C1591" s="228" t="s">
        <v>2112</v>
      </c>
      <c r="D1591" s="229" t="s">
        <v>2113</v>
      </c>
      <c r="E1591" s="138" t="s">
        <v>336</v>
      </c>
      <c r="F1591" s="166">
        <f>4.5</f>
        <v>4.5</v>
      </c>
      <c r="G1591" s="68">
        <v>0</v>
      </c>
      <c r="H1591" s="25">
        <f t="shared" si="114"/>
        <v>0</v>
      </c>
    </row>
    <row r="1592" customHeight="1" spans="1:8">
      <c r="B1592" s="129"/>
      <c r="C1592" s="228" t="s">
        <v>2114</v>
      </c>
      <c r="D1592" s="229" t="s">
        <v>2115</v>
      </c>
      <c r="E1592" s="138"/>
      <c r="F1592" s="166"/>
      <c r="G1592" s="68">
        <v>0</v>
      </c>
      <c r="H1592" s="25">
        <f t="shared" si="114"/>
        <v>0</v>
      </c>
    </row>
    <row r="1593" customHeight="1" spans="1:8">
      <c r="A1593" s="8">
        <f ca="1" t="shared" si="118"/>
        <v>712</v>
      </c>
      <c r="B1593" s="129"/>
      <c r="C1593" s="228" t="s">
        <v>2116</v>
      </c>
      <c r="D1593" s="229" t="s">
        <v>2117</v>
      </c>
      <c r="E1593" s="138" t="s">
        <v>336</v>
      </c>
      <c r="F1593" s="166">
        <f>41.93</f>
        <v>41.93</v>
      </c>
      <c r="G1593" s="68">
        <v>0</v>
      </c>
      <c r="H1593" s="25">
        <f t="shared" si="114"/>
        <v>0</v>
      </c>
    </row>
    <row r="1594" customHeight="1" spans="1:8">
      <c r="A1594" s="8">
        <f ca="1" t="shared" si="118"/>
        <v>713</v>
      </c>
      <c r="B1594" s="129"/>
      <c r="C1594" s="230" t="s">
        <v>2118</v>
      </c>
      <c r="D1594" s="231" t="s">
        <v>2119</v>
      </c>
      <c r="E1594" s="232" t="s">
        <v>329</v>
      </c>
      <c r="F1594" s="166">
        <f>8.16</f>
        <v>8.16</v>
      </c>
      <c r="G1594" s="68">
        <v>0</v>
      </c>
      <c r="H1594" s="25">
        <f t="shared" si="114"/>
        <v>0</v>
      </c>
    </row>
    <row r="1595" customHeight="1" spans="1:8">
      <c r="A1595" s="8">
        <f ca="1" t="shared" si="118"/>
        <v>714</v>
      </c>
      <c r="B1595" s="129"/>
      <c r="C1595" s="230" t="s">
        <v>2120</v>
      </c>
      <c r="D1595" s="231" t="s">
        <v>2121</v>
      </c>
      <c r="E1595" s="232" t="s">
        <v>329</v>
      </c>
      <c r="F1595" s="166">
        <f>27.09</f>
        <v>27.09</v>
      </c>
      <c r="G1595" s="68">
        <v>0</v>
      </c>
      <c r="H1595" s="25">
        <f t="shared" si="114"/>
        <v>0</v>
      </c>
    </row>
    <row r="1596" customHeight="1" spans="1:8">
      <c r="B1596" s="129"/>
      <c r="C1596" s="228" t="s">
        <v>841</v>
      </c>
      <c r="D1596" s="229" t="s">
        <v>842</v>
      </c>
      <c r="E1596" s="138"/>
      <c r="F1596" s="166"/>
      <c r="G1596" s="68">
        <v>0</v>
      </c>
      <c r="H1596" s="25">
        <f t="shared" si="114"/>
        <v>0</v>
      </c>
    </row>
    <row r="1597" customHeight="1" spans="1:8">
      <c r="A1597" s="8">
        <f ca="1" t="shared" ref="A1597:A1601" si="119">COUNTA(OFFSET(A$1,0,0,ROW()-1,1))+1</f>
        <v>715</v>
      </c>
      <c r="B1597" s="129"/>
      <c r="C1597" s="228" t="s">
        <v>841</v>
      </c>
      <c r="D1597" s="229" t="s">
        <v>842</v>
      </c>
      <c r="E1597" s="138" t="s">
        <v>329</v>
      </c>
      <c r="F1597" s="166">
        <f>286.33</f>
        <v>286.33</v>
      </c>
      <c r="G1597" s="68">
        <v>0</v>
      </c>
      <c r="H1597" s="25">
        <f t="shared" si="114"/>
        <v>0</v>
      </c>
    </row>
    <row r="1598" customHeight="1" spans="1:8">
      <c r="B1598" s="129"/>
      <c r="C1598" s="228" t="s">
        <v>843</v>
      </c>
      <c r="D1598" s="229" t="s">
        <v>844</v>
      </c>
      <c r="E1598" s="138"/>
      <c r="F1598" s="166"/>
      <c r="G1598" s="68">
        <v>0</v>
      </c>
      <c r="H1598" s="25">
        <f t="shared" si="114"/>
        <v>0</v>
      </c>
    </row>
    <row r="1599" customHeight="1" spans="1:8">
      <c r="A1599" s="8">
        <f ca="1" t="shared" si="119"/>
        <v>716</v>
      </c>
      <c r="B1599" s="129"/>
      <c r="C1599" s="228" t="s">
        <v>2122</v>
      </c>
      <c r="D1599" s="229" t="s">
        <v>956</v>
      </c>
      <c r="E1599" s="138" t="s">
        <v>464</v>
      </c>
      <c r="F1599" s="166">
        <f>6219.74</f>
        <v>6219.74</v>
      </c>
      <c r="G1599" s="68">
        <v>0</v>
      </c>
      <c r="H1599" s="25">
        <f t="shared" si="114"/>
        <v>0</v>
      </c>
    </row>
    <row r="1600" customHeight="1" spans="1:8">
      <c r="B1600" s="129"/>
      <c r="C1600" s="228" t="s">
        <v>2123</v>
      </c>
      <c r="D1600" s="229" t="s">
        <v>2124</v>
      </c>
      <c r="E1600" s="138"/>
      <c r="F1600" s="166"/>
      <c r="G1600" s="68">
        <v>0</v>
      </c>
      <c r="H1600" s="25">
        <f t="shared" si="114"/>
        <v>0</v>
      </c>
    </row>
    <row r="1601" customHeight="1" spans="1:8">
      <c r="A1601" s="8">
        <f ca="1" t="shared" si="119"/>
        <v>717</v>
      </c>
      <c r="B1601" s="129"/>
      <c r="C1601" s="228" t="s">
        <v>2125</v>
      </c>
      <c r="D1601" s="229" t="s">
        <v>2126</v>
      </c>
      <c r="E1601" s="138" t="s">
        <v>329</v>
      </c>
      <c r="F1601" s="166">
        <f>(62+34*0.25)</f>
        <v>70.5</v>
      </c>
      <c r="G1601" s="68">
        <v>0</v>
      </c>
      <c r="H1601" s="25">
        <f t="shared" si="114"/>
        <v>0</v>
      </c>
    </row>
    <row r="1602" customHeight="1" spans="1:8">
      <c r="B1602" s="129"/>
      <c r="C1602" s="228" t="s">
        <v>2127</v>
      </c>
      <c r="D1602" s="229" t="s">
        <v>2128</v>
      </c>
      <c r="E1602" s="138" t="s">
        <v>225</v>
      </c>
      <c r="F1602" s="166"/>
      <c r="G1602" s="68">
        <v>0</v>
      </c>
      <c r="H1602" s="25">
        <f t="shared" si="114"/>
        <v>0</v>
      </c>
    </row>
    <row r="1603" customHeight="1" spans="1:8">
      <c r="B1603" s="129"/>
      <c r="C1603" s="226" t="s">
        <v>2129</v>
      </c>
      <c r="D1603" s="227" t="s">
        <v>2130</v>
      </c>
      <c r="E1603" s="138"/>
      <c r="F1603" s="166"/>
      <c r="G1603" s="68">
        <v>0</v>
      </c>
      <c r="H1603" s="25">
        <f t="shared" si="114"/>
        <v>0</v>
      </c>
    </row>
    <row r="1604" customHeight="1" spans="1:8">
      <c r="A1604" s="8">
        <f ca="1" t="shared" ref="A1604:A1607" si="120">COUNTA(OFFSET(A$1,0,0,ROW()-1,1))+1</f>
        <v>718</v>
      </c>
      <c r="B1604" s="129"/>
      <c r="C1604" s="228" t="s">
        <v>2131</v>
      </c>
      <c r="D1604" s="229" t="s">
        <v>2132</v>
      </c>
      <c r="E1604" s="138" t="s">
        <v>329</v>
      </c>
      <c r="F1604" s="166">
        <f>62</f>
        <v>62</v>
      </c>
      <c r="G1604" s="68">
        <v>0</v>
      </c>
      <c r="H1604" s="25">
        <f t="shared" si="114"/>
        <v>0</v>
      </c>
    </row>
    <row r="1605" customHeight="1" spans="1:8">
      <c r="B1605" s="129"/>
      <c r="C1605" s="228" t="s">
        <v>2133</v>
      </c>
      <c r="D1605" s="229" t="s">
        <v>2134</v>
      </c>
      <c r="E1605" s="138" t="s">
        <v>225</v>
      </c>
      <c r="F1605" s="166"/>
      <c r="G1605" s="68">
        <v>0</v>
      </c>
      <c r="H1605" s="25">
        <f t="shared" si="114"/>
        <v>0</v>
      </c>
    </row>
    <row r="1606" customHeight="1" spans="1:8">
      <c r="A1606" s="8">
        <f ca="1" t="shared" si="120"/>
        <v>719</v>
      </c>
      <c r="B1606" s="129"/>
      <c r="C1606" s="228" t="s">
        <v>2135</v>
      </c>
      <c r="D1606" s="229" t="s">
        <v>2136</v>
      </c>
      <c r="E1606" s="138" t="s">
        <v>225</v>
      </c>
      <c r="F1606" s="166">
        <f>34</f>
        <v>34</v>
      </c>
      <c r="G1606" s="68">
        <v>0</v>
      </c>
      <c r="H1606" s="25">
        <f t="shared" si="114"/>
        <v>0</v>
      </c>
    </row>
    <row r="1607" customHeight="1" spans="1:8">
      <c r="A1607" s="8">
        <f ca="1" t="shared" si="120"/>
        <v>720</v>
      </c>
      <c r="B1607" s="129"/>
      <c r="C1607" s="228" t="s">
        <v>2137</v>
      </c>
      <c r="D1607" s="229" t="s">
        <v>2138</v>
      </c>
      <c r="E1607" s="138" t="s">
        <v>329</v>
      </c>
      <c r="F1607" s="166">
        <f>68.3</f>
        <v>68.3</v>
      </c>
      <c r="G1607" s="68">
        <v>0</v>
      </c>
      <c r="H1607" s="25">
        <f t="shared" si="114"/>
        <v>0</v>
      </c>
    </row>
    <row r="1608" customHeight="1" spans="1:8">
      <c r="B1608" s="129"/>
      <c r="C1608" s="228" t="s">
        <v>2139</v>
      </c>
      <c r="D1608" s="229" t="s">
        <v>2140</v>
      </c>
      <c r="E1608" s="138"/>
      <c r="F1608" s="166"/>
      <c r="G1608" s="68">
        <v>0</v>
      </c>
      <c r="H1608" s="25">
        <f t="shared" ref="H1608:H1671" si="121">IFERROR(ROUND(G1608*F1608,0),0)</f>
        <v>0</v>
      </c>
    </row>
    <row r="1609" customHeight="1" spans="1:8">
      <c r="A1609" s="8">
        <f ca="1" t="shared" ref="A1609:A1615" si="122">COUNTA(OFFSET(A$1,0,0,ROW()-1,1))+1</f>
        <v>721</v>
      </c>
      <c r="B1609" s="129"/>
      <c r="C1609" s="230" t="s">
        <v>2141</v>
      </c>
      <c r="D1609" s="231" t="s">
        <v>2142</v>
      </c>
      <c r="E1609" s="232" t="s">
        <v>336</v>
      </c>
      <c r="F1609" s="166">
        <f>3.57</f>
        <v>3.57</v>
      </c>
      <c r="G1609" s="68">
        <v>0</v>
      </c>
      <c r="H1609" s="25">
        <f t="shared" si="121"/>
        <v>0</v>
      </c>
    </row>
    <row r="1610" customHeight="1" spans="1:8">
      <c r="B1610" s="129"/>
      <c r="C1610" s="228" t="s">
        <v>2143</v>
      </c>
      <c r="D1610" s="229" t="s">
        <v>2144</v>
      </c>
      <c r="E1610" s="232" t="s">
        <v>336</v>
      </c>
      <c r="F1610" s="233"/>
      <c r="G1610" s="68">
        <v>0</v>
      </c>
      <c r="H1610" s="25">
        <f t="shared" si="121"/>
        <v>0</v>
      </c>
    </row>
    <row r="1611" customHeight="1" spans="1:8">
      <c r="B1611" s="129"/>
      <c r="C1611" s="228" t="s">
        <v>2145</v>
      </c>
      <c r="D1611" s="229" t="s">
        <v>2146</v>
      </c>
      <c r="E1611" s="232" t="s">
        <v>336</v>
      </c>
      <c r="F1611" s="166"/>
      <c r="G1611" s="68">
        <v>0</v>
      </c>
      <c r="H1611" s="25">
        <f t="shared" si="121"/>
        <v>0</v>
      </c>
    </row>
    <row r="1612" customHeight="1" spans="1:8">
      <c r="A1612" s="8">
        <f ca="1" t="shared" si="122"/>
        <v>722</v>
      </c>
      <c r="B1612" s="129"/>
      <c r="C1612" s="228" t="s">
        <v>2147</v>
      </c>
      <c r="D1612" s="229" t="s">
        <v>2148</v>
      </c>
      <c r="E1612" s="232" t="s">
        <v>336</v>
      </c>
      <c r="F1612" s="166">
        <f>20.47</f>
        <v>20.47</v>
      </c>
      <c r="G1612" s="68">
        <v>0</v>
      </c>
      <c r="H1612" s="25">
        <f t="shared" si="121"/>
        <v>0</v>
      </c>
    </row>
    <row r="1613" customHeight="1" spans="1:8">
      <c r="B1613" s="129"/>
      <c r="C1613" s="228" t="s">
        <v>2149</v>
      </c>
      <c r="D1613" s="229" t="s">
        <v>2150</v>
      </c>
      <c r="E1613" s="138"/>
      <c r="F1613" s="166"/>
      <c r="G1613" s="68">
        <v>0</v>
      </c>
      <c r="H1613" s="25">
        <f t="shared" si="121"/>
        <v>0</v>
      </c>
    </row>
    <row r="1614" customHeight="1" spans="1:8">
      <c r="A1614" s="8">
        <f ca="1" t="shared" si="122"/>
        <v>723</v>
      </c>
      <c r="B1614" s="129"/>
      <c r="C1614" s="228" t="s">
        <v>2151</v>
      </c>
      <c r="D1614" s="229" t="s">
        <v>2152</v>
      </c>
      <c r="E1614" s="138" t="s">
        <v>329</v>
      </c>
      <c r="F1614" s="166">
        <f>153.82</f>
        <v>153.82</v>
      </c>
      <c r="G1614" s="68">
        <v>0</v>
      </c>
      <c r="H1614" s="25">
        <f t="shared" si="121"/>
        <v>0</v>
      </c>
    </row>
    <row r="1615" customHeight="1" spans="1:8">
      <c r="A1615" s="8">
        <f ca="1" t="shared" si="122"/>
        <v>724</v>
      </c>
      <c r="B1615" s="129"/>
      <c r="C1615" s="230" t="s">
        <v>2153</v>
      </c>
      <c r="D1615" s="231" t="s">
        <v>2154</v>
      </c>
      <c r="E1615" s="232" t="s">
        <v>329</v>
      </c>
      <c r="F1615" s="233">
        <f>20.41</f>
        <v>20.41</v>
      </c>
      <c r="G1615" s="68">
        <v>0</v>
      </c>
      <c r="H1615" s="25">
        <f t="shared" si="121"/>
        <v>0</v>
      </c>
    </row>
    <row r="1616" customHeight="1" spans="1:8">
      <c r="B1616" s="129"/>
      <c r="C1616" s="228" t="s">
        <v>2155</v>
      </c>
      <c r="D1616" s="229" t="s">
        <v>2156</v>
      </c>
      <c r="E1616" s="138"/>
      <c r="F1616" s="166"/>
      <c r="G1616" s="68">
        <v>0</v>
      </c>
      <c r="H1616" s="25">
        <f t="shared" si="121"/>
        <v>0</v>
      </c>
    </row>
    <row r="1617" customHeight="1" spans="1:8">
      <c r="A1617" s="8">
        <f ca="1" t="shared" ref="A1617:A1620" si="123">COUNTA(OFFSET(A$1,0,0,ROW()-1,1))+1</f>
        <v>725</v>
      </c>
      <c r="B1617" s="129"/>
      <c r="C1617" s="228" t="s">
        <v>2157</v>
      </c>
      <c r="D1617" s="229" t="s">
        <v>2158</v>
      </c>
      <c r="E1617" s="138" t="s">
        <v>329</v>
      </c>
      <c r="F1617" s="166">
        <f>195.25</f>
        <v>195.25</v>
      </c>
      <c r="G1617" s="68">
        <v>0</v>
      </c>
      <c r="H1617" s="25">
        <f t="shared" si="121"/>
        <v>0</v>
      </c>
    </row>
    <row r="1618" customHeight="1" spans="1:8">
      <c r="B1618" s="129"/>
      <c r="C1618" s="228" t="s">
        <v>2159</v>
      </c>
      <c r="D1618" s="229" t="s">
        <v>2160</v>
      </c>
      <c r="E1618" s="138"/>
      <c r="F1618" s="166"/>
      <c r="G1618" s="68">
        <v>0</v>
      </c>
      <c r="H1618" s="25">
        <f t="shared" si="121"/>
        <v>0</v>
      </c>
    </row>
    <row r="1619" customHeight="1" spans="1:8">
      <c r="A1619" s="8">
        <f ca="1" t="shared" si="123"/>
        <v>726</v>
      </c>
      <c r="B1619" s="129"/>
      <c r="C1619" s="228" t="s">
        <v>2159</v>
      </c>
      <c r="D1619" s="229" t="s">
        <v>2160</v>
      </c>
      <c r="E1619" s="138" t="s">
        <v>329</v>
      </c>
      <c r="F1619" s="166">
        <f>62</f>
        <v>62</v>
      </c>
      <c r="G1619" s="68">
        <v>0</v>
      </c>
      <c r="H1619" s="25">
        <f t="shared" si="121"/>
        <v>0</v>
      </c>
    </row>
    <row r="1620" customHeight="1" spans="1:8">
      <c r="A1620" s="8">
        <f ca="1" t="shared" si="123"/>
        <v>727</v>
      </c>
      <c r="B1620" s="129"/>
      <c r="C1620" s="230" t="s">
        <v>2161</v>
      </c>
      <c r="D1620" s="231" t="s">
        <v>2162</v>
      </c>
      <c r="E1620" s="232" t="s">
        <v>329</v>
      </c>
      <c r="F1620" s="166">
        <f>0.9*2.7</f>
        <v>2.43</v>
      </c>
      <c r="G1620" s="68">
        <v>0</v>
      </c>
      <c r="H1620" s="25">
        <f t="shared" si="121"/>
        <v>0</v>
      </c>
    </row>
    <row r="1621" customHeight="1" spans="1:8">
      <c r="B1621" s="129"/>
      <c r="C1621" s="228" t="s">
        <v>2163</v>
      </c>
      <c r="D1621" s="229" t="s">
        <v>2164</v>
      </c>
      <c r="E1621" s="138" t="s">
        <v>225</v>
      </c>
      <c r="F1621" s="166"/>
      <c r="G1621" s="68">
        <v>0</v>
      </c>
      <c r="H1621" s="25">
        <f t="shared" si="121"/>
        <v>0</v>
      </c>
    </row>
    <row r="1622" customHeight="1" spans="1:8">
      <c r="A1622" s="8">
        <f ca="1" t="shared" ref="A1622:A1626" si="124">COUNTA(OFFSET(A$1,0,0,ROW()-1,1))+1</f>
        <v>728</v>
      </c>
      <c r="B1622" s="129"/>
      <c r="C1622" s="228" t="s">
        <v>2165</v>
      </c>
      <c r="D1622" s="229" t="s">
        <v>2166</v>
      </c>
      <c r="E1622" s="138" t="s">
        <v>225</v>
      </c>
      <c r="F1622" s="166">
        <f>3.9</f>
        <v>3.9</v>
      </c>
      <c r="G1622" s="68">
        <v>0</v>
      </c>
      <c r="H1622" s="25">
        <f t="shared" si="121"/>
        <v>0</v>
      </c>
    </row>
    <row r="1623" customHeight="1" spans="1:8">
      <c r="B1623" s="129"/>
      <c r="C1623" s="228" t="s">
        <v>2167</v>
      </c>
      <c r="D1623" s="229" t="s">
        <v>2168</v>
      </c>
      <c r="E1623" s="138"/>
      <c r="F1623" s="166"/>
      <c r="G1623" s="68">
        <v>0</v>
      </c>
      <c r="H1623" s="25">
        <f t="shared" si="121"/>
        <v>0</v>
      </c>
    </row>
    <row r="1624" customHeight="1" spans="1:8">
      <c r="A1624" s="8">
        <f ca="1" t="shared" si="124"/>
        <v>729</v>
      </c>
      <c r="B1624" s="129"/>
      <c r="C1624" s="228" t="s">
        <v>2169</v>
      </c>
      <c r="D1624" s="234" t="s">
        <v>2170</v>
      </c>
      <c r="E1624" s="138" t="s">
        <v>238</v>
      </c>
      <c r="F1624" s="166">
        <v>5</v>
      </c>
      <c r="G1624" s="68">
        <v>0</v>
      </c>
      <c r="H1624" s="25">
        <f t="shared" si="121"/>
        <v>0</v>
      </c>
    </row>
    <row r="1625" customHeight="1" spans="1:8">
      <c r="A1625" s="8">
        <f ca="1" t="shared" si="124"/>
        <v>730</v>
      </c>
      <c r="B1625" s="129"/>
      <c r="C1625" s="228" t="s">
        <v>2171</v>
      </c>
      <c r="D1625" s="234" t="s">
        <v>2172</v>
      </c>
      <c r="E1625" s="138" t="s">
        <v>238</v>
      </c>
      <c r="F1625" s="166">
        <v>1</v>
      </c>
      <c r="G1625" s="68">
        <v>0</v>
      </c>
      <c r="H1625" s="25">
        <f t="shared" si="121"/>
        <v>0</v>
      </c>
    </row>
    <row r="1626" customHeight="1" spans="1:8">
      <c r="A1626" s="8">
        <f ca="1" t="shared" si="124"/>
        <v>731</v>
      </c>
      <c r="B1626" s="129"/>
      <c r="C1626" s="228" t="s">
        <v>2173</v>
      </c>
      <c r="D1626" s="234" t="s">
        <v>2173</v>
      </c>
      <c r="E1626" s="138" t="s">
        <v>238</v>
      </c>
      <c r="F1626" s="166">
        <v>4</v>
      </c>
      <c r="G1626" s="68">
        <v>0</v>
      </c>
      <c r="H1626" s="25">
        <f t="shared" si="121"/>
        <v>0</v>
      </c>
    </row>
    <row r="1627" customHeight="1" spans="1:8">
      <c r="B1627" s="129"/>
      <c r="C1627" s="228" t="s">
        <v>2174</v>
      </c>
      <c r="D1627" s="234" t="s">
        <v>2174</v>
      </c>
      <c r="E1627" s="138" t="s">
        <v>238</v>
      </c>
      <c r="F1627" s="166"/>
      <c r="G1627" s="68">
        <v>0</v>
      </c>
      <c r="H1627" s="25">
        <f t="shared" si="121"/>
        <v>0</v>
      </c>
    </row>
    <row r="1628" customHeight="1" spans="1:8">
      <c r="B1628" s="129"/>
      <c r="C1628" s="228" t="s">
        <v>2175</v>
      </c>
      <c r="D1628" s="234" t="s">
        <v>2176</v>
      </c>
      <c r="E1628" s="138" t="s">
        <v>238</v>
      </c>
      <c r="F1628" s="166"/>
      <c r="G1628" s="68">
        <v>0</v>
      </c>
      <c r="H1628" s="25">
        <f t="shared" si="121"/>
        <v>0</v>
      </c>
    </row>
    <row r="1629" customHeight="1" spans="1:8">
      <c r="B1629" s="129"/>
      <c r="C1629" s="228" t="s">
        <v>2177</v>
      </c>
      <c r="D1629" s="229" t="s">
        <v>2178</v>
      </c>
      <c r="E1629" s="138"/>
      <c r="F1629" s="166"/>
      <c r="G1629" s="68">
        <v>0</v>
      </c>
      <c r="H1629" s="25">
        <f t="shared" si="121"/>
        <v>0</v>
      </c>
    </row>
    <row r="1630" customHeight="1" spans="1:8">
      <c r="A1630" s="8">
        <f ca="1" t="shared" ref="A1630:A1649" si="125">COUNTA(OFFSET(A$1,0,0,ROW()-1,1))+1</f>
        <v>732</v>
      </c>
      <c r="B1630" s="129"/>
      <c r="C1630" s="228" t="s">
        <v>2179</v>
      </c>
      <c r="D1630" s="229" t="s">
        <v>2180</v>
      </c>
      <c r="E1630" s="138" t="s">
        <v>2181</v>
      </c>
      <c r="F1630" s="166">
        <f>F1583*2</f>
        <v>2</v>
      </c>
      <c r="G1630" s="68">
        <v>0</v>
      </c>
      <c r="H1630" s="25">
        <f t="shared" si="121"/>
        <v>0</v>
      </c>
    </row>
    <row r="1631" customHeight="1" spans="1:8">
      <c r="A1631" s="8">
        <f ca="1" t="shared" si="125"/>
        <v>733</v>
      </c>
      <c r="B1631" s="129"/>
      <c r="C1631" s="228" t="s">
        <v>2182</v>
      </c>
      <c r="D1631" s="229" t="s">
        <v>2183</v>
      </c>
      <c r="E1631" s="138" t="s">
        <v>2181</v>
      </c>
      <c r="F1631" s="166">
        <f>F1583*2</f>
        <v>2</v>
      </c>
      <c r="G1631" s="68">
        <v>0</v>
      </c>
      <c r="H1631" s="25">
        <f t="shared" si="121"/>
        <v>0</v>
      </c>
    </row>
    <row r="1632" customHeight="1" spans="1:8">
      <c r="A1632" s="8">
        <f ca="1" t="shared" si="125"/>
        <v>734</v>
      </c>
      <c r="B1632" s="129"/>
      <c r="C1632" s="228" t="s">
        <v>2184</v>
      </c>
      <c r="D1632" s="229" t="s">
        <v>2185</v>
      </c>
      <c r="E1632" s="138" t="s">
        <v>2181</v>
      </c>
      <c r="F1632" s="166">
        <f>F1583*2</f>
        <v>2</v>
      </c>
      <c r="G1632" s="68">
        <v>0</v>
      </c>
      <c r="H1632" s="25">
        <f t="shared" si="121"/>
        <v>0</v>
      </c>
    </row>
    <row r="1633" customHeight="1" spans="1:8">
      <c r="A1633" s="8">
        <f ca="1" t="shared" si="125"/>
        <v>735</v>
      </c>
      <c r="B1633" s="129"/>
      <c r="C1633" s="228" t="s">
        <v>2186</v>
      </c>
      <c r="D1633" s="229" t="s">
        <v>2187</v>
      </c>
      <c r="E1633" s="138" t="s">
        <v>2181</v>
      </c>
      <c r="F1633" s="166">
        <f>F1583*2</f>
        <v>2</v>
      </c>
      <c r="G1633" s="68">
        <v>0</v>
      </c>
      <c r="H1633" s="25">
        <f t="shared" si="121"/>
        <v>0</v>
      </c>
    </row>
    <row r="1634" customHeight="1" spans="1:8">
      <c r="A1634" s="8">
        <f ca="1" t="shared" si="125"/>
        <v>736</v>
      </c>
      <c r="B1634" s="129"/>
      <c r="C1634" s="228" t="s">
        <v>2188</v>
      </c>
      <c r="D1634" s="229" t="s">
        <v>2189</v>
      </c>
      <c r="E1634" s="138" t="s">
        <v>2181</v>
      </c>
      <c r="F1634" s="166">
        <f>F1583*2</f>
        <v>2</v>
      </c>
      <c r="G1634" s="68">
        <v>0</v>
      </c>
      <c r="H1634" s="25">
        <f t="shared" si="121"/>
        <v>0</v>
      </c>
    </row>
    <row r="1635" customHeight="1" spans="1:8">
      <c r="A1635" s="8">
        <f ca="1" t="shared" si="125"/>
        <v>737</v>
      </c>
      <c r="B1635" s="129"/>
      <c r="C1635" s="228" t="s">
        <v>2190</v>
      </c>
      <c r="D1635" s="229" t="s">
        <v>2191</v>
      </c>
      <c r="E1635" s="138" t="s">
        <v>2181</v>
      </c>
      <c r="F1635" s="166">
        <f>F1583*2</f>
        <v>2</v>
      </c>
      <c r="G1635" s="68">
        <v>0</v>
      </c>
      <c r="H1635" s="25">
        <f t="shared" si="121"/>
        <v>0</v>
      </c>
    </row>
    <row r="1636" customHeight="1" spans="1:8">
      <c r="A1636" s="8">
        <f ca="1" t="shared" si="125"/>
        <v>738</v>
      </c>
      <c r="B1636" s="129"/>
      <c r="C1636" s="228" t="s">
        <v>2192</v>
      </c>
      <c r="D1636" s="229" t="s">
        <v>2193</v>
      </c>
      <c r="E1636" s="138" t="s">
        <v>2181</v>
      </c>
      <c r="F1636" s="166">
        <f>F1583*2</f>
        <v>2</v>
      </c>
      <c r="G1636" s="68">
        <v>0</v>
      </c>
      <c r="H1636" s="25">
        <f t="shared" si="121"/>
        <v>0</v>
      </c>
    </row>
    <row r="1637" customHeight="1" spans="1:8">
      <c r="A1637" s="8">
        <f ca="1" t="shared" si="125"/>
        <v>739</v>
      </c>
      <c r="B1637" s="129"/>
      <c r="C1637" s="228" t="s">
        <v>2194</v>
      </c>
      <c r="D1637" s="229" t="s">
        <v>2195</v>
      </c>
      <c r="E1637" s="138" t="s">
        <v>2181</v>
      </c>
      <c r="F1637" s="166">
        <f>F1583*2</f>
        <v>2</v>
      </c>
      <c r="G1637" s="68">
        <v>0</v>
      </c>
      <c r="H1637" s="25">
        <f t="shared" si="121"/>
        <v>0</v>
      </c>
    </row>
    <row r="1638" customHeight="1" spans="1:8">
      <c r="A1638" s="8">
        <f ca="1" t="shared" si="125"/>
        <v>740</v>
      </c>
      <c r="B1638" s="129"/>
      <c r="C1638" s="228" t="s">
        <v>2196</v>
      </c>
      <c r="D1638" s="229" t="s">
        <v>2197</v>
      </c>
      <c r="E1638" s="138" t="s">
        <v>2181</v>
      </c>
      <c r="F1638" s="166">
        <f>F1583*2</f>
        <v>2</v>
      </c>
      <c r="G1638" s="68">
        <v>0</v>
      </c>
      <c r="H1638" s="25">
        <f t="shared" si="121"/>
        <v>0</v>
      </c>
    </row>
    <row r="1639" customHeight="1" spans="1:8">
      <c r="A1639" s="8">
        <f ca="1" t="shared" si="125"/>
        <v>741</v>
      </c>
      <c r="B1639" s="129"/>
      <c r="C1639" s="228" t="s">
        <v>2198</v>
      </c>
      <c r="D1639" s="229" t="s">
        <v>2199</v>
      </c>
      <c r="E1639" s="138" t="s">
        <v>2200</v>
      </c>
      <c r="F1639" s="166">
        <f>F1583*1</f>
        <v>1</v>
      </c>
      <c r="G1639" s="68">
        <v>0</v>
      </c>
      <c r="H1639" s="25">
        <f t="shared" si="121"/>
        <v>0</v>
      </c>
    </row>
    <row r="1640" customHeight="1" spans="1:8">
      <c r="A1640" s="8">
        <f ca="1" t="shared" si="125"/>
        <v>742</v>
      </c>
      <c r="B1640" s="129"/>
      <c r="C1640" s="228" t="s">
        <v>2201</v>
      </c>
      <c r="D1640" s="229" t="s">
        <v>2202</v>
      </c>
      <c r="E1640" s="138" t="s">
        <v>2181</v>
      </c>
      <c r="F1640" s="166">
        <f>F1583*6</f>
        <v>6</v>
      </c>
      <c r="G1640" s="68">
        <v>0</v>
      </c>
      <c r="H1640" s="25">
        <f t="shared" si="121"/>
        <v>0</v>
      </c>
    </row>
    <row r="1641" customHeight="1" spans="1:8">
      <c r="A1641" s="8">
        <f ca="1" t="shared" si="125"/>
        <v>743</v>
      </c>
      <c r="B1641" s="129"/>
      <c r="C1641" s="228" t="s">
        <v>2203</v>
      </c>
      <c r="D1641" s="229" t="s">
        <v>2204</v>
      </c>
      <c r="E1641" s="138" t="s">
        <v>2181</v>
      </c>
      <c r="F1641" s="166">
        <f>F1583*12</f>
        <v>12</v>
      </c>
      <c r="G1641" s="68">
        <v>0</v>
      </c>
      <c r="H1641" s="25">
        <f t="shared" si="121"/>
        <v>0</v>
      </c>
    </row>
    <row r="1642" customHeight="1" spans="1:8">
      <c r="A1642" s="8">
        <f ca="1" t="shared" si="125"/>
        <v>744</v>
      </c>
      <c r="B1642" s="129"/>
      <c r="C1642" s="228" t="s">
        <v>2205</v>
      </c>
      <c r="D1642" s="229" t="s">
        <v>2206</v>
      </c>
      <c r="E1642" s="138" t="s">
        <v>2181</v>
      </c>
      <c r="F1642" s="166">
        <f>F1583*4</f>
        <v>4</v>
      </c>
      <c r="G1642" s="68">
        <v>0</v>
      </c>
      <c r="H1642" s="25">
        <f t="shared" si="121"/>
        <v>0</v>
      </c>
    </row>
    <row r="1643" customHeight="1" spans="1:8">
      <c r="A1643" s="8">
        <f ca="1" t="shared" si="125"/>
        <v>745</v>
      </c>
      <c r="B1643" s="129"/>
      <c r="C1643" s="228" t="s">
        <v>2207</v>
      </c>
      <c r="D1643" s="229" t="s">
        <v>2208</v>
      </c>
      <c r="E1643" s="138" t="s">
        <v>2181</v>
      </c>
      <c r="F1643" s="166">
        <f>F1583*2</f>
        <v>2</v>
      </c>
      <c r="G1643" s="68">
        <v>0</v>
      </c>
      <c r="H1643" s="25">
        <f t="shared" si="121"/>
        <v>0</v>
      </c>
    </row>
    <row r="1644" customHeight="1" spans="1:8">
      <c r="A1644" s="8">
        <f ca="1" t="shared" si="125"/>
        <v>746</v>
      </c>
      <c r="B1644" s="129"/>
      <c r="C1644" s="228" t="s">
        <v>2209</v>
      </c>
      <c r="D1644" s="229" t="s">
        <v>2210</v>
      </c>
      <c r="E1644" s="138" t="s">
        <v>510</v>
      </c>
      <c r="F1644" s="166">
        <f>F1583*2</f>
        <v>2</v>
      </c>
      <c r="G1644" s="68">
        <v>0</v>
      </c>
      <c r="H1644" s="25">
        <f t="shared" si="121"/>
        <v>0</v>
      </c>
    </row>
    <row r="1645" customHeight="1" spans="1:8">
      <c r="A1645" s="8">
        <f ca="1" t="shared" si="125"/>
        <v>747</v>
      </c>
      <c r="B1645" s="129"/>
      <c r="C1645" s="228" t="s">
        <v>2211</v>
      </c>
      <c r="D1645" s="229" t="s">
        <v>2212</v>
      </c>
      <c r="E1645" s="138" t="s">
        <v>510</v>
      </c>
      <c r="F1645" s="166">
        <f>F1583*2</f>
        <v>2</v>
      </c>
      <c r="G1645" s="68">
        <v>0</v>
      </c>
      <c r="H1645" s="25">
        <f t="shared" si="121"/>
        <v>0</v>
      </c>
    </row>
    <row r="1646" customHeight="1" spans="1:8">
      <c r="A1646" s="8">
        <f ca="1" t="shared" si="125"/>
        <v>748</v>
      </c>
      <c r="B1646" s="129"/>
      <c r="C1646" s="228" t="s">
        <v>2213</v>
      </c>
      <c r="D1646" s="229" t="s">
        <v>2214</v>
      </c>
      <c r="E1646" s="138" t="s">
        <v>2200</v>
      </c>
      <c r="F1646" s="166">
        <f>F1583*1</f>
        <v>1</v>
      </c>
      <c r="G1646" s="68">
        <v>0</v>
      </c>
      <c r="H1646" s="25">
        <f t="shared" si="121"/>
        <v>0</v>
      </c>
    </row>
    <row r="1647" customHeight="1" spans="1:8">
      <c r="A1647" s="8">
        <f ca="1" t="shared" si="125"/>
        <v>749</v>
      </c>
      <c r="B1647" s="129"/>
      <c r="C1647" s="228" t="s">
        <v>2215</v>
      </c>
      <c r="D1647" s="229" t="s">
        <v>2216</v>
      </c>
      <c r="E1647" s="138" t="s">
        <v>2200</v>
      </c>
      <c r="F1647" s="166">
        <f>F1583*1</f>
        <v>1</v>
      </c>
      <c r="G1647" s="68">
        <v>0</v>
      </c>
      <c r="H1647" s="25">
        <f t="shared" si="121"/>
        <v>0</v>
      </c>
    </row>
    <row r="1648" customHeight="1" spans="1:8">
      <c r="A1648" s="8">
        <f ca="1" t="shared" si="125"/>
        <v>750</v>
      </c>
      <c r="B1648" s="129"/>
      <c r="C1648" s="228" t="s">
        <v>2217</v>
      </c>
      <c r="D1648" s="229" t="s">
        <v>2218</v>
      </c>
      <c r="E1648" s="138" t="s">
        <v>510</v>
      </c>
      <c r="F1648" s="166">
        <f>F1583*2</f>
        <v>2</v>
      </c>
      <c r="G1648" s="68">
        <v>0</v>
      </c>
      <c r="H1648" s="25">
        <f t="shared" si="121"/>
        <v>0</v>
      </c>
    </row>
    <row r="1649" customHeight="1" spans="1:8">
      <c r="A1649" s="8">
        <f ca="1" t="shared" si="125"/>
        <v>751</v>
      </c>
      <c r="B1649" s="129"/>
      <c r="C1649" s="228" t="s">
        <v>2219</v>
      </c>
      <c r="D1649" s="229" t="s">
        <v>2220</v>
      </c>
      <c r="E1649" s="138" t="s">
        <v>2200</v>
      </c>
      <c r="F1649" s="166">
        <f>F1583*1</f>
        <v>1</v>
      </c>
      <c r="G1649" s="68">
        <v>0</v>
      </c>
      <c r="H1649" s="25">
        <f t="shared" si="121"/>
        <v>0</v>
      </c>
    </row>
    <row r="1650" customHeight="1" spans="1:8">
      <c r="B1650" s="129"/>
      <c r="C1650" s="228" t="s">
        <v>2221</v>
      </c>
      <c r="D1650" s="229" t="s">
        <v>2222</v>
      </c>
      <c r="E1650" s="138"/>
      <c r="F1650" s="166"/>
      <c r="G1650" s="68">
        <v>0</v>
      </c>
      <c r="H1650" s="25">
        <f t="shared" si="121"/>
        <v>0</v>
      </c>
    </row>
    <row r="1651" customHeight="1" spans="1:8">
      <c r="B1651" s="129"/>
      <c r="C1651" s="228" t="s">
        <v>2223</v>
      </c>
      <c r="D1651" s="229" t="s">
        <v>2224</v>
      </c>
      <c r="E1651" s="138" t="s">
        <v>238</v>
      </c>
      <c r="F1651" s="166"/>
      <c r="G1651" s="68">
        <v>0</v>
      </c>
      <c r="H1651" s="25">
        <f t="shared" si="121"/>
        <v>0</v>
      </c>
    </row>
    <row r="1652" customHeight="1" spans="1:8">
      <c r="B1652" s="129"/>
      <c r="C1652" s="228" t="s">
        <v>2225</v>
      </c>
      <c r="D1652" s="229" t="s">
        <v>2226</v>
      </c>
      <c r="E1652" s="138" t="s">
        <v>238</v>
      </c>
      <c r="F1652" s="166"/>
      <c r="G1652" s="68">
        <v>0</v>
      </c>
      <c r="H1652" s="25">
        <f t="shared" si="121"/>
        <v>0</v>
      </c>
    </row>
    <row r="1653" customHeight="1" spans="1:8">
      <c r="B1653" s="129"/>
      <c r="C1653" s="228" t="s">
        <v>2227</v>
      </c>
      <c r="D1653" s="229" t="s">
        <v>2228</v>
      </c>
      <c r="E1653" s="138" t="s">
        <v>238</v>
      </c>
      <c r="F1653" s="166"/>
      <c r="G1653" s="68">
        <v>0</v>
      </c>
      <c r="H1653" s="25">
        <f t="shared" si="121"/>
        <v>0</v>
      </c>
    </row>
    <row r="1654" customHeight="1" spans="1:8">
      <c r="B1654" s="129"/>
      <c r="C1654" s="228" t="s">
        <v>2229</v>
      </c>
      <c r="D1654" s="229" t="s">
        <v>2230</v>
      </c>
      <c r="E1654" s="138" t="s">
        <v>238</v>
      </c>
      <c r="F1654" s="166"/>
      <c r="G1654" s="68">
        <v>0</v>
      </c>
      <c r="H1654" s="25">
        <f t="shared" si="121"/>
        <v>0</v>
      </c>
    </row>
    <row r="1655" customHeight="1" spans="1:8">
      <c r="B1655" s="129"/>
      <c r="C1655" s="228" t="s">
        <v>2231</v>
      </c>
      <c r="D1655" s="229" t="s">
        <v>2232</v>
      </c>
      <c r="E1655" s="138" t="s">
        <v>238</v>
      </c>
      <c r="F1655" s="166"/>
      <c r="G1655" s="68">
        <v>0</v>
      </c>
      <c r="H1655" s="25">
        <f t="shared" si="121"/>
        <v>0</v>
      </c>
    </row>
    <row r="1656" customHeight="1" spans="1:8">
      <c r="B1656" s="129"/>
      <c r="C1656" s="228" t="s">
        <v>2233</v>
      </c>
      <c r="D1656" s="229" t="s">
        <v>2234</v>
      </c>
      <c r="E1656" s="138" t="s">
        <v>238</v>
      </c>
      <c r="F1656" s="166"/>
      <c r="G1656" s="68">
        <v>0</v>
      </c>
      <c r="H1656" s="25">
        <f t="shared" si="121"/>
        <v>0</v>
      </c>
    </row>
    <row r="1657" customHeight="1" spans="1:8">
      <c r="B1657" s="129"/>
      <c r="C1657" s="228" t="s">
        <v>2235</v>
      </c>
      <c r="D1657" s="229" t="s">
        <v>2236</v>
      </c>
      <c r="E1657" s="138" t="s">
        <v>238</v>
      </c>
      <c r="F1657" s="166"/>
      <c r="G1657" s="68">
        <v>0</v>
      </c>
      <c r="H1657" s="25">
        <f t="shared" si="121"/>
        <v>0</v>
      </c>
    </row>
    <row r="1658" customHeight="1" spans="1:8">
      <c r="B1658" s="129"/>
      <c r="C1658" s="228" t="s">
        <v>2237</v>
      </c>
      <c r="D1658" s="229" t="s">
        <v>2124</v>
      </c>
      <c r="E1658" s="138"/>
      <c r="F1658" s="166"/>
      <c r="G1658" s="68">
        <v>0</v>
      </c>
      <c r="H1658" s="25">
        <f t="shared" si="121"/>
        <v>0</v>
      </c>
    </row>
    <row r="1659" customHeight="1" spans="1:8">
      <c r="A1659" s="8">
        <f ca="1">COUNTA(OFFSET(A$1,0,0,ROW()-1,1))+1</f>
        <v>752</v>
      </c>
      <c r="B1659" s="129"/>
      <c r="C1659" s="230" t="s">
        <v>2238</v>
      </c>
      <c r="D1659" s="231" t="s">
        <v>2239</v>
      </c>
      <c r="E1659" s="232" t="s">
        <v>445</v>
      </c>
      <c r="F1659" s="166">
        <f>3.9*1.2*100/1000</f>
        <v>0.468</v>
      </c>
      <c r="G1659" s="68">
        <v>0</v>
      </c>
      <c r="H1659" s="25">
        <f t="shared" si="121"/>
        <v>0</v>
      </c>
    </row>
    <row r="1660" customHeight="1" spans="1:8">
      <c r="B1660" s="129"/>
      <c r="C1660" s="228" t="s">
        <v>2240</v>
      </c>
      <c r="D1660" s="229" t="s">
        <v>1234</v>
      </c>
      <c r="E1660" s="138" t="s">
        <v>225</v>
      </c>
      <c r="F1660" s="166"/>
      <c r="G1660" s="68">
        <v>0</v>
      </c>
      <c r="H1660" s="25">
        <f t="shared" si="121"/>
        <v>0</v>
      </c>
    </row>
    <row r="1661" customHeight="1" spans="1:8">
      <c r="B1661" s="129"/>
      <c r="C1661" s="228" t="s">
        <v>2241</v>
      </c>
      <c r="D1661" s="229" t="s">
        <v>2242</v>
      </c>
      <c r="E1661" s="138" t="s">
        <v>225</v>
      </c>
      <c r="F1661" s="166"/>
      <c r="G1661" s="68">
        <v>0</v>
      </c>
      <c r="H1661" s="25">
        <f t="shared" si="121"/>
        <v>0</v>
      </c>
    </row>
    <row r="1662" customHeight="1" spans="1:8">
      <c r="B1662" s="129"/>
      <c r="C1662" s="228" t="s">
        <v>2243</v>
      </c>
      <c r="D1662" s="229" t="s">
        <v>2244</v>
      </c>
      <c r="E1662" s="138" t="s">
        <v>892</v>
      </c>
      <c r="F1662" s="166"/>
      <c r="G1662" s="68">
        <v>0</v>
      </c>
      <c r="H1662" s="25">
        <f t="shared" si="121"/>
        <v>0</v>
      </c>
    </row>
    <row r="1663" customHeight="1" spans="1:8">
      <c r="B1663" s="129"/>
      <c r="C1663" s="228" t="s">
        <v>2245</v>
      </c>
      <c r="D1663" s="229" t="s">
        <v>2246</v>
      </c>
      <c r="E1663" s="138" t="s">
        <v>225</v>
      </c>
      <c r="F1663" s="166"/>
      <c r="G1663" s="68">
        <v>0</v>
      </c>
      <c r="H1663" s="25">
        <f t="shared" si="121"/>
        <v>0</v>
      </c>
    </row>
    <row r="1664" customHeight="1" spans="1:8">
      <c r="B1664" s="129"/>
      <c r="C1664" s="230" t="s">
        <v>2247</v>
      </c>
      <c r="D1664" s="231" t="s">
        <v>2248</v>
      </c>
      <c r="E1664" s="138"/>
      <c r="F1664" s="166"/>
      <c r="G1664" s="68">
        <v>0</v>
      </c>
      <c r="H1664" s="25">
        <f t="shared" si="121"/>
        <v>0</v>
      </c>
    </row>
    <row r="1665" customHeight="1" spans="1:8">
      <c r="A1665" s="8">
        <f ca="1" t="shared" ref="A1665:A1668" si="126">COUNTA(OFFSET(A$1,0,0,ROW()-1,1))+1</f>
        <v>753</v>
      </c>
      <c r="B1665" s="129"/>
      <c r="C1665" s="230" t="s">
        <v>2249</v>
      </c>
      <c r="D1665" s="231" t="s">
        <v>2250</v>
      </c>
      <c r="E1665" s="232" t="s">
        <v>2200</v>
      </c>
      <c r="F1665" s="166">
        <f>1</f>
        <v>1</v>
      </c>
      <c r="G1665" s="68">
        <v>0</v>
      </c>
      <c r="H1665" s="25">
        <f t="shared" si="121"/>
        <v>0</v>
      </c>
    </row>
    <row r="1666" customHeight="1" spans="1:8">
      <c r="A1666" s="8">
        <f ca="1" t="shared" si="126"/>
        <v>754</v>
      </c>
      <c r="B1666" s="129"/>
      <c r="C1666" s="230" t="s">
        <v>2251</v>
      </c>
      <c r="D1666" s="231" t="s">
        <v>2252</v>
      </c>
      <c r="E1666" s="232" t="s">
        <v>2253</v>
      </c>
      <c r="F1666" s="166">
        <f>63.44</f>
        <v>63.44</v>
      </c>
      <c r="G1666" s="68">
        <v>0</v>
      </c>
      <c r="H1666" s="25">
        <f t="shared" si="121"/>
        <v>0</v>
      </c>
    </row>
    <row r="1667" customHeight="1" spans="1:8">
      <c r="A1667" s="8">
        <f ca="1" t="shared" si="126"/>
        <v>755</v>
      </c>
      <c r="B1667" s="129"/>
      <c r="C1667" s="230" t="s">
        <v>2254</v>
      </c>
      <c r="D1667" s="231" t="s">
        <v>2255</v>
      </c>
      <c r="E1667" s="232" t="s">
        <v>2200</v>
      </c>
      <c r="F1667" s="166">
        <f>1</f>
        <v>1</v>
      </c>
      <c r="G1667" s="68">
        <v>0</v>
      </c>
      <c r="H1667" s="25">
        <f t="shared" si="121"/>
        <v>0</v>
      </c>
    </row>
    <row r="1668" customHeight="1" spans="1:8">
      <c r="A1668" s="8">
        <f ca="1" t="shared" si="126"/>
        <v>756</v>
      </c>
      <c r="B1668" s="84" t="s">
        <v>2262</v>
      </c>
      <c r="C1668" s="89" t="s">
        <v>2263</v>
      </c>
      <c r="D1668" s="90" t="s">
        <v>2264</v>
      </c>
      <c r="E1668" s="86" t="s">
        <v>238</v>
      </c>
      <c r="F1668" s="107">
        <v>2</v>
      </c>
      <c r="G1668" s="68">
        <v>46890.1632</v>
      </c>
      <c r="H1668" s="25">
        <f t="shared" si="121"/>
        <v>93780</v>
      </c>
    </row>
    <row r="1669" customHeight="1" spans="1:8">
      <c r="B1669" s="129"/>
      <c r="C1669" s="226" t="s">
        <v>2098</v>
      </c>
      <c r="D1669" s="227" t="s">
        <v>2099</v>
      </c>
      <c r="E1669" s="138"/>
      <c r="F1669" s="166"/>
      <c r="G1669" s="68">
        <v>0</v>
      </c>
      <c r="H1669" s="25">
        <f t="shared" si="121"/>
        <v>0</v>
      </c>
    </row>
    <row r="1670" customHeight="1" spans="1:8">
      <c r="B1670" s="129"/>
      <c r="C1670" s="228" t="s">
        <v>2100</v>
      </c>
      <c r="D1670" s="229" t="s">
        <v>2101</v>
      </c>
      <c r="E1670" s="138"/>
      <c r="F1670" s="166"/>
      <c r="G1670" s="68">
        <v>0</v>
      </c>
      <c r="H1670" s="25">
        <f t="shared" si="121"/>
        <v>0</v>
      </c>
    </row>
    <row r="1671" customHeight="1" spans="1:8">
      <c r="A1671" s="8">
        <f ca="1" t="shared" ref="A1671:A1675" si="127">COUNTA(OFFSET(A$1,0,0,ROW()-1,1))+1</f>
        <v>757</v>
      </c>
      <c r="B1671" s="129"/>
      <c r="C1671" s="228" t="s">
        <v>2104</v>
      </c>
      <c r="D1671" s="229" t="s">
        <v>2105</v>
      </c>
      <c r="E1671" s="138" t="s">
        <v>336</v>
      </c>
      <c r="F1671" s="166">
        <v>78</v>
      </c>
      <c r="G1671" s="68">
        <v>0</v>
      </c>
      <c r="H1671" s="25">
        <f t="shared" si="121"/>
        <v>0</v>
      </c>
    </row>
    <row r="1672" customHeight="1" spans="1:8">
      <c r="A1672" s="8">
        <f ca="1" t="shared" si="127"/>
        <v>758</v>
      </c>
      <c r="B1672" s="129"/>
      <c r="C1672" s="228" t="s">
        <v>2106</v>
      </c>
      <c r="D1672" s="229" t="s">
        <v>2107</v>
      </c>
      <c r="E1672" s="138" t="s">
        <v>336</v>
      </c>
      <c r="F1672" s="166">
        <v>13.8</v>
      </c>
      <c r="G1672" s="68">
        <v>0</v>
      </c>
      <c r="H1672" s="25">
        <f t="shared" ref="H1672:H1735" si="128">IFERROR(ROUND(G1672*F1672,0),0)</f>
        <v>0</v>
      </c>
    </row>
    <row r="1673" customHeight="1" spans="1:8">
      <c r="A1673" s="8">
        <f ca="1" t="shared" si="127"/>
        <v>759</v>
      </c>
      <c r="B1673" s="129"/>
      <c r="C1673" s="228" t="s">
        <v>2108</v>
      </c>
      <c r="D1673" s="229" t="s">
        <v>2109</v>
      </c>
      <c r="E1673" s="138" t="s">
        <v>336</v>
      </c>
      <c r="F1673" s="166">
        <v>64.2</v>
      </c>
      <c r="G1673" s="68">
        <v>0</v>
      </c>
      <c r="H1673" s="25">
        <f t="shared" si="128"/>
        <v>0</v>
      </c>
    </row>
    <row r="1674" customHeight="1" spans="1:8">
      <c r="A1674" s="8">
        <f ca="1" t="shared" si="127"/>
        <v>760</v>
      </c>
      <c r="B1674" s="129"/>
      <c r="C1674" s="228" t="s">
        <v>2110</v>
      </c>
      <c r="D1674" s="229" t="s">
        <v>2111</v>
      </c>
      <c r="E1674" s="138" t="s">
        <v>336</v>
      </c>
      <c r="F1674" s="166">
        <v>30</v>
      </c>
      <c r="G1674" s="68">
        <v>0</v>
      </c>
      <c r="H1674" s="25">
        <f t="shared" si="128"/>
        <v>0</v>
      </c>
    </row>
    <row r="1675" customHeight="1" spans="1:8">
      <c r="A1675" s="8">
        <f ca="1" t="shared" si="127"/>
        <v>761</v>
      </c>
      <c r="B1675" s="129"/>
      <c r="C1675" s="228" t="s">
        <v>2112</v>
      </c>
      <c r="D1675" s="229" t="s">
        <v>2113</v>
      </c>
      <c r="E1675" s="138" t="s">
        <v>336</v>
      </c>
      <c r="F1675" s="166">
        <v>4.2</v>
      </c>
      <c r="G1675" s="68">
        <v>0</v>
      </c>
      <c r="H1675" s="25">
        <f t="shared" si="128"/>
        <v>0</v>
      </c>
    </row>
    <row r="1676" customHeight="1" spans="1:8">
      <c r="B1676" s="129"/>
      <c r="C1676" s="228" t="s">
        <v>2114</v>
      </c>
      <c r="D1676" s="229" t="s">
        <v>2115</v>
      </c>
      <c r="E1676" s="138"/>
      <c r="F1676" s="166"/>
      <c r="G1676" s="68">
        <v>0</v>
      </c>
      <c r="H1676" s="25">
        <f t="shared" si="128"/>
        <v>0</v>
      </c>
    </row>
    <row r="1677" customHeight="1" spans="1:8">
      <c r="A1677" s="8">
        <f ca="1" t="shared" ref="A1677:A1681" si="129">COUNTA(OFFSET(A$1,0,0,ROW()-1,1))+1</f>
        <v>762</v>
      </c>
      <c r="B1677" s="129"/>
      <c r="C1677" s="228" t="s">
        <v>2116</v>
      </c>
      <c r="D1677" s="229" t="s">
        <v>2117</v>
      </c>
      <c r="E1677" s="138" t="s">
        <v>336</v>
      </c>
      <c r="F1677" s="166">
        <v>30</v>
      </c>
      <c r="G1677" s="68">
        <v>0</v>
      </c>
      <c r="H1677" s="25">
        <f t="shared" si="128"/>
        <v>0</v>
      </c>
    </row>
    <row r="1678" customHeight="1" spans="1:8">
      <c r="B1678" s="129"/>
      <c r="C1678" s="228" t="s">
        <v>841</v>
      </c>
      <c r="D1678" s="229" t="s">
        <v>842</v>
      </c>
      <c r="E1678" s="138"/>
      <c r="F1678" s="166"/>
      <c r="G1678" s="68">
        <v>0</v>
      </c>
      <c r="H1678" s="25">
        <f t="shared" si="128"/>
        <v>0</v>
      </c>
    </row>
    <row r="1679" customHeight="1" spans="1:8">
      <c r="A1679" s="8">
        <f ca="1" t="shared" si="129"/>
        <v>763</v>
      </c>
      <c r="B1679" s="129"/>
      <c r="C1679" s="228" t="s">
        <v>841</v>
      </c>
      <c r="D1679" s="229" t="s">
        <v>842</v>
      </c>
      <c r="E1679" s="138" t="s">
        <v>329</v>
      </c>
      <c r="F1679" s="166">
        <v>60</v>
      </c>
      <c r="G1679" s="68">
        <v>0</v>
      </c>
      <c r="H1679" s="25">
        <f t="shared" si="128"/>
        <v>0</v>
      </c>
    </row>
    <row r="1680" customHeight="1" spans="1:8">
      <c r="B1680" s="129"/>
      <c r="C1680" s="228" t="s">
        <v>843</v>
      </c>
      <c r="D1680" s="229" t="s">
        <v>844</v>
      </c>
      <c r="E1680" s="138"/>
      <c r="F1680" s="166"/>
      <c r="G1680" s="68">
        <v>0</v>
      </c>
      <c r="H1680" s="25">
        <f t="shared" si="128"/>
        <v>0</v>
      </c>
    </row>
    <row r="1681" customHeight="1" spans="1:8">
      <c r="A1681" s="8">
        <f ca="1" t="shared" si="129"/>
        <v>764</v>
      </c>
      <c r="B1681" s="129"/>
      <c r="C1681" s="228" t="s">
        <v>2122</v>
      </c>
      <c r="D1681" s="229" t="s">
        <v>956</v>
      </c>
      <c r="E1681" s="138" t="s">
        <v>464</v>
      </c>
      <c r="F1681" s="166">
        <v>6000</v>
      </c>
      <c r="G1681" s="68">
        <v>0</v>
      </c>
      <c r="H1681" s="25">
        <f t="shared" si="128"/>
        <v>0</v>
      </c>
    </row>
    <row r="1682" customHeight="1" spans="1:8">
      <c r="B1682" s="129"/>
      <c r="C1682" s="228" t="s">
        <v>2123</v>
      </c>
      <c r="D1682" s="229" t="s">
        <v>2124</v>
      </c>
      <c r="E1682" s="138"/>
      <c r="F1682" s="166"/>
      <c r="G1682" s="68">
        <v>0</v>
      </c>
      <c r="H1682" s="25">
        <f t="shared" si="128"/>
        <v>0</v>
      </c>
    </row>
    <row r="1683" customHeight="1" spans="1:8">
      <c r="A1683" s="8">
        <f ca="1" t="shared" ref="A1683:A1687" si="130">COUNTA(OFFSET(A$1,0,0,ROW()-1,1))+1</f>
        <v>765</v>
      </c>
      <c r="B1683" s="129"/>
      <c r="C1683" s="228" t="s">
        <v>2265</v>
      </c>
      <c r="D1683" s="229" t="s">
        <v>2126</v>
      </c>
      <c r="E1683" s="138" t="s">
        <v>329</v>
      </c>
      <c r="F1683" s="166">
        <v>120</v>
      </c>
      <c r="G1683" s="68">
        <v>0</v>
      </c>
      <c r="H1683" s="25">
        <f t="shared" si="128"/>
        <v>0</v>
      </c>
    </row>
    <row r="1684" customHeight="1" spans="1:8">
      <c r="A1684" s="8">
        <f ca="1" t="shared" si="130"/>
        <v>766</v>
      </c>
      <c r="B1684" s="129"/>
      <c r="C1684" s="228" t="s">
        <v>2127</v>
      </c>
      <c r="D1684" s="229" t="s">
        <v>2128</v>
      </c>
      <c r="E1684" s="138" t="s">
        <v>225</v>
      </c>
      <c r="F1684" s="166">
        <v>60</v>
      </c>
      <c r="G1684" s="68">
        <v>0</v>
      </c>
      <c r="H1684" s="25">
        <f t="shared" si="128"/>
        <v>0</v>
      </c>
    </row>
    <row r="1685" customHeight="1" spans="1:8">
      <c r="B1685" s="129"/>
      <c r="C1685" s="226" t="s">
        <v>2129</v>
      </c>
      <c r="D1685" s="227" t="s">
        <v>2130</v>
      </c>
      <c r="E1685" s="138"/>
      <c r="F1685" s="166"/>
      <c r="G1685" s="68">
        <v>0</v>
      </c>
      <c r="H1685" s="25">
        <f t="shared" si="128"/>
        <v>0</v>
      </c>
    </row>
    <row r="1686" customHeight="1" spans="1:8">
      <c r="A1686" s="8">
        <f ca="1" t="shared" si="130"/>
        <v>767</v>
      </c>
      <c r="B1686" s="129"/>
      <c r="C1686" s="228" t="s">
        <v>2131</v>
      </c>
      <c r="D1686" s="229" t="s">
        <v>2132</v>
      </c>
      <c r="E1686" s="138" t="s">
        <v>329</v>
      </c>
      <c r="F1686" s="166">
        <v>78.08</v>
      </c>
      <c r="G1686" s="68">
        <v>0</v>
      </c>
      <c r="H1686" s="25">
        <f t="shared" si="128"/>
        <v>0</v>
      </c>
    </row>
    <row r="1687" customHeight="1" spans="1:8">
      <c r="A1687" s="8">
        <f ca="1" t="shared" si="130"/>
        <v>768</v>
      </c>
      <c r="B1687" s="129"/>
      <c r="C1687" s="228" t="s">
        <v>2133</v>
      </c>
      <c r="D1687" s="229" t="s">
        <v>2134</v>
      </c>
      <c r="E1687" s="138" t="s">
        <v>225</v>
      </c>
      <c r="F1687" s="166">
        <v>60</v>
      </c>
      <c r="G1687" s="68">
        <v>0</v>
      </c>
      <c r="H1687" s="25">
        <f t="shared" si="128"/>
        <v>0</v>
      </c>
    </row>
    <row r="1688" customHeight="1" spans="1:8">
      <c r="B1688" s="129"/>
      <c r="C1688" s="228" t="s">
        <v>2135</v>
      </c>
      <c r="D1688" s="229" t="s">
        <v>2136</v>
      </c>
      <c r="E1688" s="138" t="s">
        <v>225</v>
      </c>
      <c r="F1688" s="166"/>
      <c r="G1688" s="68">
        <v>0</v>
      </c>
      <c r="H1688" s="25">
        <f t="shared" si="128"/>
        <v>0</v>
      </c>
    </row>
    <row r="1689" customHeight="1" spans="1:8">
      <c r="A1689" s="8">
        <f ca="1" t="shared" ref="A1689:A1692" si="131">COUNTA(OFFSET(A$1,0,0,ROW()-1,1))+1</f>
        <v>769</v>
      </c>
      <c r="B1689" s="129"/>
      <c r="C1689" s="228" t="s">
        <v>2137</v>
      </c>
      <c r="D1689" s="229" t="s">
        <v>2138</v>
      </c>
      <c r="E1689" s="138" t="s">
        <v>329</v>
      </c>
      <c r="F1689" s="166">
        <v>78.08</v>
      </c>
      <c r="G1689" s="68">
        <v>0</v>
      </c>
      <c r="H1689" s="25">
        <f t="shared" si="128"/>
        <v>0</v>
      </c>
    </row>
    <row r="1690" customHeight="1" spans="1:8">
      <c r="B1690" s="129"/>
      <c r="C1690" s="228" t="s">
        <v>2139</v>
      </c>
      <c r="D1690" s="229" t="s">
        <v>2140</v>
      </c>
      <c r="E1690" s="138"/>
      <c r="F1690" s="166"/>
      <c r="G1690" s="68">
        <v>0</v>
      </c>
      <c r="H1690" s="25">
        <f t="shared" si="128"/>
        <v>0</v>
      </c>
    </row>
    <row r="1691" customHeight="1" spans="1:8">
      <c r="A1691" s="8">
        <f ca="1" t="shared" si="131"/>
        <v>770</v>
      </c>
      <c r="B1691" s="129"/>
      <c r="C1691" s="228" t="s">
        <v>2143</v>
      </c>
      <c r="D1691" s="229" t="s">
        <v>2144</v>
      </c>
      <c r="E1691" s="138" t="s">
        <v>329</v>
      </c>
      <c r="F1691" s="166">
        <v>216</v>
      </c>
      <c r="G1691" s="68">
        <v>0</v>
      </c>
      <c r="H1691" s="25">
        <f t="shared" si="128"/>
        <v>0</v>
      </c>
    </row>
    <row r="1692" customHeight="1" spans="1:8">
      <c r="A1692" s="8">
        <f ca="1" t="shared" si="131"/>
        <v>771</v>
      </c>
      <c r="B1692" s="129"/>
      <c r="C1692" s="228" t="s">
        <v>2147</v>
      </c>
      <c r="D1692" s="229" t="s">
        <v>2148</v>
      </c>
      <c r="E1692" s="138" t="s">
        <v>329</v>
      </c>
      <c r="F1692" s="166">
        <v>216</v>
      </c>
      <c r="G1692" s="68">
        <v>0</v>
      </c>
      <c r="H1692" s="25">
        <f t="shared" si="128"/>
        <v>0</v>
      </c>
    </row>
    <row r="1693" customHeight="1" spans="1:8">
      <c r="B1693" s="129"/>
      <c r="C1693" s="228" t="s">
        <v>2149</v>
      </c>
      <c r="D1693" s="229" t="s">
        <v>2150</v>
      </c>
      <c r="E1693" s="138"/>
      <c r="F1693" s="166"/>
      <c r="G1693" s="68">
        <v>0</v>
      </c>
      <c r="H1693" s="25">
        <f t="shared" si="128"/>
        <v>0</v>
      </c>
    </row>
    <row r="1694" customHeight="1" spans="1:8">
      <c r="A1694" s="8">
        <f ca="1" t="shared" ref="A1694:A1700" si="132">COUNTA(OFFSET(A$1,0,0,ROW()-1,1))+1</f>
        <v>772</v>
      </c>
      <c r="B1694" s="129"/>
      <c r="C1694" s="228" t="s">
        <v>2151</v>
      </c>
      <c r="D1694" s="229" t="s">
        <v>2152</v>
      </c>
      <c r="E1694" s="138" t="s">
        <v>329</v>
      </c>
      <c r="F1694" s="166">
        <v>216</v>
      </c>
      <c r="G1694" s="68">
        <v>0</v>
      </c>
      <c r="H1694" s="25">
        <f t="shared" si="128"/>
        <v>0</v>
      </c>
    </row>
    <row r="1695" customHeight="1" spans="1:8">
      <c r="B1695" s="129"/>
      <c r="C1695" s="228" t="s">
        <v>2155</v>
      </c>
      <c r="D1695" s="229" t="s">
        <v>2156</v>
      </c>
      <c r="E1695" s="138"/>
      <c r="F1695" s="166"/>
      <c r="G1695" s="68">
        <v>0</v>
      </c>
      <c r="H1695" s="25">
        <f t="shared" si="128"/>
        <v>0</v>
      </c>
    </row>
    <row r="1696" customHeight="1" spans="1:8">
      <c r="A1696" s="8">
        <f ca="1" t="shared" si="132"/>
        <v>773</v>
      </c>
      <c r="B1696" s="129"/>
      <c r="C1696" s="228" t="s">
        <v>2157</v>
      </c>
      <c r="D1696" s="229" t="s">
        <v>2158</v>
      </c>
      <c r="E1696" s="138" t="s">
        <v>329</v>
      </c>
      <c r="F1696" s="166">
        <v>216</v>
      </c>
      <c r="G1696" s="68">
        <v>0</v>
      </c>
      <c r="H1696" s="25">
        <f t="shared" si="128"/>
        <v>0</v>
      </c>
    </row>
    <row r="1697" customHeight="1" spans="1:8">
      <c r="B1697" s="129"/>
      <c r="C1697" s="228" t="s">
        <v>2159</v>
      </c>
      <c r="D1697" s="229" t="s">
        <v>2160</v>
      </c>
      <c r="E1697" s="138"/>
      <c r="F1697" s="166"/>
      <c r="G1697" s="68">
        <v>0</v>
      </c>
      <c r="H1697" s="25">
        <f t="shared" si="128"/>
        <v>0</v>
      </c>
    </row>
    <row r="1698" customHeight="1" spans="1:8">
      <c r="A1698" s="8">
        <f ca="1" t="shared" si="132"/>
        <v>774</v>
      </c>
      <c r="B1698" s="129"/>
      <c r="C1698" s="228" t="s">
        <v>2159</v>
      </c>
      <c r="D1698" s="229" t="s">
        <v>2160</v>
      </c>
      <c r="E1698" s="138" t="s">
        <v>329</v>
      </c>
      <c r="F1698" s="166">
        <v>78.08</v>
      </c>
      <c r="G1698" s="68">
        <v>0</v>
      </c>
      <c r="H1698" s="25">
        <f t="shared" si="128"/>
        <v>0</v>
      </c>
    </row>
    <row r="1699" customHeight="1" spans="1:8">
      <c r="A1699" s="8">
        <f ca="1" t="shared" si="132"/>
        <v>775</v>
      </c>
      <c r="B1699" s="129"/>
      <c r="C1699" s="228" t="s">
        <v>2163</v>
      </c>
      <c r="D1699" s="229" t="s">
        <v>2164</v>
      </c>
      <c r="E1699" s="138" t="s">
        <v>225</v>
      </c>
      <c r="F1699" s="166">
        <v>24</v>
      </c>
      <c r="G1699" s="68">
        <v>0</v>
      </c>
      <c r="H1699" s="25">
        <f t="shared" si="128"/>
        <v>0</v>
      </c>
    </row>
    <row r="1700" customHeight="1" spans="1:8">
      <c r="A1700" s="8">
        <f ca="1" t="shared" si="132"/>
        <v>776</v>
      </c>
      <c r="B1700" s="129"/>
      <c r="C1700" s="228" t="s">
        <v>2165</v>
      </c>
      <c r="D1700" s="229" t="s">
        <v>2166</v>
      </c>
      <c r="E1700" s="138" t="s">
        <v>225</v>
      </c>
      <c r="F1700" s="166">
        <v>7.8</v>
      </c>
      <c r="G1700" s="68">
        <v>0</v>
      </c>
      <c r="H1700" s="25">
        <f t="shared" si="128"/>
        <v>0</v>
      </c>
    </row>
    <row r="1701" customHeight="1" spans="1:8">
      <c r="B1701" s="129"/>
      <c r="C1701" s="228" t="s">
        <v>2167</v>
      </c>
      <c r="D1701" s="229" t="s">
        <v>2168</v>
      </c>
      <c r="E1701" s="138"/>
      <c r="F1701" s="166"/>
      <c r="G1701" s="68">
        <v>0</v>
      </c>
      <c r="H1701" s="25">
        <f t="shared" si="128"/>
        <v>0</v>
      </c>
    </row>
    <row r="1702" customHeight="1" spans="1:8">
      <c r="A1702" s="8">
        <f ca="1" t="shared" ref="A1702:A1706" si="133">COUNTA(OFFSET(A$1,0,0,ROW()-1,1))+1</f>
        <v>777</v>
      </c>
      <c r="B1702" s="129"/>
      <c r="C1702" s="228" t="s">
        <v>2169</v>
      </c>
      <c r="D1702" s="234" t="s">
        <v>2170</v>
      </c>
      <c r="E1702" s="138" t="s">
        <v>238</v>
      </c>
      <c r="F1702" s="166">
        <v>4</v>
      </c>
      <c r="G1702" s="68">
        <v>0</v>
      </c>
      <c r="H1702" s="25">
        <f t="shared" si="128"/>
        <v>0</v>
      </c>
    </row>
    <row r="1703" customHeight="1" spans="1:8">
      <c r="A1703" s="8">
        <f ca="1" t="shared" si="133"/>
        <v>778</v>
      </c>
      <c r="B1703" s="129"/>
      <c r="C1703" s="228" t="s">
        <v>2171</v>
      </c>
      <c r="D1703" s="234" t="s">
        <v>2172</v>
      </c>
      <c r="E1703" s="138" t="s">
        <v>238</v>
      </c>
      <c r="F1703" s="166">
        <v>6</v>
      </c>
      <c r="G1703" s="68">
        <v>0</v>
      </c>
      <c r="H1703" s="25">
        <f t="shared" si="128"/>
        <v>0</v>
      </c>
    </row>
    <row r="1704" customHeight="1" spans="1:8">
      <c r="A1704" s="8">
        <f ca="1" t="shared" si="133"/>
        <v>779</v>
      </c>
      <c r="B1704" s="129"/>
      <c r="C1704" s="228" t="s">
        <v>2173</v>
      </c>
      <c r="D1704" s="234" t="s">
        <v>2173</v>
      </c>
      <c r="E1704" s="138" t="s">
        <v>238</v>
      </c>
      <c r="F1704" s="166">
        <v>8</v>
      </c>
      <c r="G1704" s="68">
        <v>0</v>
      </c>
      <c r="H1704" s="25">
        <f t="shared" si="128"/>
        <v>0</v>
      </c>
    </row>
    <row r="1705" customHeight="1" spans="1:8">
      <c r="A1705" s="8">
        <f ca="1" t="shared" si="133"/>
        <v>780</v>
      </c>
      <c r="B1705" s="129"/>
      <c r="C1705" s="228" t="s">
        <v>2174</v>
      </c>
      <c r="D1705" s="234" t="s">
        <v>2174</v>
      </c>
      <c r="E1705" s="138" t="s">
        <v>238</v>
      </c>
      <c r="F1705" s="166">
        <v>8</v>
      </c>
      <c r="G1705" s="68">
        <v>0</v>
      </c>
      <c r="H1705" s="25">
        <f t="shared" si="128"/>
        <v>0</v>
      </c>
    </row>
    <row r="1706" customHeight="1" spans="1:8">
      <c r="A1706" s="8">
        <f ca="1" t="shared" si="133"/>
        <v>781</v>
      </c>
      <c r="B1706" s="129"/>
      <c r="C1706" s="228" t="s">
        <v>2175</v>
      </c>
      <c r="D1706" s="234" t="s">
        <v>2176</v>
      </c>
      <c r="E1706" s="138" t="s">
        <v>238</v>
      </c>
      <c r="F1706" s="166">
        <v>10</v>
      </c>
      <c r="G1706" s="68">
        <v>0</v>
      </c>
      <c r="H1706" s="25">
        <f t="shared" si="128"/>
        <v>0</v>
      </c>
    </row>
    <row r="1707" customHeight="1" spans="1:8">
      <c r="B1707" s="129"/>
      <c r="C1707" s="228" t="s">
        <v>2177</v>
      </c>
      <c r="D1707" s="229" t="s">
        <v>2178</v>
      </c>
      <c r="E1707" s="138"/>
      <c r="F1707" s="166"/>
      <c r="G1707" s="68">
        <v>0</v>
      </c>
      <c r="H1707" s="25">
        <f t="shared" si="128"/>
        <v>0</v>
      </c>
    </row>
    <row r="1708" customHeight="1" spans="1:8">
      <c r="A1708" s="8">
        <f ca="1" t="shared" ref="A1708:A1713" si="134">COUNTA(OFFSET(A$1,0,0,ROW()-1,1))+1</f>
        <v>782</v>
      </c>
      <c r="B1708" s="129"/>
      <c r="C1708" s="228" t="s">
        <v>2179</v>
      </c>
      <c r="D1708" s="229" t="s">
        <v>2180</v>
      </c>
      <c r="E1708" s="138" t="s">
        <v>2181</v>
      </c>
      <c r="F1708" s="166">
        <v>12</v>
      </c>
      <c r="G1708" s="68">
        <v>0</v>
      </c>
      <c r="H1708" s="25">
        <f t="shared" si="128"/>
        <v>0</v>
      </c>
    </row>
    <row r="1709" customHeight="1" spans="1:8">
      <c r="A1709" s="8">
        <f ca="1" t="shared" si="134"/>
        <v>783</v>
      </c>
      <c r="B1709" s="129"/>
      <c r="C1709" s="228" t="s">
        <v>2182</v>
      </c>
      <c r="D1709" s="229" t="s">
        <v>2183</v>
      </c>
      <c r="E1709" s="138" t="s">
        <v>2181</v>
      </c>
      <c r="F1709" s="166">
        <v>12</v>
      </c>
      <c r="G1709" s="68">
        <v>0</v>
      </c>
      <c r="H1709" s="25">
        <f t="shared" si="128"/>
        <v>0</v>
      </c>
    </row>
    <row r="1710" customHeight="1" spans="1:8">
      <c r="A1710" s="8">
        <f ca="1" t="shared" si="134"/>
        <v>784</v>
      </c>
      <c r="B1710" s="129"/>
      <c r="C1710" s="228" t="s">
        <v>2266</v>
      </c>
      <c r="D1710" s="229" t="s">
        <v>2267</v>
      </c>
      <c r="E1710" s="138" t="s">
        <v>2181</v>
      </c>
      <c r="F1710" s="166">
        <v>6</v>
      </c>
      <c r="G1710" s="68">
        <v>0</v>
      </c>
      <c r="H1710" s="25">
        <f t="shared" si="128"/>
        <v>0</v>
      </c>
    </row>
    <row r="1711" customHeight="1" spans="1:8">
      <c r="A1711" s="8">
        <f ca="1" t="shared" si="134"/>
        <v>785</v>
      </c>
      <c r="B1711" s="129"/>
      <c r="C1711" s="228" t="s">
        <v>2268</v>
      </c>
      <c r="D1711" s="229" t="s">
        <v>2269</v>
      </c>
      <c r="E1711" s="138" t="s">
        <v>2181</v>
      </c>
      <c r="F1711" s="166">
        <v>6</v>
      </c>
      <c r="G1711" s="68">
        <v>0</v>
      </c>
      <c r="H1711" s="25">
        <f t="shared" si="128"/>
        <v>0</v>
      </c>
    </row>
    <row r="1712" customHeight="1" spans="1:8">
      <c r="A1712" s="8">
        <f ca="1" t="shared" si="134"/>
        <v>786</v>
      </c>
      <c r="B1712" s="129"/>
      <c r="C1712" s="228" t="s">
        <v>2270</v>
      </c>
      <c r="D1712" s="229" t="s">
        <v>2271</v>
      </c>
      <c r="E1712" s="138" t="s">
        <v>2181</v>
      </c>
      <c r="F1712" s="166">
        <v>12</v>
      </c>
      <c r="G1712" s="68">
        <v>0</v>
      </c>
      <c r="H1712" s="25">
        <f t="shared" si="128"/>
        <v>0</v>
      </c>
    </row>
    <row r="1713" customHeight="1" spans="1:8">
      <c r="A1713" s="8">
        <f ca="1" t="shared" si="134"/>
        <v>787</v>
      </c>
      <c r="B1713" s="129"/>
      <c r="C1713" s="228" t="s">
        <v>2184</v>
      </c>
      <c r="D1713" s="229" t="s">
        <v>2185</v>
      </c>
      <c r="E1713" s="138" t="s">
        <v>2181</v>
      </c>
      <c r="F1713" s="166">
        <v>12</v>
      </c>
      <c r="G1713" s="68">
        <v>0</v>
      </c>
      <c r="H1713" s="25">
        <f t="shared" si="128"/>
        <v>0</v>
      </c>
    </row>
    <row r="1714" customHeight="1" spans="1:8">
      <c r="B1714" s="129"/>
      <c r="C1714" s="228" t="s">
        <v>2272</v>
      </c>
      <c r="D1714" s="229" t="s">
        <v>2273</v>
      </c>
      <c r="E1714" s="138" t="s">
        <v>238</v>
      </c>
      <c r="F1714" s="166"/>
      <c r="G1714" s="68">
        <v>0</v>
      </c>
      <c r="H1714" s="25">
        <f t="shared" si="128"/>
        <v>0</v>
      </c>
    </row>
    <row r="1715" customHeight="1" spans="1:8">
      <c r="A1715" s="8">
        <f ca="1" t="shared" ref="A1715:A1726" si="135">COUNTA(OFFSET(A$1,0,0,ROW()-1,1))+1</f>
        <v>788</v>
      </c>
      <c r="B1715" s="129"/>
      <c r="C1715" s="228" t="s">
        <v>2186</v>
      </c>
      <c r="D1715" s="229" t="s">
        <v>2187</v>
      </c>
      <c r="E1715" s="138" t="s">
        <v>2181</v>
      </c>
      <c r="F1715" s="166">
        <v>12</v>
      </c>
      <c r="G1715" s="68">
        <v>0</v>
      </c>
      <c r="H1715" s="25">
        <f t="shared" si="128"/>
        <v>0</v>
      </c>
    </row>
    <row r="1716" customHeight="1" spans="1:8">
      <c r="A1716" s="8">
        <f ca="1" t="shared" si="135"/>
        <v>789</v>
      </c>
      <c r="B1716" s="129"/>
      <c r="C1716" s="228" t="s">
        <v>2188</v>
      </c>
      <c r="D1716" s="229" t="s">
        <v>2189</v>
      </c>
      <c r="E1716" s="138" t="s">
        <v>2181</v>
      </c>
      <c r="F1716" s="166">
        <v>12</v>
      </c>
      <c r="G1716" s="68">
        <v>0</v>
      </c>
      <c r="H1716" s="25">
        <f t="shared" si="128"/>
        <v>0</v>
      </c>
    </row>
    <row r="1717" customHeight="1" spans="1:8">
      <c r="A1717" s="8">
        <f ca="1" t="shared" si="135"/>
        <v>790</v>
      </c>
      <c r="B1717" s="129"/>
      <c r="C1717" s="228" t="s">
        <v>2190</v>
      </c>
      <c r="D1717" s="229" t="s">
        <v>2191</v>
      </c>
      <c r="E1717" s="138" t="s">
        <v>2181</v>
      </c>
      <c r="F1717" s="166">
        <v>12</v>
      </c>
      <c r="G1717" s="68">
        <v>0</v>
      </c>
      <c r="H1717" s="25">
        <f t="shared" si="128"/>
        <v>0</v>
      </c>
    </row>
    <row r="1718" customHeight="1" spans="1:8">
      <c r="A1718" s="8">
        <f ca="1" t="shared" si="135"/>
        <v>791</v>
      </c>
      <c r="B1718" s="129"/>
      <c r="C1718" s="228" t="s">
        <v>2192</v>
      </c>
      <c r="D1718" s="229" t="s">
        <v>2193</v>
      </c>
      <c r="E1718" s="138" t="s">
        <v>2181</v>
      </c>
      <c r="F1718" s="166">
        <v>12</v>
      </c>
      <c r="G1718" s="68">
        <v>0</v>
      </c>
      <c r="H1718" s="25">
        <f t="shared" si="128"/>
        <v>0</v>
      </c>
    </row>
    <row r="1719" customHeight="1" spans="1:8">
      <c r="A1719" s="8">
        <f ca="1" t="shared" si="135"/>
        <v>792</v>
      </c>
      <c r="B1719" s="129"/>
      <c r="C1719" s="228" t="s">
        <v>2194</v>
      </c>
      <c r="D1719" s="229" t="s">
        <v>2195</v>
      </c>
      <c r="E1719" s="138" t="s">
        <v>2181</v>
      </c>
      <c r="F1719" s="166">
        <v>8</v>
      </c>
      <c r="G1719" s="68">
        <v>0</v>
      </c>
      <c r="H1719" s="25">
        <f t="shared" si="128"/>
        <v>0</v>
      </c>
    </row>
    <row r="1720" customHeight="1" spans="1:8">
      <c r="A1720" s="8">
        <f ca="1" t="shared" si="135"/>
        <v>793</v>
      </c>
      <c r="B1720" s="129"/>
      <c r="C1720" s="228" t="s">
        <v>2274</v>
      </c>
      <c r="D1720" s="229" t="s">
        <v>2275</v>
      </c>
      <c r="E1720" s="138" t="s">
        <v>2181</v>
      </c>
      <c r="F1720" s="166">
        <f>2*2</f>
        <v>4</v>
      </c>
      <c r="G1720" s="68">
        <v>0</v>
      </c>
      <c r="H1720" s="25">
        <f t="shared" si="128"/>
        <v>0</v>
      </c>
    </row>
    <row r="1721" customHeight="1" spans="1:8">
      <c r="A1721" s="8">
        <f ca="1" t="shared" si="135"/>
        <v>794</v>
      </c>
      <c r="B1721" s="129"/>
      <c r="C1721" s="228" t="s">
        <v>2198</v>
      </c>
      <c r="D1721" s="229" t="s">
        <v>2199</v>
      </c>
      <c r="E1721" s="138" t="s">
        <v>2200</v>
      </c>
      <c r="F1721" s="166">
        <v>2</v>
      </c>
      <c r="G1721" s="68">
        <v>0</v>
      </c>
      <c r="H1721" s="25">
        <f t="shared" si="128"/>
        <v>0</v>
      </c>
    </row>
    <row r="1722" customHeight="1" spans="1:8">
      <c r="A1722" s="8">
        <f ca="1" t="shared" si="135"/>
        <v>795</v>
      </c>
      <c r="B1722" s="129"/>
      <c r="C1722" s="228" t="s">
        <v>2201</v>
      </c>
      <c r="D1722" s="229" t="s">
        <v>2202</v>
      </c>
      <c r="E1722" s="138" t="s">
        <v>2181</v>
      </c>
      <c r="F1722" s="166">
        <f>6*2</f>
        <v>12</v>
      </c>
      <c r="G1722" s="68">
        <v>0</v>
      </c>
      <c r="H1722" s="25">
        <f t="shared" si="128"/>
        <v>0</v>
      </c>
    </row>
    <row r="1723" customHeight="1" spans="1:8">
      <c r="A1723" s="8">
        <f ca="1" t="shared" si="135"/>
        <v>796</v>
      </c>
      <c r="B1723" s="129"/>
      <c r="C1723" s="228" t="s">
        <v>2203</v>
      </c>
      <c r="D1723" s="229" t="s">
        <v>2204</v>
      </c>
      <c r="E1723" s="138" t="s">
        <v>2181</v>
      </c>
      <c r="F1723" s="166">
        <f>6*2</f>
        <v>12</v>
      </c>
      <c r="G1723" s="68">
        <v>0</v>
      </c>
      <c r="H1723" s="25">
        <f t="shared" si="128"/>
        <v>0</v>
      </c>
    </row>
    <row r="1724" customHeight="1" spans="1:8">
      <c r="A1724" s="8">
        <f ca="1" t="shared" si="135"/>
        <v>797</v>
      </c>
      <c r="B1724" s="129"/>
      <c r="C1724" s="228" t="s">
        <v>2209</v>
      </c>
      <c r="D1724" s="229" t="s">
        <v>2210</v>
      </c>
      <c r="E1724" s="138" t="s">
        <v>510</v>
      </c>
      <c r="F1724" s="166">
        <v>2</v>
      </c>
      <c r="G1724" s="68">
        <v>0</v>
      </c>
      <c r="H1724" s="25">
        <f t="shared" si="128"/>
        <v>0</v>
      </c>
    </row>
    <row r="1725" customHeight="1" spans="1:8">
      <c r="A1725" s="8">
        <f ca="1" t="shared" si="135"/>
        <v>798</v>
      </c>
      <c r="B1725" s="129"/>
      <c r="C1725" s="228" t="s">
        <v>2213</v>
      </c>
      <c r="D1725" s="229" t="s">
        <v>2214</v>
      </c>
      <c r="E1725" s="138" t="s">
        <v>2200</v>
      </c>
      <c r="F1725" s="166">
        <v>2</v>
      </c>
      <c r="G1725" s="68">
        <v>0</v>
      </c>
      <c r="H1725" s="25">
        <f t="shared" si="128"/>
        <v>0</v>
      </c>
    </row>
    <row r="1726" customHeight="1" spans="1:8">
      <c r="A1726" s="8">
        <f ca="1" t="shared" si="135"/>
        <v>799</v>
      </c>
      <c r="B1726" s="129"/>
      <c r="C1726" s="228" t="s">
        <v>2215</v>
      </c>
      <c r="D1726" s="229" t="s">
        <v>2216</v>
      </c>
      <c r="E1726" s="138" t="s">
        <v>2200</v>
      </c>
      <c r="F1726" s="166">
        <v>2</v>
      </c>
      <c r="G1726" s="68">
        <v>0</v>
      </c>
      <c r="H1726" s="25">
        <f t="shared" si="128"/>
        <v>0</v>
      </c>
    </row>
    <row r="1727" customHeight="1" spans="1:8">
      <c r="B1727" s="129"/>
      <c r="C1727" s="228" t="s">
        <v>2221</v>
      </c>
      <c r="D1727" s="229" t="s">
        <v>2222</v>
      </c>
      <c r="E1727" s="138"/>
      <c r="F1727" s="166"/>
      <c r="G1727" s="68">
        <v>0</v>
      </c>
      <c r="H1727" s="25">
        <f t="shared" si="128"/>
        <v>0</v>
      </c>
    </row>
    <row r="1728" customHeight="1" spans="1:8">
      <c r="B1728" s="129"/>
      <c r="C1728" s="228" t="s">
        <v>2276</v>
      </c>
      <c r="D1728" s="229" t="s">
        <v>2277</v>
      </c>
      <c r="E1728" s="138" t="s">
        <v>238</v>
      </c>
      <c r="F1728" s="166"/>
      <c r="G1728" s="68">
        <v>0</v>
      </c>
      <c r="H1728" s="25">
        <f t="shared" si="128"/>
        <v>0</v>
      </c>
    </row>
    <row r="1729" customHeight="1" spans="1:8">
      <c r="B1729" s="129"/>
      <c r="C1729" s="228" t="s">
        <v>2278</v>
      </c>
      <c r="D1729" s="229" t="s">
        <v>2279</v>
      </c>
      <c r="E1729" s="138" t="s">
        <v>238</v>
      </c>
      <c r="F1729" s="166"/>
      <c r="G1729" s="68">
        <v>0</v>
      </c>
      <c r="H1729" s="25">
        <f t="shared" si="128"/>
        <v>0</v>
      </c>
    </row>
    <row r="1730" customHeight="1" spans="1:8">
      <c r="B1730" s="129"/>
      <c r="C1730" s="228" t="s">
        <v>2237</v>
      </c>
      <c r="D1730" s="229" t="s">
        <v>2124</v>
      </c>
      <c r="E1730" s="138"/>
      <c r="F1730" s="166"/>
      <c r="G1730" s="68">
        <v>0</v>
      </c>
      <c r="H1730" s="25">
        <f t="shared" si="128"/>
        <v>0</v>
      </c>
    </row>
    <row r="1731" customHeight="1" spans="1:8">
      <c r="B1731" s="129"/>
      <c r="C1731" s="228" t="s">
        <v>2241</v>
      </c>
      <c r="D1731" s="229" t="s">
        <v>2242</v>
      </c>
      <c r="E1731" s="138" t="s">
        <v>225</v>
      </c>
      <c r="F1731" s="166"/>
      <c r="G1731" s="68">
        <v>0</v>
      </c>
      <c r="H1731" s="25">
        <f t="shared" si="128"/>
        <v>0</v>
      </c>
    </row>
    <row r="1732" customHeight="1" spans="1:8">
      <c r="B1732" s="129"/>
      <c r="C1732" s="228" t="s">
        <v>2245</v>
      </c>
      <c r="D1732" s="229" t="s">
        <v>2246</v>
      </c>
      <c r="E1732" s="138" t="s">
        <v>225</v>
      </c>
      <c r="F1732" s="166"/>
      <c r="G1732" s="68">
        <v>0</v>
      </c>
      <c r="H1732" s="25">
        <f t="shared" si="128"/>
        <v>0</v>
      </c>
    </row>
    <row r="1733" customHeight="1" spans="1:8">
      <c r="A1733" s="8">
        <f ca="1" t="shared" ref="A1733:A1740" si="136">COUNTA(OFFSET(A$1,0,0,ROW()-1,1))+1</f>
        <v>800</v>
      </c>
      <c r="B1733" s="84" t="s">
        <v>2280</v>
      </c>
      <c r="C1733" s="89" t="s">
        <v>2281</v>
      </c>
      <c r="D1733" s="90" t="s">
        <v>2282</v>
      </c>
      <c r="E1733" s="86" t="s">
        <v>238</v>
      </c>
      <c r="F1733" s="107">
        <v>2</v>
      </c>
      <c r="G1733" s="68">
        <v>0</v>
      </c>
      <c r="H1733" s="25">
        <f t="shared" si="128"/>
        <v>0</v>
      </c>
    </row>
    <row r="1734" customHeight="1" spans="1:8">
      <c r="B1734" s="129"/>
      <c r="C1734" s="226" t="s">
        <v>2098</v>
      </c>
      <c r="D1734" s="227" t="s">
        <v>2099</v>
      </c>
      <c r="E1734" s="138"/>
      <c r="F1734" s="166"/>
      <c r="G1734" s="68">
        <v>0</v>
      </c>
      <c r="H1734" s="25">
        <f t="shared" si="128"/>
        <v>0</v>
      </c>
    </row>
    <row r="1735" customHeight="1" spans="1:8">
      <c r="B1735" s="129"/>
      <c r="C1735" s="228" t="s">
        <v>2100</v>
      </c>
      <c r="D1735" s="229" t="s">
        <v>2101</v>
      </c>
      <c r="E1735" s="138"/>
      <c r="F1735" s="166"/>
      <c r="G1735" s="68">
        <v>0</v>
      </c>
      <c r="H1735" s="25">
        <f t="shared" si="128"/>
        <v>0</v>
      </c>
    </row>
    <row r="1736" customHeight="1" spans="1:8">
      <c r="A1736" s="8">
        <f ca="1" t="shared" si="136"/>
        <v>801</v>
      </c>
      <c r="B1736" s="129"/>
      <c r="C1736" s="228" t="s">
        <v>2104</v>
      </c>
      <c r="D1736" s="229" t="s">
        <v>2105</v>
      </c>
      <c r="E1736" s="138" t="s">
        <v>336</v>
      </c>
      <c r="F1736" s="166">
        <v>78</v>
      </c>
      <c r="G1736" s="68">
        <v>0</v>
      </c>
      <c r="H1736" s="25">
        <f t="shared" ref="H1736:H1799" si="137">IFERROR(ROUND(G1736*F1736,0),0)</f>
        <v>0</v>
      </c>
    </row>
    <row r="1737" customHeight="1" spans="1:8">
      <c r="A1737" s="8">
        <f ca="1" t="shared" si="136"/>
        <v>802</v>
      </c>
      <c r="B1737" s="129"/>
      <c r="C1737" s="228" t="s">
        <v>2106</v>
      </c>
      <c r="D1737" s="229" t="s">
        <v>2107</v>
      </c>
      <c r="E1737" s="138" t="s">
        <v>336</v>
      </c>
      <c r="F1737" s="166">
        <v>13.8</v>
      </c>
      <c r="G1737" s="68">
        <v>0</v>
      </c>
      <c r="H1737" s="25">
        <f t="shared" si="137"/>
        <v>0</v>
      </c>
    </row>
    <row r="1738" customHeight="1" spans="1:8">
      <c r="A1738" s="8">
        <f ca="1" t="shared" si="136"/>
        <v>803</v>
      </c>
      <c r="B1738" s="129"/>
      <c r="C1738" s="228" t="s">
        <v>2108</v>
      </c>
      <c r="D1738" s="229" t="s">
        <v>2109</v>
      </c>
      <c r="E1738" s="138" t="s">
        <v>336</v>
      </c>
      <c r="F1738" s="166">
        <v>64.2</v>
      </c>
      <c r="G1738" s="68">
        <v>0</v>
      </c>
      <c r="H1738" s="25">
        <f t="shared" si="137"/>
        <v>0</v>
      </c>
    </row>
    <row r="1739" customHeight="1" spans="1:8">
      <c r="A1739" s="8">
        <f ca="1" t="shared" si="136"/>
        <v>804</v>
      </c>
      <c r="B1739" s="129"/>
      <c r="C1739" s="228" t="s">
        <v>2110</v>
      </c>
      <c r="D1739" s="229" t="s">
        <v>2111</v>
      </c>
      <c r="E1739" s="138" t="s">
        <v>336</v>
      </c>
      <c r="F1739" s="166">
        <v>30</v>
      </c>
      <c r="G1739" s="68">
        <v>0</v>
      </c>
      <c r="H1739" s="25">
        <f t="shared" si="137"/>
        <v>0</v>
      </c>
    </row>
    <row r="1740" customHeight="1" spans="1:8">
      <c r="A1740" s="8">
        <f ca="1" t="shared" si="136"/>
        <v>805</v>
      </c>
      <c r="B1740" s="129"/>
      <c r="C1740" s="228" t="s">
        <v>2112</v>
      </c>
      <c r="D1740" s="229" t="s">
        <v>2113</v>
      </c>
      <c r="E1740" s="138" t="s">
        <v>336</v>
      </c>
      <c r="F1740" s="166">
        <v>4.2</v>
      </c>
      <c r="G1740" s="68">
        <v>0</v>
      </c>
      <c r="H1740" s="25">
        <f t="shared" si="137"/>
        <v>0</v>
      </c>
    </row>
    <row r="1741" customHeight="1" spans="1:8">
      <c r="B1741" s="129"/>
      <c r="C1741" s="228" t="s">
        <v>2114</v>
      </c>
      <c r="D1741" s="229" t="s">
        <v>2115</v>
      </c>
      <c r="E1741" s="138"/>
      <c r="F1741" s="166"/>
      <c r="G1741" s="68">
        <v>0</v>
      </c>
      <c r="H1741" s="25">
        <f t="shared" si="137"/>
        <v>0</v>
      </c>
    </row>
    <row r="1742" customHeight="1" spans="1:8">
      <c r="A1742" s="8">
        <f ca="1" t="shared" ref="A1742:A1746" si="138">COUNTA(OFFSET(A$1,0,0,ROW()-1,1))+1</f>
        <v>806</v>
      </c>
      <c r="B1742" s="129"/>
      <c r="C1742" s="228" t="s">
        <v>2116</v>
      </c>
      <c r="D1742" s="229" t="s">
        <v>2117</v>
      </c>
      <c r="E1742" s="138" t="s">
        <v>336</v>
      </c>
      <c r="F1742" s="166">
        <v>30</v>
      </c>
      <c r="G1742" s="68">
        <v>0</v>
      </c>
      <c r="H1742" s="25">
        <f t="shared" si="137"/>
        <v>0</v>
      </c>
    </row>
    <row r="1743" customHeight="1" spans="1:8">
      <c r="B1743" s="129"/>
      <c r="C1743" s="228" t="s">
        <v>841</v>
      </c>
      <c r="D1743" s="229" t="s">
        <v>842</v>
      </c>
      <c r="E1743" s="138"/>
      <c r="F1743" s="166"/>
      <c r="G1743" s="68">
        <v>0</v>
      </c>
      <c r="H1743" s="25">
        <f t="shared" si="137"/>
        <v>0</v>
      </c>
    </row>
    <row r="1744" customHeight="1" spans="1:8">
      <c r="A1744" s="8">
        <f ca="1" t="shared" si="138"/>
        <v>807</v>
      </c>
      <c r="B1744" s="129"/>
      <c r="C1744" s="228" t="s">
        <v>841</v>
      </c>
      <c r="D1744" s="229" t="s">
        <v>842</v>
      </c>
      <c r="E1744" s="138" t="s">
        <v>329</v>
      </c>
      <c r="F1744" s="166">
        <v>60</v>
      </c>
      <c r="G1744" s="68">
        <v>0</v>
      </c>
      <c r="H1744" s="25">
        <f t="shared" si="137"/>
        <v>0</v>
      </c>
    </row>
    <row r="1745" customHeight="1" spans="1:8">
      <c r="B1745" s="129"/>
      <c r="C1745" s="228" t="s">
        <v>843</v>
      </c>
      <c r="D1745" s="229" t="s">
        <v>844</v>
      </c>
      <c r="E1745" s="138"/>
      <c r="F1745" s="166"/>
      <c r="G1745" s="68">
        <v>0</v>
      </c>
      <c r="H1745" s="25">
        <f t="shared" si="137"/>
        <v>0</v>
      </c>
    </row>
    <row r="1746" customHeight="1" spans="1:8">
      <c r="A1746" s="8">
        <f ca="1" t="shared" si="138"/>
        <v>808</v>
      </c>
      <c r="B1746" s="129"/>
      <c r="C1746" s="228" t="s">
        <v>2122</v>
      </c>
      <c r="D1746" s="229" t="s">
        <v>956</v>
      </c>
      <c r="E1746" s="138" t="s">
        <v>464</v>
      </c>
      <c r="F1746" s="166">
        <v>6000</v>
      </c>
      <c r="G1746" s="68">
        <v>0</v>
      </c>
      <c r="H1746" s="25">
        <f t="shared" si="137"/>
        <v>0</v>
      </c>
    </row>
    <row r="1747" customHeight="1" spans="1:8">
      <c r="B1747" s="129"/>
      <c r="C1747" s="228" t="s">
        <v>2123</v>
      </c>
      <c r="D1747" s="229" t="s">
        <v>2124</v>
      </c>
      <c r="E1747" s="138"/>
      <c r="F1747" s="166"/>
      <c r="G1747" s="68">
        <v>0</v>
      </c>
      <c r="H1747" s="25">
        <f t="shared" si="137"/>
        <v>0</v>
      </c>
    </row>
    <row r="1748" customHeight="1" spans="1:8">
      <c r="A1748" s="8">
        <f ca="1" t="shared" ref="A1748:A1751" si="139">COUNTA(OFFSET(A$1,0,0,ROW()-1,1))+1</f>
        <v>809</v>
      </c>
      <c r="B1748" s="129"/>
      <c r="C1748" s="228" t="s">
        <v>2265</v>
      </c>
      <c r="D1748" s="229" t="s">
        <v>2126</v>
      </c>
      <c r="E1748" s="138" t="s">
        <v>329</v>
      </c>
      <c r="F1748" s="166">
        <v>120</v>
      </c>
      <c r="G1748" s="68">
        <v>0</v>
      </c>
      <c r="H1748" s="25">
        <f t="shared" si="137"/>
        <v>0</v>
      </c>
    </row>
    <row r="1749" customHeight="1" spans="1:8">
      <c r="A1749" s="8">
        <f ca="1" t="shared" si="139"/>
        <v>810</v>
      </c>
      <c r="B1749" s="129"/>
      <c r="C1749" s="228" t="s">
        <v>2283</v>
      </c>
      <c r="D1749" s="229" t="s">
        <v>2284</v>
      </c>
      <c r="E1749" s="138" t="s">
        <v>238</v>
      </c>
      <c r="F1749" s="166">
        <v>2</v>
      </c>
      <c r="G1749" s="68">
        <v>0</v>
      </c>
      <c r="H1749" s="25">
        <f t="shared" si="137"/>
        <v>0</v>
      </c>
    </row>
    <row r="1750" customHeight="1" spans="1:8">
      <c r="B1750" s="129"/>
      <c r="C1750" s="226" t="s">
        <v>2129</v>
      </c>
      <c r="D1750" s="227" t="s">
        <v>2130</v>
      </c>
      <c r="E1750" s="138"/>
      <c r="F1750" s="166"/>
      <c r="G1750" s="68">
        <v>0</v>
      </c>
      <c r="H1750" s="25">
        <f t="shared" si="137"/>
        <v>0</v>
      </c>
    </row>
    <row r="1751" customHeight="1" spans="1:8">
      <c r="A1751" s="8">
        <f ca="1" t="shared" si="139"/>
        <v>811</v>
      </c>
      <c r="B1751" s="129"/>
      <c r="C1751" s="228" t="s">
        <v>2285</v>
      </c>
      <c r="D1751" s="229" t="s">
        <v>2286</v>
      </c>
      <c r="E1751" s="138" t="s">
        <v>329</v>
      </c>
      <c r="F1751" s="166">
        <v>78.08</v>
      </c>
      <c r="G1751" s="68">
        <v>0</v>
      </c>
      <c r="H1751" s="25">
        <f t="shared" si="137"/>
        <v>0</v>
      </c>
    </row>
    <row r="1752" customHeight="1" spans="1:8">
      <c r="B1752" s="129"/>
      <c r="C1752" s="228" t="s">
        <v>2237</v>
      </c>
      <c r="D1752" s="229" t="s">
        <v>2124</v>
      </c>
      <c r="E1752" s="138"/>
      <c r="F1752" s="166"/>
      <c r="G1752" s="68">
        <v>0</v>
      </c>
      <c r="H1752" s="25">
        <f t="shared" si="137"/>
        <v>0</v>
      </c>
    </row>
    <row r="1753" customHeight="1" spans="1:8">
      <c r="A1753" s="8">
        <f ca="1" t="shared" ref="A1753:A1761" si="140">COUNTA(OFFSET(A$1,0,0,ROW()-1,1))+1</f>
        <v>812</v>
      </c>
      <c r="B1753" s="129"/>
      <c r="C1753" s="228" t="s">
        <v>2201</v>
      </c>
      <c r="D1753" s="229" t="s">
        <v>2202</v>
      </c>
      <c r="E1753" s="138" t="s">
        <v>2181</v>
      </c>
      <c r="F1753" s="166">
        <v>8</v>
      </c>
      <c r="G1753" s="68">
        <v>0</v>
      </c>
      <c r="H1753" s="25">
        <f t="shared" si="137"/>
        <v>0</v>
      </c>
    </row>
    <row r="1754" customHeight="1" spans="1:8">
      <c r="A1754" s="8">
        <f ca="1" t="shared" si="140"/>
        <v>813</v>
      </c>
      <c r="B1754" s="84"/>
      <c r="C1754" s="228" t="s">
        <v>2203</v>
      </c>
      <c r="D1754" s="229" t="s">
        <v>2204</v>
      </c>
      <c r="E1754" s="138" t="s">
        <v>2181</v>
      </c>
      <c r="F1754" s="166">
        <v>6</v>
      </c>
      <c r="G1754" s="68">
        <v>0</v>
      </c>
      <c r="H1754" s="25">
        <f t="shared" si="137"/>
        <v>0</v>
      </c>
    </row>
    <row r="1755" customHeight="1" spans="1:8">
      <c r="A1755" s="8">
        <f ca="1" t="shared" si="140"/>
        <v>814</v>
      </c>
      <c r="B1755" s="84"/>
      <c r="C1755" s="228" t="s">
        <v>2209</v>
      </c>
      <c r="D1755" s="229" t="s">
        <v>2210</v>
      </c>
      <c r="E1755" s="138" t="s">
        <v>510</v>
      </c>
      <c r="F1755" s="166">
        <v>2</v>
      </c>
      <c r="G1755" s="68">
        <v>0</v>
      </c>
      <c r="H1755" s="25">
        <f t="shared" si="137"/>
        <v>0</v>
      </c>
    </row>
    <row r="1756" customHeight="1" spans="1:8">
      <c r="A1756" s="8">
        <f ca="1" t="shared" si="140"/>
        <v>815</v>
      </c>
      <c r="B1756" s="84"/>
      <c r="C1756" s="228" t="s">
        <v>2213</v>
      </c>
      <c r="D1756" s="229" t="s">
        <v>2214</v>
      </c>
      <c r="E1756" s="138" t="s">
        <v>2200</v>
      </c>
      <c r="F1756" s="166">
        <v>2</v>
      </c>
      <c r="G1756" s="68">
        <v>0</v>
      </c>
      <c r="H1756" s="25">
        <f t="shared" si="137"/>
        <v>0</v>
      </c>
    </row>
    <row r="1757" customHeight="1" spans="1:8">
      <c r="A1757" s="8">
        <f ca="1" t="shared" si="140"/>
        <v>816</v>
      </c>
      <c r="B1757" s="84"/>
      <c r="C1757" s="228" t="s">
        <v>2215</v>
      </c>
      <c r="D1757" s="229" t="s">
        <v>2216</v>
      </c>
      <c r="E1757" s="138" t="s">
        <v>2200</v>
      </c>
      <c r="F1757" s="166">
        <v>2</v>
      </c>
      <c r="G1757" s="68">
        <v>0</v>
      </c>
      <c r="H1757" s="25">
        <f t="shared" si="137"/>
        <v>0</v>
      </c>
    </row>
    <row r="1758" customHeight="1" spans="1:8">
      <c r="A1758" s="8">
        <f ca="1" t="shared" si="140"/>
        <v>817</v>
      </c>
      <c r="B1758" s="84"/>
      <c r="C1758" s="228" t="s">
        <v>2287</v>
      </c>
      <c r="D1758" s="229" t="s">
        <v>2088</v>
      </c>
      <c r="E1758" s="138" t="s">
        <v>2181</v>
      </c>
      <c r="F1758" s="166">
        <v>4</v>
      </c>
      <c r="G1758" s="68">
        <v>0</v>
      </c>
      <c r="H1758" s="25">
        <f t="shared" si="137"/>
        <v>0</v>
      </c>
    </row>
    <row r="1759" customHeight="1" spans="1:8">
      <c r="A1759" s="8">
        <f ca="1" t="shared" si="140"/>
        <v>818</v>
      </c>
      <c r="B1759" s="84"/>
      <c r="C1759" s="228" t="s">
        <v>2288</v>
      </c>
      <c r="D1759" s="229" t="s">
        <v>2289</v>
      </c>
      <c r="E1759" s="138" t="s">
        <v>510</v>
      </c>
      <c r="F1759" s="166">
        <v>2</v>
      </c>
      <c r="G1759" s="68">
        <v>0</v>
      </c>
      <c r="H1759" s="25">
        <f t="shared" si="137"/>
        <v>0</v>
      </c>
    </row>
    <row r="1760" customHeight="1" spans="1:8">
      <c r="A1760" s="8">
        <f ca="1" t="shared" si="140"/>
        <v>819</v>
      </c>
      <c r="B1760" s="84"/>
      <c r="C1760" s="228" t="s">
        <v>2217</v>
      </c>
      <c r="D1760" s="229" t="s">
        <v>2218</v>
      </c>
      <c r="E1760" s="138" t="s">
        <v>510</v>
      </c>
      <c r="F1760" s="166">
        <v>2</v>
      </c>
      <c r="G1760" s="68">
        <v>0</v>
      </c>
      <c r="H1760" s="25">
        <f t="shared" si="137"/>
        <v>0</v>
      </c>
    </row>
    <row r="1761" customHeight="1" spans="1:8">
      <c r="A1761" s="8">
        <f ca="1" t="shared" si="140"/>
        <v>820</v>
      </c>
      <c r="B1761" s="84" t="s">
        <v>2290</v>
      </c>
      <c r="C1761" s="89" t="s">
        <v>2291</v>
      </c>
      <c r="D1761" s="90" t="s">
        <v>2292</v>
      </c>
      <c r="E1761" s="86" t="s">
        <v>238</v>
      </c>
      <c r="F1761" s="107">
        <v>6</v>
      </c>
      <c r="G1761" s="68">
        <v>3471.1212</v>
      </c>
      <c r="H1761" s="25">
        <f t="shared" si="137"/>
        <v>20827</v>
      </c>
    </row>
    <row r="1762" customHeight="1" spans="1:8">
      <c r="B1762" s="84"/>
      <c r="C1762" s="226" t="s">
        <v>2098</v>
      </c>
      <c r="D1762" s="227" t="s">
        <v>2099</v>
      </c>
      <c r="E1762" s="86"/>
      <c r="F1762" s="107"/>
      <c r="G1762" s="68">
        <v>0</v>
      </c>
      <c r="H1762" s="25">
        <f t="shared" si="137"/>
        <v>0</v>
      </c>
    </row>
    <row r="1763" customHeight="1" spans="1:8">
      <c r="A1763" s="8">
        <f ca="1" t="shared" ref="A1763:A1765" si="141">COUNTA(OFFSET(A$1,0,0,ROW()-1,1))+1</f>
        <v>821</v>
      </c>
      <c r="B1763" s="129"/>
      <c r="C1763" s="228" t="s">
        <v>2293</v>
      </c>
      <c r="D1763" s="229" t="s">
        <v>2294</v>
      </c>
      <c r="E1763" s="138" t="s">
        <v>464</v>
      </c>
      <c r="F1763" s="166">
        <v>4217.16</v>
      </c>
      <c r="G1763" s="68">
        <v>0</v>
      </c>
      <c r="H1763" s="25">
        <f t="shared" si="137"/>
        <v>0</v>
      </c>
    </row>
    <row r="1764" customHeight="1" spans="1:8">
      <c r="A1764" s="8">
        <f ca="1" t="shared" si="141"/>
        <v>822</v>
      </c>
      <c r="B1764" s="129"/>
      <c r="C1764" s="228" t="s">
        <v>2295</v>
      </c>
      <c r="D1764" s="229" t="s">
        <v>2296</v>
      </c>
      <c r="E1764" s="138" t="s">
        <v>238</v>
      </c>
      <c r="F1764" s="166">
        <v>48</v>
      </c>
      <c r="G1764" s="68">
        <v>0</v>
      </c>
      <c r="H1764" s="25">
        <f t="shared" si="137"/>
        <v>0</v>
      </c>
    </row>
    <row r="1765" customHeight="1" spans="1:8">
      <c r="A1765" s="8">
        <f ca="1" t="shared" si="141"/>
        <v>823</v>
      </c>
      <c r="B1765" s="84"/>
      <c r="C1765" s="228" t="s">
        <v>2297</v>
      </c>
      <c r="D1765" s="229" t="s">
        <v>2298</v>
      </c>
      <c r="E1765" s="138" t="s">
        <v>329</v>
      </c>
      <c r="F1765" s="166">
        <v>63.2574</v>
      </c>
      <c r="G1765" s="68">
        <v>0</v>
      </c>
      <c r="H1765" s="25">
        <f t="shared" si="137"/>
        <v>0</v>
      </c>
    </row>
    <row r="1766" customHeight="1" spans="1:8">
      <c r="B1766" s="84"/>
      <c r="C1766" s="226" t="s">
        <v>2129</v>
      </c>
      <c r="D1766" s="227" t="s">
        <v>2130</v>
      </c>
      <c r="E1766" s="86"/>
      <c r="F1766" s="107"/>
      <c r="G1766" s="68">
        <v>0</v>
      </c>
      <c r="H1766" s="25">
        <f t="shared" si="137"/>
        <v>0</v>
      </c>
    </row>
    <row r="1767" customHeight="1" spans="1:8">
      <c r="A1767" s="8">
        <f ca="1" t="shared" ref="A1767:A1770" si="142">COUNTA(OFFSET(A$1,0,0,ROW()-1,1))+1</f>
        <v>824</v>
      </c>
      <c r="B1767" s="84"/>
      <c r="C1767" s="228" t="s">
        <v>2131</v>
      </c>
      <c r="D1767" s="229" t="s">
        <v>2132</v>
      </c>
      <c r="E1767" s="138" t="s">
        <v>329</v>
      </c>
      <c r="F1767" s="166">
        <v>17.34</v>
      </c>
      <c r="G1767" s="68">
        <v>0</v>
      </c>
      <c r="H1767" s="25">
        <f t="shared" si="137"/>
        <v>0</v>
      </c>
    </row>
    <row r="1768" customHeight="1" spans="1:8">
      <c r="A1768" s="8">
        <f ca="1" t="shared" si="142"/>
        <v>825</v>
      </c>
      <c r="B1768" s="84"/>
      <c r="C1768" s="228" t="s">
        <v>2137</v>
      </c>
      <c r="D1768" s="229" t="s">
        <v>2138</v>
      </c>
      <c r="E1768" s="138" t="s">
        <v>329</v>
      </c>
      <c r="F1768" s="166">
        <v>17.34</v>
      </c>
      <c r="G1768" s="68">
        <v>0</v>
      </c>
      <c r="H1768" s="25">
        <f t="shared" si="137"/>
        <v>0</v>
      </c>
    </row>
    <row r="1769" customHeight="1" spans="1:8">
      <c r="A1769" s="8">
        <f ca="1" t="shared" si="142"/>
        <v>826</v>
      </c>
      <c r="B1769" s="84"/>
      <c r="C1769" s="228" t="s">
        <v>2139</v>
      </c>
      <c r="D1769" s="229" t="s">
        <v>2140</v>
      </c>
      <c r="E1769" s="138" t="s">
        <v>329</v>
      </c>
      <c r="F1769" s="166">
        <v>150</v>
      </c>
      <c r="G1769" s="68">
        <v>0</v>
      </c>
      <c r="H1769" s="25">
        <f t="shared" si="137"/>
        <v>0</v>
      </c>
    </row>
    <row r="1770" customHeight="1" spans="1:8">
      <c r="A1770" s="8">
        <f ca="1" t="shared" si="142"/>
        <v>827</v>
      </c>
      <c r="B1770" s="84"/>
      <c r="C1770" s="228" t="s">
        <v>2159</v>
      </c>
      <c r="D1770" s="229" t="s">
        <v>2160</v>
      </c>
      <c r="E1770" s="138" t="s">
        <v>329</v>
      </c>
      <c r="F1770" s="166">
        <v>17.34</v>
      </c>
      <c r="G1770" s="68">
        <v>0</v>
      </c>
      <c r="H1770" s="25">
        <f t="shared" si="137"/>
        <v>0</v>
      </c>
    </row>
    <row r="1771" customHeight="1" spans="1:8">
      <c r="B1771" s="84"/>
      <c r="C1771" s="228" t="s">
        <v>2167</v>
      </c>
      <c r="D1771" s="229" t="s">
        <v>2168</v>
      </c>
      <c r="E1771" s="86"/>
      <c r="F1771" s="107"/>
      <c r="G1771" s="68">
        <v>0</v>
      </c>
      <c r="H1771" s="25">
        <f t="shared" si="137"/>
        <v>0</v>
      </c>
    </row>
    <row r="1772" customHeight="1" spans="1:8">
      <c r="A1772" s="8">
        <f ca="1" t="shared" ref="A1772:A1776" si="143">COUNTA(OFFSET(A$1,0,0,ROW()-1,1))+1</f>
        <v>828</v>
      </c>
      <c r="B1772" s="84"/>
      <c r="C1772" s="228" t="s">
        <v>2299</v>
      </c>
      <c r="D1772" s="229" t="s">
        <v>2300</v>
      </c>
      <c r="E1772" s="138" t="s">
        <v>238</v>
      </c>
      <c r="F1772" s="166">
        <v>6</v>
      </c>
      <c r="G1772" s="68">
        <v>0</v>
      </c>
      <c r="H1772" s="25">
        <f t="shared" si="137"/>
        <v>0</v>
      </c>
    </row>
    <row r="1773" customHeight="1" spans="1:8">
      <c r="A1773" s="8">
        <f ca="1" t="shared" si="143"/>
        <v>829</v>
      </c>
      <c r="B1773" s="84"/>
      <c r="C1773" s="228" t="s">
        <v>2301</v>
      </c>
      <c r="D1773" s="229" t="s">
        <v>2302</v>
      </c>
      <c r="E1773" s="138" t="s">
        <v>238</v>
      </c>
      <c r="F1773" s="166">
        <v>12</v>
      </c>
      <c r="G1773" s="68">
        <v>0</v>
      </c>
      <c r="H1773" s="25">
        <f t="shared" si="137"/>
        <v>0</v>
      </c>
    </row>
    <row r="1774" customHeight="1" spans="1:8">
      <c r="B1774" s="84"/>
      <c r="C1774" s="228" t="s">
        <v>2221</v>
      </c>
      <c r="D1774" s="229" t="s">
        <v>2222</v>
      </c>
      <c r="E1774" s="138"/>
      <c r="F1774" s="107"/>
      <c r="G1774" s="68">
        <v>0</v>
      </c>
      <c r="H1774" s="25">
        <f t="shared" si="137"/>
        <v>0</v>
      </c>
    </row>
    <row r="1775" customHeight="1" spans="1:8">
      <c r="A1775" s="8">
        <f ca="1" t="shared" si="143"/>
        <v>830</v>
      </c>
      <c r="B1775" s="84"/>
      <c r="C1775" s="228" t="s">
        <v>2303</v>
      </c>
      <c r="D1775" s="229" t="s">
        <v>2304</v>
      </c>
      <c r="E1775" s="138" t="s">
        <v>238</v>
      </c>
      <c r="F1775" s="166">
        <v>6</v>
      </c>
      <c r="G1775" s="68">
        <v>0</v>
      </c>
      <c r="H1775" s="25">
        <f t="shared" si="137"/>
        <v>0</v>
      </c>
    </row>
    <row r="1776" customHeight="1" spans="1:8">
      <c r="A1776" s="8">
        <f ca="1" t="shared" si="143"/>
        <v>831</v>
      </c>
      <c r="B1776" s="84"/>
      <c r="C1776" s="228" t="s">
        <v>2305</v>
      </c>
      <c r="D1776" s="229" t="s">
        <v>2306</v>
      </c>
      <c r="E1776" s="138" t="s">
        <v>238</v>
      </c>
      <c r="F1776" s="166">
        <v>6</v>
      </c>
      <c r="G1776" s="68">
        <v>0</v>
      </c>
      <c r="H1776" s="25">
        <f t="shared" si="137"/>
        <v>0</v>
      </c>
    </row>
    <row r="1777" customHeight="1" spans="1:8">
      <c r="B1777" s="84"/>
      <c r="C1777" s="228" t="s">
        <v>2123</v>
      </c>
      <c r="D1777" s="229" t="s">
        <v>2124</v>
      </c>
      <c r="E1777" s="86"/>
      <c r="F1777" s="107"/>
      <c r="G1777" s="68">
        <v>0</v>
      </c>
      <c r="H1777" s="25">
        <f t="shared" si="137"/>
        <v>0</v>
      </c>
    </row>
    <row r="1778" customHeight="1" spans="1:8">
      <c r="A1778" s="8">
        <f ca="1" t="shared" ref="A1778:A1783" si="144">COUNTA(OFFSET(A$1,0,0,ROW()-1,1))+1</f>
        <v>832</v>
      </c>
      <c r="B1778" s="84"/>
      <c r="C1778" s="228" t="s">
        <v>2288</v>
      </c>
      <c r="D1778" s="229" t="s">
        <v>2289</v>
      </c>
      <c r="E1778" s="138" t="s">
        <v>510</v>
      </c>
      <c r="F1778" s="166">
        <v>6</v>
      </c>
      <c r="G1778" s="68">
        <v>0</v>
      </c>
      <c r="H1778" s="25">
        <f t="shared" si="137"/>
        <v>0</v>
      </c>
    </row>
    <row r="1779" customHeight="1" spans="1:8">
      <c r="A1779" s="8">
        <f ca="1" t="shared" si="144"/>
        <v>833</v>
      </c>
      <c r="B1779" s="84"/>
      <c r="C1779" s="228" t="s">
        <v>2217</v>
      </c>
      <c r="D1779" s="229" t="s">
        <v>2218</v>
      </c>
      <c r="E1779" s="138" t="s">
        <v>510</v>
      </c>
      <c r="F1779" s="166">
        <v>6</v>
      </c>
      <c r="G1779" s="68">
        <v>0</v>
      </c>
      <c r="H1779" s="25">
        <f t="shared" si="137"/>
        <v>0</v>
      </c>
    </row>
    <row r="1780" customHeight="1" spans="1:8">
      <c r="A1780" s="8">
        <f ca="1" t="shared" si="144"/>
        <v>834</v>
      </c>
      <c r="B1780" s="84"/>
      <c r="C1780" s="228" t="s">
        <v>2201</v>
      </c>
      <c r="D1780" s="229" t="s">
        <v>2202</v>
      </c>
      <c r="E1780" s="138" t="s">
        <v>2181</v>
      </c>
      <c r="F1780" s="166">
        <v>6</v>
      </c>
      <c r="G1780" s="68">
        <v>0</v>
      </c>
      <c r="H1780" s="25">
        <f t="shared" si="137"/>
        <v>0</v>
      </c>
    </row>
    <row r="1781" customHeight="1" spans="1:8">
      <c r="A1781" s="8">
        <f ca="1" t="shared" si="144"/>
        <v>835</v>
      </c>
      <c r="B1781" s="84"/>
      <c r="C1781" s="228" t="s">
        <v>2203</v>
      </c>
      <c r="D1781" s="229" t="s">
        <v>2204</v>
      </c>
      <c r="E1781" s="138" t="s">
        <v>2181</v>
      </c>
      <c r="F1781" s="166">
        <v>6</v>
      </c>
      <c r="G1781" s="68">
        <v>0</v>
      </c>
      <c r="H1781" s="25">
        <f t="shared" si="137"/>
        <v>0</v>
      </c>
    </row>
    <row r="1782" customHeight="1" spans="1:8">
      <c r="A1782" s="8">
        <f ca="1" t="shared" si="144"/>
        <v>836</v>
      </c>
      <c r="B1782" s="84"/>
      <c r="C1782" s="228" t="s">
        <v>2213</v>
      </c>
      <c r="D1782" s="229" t="s">
        <v>2214</v>
      </c>
      <c r="E1782" s="138" t="s">
        <v>2200</v>
      </c>
      <c r="F1782" s="166">
        <v>6</v>
      </c>
      <c r="G1782" s="68">
        <v>0</v>
      </c>
      <c r="H1782" s="25">
        <f t="shared" si="137"/>
        <v>0</v>
      </c>
    </row>
    <row r="1783" customHeight="1" spans="1:8">
      <c r="A1783" s="8">
        <f ca="1" t="shared" si="144"/>
        <v>837</v>
      </c>
      <c r="B1783" s="84"/>
      <c r="C1783" s="228" t="s">
        <v>2215</v>
      </c>
      <c r="D1783" s="229" t="s">
        <v>2216</v>
      </c>
      <c r="E1783" s="138" t="s">
        <v>2200</v>
      </c>
      <c r="F1783" s="166">
        <v>6</v>
      </c>
      <c r="G1783" s="68">
        <v>0</v>
      </c>
      <c r="H1783" s="25">
        <f t="shared" si="137"/>
        <v>0</v>
      </c>
    </row>
    <row r="1784" customHeight="1" spans="1:8">
      <c r="B1784" s="21"/>
      <c r="C1784" s="103" t="s">
        <v>2307</v>
      </c>
      <c r="D1784" s="235" t="s">
        <v>2308</v>
      </c>
      <c r="E1784" s="236"/>
      <c r="F1784" s="209"/>
      <c r="G1784" s="68">
        <v>0</v>
      </c>
      <c r="H1784" s="25">
        <f t="shared" si="137"/>
        <v>0</v>
      </c>
    </row>
    <row r="1785" customHeight="1" spans="1:8">
      <c r="B1785" s="84"/>
      <c r="C1785" s="189" t="s">
        <v>2309</v>
      </c>
      <c r="D1785" s="190" t="s">
        <v>2310</v>
      </c>
      <c r="E1785" s="86"/>
      <c r="F1785" s="107"/>
      <c r="G1785" s="68">
        <v>0</v>
      </c>
      <c r="H1785" s="25">
        <f t="shared" si="137"/>
        <v>0</v>
      </c>
    </row>
    <row r="1786" customHeight="1" spans="1:8">
      <c r="A1786" s="8">
        <f ca="1" t="shared" ref="A1786:A1807" si="145">COUNTA(OFFSET(A$1,0,0,ROW()-1,1))+1</f>
        <v>838</v>
      </c>
      <c r="B1786" s="84"/>
      <c r="C1786" s="228" t="s">
        <v>2288</v>
      </c>
      <c r="D1786" s="229" t="s">
        <v>2289</v>
      </c>
      <c r="E1786" s="138" t="s">
        <v>510</v>
      </c>
      <c r="F1786" s="166">
        <v>4</v>
      </c>
      <c r="G1786" s="68">
        <v>0</v>
      </c>
      <c r="H1786" s="25">
        <f t="shared" si="137"/>
        <v>0</v>
      </c>
    </row>
    <row r="1787" customHeight="1" spans="1:8">
      <c r="A1787" s="8">
        <f ca="1" t="shared" si="145"/>
        <v>839</v>
      </c>
      <c r="B1787" s="84"/>
      <c r="C1787" s="228" t="s">
        <v>2217</v>
      </c>
      <c r="D1787" s="229" t="s">
        <v>2218</v>
      </c>
      <c r="E1787" s="138" t="s">
        <v>510</v>
      </c>
      <c r="F1787" s="166">
        <v>2</v>
      </c>
      <c r="G1787" s="68">
        <v>0</v>
      </c>
      <c r="H1787" s="25">
        <f t="shared" si="137"/>
        <v>0</v>
      </c>
    </row>
    <row r="1788" customHeight="1" spans="1:8">
      <c r="A1788" s="8">
        <f ca="1" t="shared" si="145"/>
        <v>840</v>
      </c>
      <c r="B1788" s="84"/>
      <c r="C1788" s="228" t="s">
        <v>2311</v>
      </c>
      <c r="D1788" s="229" t="s">
        <v>2312</v>
      </c>
      <c r="E1788" s="138" t="s">
        <v>510</v>
      </c>
      <c r="F1788" s="166">
        <v>1</v>
      </c>
      <c r="G1788" s="68">
        <v>0</v>
      </c>
      <c r="H1788" s="25">
        <f t="shared" si="137"/>
        <v>0</v>
      </c>
    </row>
    <row r="1789" customHeight="1" spans="1:8">
      <c r="A1789" s="8">
        <f ca="1" t="shared" si="145"/>
        <v>841</v>
      </c>
      <c r="B1789" s="84"/>
      <c r="C1789" s="228" t="s">
        <v>2313</v>
      </c>
      <c r="D1789" s="229" t="s">
        <v>2314</v>
      </c>
      <c r="E1789" s="138" t="s">
        <v>510</v>
      </c>
      <c r="F1789" s="166">
        <v>2</v>
      </c>
      <c r="G1789" s="68">
        <v>0</v>
      </c>
      <c r="H1789" s="25">
        <f t="shared" si="137"/>
        <v>0</v>
      </c>
    </row>
    <row r="1790" customHeight="1" spans="1:8">
      <c r="A1790" s="8">
        <f ca="1" t="shared" si="145"/>
        <v>842</v>
      </c>
      <c r="B1790" s="84"/>
      <c r="C1790" s="228" t="s">
        <v>2315</v>
      </c>
      <c r="D1790" s="229" t="s">
        <v>2316</v>
      </c>
      <c r="E1790" s="138" t="s">
        <v>510</v>
      </c>
      <c r="F1790" s="166">
        <v>2</v>
      </c>
      <c r="G1790" s="68">
        <v>0</v>
      </c>
      <c r="H1790" s="25">
        <f t="shared" si="137"/>
        <v>0</v>
      </c>
    </row>
    <row r="1791" customHeight="1" spans="1:8">
      <c r="A1791" s="8">
        <f ca="1" t="shared" si="145"/>
        <v>843</v>
      </c>
      <c r="B1791" s="84"/>
      <c r="C1791" s="228" t="s">
        <v>2317</v>
      </c>
      <c r="D1791" s="229" t="s">
        <v>2318</v>
      </c>
      <c r="E1791" s="138" t="s">
        <v>510</v>
      </c>
      <c r="F1791" s="166">
        <v>2</v>
      </c>
      <c r="G1791" s="68">
        <v>0</v>
      </c>
      <c r="H1791" s="25">
        <f t="shared" si="137"/>
        <v>0</v>
      </c>
    </row>
    <row r="1792" customHeight="1" spans="1:8">
      <c r="A1792" s="8">
        <f ca="1" t="shared" si="145"/>
        <v>844</v>
      </c>
      <c r="B1792" s="84"/>
      <c r="C1792" s="228" t="s">
        <v>2319</v>
      </c>
      <c r="D1792" s="229" t="s">
        <v>2320</v>
      </c>
      <c r="E1792" s="138" t="s">
        <v>510</v>
      </c>
      <c r="F1792" s="166">
        <v>1</v>
      </c>
      <c r="G1792" s="68">
        <v>0</v>
      </c>
      <c r="H1792" s="25">
        <f t="shared" si="137"/>
        <v>0</v>
      </c>
    </row>
    <row r="1793" customHeight="1" spans="1:8">
      <c r="A1793" s="8">
        <f ca="1" t="shared" si="145"/>
        <v>845</v>
      </c>
      <c r="B1793" s="84"/>
      <c r="C1793" s="228" t="s">
        <v>2198</v>
      </c>
      <c r="D1793" s="229" t="s">
        <v>2199</v>
      </c>
      <c r="E1793" s="138" t="s">
        <v>2200</v>
      </c>
      <c r="F1793" s="166">
        <v>1</v>
      </c>
      <c r="G1793" s="68">
        <v>0</v>
      </c>
      <c r="H1793" s="25">
        <f t="shared" si="137"/>
        <v>0</v>
      </c>
    </row>
    <row r="1794" customHeight="1" spans="1:8">
      <c r="A1794" s="8">
        <f ca="1" t="shared" si="145"/>
        <v>846</v>
      </c>
      <c r="B1794" s="84"/>
      <c r="C1794" s="228" t="s">
        <v>2321</v>
      </c>
      <c r="D1794" s="229" t="s">
        <v>2322</v>
      </c>
      <c r="E1794" s="138" t="s">
        <v>2200</v>
      </c>
      <c r="F1794" s="166">
        <v>1</v>
      </c>
      <c r="G1794" s="68">
        <v>0</v>
      </c>
      <c r="H1794" s="25">
        <f t="shared" si="137"/>
        <v>0</v>
      </c>
    </row>
    <row r="1795" customHeight="1" spans="1:8">
      <c r="A1795" s="8">
        <f ca="1" t="shared" si="145"/>
        <v>847</v>
      </c>
      <c r="B1795" s="84"/>
      <c r="C1795" s="228" t="s">
        <v>2323</v>
      </c>
      <c r="D1795" s="229" t="s">
        <v>2324</v>
      </c>
      <c r="E1795" s="138" t="s">
        <v>2200</v>
      </c>
      <c r="F1795" s="166">
        <v>1</v>
      </c>
      <c r="G1795" s="68">
        <v>0</v>
      </c>
      <c r="H1795" s="25">
        <f t="shared" si="137"/>
        <v>0</v>
      </c>
    </row>
    <row r="1796" customHeight="1" spans="1:8">
      <c r="A1796" s="8">
        <f ca="1" t="shared" si="145"/>
        <v>848</v>
      </c>
      <c r="B1796" s="84"/>
      <c r="C1796" s="228" t="s">
        <v>2325</v>
      </c>
      <c r="D1796" s="229" t="s">
        <v>2326</v>
      </c>
      <c r="E1796" s="138" t="s">
        <v>464</v>
      </c>
      <c r="F1796" s="166">
        <v>1000</v>
      </c>
      <c r="G1796" s="68">
        <v>0</v>
      </c>
      <c r="H1796" s="25">
        <f t="shared" si="137"/>
        <v>0</v>
      </c>
    </row>
    <row r="1797" customHeight="1" spans="1:8">
      <c r="A1797" s="8">
        <f ca="1" t="shared" si="145"/>
        <v>849</v>
      </c>
      <c r="B1797" s="84"/>
      <c r="C1797" s="228" t="s">
        <v>2287</v>
      </c>
      <c r="D1797" s="229" t="s">
        <v>2088</v>
      </c>
      <c r="E1797" s="138" t="s">
        <v>2181</v>
      </c>
      <c r="F1797" s="166">
        <v>14</v>
      </c>
      <c r="G1797" s="68">
        <v>0</v>
      </c>
      <c r="H1797" s="25">
        <f t="shared" si="137"/>
        <v>0</v>
      </c>
    </row>
    <row r="1798" customHeight="1" spans="1:8">
      <c r="A1798" s="8">
        <f ca="1" t="shared" si="145"/>
        <v>850</v>
      </c>
      <c r="B1798" s="84"/>
      <c r="C1798" s="228" t="s">
        <v>2215</v>
      </c>
      <c r="D1798" s="229" t="s">
        <v>2216</v>
      </c>
      <c r="E1798" s="138" t="s">
        <v>2200</v>
      </c>
      <c r="F1798" s="166">
        <v>1</v>
      </c>
      <c r="G1798" s="68">
        <v>0</v>
      </c>
      <c r="H1798" s="25">
        <f t="shared" si="137"/>
        <v>0</v>
      </c>
    </row>
    <row r="1799" customHeight="1" spans="1:8">
      <c r="A1799" s="8">
        <f ca="1" t="shared" si="145"/>
        <v>851</v>
      </c>
      <c r="B1799" s="84"/>
      <c r="C1799" s="228" t="s">
        <v>2327</v>
      </c>
      <c r="D1799" s="229" t="s">
        <v>2328</v>
      </c>
      <c r="E1799" s="138" t="s">
        <v>510</v>
      </c>
      <c r="F1799" s="166">
        <v>2</v>
      </c>
      <c r="G1799" s="68">
        <v>0</v>
      </c>
      <c r="H1799" s="25">
        <f t="shared" si="137"/>
        <v>0</v>
      </c>
    </row>
    <row r="1800" customHeight="1" spans="1:8">
      <c r="A1800" s="8">
        <f ca="1" t="shared" si="145"/>
        <v>852</v>
      </c>
      <c r="B1800" s="84"/>
      <c r="C1800" s="228" t="s">
        <v>2209</v>
      </c>
      <c r="D1800" s="229" t="s">
        <v>2210</v>
      </c>
      <c r="E1800" s="138" t="s">
        <v>510</v>
      </c>
      <c r="F1800" s="166">
        <v>6</v>
      </c>
      <c r="G1800" s="68">
        <v>0</v>
      </c>
      <c r="H1800" s="25">
        <f t="shared" ref="H1800:H1863" si="146">IFERROR(ROUND(G1800*F1800,0),0)</f>
        <v>0</v>
      </c>
    </row>
    <row r="1801" customHeight="1" spans="1:8">
      <c r="A1801" s="8">
        <f ca="1" t="shared" si="145"/>
        <v>853</v>
      </c>
      <c r="B1801" s="84"/>
      <c r="C1801" s="228" t="s">
        <v>2211</v>
      </c>
      <c r="D1801" s="229" t="s">
        <v>2212</v>
      </c>
      <c r="E1801" s="138" t="s">
        <v>510</v>
      </c>
      <c r="F1801" s="166">
        <v>1</v>
      </c>
      <c r="G1801" s="68">
        <v>0</v>
      </c>
      <c r="H1801" s="25">
        <f t="shared" si="146"/>
        <v>0</v>
      </c>
    </row>
    <row r="1802" customHeight="1" spans="1:8">
      <c r="A1802" s="8">
        <f ca="1" t="shared" si="145"/>
        <v>854</v>
      </c>
      <c r="B1802" s="84"/>
      <c r="C1802" s="228" t="s">
        <v>2201</v>
      </c>
      <c r="D1802" s="229" t="s">
        <v>2202</v>
      </c>
      <c r="E1802" s="138" t="s">
        <v>2181</v>
      </c>
      <c r="F1802" s="166">
        <v>40</v>
      </c>
      <c r="G1802" s="68">
        <v>0</v>
      </c>
      <c r="H1802" s="25">
        <f t="shared" si="146"/>
        <v>0</v>
      </c>
    </row>
    <row r="1803" customHeight="1" spans="1:8">
      <c r="A1803" s="8">
        <f ca="1" t="shared" si="145"/>
        <v>855</v>
      </c>
      <c r="B1803" s="84"/>
      <c r="C1803" s="228" t="s">
        <v>2203</v>
      </c>
      <c r="D1803" s="229" t="s">
        <v>2204</v>
      </c>
      <c r="E1803" s="138" t="s">
        <v>2181</v>
      </c>
      <c r="F1803" s="166">
        <v>10</v>
      </c>
      <c r="G1803" s="68">
        <v>0</v>
      </c>
      <c r="H1803" s="25">
        <f t="shared" si="146"/>
        <v>0</v>
      </c>
    </row>
    <row r="1804" customHeight="1" spans="1:8">
      <c r="A1804" s="8">
        <f ca="1" t="shared" si="145"/>
        <v>856</v>
      </c>
      <c r="B1804" s="84"/>
      <c r="C1804" s="228" t="s">
        <v>2207</v>
      </c>
      <c r="D1804" s="229" t="s">
        <v>2208</v>
      </c>
      <c r="E1804" s="138" t="s">
        <v>2181</v>
      </c>
      <c r="F1804" s="166">
        <v>4</v>
      </c>
      <c r="G1804" s="68">
        <v>0</v>
      </c>
      <c r="H1804" s="25">
        <f t="shared" si="146"/>
        <v>0</v>
      </c>
    </row>
    <row r="1805" customHeight="1" spans="1:8">
      <c r="A1805" s="8">
        <f ca="1" t="shared" si="145"/>
        <v>857</v>
      </c>
      <c r="B1805" s="84"/>
      <c r="C1805" s="228" t="s">
        <v>2213</v>
      </c>
      <c r="D1805" s="229" t="s">
        <v>2214</v>
      </c>
      <c r="E1805" s="138" t="s">
        <v>2200</v>
      </c>
      <c r="F1805" s="166">
        <v>1</v>
      </c>
      <c r="G1805" s="68">
        <v>0</v>
      </c>
      <c r="H1805" s="25">
        <f t="shared" si="146"/>
        <v>0</v>
      </c>
    </row>
    <row r="1806" customHeight="1" spans="1:8">
      <c r="A1806" s="8">
        <f ca="1" t="shared" si="145"/>
        <v>858</v>
      </c>
      <c r="B1806" s="84"/>
      <c r="C1806" s="228" t="s">
        <v>2329</v>
      </c>
      <c r="D1806" s="229" t="s">
        <v>2330</v>
      </c>
      <c r="E1806" s="138" t="s">
        <v>2200</v>
      </c>
      <c r="F1806" s="166">
        <v>1</v>
      </c>
      <c r="G1806" s="68">
        <v>0</v>
      </c>
      <c r="H1806" s="25">
        <f t="shared" si="146"/>
        <v>0</v>
      </c>
    </row>
    <row r="1807" customHeight="1" spans="1:8">
      <c r="A1807" s="8">
        <f ca="1" t="shared" si="145"/>
        <v>859</v>
      </c>
      <c r="B1807" s="84"/>
      <c r="C1807" s="228" t="s">
        <v>2219</v>
      </c>
      <c r="D1807" s="229" t="s">
        <v>2220</v>
      </c>
      <c r="E1807" s="138" t="s">
        <v>2200</v>
      </c>
      <c r="F1807" s="166">
        <v>1</v>
      </c>
      <c r="G1807" s="68">
        <v>0</v>
      </c>
      <c r="H1807" s="25">
        <f t="shared" si="146"/>
        <v>0</v>
      </c>
    </row>
    <row r="1808" customHeight="1" spans="1:8">
      <c r="B1808" s="21"/>
      <c r="C1808" s="103" t="s">
        <v>2307</v>
      </c>
      <c r="D1808" s="104" t="s">
        <v>2308</v>
      </c>
      <c r="E1808" s="105"/>
      <c r="F1808" s="209"/>
      <c r="G1808" s="68">
        <v>0</v>
      </c>
      <c r="H1808" s="25">
        <f t="shared" si="146"/>
        <v>0</v>
      </c>
    </row>
    <row r="1809" customHeight="1" spans="1:8">
      <c r="A1809" s="8">
        <f ca="1" t="shared" ref="A1809:A1815" si="147">COUNTA(OFFSET(A$1,0,0,ROW()-1,1))+1</f>
        <v>860</v>
      </c>
      <c r="B1809" s="84" t="s">
        <v>2331</v>
      </c>
      <c r="C1809" s="237" t="s">
        <v>2332</v>
      </c>
      <c r="D1809" s="238" t="s">
        <v>2045</v>
      </c>
      <c r="E1809" s="86" t="s">
        <v>238</v>
      </c>
      <c r="F1809" s="107">
        <v>1</v>
      </c>
      <c r="G1809" s="68">
        <v>0</v>
      </c>
      <c r="H1809" s="25">
        <f t="shared" si="146"/>
        <v>0</v>
      </c>
    </row>
    <row r="1810" customHeight="1" spans="1:8">
      <c r="B1810" s="129"/>
      <c r="C1810" s="226" t="s">
        <v>2098</v>
      </c>
      <c r="D1810" s="227" t="s">
        <v>2099</v>
      </c>
      <c r="E1810" s="138"/>
      <c r="F1810" s="166"/>
      <c r="G1810" s="68">
        <v>0</v>
      </c>
      <c r="H1810" s="25">
        <f t="shared" si="146"/>
        <v>0</v>
      </c>
    </row>
    <row r="1811" customHeight="1" spans="1:8">
      <c r="B1811" s="129"/>
      <c r="C1811" s="228" t="s">
        <v>2100</v>
      </c>
      <c r="D1811" s="229" t="s">
        <v>2101</v>
      </c>
      <c r="E1811" s="138"/>
      <c r="F1811" s="166"/>
      <c r="G1811" s="68">
        <v>0</v>
      </c>
      <c r="H1811" s="25">
        <f t="shared" si="146"/>
        <v>0</v>
      </c>
    </row>
    <row r="1812" customHeight="1" spans="1:8">
      <c r="A1812" s="8">
        <f ca="1" t="shared" si="147"/>
        <v>861</v>
      </c>
      <c r="B1812" s="129"/>
      <c r="C1812" s="230" t="s">
        <v>2102</v>
      </c>
      <c r="D1812" s="231" t="s">
        <v>2103</v>
      </c>
      <c r="E1812" s="232" t="s">
        <v>329</v>
      </c>
      <c r="F1812" s="166">
        <v>242.25</v>
      </c>
      <c r="G1812" s="68">
        <v>0</v>
      </c>
      <c r="H1812" s="25">
        <f t="shared" si="146"/>
        <v>0</v>
      </c>
    </row>
    <row r="1813" customHeight="1" spans="1:8">
      <c r="A1813" s="8">
        <f ca="1" t="shared" si="147"/>
        <v>862</v>
      </c>
      <c r="B1813" s="129"/>
      <c r="C1813" s="228" t="s">
        <v>2104</v>
      </c>
      <c r="D1813" s="229" t="s">
        <v>2105</v>
      </c>
      <c r="E1813" s="138" t="s">
        <v>336</v>
      </c>
      <c r="F1813" s="166">
        <v>983.13</v>
      </c>
      <c r="G1813" s="68">
        <v>0</v>
      </c>
      <c r="H1813" s="25">
        <f t="shared" si="146"/>
        <v>0</v>
      </c>
    </row>
    <row r="1814" customHeight="1" spans="1:8">
      <c r="A1814" s="8">
        <f ca="1" t="shared" si="147"/>
        <v>863</v>
      </c>
      <c r="B1814" s="129"/>
      <c r="C1814" s="228" t="s">
        <v>2106</v>
      </c>
      <c r="D1814" s="229" t="s">
        <v>2107</v>
      </c>
      <c r="E1814" s="138" t="s">
        <v>336</v>
      </c>
      <c r="F1814" s="166">
        <v>508.94</v>
      </c>
      <c r="G1814" s="68">
        <v>0</v>
      </c>
      <c r="H1814" s="25">
        <f t="shared" si="146"/>
        <v>0</v>
      </c>
    </row>
    <row r="1815" customHeight="1" spans="1:8">
      <c r="A1815" s="8">
        <f ca="1" t="shared" si="147"/>
        <v>864</v>
      </c>
      <c r="B1815" s="129"/>
      <c r="C1815" s="228" t="s">
        <v>2108</v>
      </c>
      <c r="D1815" s="229" t="s">
        <v>2109</v>
      </c>
      <c r="E1815" s="138" t="s">
        <v>336</v>
      </c>
      <c r="F1815" s="166">
        <v>474.19</v>
      </c>
      <c r="G1815" s="68">
        <v>0</v>
      </c>
      <c r="H1815" s="25">
        <f t="shared" si="146"/>
        <v>0</v>
      </c>
    </row>
    <row r="1816" customHeight="1" spans="1:8">
      <c r="B1816" s="129"/>
      <c r="C1816" s="228" t="s">
        <v>2110</v>
      </c>
      <c r="D1816" s="229" t="s">
        <v>2111</v>
      </c>
      <c r="E1816" s="138" t="s">
        <v>336</v>
      </c>
      <c r="F1816" s="166"/>
      <c r="G1816" s="68">
        <v>0</v>
      </c>
      <c r="H1816" s="25">
        <f t="shared" si="146"/>
        <v>0</v>
      </c>
    </row>
    <row r="1817" customHeight="1" spans="1:8">
      <c r="A1817" s="8">
        <f ca="1" t="shared" ref="A1817:A1821" si="148">COUNTA(OFFSET(A$1,0,0,ROW()-1,1))+1</f>
        <v>865</v>
      </c>
      <c r="B1817" s="129"/>
      <c r="C1817" s="228" t="s">
        <v>2112</v>
      </c>
      <c r="D1817" s="229" t="s">
        <v>2113</v>
      </c>
      <c r="E1817" s="138" t="s">
        <v>336</v>
      </c>
      <c r="F1817" s="166">
        <v>17.4</v>
      </c>
      <c r="G1817" s="68">
        <v>0</v>
      </c>
      <c r="H1817" s="25">
        <f t="shared" si="146"/>
        <v>0</v>
      </c>
    </row>
    <row r="1818" customHeight="1" spans="1:8">
      <c r="B1818" s="129"/>
      <c r="C1818" s="228" t="s">
        <v>2114</v>
      </c>
      <c r="D1818" s="229" t="s">
        <v>2115</v>
      </c>
      <c r="E1818" s="138"/>
      <c r="F1818" s="166"/>
      <c r="G1818" s="68">
        <v>0</v>
      </c>
      <c r="H1818" s="25">
        <f t="shared" si="146"/>
        <v>0</v>
      </c>
    </row>
    <row r="1819" customHeight="1" spans="1:8">
      <c r="A1819" s="8">
        <f ca="1" t="shared" si="148"/>
        <v>866</v>
      </c>
      <c r="B1819" s="129"/>
      <c r="C1819" s="228" t="s">
        <v>2116</v>
      </c>
      <c r="D1819" s="229" t="s">
        <v>2117</v>
      </c>
      <c r="E1819" s="138" t="s">
        <v>336</v>
      </c>
      <c r="F1819" s="166">
        <v>117.7</v>
      </c>
      <c r="G1819" s="68">
        <v>0</v>
      </c>
      <c r="H1819" s="25">
        <f t="shared" si="146"/>
        <v>0</v>
      </c>
    </row>
    <row r="1820" customHeight="1" spans="1:8">
      <c r="A1820" s="8">
        <f ca="1" t="shared" si="148"/>
        <v>867</v>
      </c>
      <c r="B1820" s="129"/>
      <c r="C1820" s="230" t="s">
        <v>2118</v>
      </c>
      <c r="D1820" s="231" t="s">
        <v>2119</v>
      </c>
      <c r="E1820" s="232" t="s">
        <v>329</v>
      </c>
      <c r="F1820" s="166">
        <v>37.8</v>
      </c>
      <c r="G1820" s="68">
        <v>0</v>
      </c>
      <c r="H1820" s="25">
        <f t="shared" si="146"/>
        <v>0</v>
      </c>
    </row>
    <row r="1821" customHeight="1" spans="1:8">
      <c r="A1821" s="8">
        <f ca="1" t="shared" si="148"/>
        <v>868</v>
      </c>
      <c r="B1821" s="129"/>
      <c r="C1821" s="230" t="s">
        <v>2120</v>
      </c>
      <c r="D1821" s="231" t="s">
        <v>2121</v>
      </c>
      <c r="E1821" s="232" t="s">
        <v>329</v>
      </c>
      <c r="F1821" s="166">
        <v>45.18</v>
      </c>
      <c r="G1821" s="68">
        <v>0</v>
      </c>
      <c r="H1821" s="25">
        <f t="shared" si="146"/>
        <v>0</v>
      </c>
    </row>
    <row r="1822" customHeight="1" spans="1:8">
      <c r="B1822" s="129"/>
      <c r="C1822" s="228" t="s">
        <v>841</v>
      </c>
      <c r="D1822" s="229" t="s">
        <v>842</v>
      </c>
      <c r="E1822" s="138"/>
      <c r="F1822" s="166"/>
      <c r="G1822" s="68">
        <v>0</v>
      </c>
      <c r="H1822" s="25">
        <f t="shared" si="146"/>
        <v>0</v>
      </c>
    </row>
    <row r="1823" customHeight="1" spans="1:8">
      <c r="A1823" s="8">
        <f ca="1" t="shared" ref="A1823:A1826" si="149">COUNTA(OFFSET(A$1,0,0,ROW()-1,1))+1</f>
        <v>869</v>
      </c>
      <c r="B1823" s="129"/>
      <c r="C1823" s="228" t="s">
        <v>841</v>
      </c>
      <c r="D1823" s="229" t="s">
        <v>842</v>
      </c>
      <c r="E1823" s="138" t="s">
        <v>329</v>
      </c>
      <c r="F1823" s="166">
        <v>305.41</v>
      </c>
      <c r="G1823" s="68">
        <v>0</v>
      </c>
      <c r="H1823" s="25">
        <f t="shared" si="146"/>
        <v>0</v>
      </c>
    </row>
    <row r="1824" customHeight="1" spans="1:8">
      <c r="B1824" s="129"/>
      <c r="C1824" s="228" t="s">
        <v>843</v>
      </c>
      <c r="D1824" s="229" t="s">
        <v>844</v>
      </c>
      <c r="E1824" s="138"/>
      <c r="F1824" s="166"/>
      <c r="G1824" s="68">
        <v>0</v>
      </c>
      <c r="H1824" s="25">
        <f t="shared" si="146"/>
        <v>0</v>
      </c>
    </row>
    <row r="1825" customHeight="1" spans="1:8">
      <c r="A1825" s="8">
        <f ca="1" t="shared" si="149"/>
        <v>870</v>
      </c>
      <c r="B1825" s="129"/>
      <c r="C1825" s="228" t="s">
        <v>2122</v>
      </c>
      <c r="D1825" s="229" t="s">
        <v>956</v>
      </c>
      <c r="E1825" s="138" t="s">
        <v>464</v>
      </c>
      <c r="F1825" s="166">
        <v>9795</v>
      </c>
      <c r="G1825" s="68">
        <v>0</v>
      </c>
      <c r="H1825" s="25">
        <f t="shared" si="146"/>
        <v>0</v>
      </c>
    </row>
    <row r="1826" customHeight="1" spans="1:8">
      <c r="A1826" s="8">
        <f ca="1" t="shared" si="149"/>
        <v>871</v>
      </c>
      <c r="B1826" s="129"/>
      <c r="C1826" s="237" t="s">
        <v>2333</v>
      </c>
      <c r="D1826" s="238" t="s">
        <v>2334</v>
      </c>
      <c r="E1826" s="138" t="s">
        <v>464</v>
      </c>
      <c r="F1826" s="166">
        <v>103</v>
      </c>
      <c r="G1826" s="68">
        <v>0</v>
      </c>
      <c r="H1826" s="25">
        <f t="shared" si="146"/>
        <v>0</v>
      </c>
    </row>
    <row r="1827" customHeight="1" spans="1:8">
      <c r="B1827" s="129"/>
      <c r="C1827" s="228" t="s">
        <v>2335</v>
      </c>
      <c r="D1827" s="229" t="s">
        <v>2336</v>
      </c>
      <c r="E1827" s="138"/>
      <c r="F1827" s="166"/>
      <c r="G1827" s="68">
        <v>0</v>
      </c>
      <c r="H1827" s="25">
        <f t="shared" si="146"/>
        <v>0</v>
      </c>
    </row>
    <row r="1828" customHeight="1" spans="1:8">
      <c r="A1828" s="8">
        <f ca="1" t="shared" ref="A1828:A1836" si="150">COUNTA(OFFSET(A$1,0,0,ROW()-1,1))+1</f>
        <v>872</v>
      </c>
      <c r="B1828" s="129"/>
      <c r="C1828" s="226" t="s">
        <v>2337</v>
      </c>
      <c r="D1828" s="227" t="s">
        <v>1097</v>
      </c>
      <c r="E1828" s="138" t="s">
        <v>464</v>
      </c>
      <c r="F1828" s="166">
        <v>9975</v>
      </c>
      <c r="G1828" s="68">
        <v>0</v>
      </c>
      <c r="H1828" s="25">
        <f t="shared" si="146"/>
        <v>0</v>
      </c>
    </row>
    <row r="1829" customHeight="1" spans="1:8">
      <c r="A1829" s="8">
        <f ca="1" t="shared" si="150"/>
        <v>873</v>
      </c>
      <c r="B1829" s="129"/>
      <c r="C1829" s="226" t="s">
        <v>2338</v>
      </c>
      <c r="D1829" s="227" t="s">
        <v>1081</v>
      </c>
      <c r="E1829" s="138" t="s">
        <v>464</v>
      </c>
      <c r="F1829" s="166">
        <v>3655</v>
      </c>
      <c r="G1829" s="68">
        <v>0</v>
      </c>
      <c r="H1829" s="25">
        <f t="shared" si="146"/>
        <v>0</v>
      </c>
    </row>
    <row r="1830" customHeight="1" spans="1:8">
      <c r="A1830" s="8">
        <f ca="1" t="shared" si="150"/>
        <v>874</v>
      </c>
      <c r="B1830" s="129"/>
      <c r="C1830" s="226" t="s">
        <v>2339</v>
      </c>
      <c r="D1830" s="227" t="s">
        <v>2340</v>
      </c>
      <c r="E1830" s="138" t="s">
        <v>464</v>
      </c>
      <c r="F1830" s="166">
        <v>5626</v>
      </c>
      <c r="G1830" s="68">
        <v>0</v>
      </c>
      <c r="H1830" s="25">
        <f t="shared" si="146"/>
        <v>0</v>
      </c>
    </row>
    <row r="1831" customHeight="1" spans="1:8">
      <c r="A1831" s="8">
        <f ca="1" t="shared" si="150"/>
        <v>875</v>
      </c>
      <c r="B1831" s="129"/>
      <c r="C1831" s="226" t="s">
        <v>2341</v>
      </c>
      <c r="D1831" s="227" t="s">
        <v>2342</v>
      </c>
      <c r="E1831" s="138" t="s">
        <v>464</v>
      </c>
      <c r="F1831" s="166">
        <v>11655</v>
      </c>
      <c r="G1831" s="68">
        <v>0</v>
      </c>
      <c r="H1831" s="25">
        <f t="shared" si="146"/>
        <v>0</v>
      </c>
    </row>
    <row r="1832" customHeight="1" spans="1:8">
      <c r="A1832" s="8">
        <f ca="1" t="shared" si="150"/>
        <v>876</v>
      </c>
      <c r="B1832" s="129"/>
      <c r="C1832" s="226" t="s">
        <v>2343</v>
      </c>
      <c r="D1832" s="227" t="s">
        <v>2344</v>
      </c>
      <c r="E1832" s="138" t="s">
        <v>464</v>
      </c>
      <c r="F1832" s="166">
        <v>373</v>
      </c>
      <c r="G1832" s="68">
        <v>0</v>
      </c>
      <c r="H1832" s="25">
        <f t="shared" si="146"/>
        <v>0</v>
      </c>
    </row>
    <row r="1833" customHeight="1" spans="1:8">
      <c r="A1833" s="8">
        <f ca="1" t="shared" si="150"/>
        <v>877</v>
      </c>
      <c r="B1833" s="129"/>
      <c r="C1833" s="226" t="s">
        <v>2345</v>
      </c>
      <c r="D1833" s="227" t="s">
        <v>2346</v>
      </c>
      <c r="E1833" s="138" t="s">
        <v>329</v>
      </c>
      <c r="F1833" s="166">
        <v>279.18</v>
      </c>
      <c r="G1833" s="68">
        <v>0</v>
      </c>
      <c r="H1833" s="25">
        <f t="shared" si="146"/>
        <v>0</v>
      </c>
    </row>
    <row r="1834" customHeight="1" spans="1:8">
      <c r="A1834" s="8">
        <f ca="1" t="shared" si="150"/>
        <v>878</v>
      </c>
      <c r="B1834" s="129"/>
      <c r="C1834" s="226" t="s">
        <v>2347</v>
      </c>
      <c r="D1834" s="227" t="s">
        <v>2348</v>
      </c>
      <c r="E1834" s="138" t="s">
        <v>329</v>
      </c>
      <c r="F1834" s="166">
        <v>317.1</v>
      </c>
      <c r="G1834" s="68">
        <v>0</v>
      </c>
      <c r="H1834" s="25">
        <f t="shared" si="146"/>
        <v>0</v>
      </c>
    </row>
    <row r="1835" customHeight="1" spans="1:8">
      <c r="A1835" s="8">
        <f ca="1" t="shared" si="150"/>
        <v>879</v>
      </c>
      <c r="B1835" s="129"/>
      <c r="C1835" s="228" t="s">
        <v>2295</v>
      </c>
      <c r="D1835" s="229" t="s">
        <v>2296</v>
      </c>
      <c r="E1835" s="138" t="s">
        <v>238</v>
      </c>
      <c r="F1835" s="166">
        <v>112</v>
      </c>
      <c r="G1835" s="68">
        <v>0</v>
      </c>
      <c r="H1835" s="25">
        <f t="shared" si="146"/>
        <v>0</v>
      </c>
    </row>
    <row r="1836" customHeight="1" spans="1:8">
      <c r="A1836" s="8">
        <f ca="1" t="shared" si="150"/>
        <v>880</v>
      </c>
      <c r="B1836" s="129"/>
      <c r="C1836" s="228" t="s">
        <v>2349</v>
      </c>
      <c r="D1836" s="229" t="s">
        <v>2350</v>
      </c>
      <c r="E1836" s="138" t="s">
        <v>336</v>
      </c>
      <c r="F1836" s="166">
        <v>0.77</v>
      </c>
      <c r="G1836" s="68">
        <v>0</v>
      </c>
      <c r="H1836" s="25">
        <f t="shared" si="146"/>
        <v>0</v>
      </c>
    </row>
    <row r="1837" customHeight="1" spans="1:8">
      <c r="B1837" s="129"/>
      <c r="C1837" s="228" t="s">
        <v>2123</v>
      </c>
      <c r="D1837" s="229" t="s">
        <v>2124</v>
      </c>
      <c r="E1837" s="138"/>
      <c r="F1837" s="166"/>
      <c r="G1837" s="68">
        <v>0</v>
      </c>
      <c r="H1837" s="25">
        <f t="shared" si="146"/>
        <v>0</v>
      </c>
    </row>
    <row r="1838" customHeight="1" spans="1:8">
      <c r="A1838" s="8">
        <f ca="1" t="shared" ref="A1838:A1841" si="151">COUNTA(OFFSET(A$1,0,0,ROW()-1,1))+1</f>
        <v>881</v>
      </c>
      <c r="B1838" s="129"/>
      <c r="C1838" s="228"/>
      <c r="D1838" s="234"/>
      <c r="E1838" s="138" t="s">
        <v>329</v>
      </c>
      <c r="F1838" s="166">
        <v>17</v>
      </c>
      <c r="G1838" s="68">
        <v>0</v>
      </c>
      <c r="H1838" s="25">
        <f t="shared" si="146"/>
        <v>0</v>
      </c>
    </row>
    <row r="1839" customHeight="1" spans="1:8">
      <c r="B1839" s="129"/>
      <c r="C1839" s="226" t="s">
        <v>2129</v>
      </c>
      <c r="D1839" s="227" t="s">
        <v>2130</v>
      </c>
      <c r="E1839" s="138"/>
      <c r="F1839" s="166"/>
      <c r="G1839" s="68">
        <v>0</v>
      </c>
      <c r="H1839" s="25">
        <f t="shared" si="146"/>
        <v>0</v>
      </c>
    </row>
    <row r="1840" customHeight="1" spans="1:8">
      <c r="A1840" s="8">
        <f ca="1" t="shared" si="151"/>
        <v>882</v>
      </c>
      <c r="B1840" s="129"/>
      <c r="C1840" s="228" t="s">
        <v>2131</v>
      </c>
      <c r="D1840" s="229" t="s">
        <v>2132</v>
      </c>
      <c r="E1840" s="138" t="s">
        <v>329</v>
      </c>
      <c r="F1840" s="166">
        <v>232.2</v>
      </c>
      <c r="G1840" s="68">
        <v>0</v>
      </c>
      <c r="H1840" s="25">
        <f t="shared" si="146"/>
        <v>0</v>
      </c>
    </row>
    <row r="1841" customHeight="1" spans="1:8">
      <c r="A1841" s="8">
        <f ca="1" t="shared" si="151"/>
        <v>883</v>
      </c>
      <c r="B1841" s="129"/>
      <c r="C1841" s="228" t="s">
        <v>2135</v>
      </c>
      <c r="D1841" s="229" t="s">
        <v>2136</v>
      </c>
      <c r="E1841" s="138" t="s">
        <v>225</v>
      </c>
      <c r="F1841" s="166">
        <v>69.8</v>
      </c>
      <c r="G1841" s="68">
        <v>0</v>
      </c>
      <c r="H1841" s="25">
        <f t="shared" si="146"/>
        <v>0</v>
      </c>
    </row>
    <row r="1842" customHeight="1" spans="1:8">
      <c r="B1842" s="129"/>
      <c r="C1842" s="228" t="s">
        <v>2139</v>
      </c>
      <c r="D1842" s="229" t="s">
        <v>2140</v>
      </c>
      <c r="E1842" s="138"/>
      <c r="F1842" s="166"/>
      <c r="G1842" s="68">
        <v>0</v>
      </c>
      <c r="H1842" s="25">
        <f t="shared" si="146"/>
        <v>0</v>
      </c>
    </row>
    <row r="1843" customHeight="1" spans="1:8">
      <c r="A1843" s="8">
        <f ca="1" t="shared" ref="A1843:A1846" si="152">COUNTA(OFFSET(A$1,0,0,ROW()-1,1))+1</f>
        <v>884</v>
      </c>
      <c r="B1843" s="129"/>
      <c r="C1843" s="230" t="s">
        <v>2141</v>
      </c>
      <c r="D1843" s="231" t="s">
        <v>2142</v>
      </c>
      <c r="E1843" s="232" t="s">
        <v>336</v>
      </c>
      <c r="F1843" s="166">
        <v>20.15</v>
      </c>
      <c r="G1843" s="68">
        <v>0</v>
      </c>
      <c r="H1843" s="25">
        <f t="shared" si="146"/>
        <v>0</v>
      </c>
    </row>
    <row r="1844" customHeight="1" spans="1:8">
      <c r="A1844" s="8">
        <f ca="1" t="shared" si="152"/>
        <v>885</v>
      </c>
      <c r="B1844" s="129"/>
      <c r="C1844" s="228" t="s">
        <v>2147</v>
      </c>
      <c r="D1844" s="229" t="s">
        <v>2148</v>
      </c>
      <c r="E1844" s="138" t="s">
        <v>329</v>
      </c>
      <c r="F1844" s="166">
        <v>43.4</v>
      </c>
      <c r="G1844" s="68">
        <v>0</v>
      </c>
      <c r="H1844" s="25">
        <f t="shared" si="146"/>
        <v>0</v>
      </c>
    </row>
    <row r="1845" customHeight="1" spans="1:8">
      <c r="B1845" s="129"/>
      <c r="C1845" s="228" t="s">
        <v>2149</v>
      </c>
      <c r="D1845" s="229" t="s">
        <v>2150</v>
      </c>
      <c r="E1845" s="138"/>
      <c r="F1845" s="166"/>
      <c r="G1845" s="68">
        <v>0</v>
      </c>
      <c r="H1845" s="25">
        <f t="shared" si="146"/>
        <v>0</v>
      </c>
    </row>
    <row r="1846" customHeight="1" spans="1:8">
      <c r="A1846" s="8">
        <f ca="1" t="shared" si="152"/>
        <v>886</v>
      </c>
      <c r="B1846" s="129"/>
      <c r="C1846" s="228" t="s">
        <v>2151</v>
      </c>
      <c r="D1846" s="229" t="s">
        <v>2152</v>
      </c>
      <c r="E1846" s="138" t="s">
        <v>329</v>
      </c>
      <c r="F1846" s="166">
        <v>64.66</v>
      </c>
      <c r="G1846" s="68">
        <v>0</v>
      </c>
      <c r="H1846" s="25">
        <f t="shared" si="146"/>
        <v>0</v>
      </c>
    </row>
    <row r="1847" customHeight="1" spans="1:8">
      <c r="B1847" s="129"/>
      <c r="C1847" s="228" t="s">
        <v>2155</v>
      </c>
      <c r="D1847" s="229" t="s">
        <v>2156</v>
      </c>
      <c r="E1847" s="138"/>
      <c r="F1847" s="166"/>
      <c r="G1847" s="68">
        <v>0</v>
      </c>
      <c r="H1847" s="25">
        <f t="shared" si="146"/>
        <v>0</v>
      </c>
    </row>
    <row r="1848" customHeight="1" spans="1:8">
      <c r="A1848" s="8">
        <f ca="1" t="shared" ref="A1848:A1851" si="153">COUNTA(OFFSET(A$1,0,0,ROW()-1,1))+1</f>
        <v>887</v>
      </c>
      <c r="B1848" s="129"/>
      <c r="C1848" s="228" t="s">
        <v>2157</v>
      </c>
      <c r="D1848" s="229" t="s">
        <v>2158</v>
      </c>
      <c r="E1848" s="138" t="s">
        <v>329</v>
      </c>
      <c r="F1848" s="166">
        <v>74.15</v>
      </c>
      <c r="G1848" s="68">
        <v>0</v>
      </c>
      <c r="H1848" s="25">
        <f t="shared" si="146"/>
        <v>0</v>
      </c>
    </row>
    <row r="1849" customHeight="1" spans="1:8">
      <c r="B1849" s="129"/>
      <c r="C1849" s="228" t="s">
        <v>2159</v>
      </c>
      <c r="D1849" s="229" t="s">
        <v>2160</v>
      </c>
      <c r="E1849" s="138"/>
      <c r="F1849" s="166"/>
      <c r="G1849" s="68">
        <v>0</v>
      </c>
      <c r="H1849" s="25">
        <f t="shared" si="146"/>
        <v>0</v>
      </c>
    </row>
    <row r="1850" customHeight="1" spans="1:8">
      <c r="A1850" s="8">
        <f ca="1" t="shared" si="153"/>
        <v>888</v>
      </c>
      <c r="B1850" s="129"/>
      <c r="C1850" s="228" t="s">
        <v>2351</v>
      </c>
      <c r="D1850" s="229" t="s">
        <v>2352</v>
      </c>
      <c r="E1850" s="138" t="s">
        <v>225</v>
      </c>
      <c r="F1850" s="166">
        <v>52.6</v>
      </c>
      <c r="G1850" s="68">
        <v>0</v>
      </c>
      <c r="H1850" s="25">
        <f t="shared" si="146"/>
        <v>0</v>
      </c>
    </row>
    <row r="1851" customHeight="1" spans="1:8">
      <c r="A1851" s="8">
        <f ca="1" t="shared" si="153"/>
        <v>889</v>
      </c>
      <c r="B1851" s="129"/>
      <c r="C1851" s="228" t="s">
        <v>2353</v>
      </c>
      <c r="D1851" s="229" t="s">
        <v>2354</v>
      </c>
      <c r="E1851" s="138" t="s">
        <v>238</v>
      </c>
      <c r="F1851" s="166">
        <v>4</v>
      </c>
      <c r="G1851" s="68">
        <v>0</v>
      </c>
      <c r="H1851" s="25">
        <f t="shared" si="146"/>
        <v>0</v>
      </c>
    </row>
    <row r="1852" customHeight="1" spans="1:8">
      <c r="B1852" s="129"/>
      <c r="C1852" s="228" t="s">
        <v>2167</v>
      </c>
      <c r="D1852" s="229" t="s">
        <v>2168</v>
      </c>
      <c r="E1852" s="138"/>
      <c r="F1852" s="166"/>
      <c r="G1852" s="68">
        <v>0</v>
      </c>
      <c r="H1852" s="25">
        <f t="shared" si="146"/>
        <v>0</v>
      </c>
    </row>
    <row r="1853" customHeight="1" spans="1:8">
      <c r="A1853" s="8">
        <f ca="1" t="shared" ref="A1853:A1856" si="154">COUNTA(OFFSET(A$1,0,0,ROW()-1,1))+1</f>
        <v>890</v>
      </c>
      <c r="B1853" s="129"/>
      <c r="C1853" s="228" t="s">
        <v>2355</v>
      </c>
      <c r="D1853" s="234" t="s">
        <v>2356</v>
      </c>
      <c r="E1853" s="138" t="s">
        <v>238</v>
      </c>
      <c r="F1853" s="166">
        <v>5</v>
      </c>
      <c r="G1853" s="68">
        <v>0</v>
      </c>
      <c r="H1853" s="25">
        <f t="shared" si="146"/>
        <v>0</v>
      </c>
    </row>
    <row r="1854" customHeight="1" spans="1:8">
      <c r="A1854" s="8">
        <f ca="1" t="shared" si="154"/>
        <v>891</v>
      </c>
      <c r="B1854" s="129"/>
      <c r="C1854" s="228" t="s">
        <v>2173</v>
      </c>
      <c r="D1854" s="234" t="s">
        <v>2173</v>
      </c>
      <c r="E1854" s="138" t="s">
        <v>238</v>
      </c>
      <c r="F1854" s="166">
        <v>5</v>
      </c>
      <c r="G1854" s="68">
        <v>0</v>
      </c>
      <c r="H1854" s="25">
        <f t="shared" si="146"/>
        <v>0</v>
      </c>
    </row>
    <row r="1855" customHeight="1" spans="1:8">
      <c r="B1855" s="129"/>
      <c r="C1855" s="230" t="s">
        <v>2247</v>
      </c>
      <c r="D1855" s="231" t="s">
        <v>2248</v>
      </c>
      <c r="E1855" s="138"/>
      <c r="F1855" s="166"/>
      <c r="G1855" s="68">
        <v>0</v>
      </c>
      <c r="H1855" s="25">
        <f t="shared" si="146"/>
        <v>0</v>
      </c>
    </row>
    <row r="1856" customHeight="1" spans="1:8">
      <c r="A1856" s="8">
        <f ca="1" t="shared" si="154"/>
        <v>892</v>
      </c>
      <c r="B1856" s="129"/>
      <c r="C1856" s="230" t="s">
        <v>2249</v>
      </c>
      <c r="D1856" s="231" t="s">
        <v>2250</v>
      </c>
      <c r="E1856" s="232" t="s">
        <v>2200</v>
      </c>
      <c r="F1856" s="166">
        <v>1</v>
      </c>
      <c r="G1856" s="68">
        <v>0</v>
      </c>
      <c r="H1856" s="25">
        <f t="shared" si="146"/>
        <v>0</v>
      </c>
    </row>
    <row r="1857" customHeight="1" spans="1:8">
      <c r="B1857" s="84"/>
      <c r="C1857" s="237"/>
      <c r="D1857" s="91"/>
      <c r="E1857" s="86"/>
      <c r="F1857" s="107"/>
      <c r="G1857" s="68">
        <v>0</v>
      </c>
      <c r="H1857" s="25">
        <f t="shared" si="146"/>
        <v>0</v>
      </c>
    </row>
    <row r="1858" customHeight="1" spans="1:8">
      <c r="A1858" s="8">
        <f ca="1" t="shared" ref="A1858:A1864" si="155">COUNTA(OFFSET(A$1,0,0,ROW()-1,1))+1</f>
        <v>893</v>
      </c>
      <c r="B1858" s="84" t="s">
        <v>2357</v>
      </c>
      <c r="C1858" s="185" t="s">
        <v>2358</v>
      </c>
      <c r="D1858" s="239" t="s">
        <v>2359</v>
      </c>
      <c r="E1858" s="86" t="s">
        <v>238</v>
      </c>
      <c r="F1858" s="107">
        <v>1</v>
      </c>
      <c r="G1858" s="68">
        <v>623888.9952</v>
      </c>
      <c r="H1858" s="25">
        <f t="shared" si="146"/>
        <v>623889</v>
      </c>
    </row>
    <row r="1859" customHeight="1" spans="1:8">
      <c r="B1859" s="129"/>
      <c r="C1859" s="226" t="s">
        <v>2098</v>
      </c>
      <c r="D1859" s="227" t="s">
        <v>2099</v>
      </c>
      <c r="E1859" s="138"/>
      <c r="F1859" s="166"/>
      <c r="G1859" s="68">
        <v>0</v>
      </c>
      <c r="H1859" s="25">
        <f t="shared" si="146"/>
        <v>0</v>
      </c>
    </row>
    <row r="1860" customHeight="1" spans="1:8">
      <c r="B1860" s="129"/>
      <c r="C1860" s="228" t="s">
        <v>2100</v>
      </c>
      <c r="D1860" s="229" t="s">
        <v>2101</v>
      </c>
      <c r="E1860" s="138"/>
      <c r="F1860" s="166"/>
      <c r="G1860" s="68">
        <v>0</v>
      </c>
      <c r="H1860" s="25">
        <f t="shared" si="146"/>
        <v>0</v>
      </c>
    </row>
    <row r="1861" customHeight="1" spans="1:8">
      <c r="A1861" s="8">
        <f ca="1" t="shared" si="155"/>
        <v>894</v>
      </c>
      <c r="B1861" s="129"/>
      <c r="C1861" s="230" t="s">
        <v>2102</v>
      </c>
      <c r="D1861" s="231" t="s">
        <v>2103</v>
      </c>
      <c r="E1861" s="232" t="s">
        <v>329</v>
      </c>
      <c r="F1861" s="166">
        <v>519.44</v>
      </c>
      <c r="G1861" s="68">
        <v>0</v>
      </c>
      <c r="H1861" s="25">
        <f t="shared" si="146"/>
        <v>0</v>
      </c>
    </row>
    <row r="1862" customHeight="1" spans="1:8">
      <c r="A1862" s="8">
        <f ca="1" t="shared" si="155"/>
        <v>895</v>
      </c>
      <c r="B1862" s="129"/>
      <c r="C1862" s="228" t="s">
        <v>2104</v>
      </c>
      <c r="D1862" s="229" t="s">
        <v>2105</v>
      </c>
      <c r="E1862" s="138" t="s">
        <v>336</v>
      </c>
      <c r="F1862" s="166">
        <f>530.72</f>
        <v>530.72</v>
      </c>
      <c r="G1862" s="68">
        <v>0</v>
      </c>
      <c r="H1862" s="25">
        <f t="shared" si="146"/>
        <v>0</v>
      </c>
    </row>
    <row r="1863" customHeight="1" spans="1:8">
      <c r="A1863" s="8">
        <f ca="1" t="shared" si="155"/>
        <v>896</v>
      </c>
      <c r="B1863" s="129"/>
      <c r="C1863" s="228" t="s">
        <v>2106</v>
      </c>
      <c r="D1863" s="229" t="s">
        <v>2107</v>
      </c>
      <c r="E1863" s="138" t="s">
        <v>336</v>
      </c>
      <c r="F1863" s="166">
        <f>163.38</f>
        <v>163.38</v>
      </c>
      <c r="G1863" s="68">
        <v>0</v>
      </c>
      <c r="H1863" s="25">
        <f t="shared" si="146"/>
        <v>0</v>
      </c>
    </row>
    <row r="1864" customHeight="1" spans="1:8">
      <c r="A1864" s="8">
        <f ca="1" t="shared" si="155"/>
        <v>897</v>
      </c>
      <c r="B1864" s="129"/>
      <c r="C1864" s="228" t="s">
        <v>2108</v>
      </c>
      <c r="D1864" s="229" t="s">
        <v>2109</v>
      </c>
      <c r="E1864" s="138" t="s">
        <v>336</v>
      </c>
      <c r="F1864" s="166">
        <f>F1862-F1863</f>
        <v>367.34</v>
      </c>
      <c r="G1864" s="68">
        <v>0</v>
      </c>
      <c r="H1864" s="25">
        <f t="shared" ref="H1864:H1927" si="156">IFERROR(ROUND(G1864*F1864,0),0)</f>
        <v>0</v>
      </c>
    </row>
    <row r="1865" customHeight="1" spans="1:8">
      <c r="B1865" s="129"/>
      <c r="C1865" s="228" t="s">
        <v>2110</v>
      </c>
      <c r="D1865" s="229" t="s">
        <v>2111</v>
      </c>
      <c r="E1865" s="138" t="s">
        <v>336</v>
      </c>
      <c r="F1865" s="166"/>
      <c r="G1865" s="68">
        <v>0</v>
      </c>
      <c r="H1865" s="25">
        <f t="shared" si="156"/>
        <v>0</v>
      </c>
    </row>
    <row r="1866" customHeight="1" spans="1:8">
      <c r="A1866" s="8">
        <f ca="1" t="shared" ref="A1866:A1872" si="157">COUNTA(OFFSET(A$1,0,0,ROW()-1,1))+1</f>
        <v>898</v>
      </c>
      <c r="B1866" s="129"/>
      <c r="C1866" s="228" t="s">
        <v>2112</v>
      </c>
      <c r="D1866" s="229" t="s">
        <v>2113</v>
      </c>
      <c r="E1866" s="138" t="s">
        <v>336</v>
      </c>
      <c r="F1866" s="166">
        <f>59.15</f>
        <v>59.15</v>
      </c>
      <c r="G1866" s="68">
        <v>0</v>
      </c>
      <c r="H1866" s="25">
        <f t="shared" si="156"/>
        <v>0</v>
      </c>
    </row>
    <row r="1867" customHeight="1" spans="1:8">
      <c r="B1867" s="129"/>
      <c r="C1867" s="237" t="s">
        <v>2360</v>
      </c>
      <c r="D1867" s="238" t="s">
        <v>2361</v>
      </c>
      <c r="E1867" s="138"/>
      <c r="F1867" s="166"/>
      <c r="G1867" s="68">
        <v>0</v>
      </c>
      <c r="H1867" s="25">
        <f t="shared" si="156"/>
        <v>0</v>
      </c>
    </row>
    <row r="1868" customHeight="1" spans="1:8">
      <c r="A1868" s="8">
        <f ca="1" t="shared" si="157"/>
        <v>899</v>
      </c>
      <c r="B1868" s="129"/>
      <c r="C1868" s="237" t="s">
        <v>2362</v>
      </c>
      <c r="D1868" s="206" t="s">
        <v>2363</v>
      </c>
      <c r="E1868" s="86" t="s">
        <v>225</v>
      </c>
      <c r="F1868" s="166">
        <f>1248</f>
        <v>1248</v>
      </c>
      <c r="G1868" s="68">
        <v>0</v>
      </c>
      <c r="H1868" s="25">
        <f t="shared" si="156"/>
        <v>0</v>
      </c>
    </row>
    <row r="1869" customHeight="1" spans="1:8">
      <c r="B1869" s="129"/>
      <c r="C1869" s="228" t="s">
        <v>2114</v>
      </c>
      <c r="D1869" s="229" t="s">
        <v>2115</v>
      </c>
      <c r="E1869" s="138"/>
      <c r="F1869" s="166"/>
      <c r="G1869" s="68">
        <v>0</v>
      </c>
      <c r="H1869" s="25">
        <f t="shared" si="156"/>
        <v>0</v>
      </c>
    </row>
    <row r="1870" customHeight="1" spans="1:8">
      <c r="A1870" s="8">
        <f ca="1" t="shared" si="157"/>
        <v>900</v>
      </c>
      <c r="B1870" s="129"/>
      <c r="C1870" s="228" t="s">
        <v>2116</v>
      </c>
      <c r="D1870" s="229" t="s">
        <v>2117</v>
      </c>
      <c r="E1870" s="138" t="s">
        <v>336</v>
      </c>
      <c r="F1870" s="166">
        <f>886.8</f>
        <v>886.8</v>
      </c>
      <c r="G1870" s="68">
        <v>0</v>
      </c>
      <c r="H1870" s="25">
        <f t="shared" si="156"/>
        <v>0</v>
      </c>
    </row>
    <row r="1871" customHeight="1" spans="1:8">
      <c r="A1871" s="8">
        <f ca="1" t="shared" si="157"/>
        <v>901</v>
      </c>
      <c r="B1871" s="129"/>
      <c r="C1871" s="230" t="s">
        <v>2118</v>
      </c>
      <c r="D1871" s="231" t="s">
        <v>2119</v>
      </c>
      <c r="E1871" s="232" t="s">
        <v>329</v>
      </c>
      <c r="F1871" s="166">
        <v>24.12</v>
      </c>
      <c r="G1871" s="68">
        <v>0</v>
      </c>
      <c r="H1871" s="25">
        <f t="shared" si="156"/>
        <v>0</v>
      </c>
    </row>
    <row r="1872" customHeight="1" spans="1:8">
      <c r="A1872" s="8">
        <f ca="1" t="shared" si="157"/>
        <v>902</v>
      </c>
      <c r="B1872" s="129"/>
      <c r="C1872" s="230" t="s">
        <v>2120</v>
      </c>
      <c r="D1872" s="231" t="s">
        <v>2121</v>
      </c>
      <c r="E1872" s="232" t="s">
        <v>329</v>
      </c>
      <c r="F1872" s="166">
        <v>85.6</v>
      </c>
      <c r="G1872" s="68">
        <v>0</v>
      </c>
      <c r="H1872" s="25">
        <f t="shared" si="156"/>
        <v>0</v>
      </c>
    </row>
    <row r="1873" customHeight="1" spans="1:8">
      <c r="B1873" s="129"/>
      <c r="C1873" s="228" t="s">
        <v>841</v>
      </c>
      <c r="D1873" s="229" t="s">
        <v>842</v>
      </c>
      <c r="E1873" s="138"/>
      <c r="F1873" s="166"/>
      <c r="G1873" s="68">
        <v>0</v>
      </c>
      <c r="H1873" s="25">
        <f t="shared" si="156"/>
        <v>0</v>
      </c>
    </row>
    <row r="1874" customHeight="1" spans="1:8">
      <c r="A1874" s="8">
        <f ca="1" t="shared" ref="A1874:A1877" si="158">COUNTA(OFFSET(A$1,0,0,ROW()-1,1))+1</f>
        <v>903</v>
      </c>
      <c r="B1874" s="129"/>
      <c r="C1874" s="228" t="s">
        <v>841</v>
      </c>
      <c r="D1874" s="229" t="s">
        <v>842</v>
      </c>
      <c r="E1874" s="138" t="s">
        <v>329</v>
      </c>
      <c r="F1874" s="166">
        <v>5788.26</v>
      </c>
      <c r="G1874" s="68">
        <v>0</v>
      </c>
      <c r="H1874" s="25">
        <f t="shared" si="156"/>
        <v>0</v>
      </c>
    </row>
    <row r="1875" customHeight="1" spans="1:8">
      <c r="B1875" s="129"/>
      <c r="C1875" s="228" t="s">
        <v>843</v>
      </c>
      <c r="D1875" s="229" t="s">
        <v>844</v>
      </c>
      <c r="E1875" s="138"/>
      <c r="F1875" s="166"/>
      <c r="G1875" s="68">
        <v>0</v>
      </c>
      <c r="H1875" s="25">
        <f t="shared" si="156"/>
        <v>0</v>
      </c>
    </row>
    <row r="1876" customHeight="1" spans="1:8">
      <c r="A1876" s="8">
        <f ca="1" t="shared" si="158"/>
        <v>904</v>
      </c>
      <c r="B1876" s="129"/>
      <c r="C1876" s="228" t="s">
        <v>2122</v>
      </c>
      <c r="D1876" s="229" t="s">
        <v>956</v>
      </c>
      <c r="E1876" s="138" t="s">
        <v>464</v>
      </c>
      <c r="F1876" s="166">
        <f>121422.57</f>
        <v>121422.57</v>
      </c>
      <c r="G1876" s="68">
        <v>0</v>
      </c>
      <c r="H1876" s="25">
        <f t="shared" si="156"/>
        <v>0</v>
      </c>
    </row>
    <row r="1877" customHeight="1" spans="1:8">
      <c r="A1877" s="8">
        <f ca="1" t="shared" si="158"/>
        <v>905</v>
      </c>
      <c r="B1877" s="129"/>
      <c r="C1877" s="237" t="s">
        <v>2333</v>
      </c>
      <c r="D1877" s="238" t="s">
        <v>2334</v>
      </c>
      <c r="E1877" s="86" t="s">
        <v>445</v>
      </c>
      <c r="F1877" s="166">
        <v>1.2</v>
      </c>
      <c r="G1877" s="68">
        <v>0</v>
      </c>
      <c r="H1877" s="25">
        <f t="shared" si="156"/>
        <v>0</v>
      </c>
    </row>
    <row r="1878" customHeight="1" spans="1:8">
      <c r="B1878" s="129"/>
      <c r="C1878" s="228" t="s">
        <v>2335</v>
      </c>
      <c r="D1878" s="229" t="s">
        <v>2336</v>
      </c>
      <c r="E1878" s="138"/>
      <c r="F1878" s="166"/>
      <c r="G1878" s="68">
        <v>0</v>
      </c>
      <c r="H1878" s="25">
        <f t="shared" si="156"/>
        <v>0</v>
      </c>
    </row>
    <row r="1879" customHeight="1" spans="1:8">
      <c r="A1879" s="8">
        <f ca="1">COUNTA(OFFSET(A$1,0,0,ROW()-1,1))+1</f>
        <v>906</v>
      </c>
      <c r="B1879" s="129"/>
      <c r="C1879" s="237" t="s">
        <v>2364</v>
      </c>
      <c r="D1879" s="238" t="s">
        <v>772</v>
      </c>
      <c r="E1879" s="86" t="s">
        <v>445</v>
      </c>
      <c r="F1879" s="166">
        <v>1.6</v>
      </c>
      <c r="G1879" s="68">
        <v>0</v>
      </c>
      <c r="H1879" s="25">
        <f t="shared" si="156"/>
        <v>0</v>
      </c>
    </row>
    <row r="1880" customHeight="1" spans="1:8">
      <c r="B1880" s="129"/>
      <c r="C1880" s="228" t="s">
        <v>2293</v>
      </c>
      <c r="D1880" s="229" t="s">
        <v>2294</v>
      </c>
      <c r="E1880" s="138" t="s">
        <v>464</v>
      </c>
      <c r="F1880" s="166"/>
      <c r="G1880" s="68">
        <v>0</v>
      </c>
      <c r="H1880" s="25">
        <f t="shared" si="156"/>
        <v>0</v>
      </c>
    </row>
    <row r="1881" customHeight="1" spans="1:8">
      <c r="B1881" s="129"/>
      <c r="C1881" s="228" t="s">
        <v>2295</v>
      </c>
      <c r="D1881" s="229" t="s">
        <v>2296</v>
      </c>
      <c r="E1881" s="138" t="s">
        <v>238</v>
      </c>
      <c r="F1881" s="166"/>
      <c r="G1881" s="68">
        <v>0</v>
      </c>
      <c r="H1881" s="25">
        <f t="shared" si="156"/>
        <v>0</v>
      </c>
    </row>
    <row r="1882" customHeight="1" spans="1:8">
      <c r="B1882" s="129"/>
      <c r="C1882" s="228" t="s">
        <v>2349</v>
      </c>
      <c r="D1882" s="229" t="s">
        <v>2350</v>
      </c>
      <c r="E1882" s="138" t="s">
        <v>336</v>
      </c>
      <c r="F1882" s="166"/>
      <c r="G1882" s="68">
        <v>0</v>
      </c>
      <c r="H1882" s="25">
        <f t="shared" si="156"/>
        <v>0</v>
      </c>
    </row>
    <row r="1883" customHeight="1" spans="1:8">
      <c r="B1883" s="129"/>
      <c r="C1883" s="228" t="s">
        <v>2123</v>
      </c>
      <c r="D1883" s="229" t="s">
        <v>2124</v>
      </c>
      <c r="E1883" s="138"/>
      <c r="F1883" s="166"/>
      <c r="G1883" s="68">
        <v>0</v>
      </c>
      <c r="H1883" s="25">
        <f t="shared" si="156"/>
        <v>0</v>
      </c>
    </row>
    <row r="1884" customHeight="1" spans="1:8">
      <c r="B1884" s="129"/>
      <c r="C1884" s="228" t="s">
        <v>2265</v>
      </c>
      <c r="D1884" s="229" t="s">
        <v>2126</v>
      </c>
      <c r="E1884" s="138" t="s">
        <v>329</v>
      </c>
      <c r="F1884" s="166"/>
      <c r="G1884" s="68">
        <v>0</v>
      </c>
      <c r="H1884" s="25">
        <f t="shared" si="156"/>
        <v>0</v>
      </c>
    </row>
    <row r="1885" customHeight="1" spans="1:8">
      <c r="B1885" s="129"/>
      <c r="C1885" s="226" t="s">
        <v>2129</v>
      </c>
      <c r="D1885" s="227" t="s">
        <v>2130</v>
      </c>
      <c r="E1885" s="138"/>
      <c r="F1885" s="166"/>
      <c r="G1885" s="68">
        <v>0</v>
      </c>
      <c r="H1885" s="25">
        <f t="shared" si="156"/>
        <v>0</v>
      </c>
    </row>
    <row r="1886" customHeight="1" spans="1:8">
      <c r="A1886" s="8">
        <f ca="1" t="shared" ref="A1886:A1888" si="159">COUNTA(OFFSET(A$1,0,0,ROW()-1,1))+1</f>
        <v>907</v>
      </c>
      <c r="B1886" s="129"/>
      <c r="C1886" s="228" t="s">
        <v>2131</v>
      </c>
      <c r="D1886" s="229" t="s">
        <v>2132</v>
      </c>
      <c r="E1886" s="138" t="s">
        <v>329</v>
      </c>
      <c r="F1886" s="166">
        <f>1558.32+238.5</f>
        <v>1796.82</v>
      </c>
      <c r="G1886" s="68">
        <v>0</v>
      </c>
      <c r="H1886" s="25">
        <f t="shared" si="156"/>
        <v>0</v>
      </c>
    </row>
    <row r="1887" customHeight="1" spans="1:8">
      <c r="A1887" s="8">
        <f ca="1" t="shared" si="159"/>
        <v>908</v>
      </c>
      <c r="B1887" s="129"/>
      <c r="C1887" s="228" t="s">
        <v>2135</v>
      </c>
      <c r="D1887" s="229" t="s">
        <v>2136</v>
      </c>
      <c r="E1887" s="138" t="s">
        <v>225</v>
      </c>
      <c r="F1887" s="166">
        <v>701.36</v>
      </c>
      <c r="G1887" s="68">
        <v>0</v>
      </c>
      <c r="H1887" s="25">
        <f t="shared" si="156"/>
        <v>0</v>
      </c>
    </row>
    <row r="1888" customHeight="1" spans="1:8">
      <c r="A1888" s="8">
        <f ca="1" t="shared" si="159"/>
        <v>909</v>
      </c>
      <c r="B1888" s="129"/>
      <c r="C1888" s="228" t="s">
        <v>2137</v>
      </c>
      <c r="D1888" s="229" t="s">
        <v>2138</v>
      </c>
      <c r="E1888" s="138" t="s">
        <v>329</v>
      </c>
      <c r="F1888" s="166">
        <f>1558.32</f>
        <v>1558.32</v>
      </c>
      <c r="G1888" s="68">
        <v>0</v>
      </c>
      <c r="H1888" s="25">
        <f t="shared" si="156"/>
        <v>0</v>
      </c>
    </row>
    <row r="1889" customHeight="1" spans="1:8">
      <c r="B1889" s="129"/>
      <c r="C1889" s="228" t="s">
        <v>2139</v>
      </c>
      <c r="D1889" s="229" t="s">
        <v>2140</v>
      </c>
      <c r="E1889" s="138"/>
      <c r="F1889" s="166"/>
      <c r="G1889" s="68">
        <v>0</v>
      </c>
      <c r="H1889" s="25">
        <f t="shared" si="156"/>
        <v>0</v>
      </c>
    </row>
    <row r="1890" customHeight="1" spans="1:8">
      <c r="A1890" s="8">
        <f ca="1" t="shared" ref="A1890:A1892" si="160">COUNTA(OFFSET(A$1,0,0,ROW()-1,1))+1</f>
        <v>910</v>
      </c>
      <c r="B1890" s="129"/>
      <c r="C1890" s="230" t="s">
        <v>2141</v>
      </c>
      <c r="D1890" s="231" t="s">
        <v>2142</v>
      </c>
      <c r="E1890" s="232" t="s">
        <v>336</v>
      </c>
      <c r="F1890" s="166">
        <v>21.66</v>
      </c>
      <c r="G1890" s="68">
        <v>0</v>
      </c>
      <c r="H1890" s="25">
        <f t="shared" si="156"/>
        <v>0</v>
      </c>
    </row>
    <row r="1891" customHeight="1" spans="1:8">
      <c r="A1891" s="8">
        <f ca="1" t="shared" si="160"/>
        <v>911</v>
      </c>
      <c r="B1891" s="129"/>
      <c r="C1891" s="228" t="s">
        <v>2143</v>
      </c>
      <c r="D1891" s="229" t="s">
        <v>2144</v>
      </c>
      <c r="E1891" s="138" t="s">
        <v>329</v>
      </c>
      <c r="F1891" s="166">
        <v>202.03</v>
      </c>
      <c r="G1891" s="68">
        <v>0</v>
      </c>
      <c r="H1891" s="25">
        <f t="shared" si="156"/>
        <v>0</v>
      </c>
    </row>
    <row r="1892" customHeight="1" spans="1:8">
      <c r="A1892" s="8">
        <f ca="1" t="shared" si="160"/>
        <v>912</v>
      </c>
      <c r="B1892" s="129"/>
      <c r="C1892" s="228" t="s">
        <v>2147</v>
      </c>
      <c r="D1892" s="229" t="s">
        <v>2148</v>
      </c>
      <c r="E1892" s="138" t="s">
        <v>329</v>
      </c>
      <c r="F1892" s="166">
        <f>(30+17)*2*0.2*13.8*0.8</f>
        <v>207.552</v>
      </c>
      <c r="G1892" s="68">
        <v>0</v>
      </c>
      <c r="H1892" s="25">
        <f t="shared" si="156"/>
        <v>0</v>
      </c>
    </row>
    <row r="1893" customHeight="1" spans="1:8">
      <c r="B1893" s="129"/>
      <c r="C1893" s="228" t="s">
        <v>2365</v>
      </c>
      <c r="D1893" s="229" t="s">
        <v>2366</v>
      </c>
      <c r="E1893" s="138" t="s">
        <v>329</v>
      </c>
      <c r="F1893" s="166"/>
      <c r="G1893" s="68">
        <v>0</v>
      </c>
      <c r="H1893" s="25">
        <f t="shared" si="156"/>
        <v>0</v>
      </c>
    </row>
    <row r="1894" customHeight="1" spans="1:8">
      <c r="B1894" s="129"/>
      <c r="C1894" s="228" t="s">
        <v>2149</v>
      </c>
      <c r="D1894" s="229" t="s">
        <v>2150</v>
      </c>
      <c r="E1894" s="138"/>
      <c r="F1894" s="166"/>
      <c r="G1894" s="68">
        <v>0</v>
      </c>
      <c r="H1894" s="25">
        <f t="shared" si="156"/>
        <v>0</v>
      </c>
    </row>
    <row r="1895" customHeight="1" spans="1:8">
      <c r="A1895" s="8">
        <f ca="1" t="shared" ref="A1895:A1898" si="161">COUNTA(OFFSET(A$1,0,0,ROW()-1,1))+1</f>
        <v>913</v>
      </c>
      <c r="B1895" s="129"/>
      <c r="C1895" s="228" t="s">
        <v>2151</v>
      </c>
      <c r="D1895" s="229" t="s">
        <v>2152</v>
      </c>
      <c r="E1895" s="138" t="s">
        <v>329</v>
      </c>
      <c r="F1895" s="166">
        <v>3638.1</v>
      </c>
      <c r="G1895" s="68">
        <v>0</v>
      </c>
      <c r="H1895" s="25">
        <f t="shared" si="156"/>
        <v>0</v>
      </c>
    </row>
    <row r="1896" customHeight="1" spans="1:8">
      <c r="A1896" s="8">
        <f ca="1" t="shared" si="161"/>
        <v>914</v>
      </c>
      <c r="B1896" s="129"/>
      <c r="C1896" s="230" t="s">
        <v>2153</v>
      </c>
      <c r="D1896" s="231" t="s">
        <v>2154</v>
      </c>
      <c r="E1896" s="232" t="s">
        <v>329</v>
      </c>
      <c r="F1896" s="233">
        <f>(30+17)*2*0.6</f>
        <v>56.4</v>
      </c>
      <c r="G1896" s="68">
        <v>0</v>
      </c>
      <c r="H1896" s="25">
        <f t="shared" si="156"/>
        <v>0</v>
      </c>
    </row>
    <row r="1897" customHeight="1" spans="1:8">
      <c r="B1897" s="129"/>
      <c r="C1897" s="228" t="s">
        <v>2155</v>
      </c>
      <c r="D1897" s="229" t="s">
        <v>2156</v>
      </c>
      <c r="E1897" s="138"/>
      <c r="F1897" s="166"/>
      <c r="G1897" s="68">
        <v>0</v>
      </c>
      <c r="H1897" s="25">
        <f t="shared" si="156"/>
        <v>0</v>
      </c>
    </row>
    <row r="1898" customHeight="1" spans="1:8">
      <c r="A1898" s="8">
        <f ca="1" t="shared" si="161"/>
        <v>915</v>
      </c>
      <c r="B1898" s="129"/>
      <c r="C1898" s="228" t="s">
        <v>2157</v>
      </c>
      <c r="D1898" s="229" t="s">
        <v>2158</v>
      </c>
      <c r="E1898" s="138" t="s">
        <v>329</v>
      </c>
      <c r="F1898" s="166">
        <v>1664.64</v>
      </c>
      <c r="G1898" s="68">
        <v>0</v>
      </c>
      <c r="H1898" s="25">
        <f t="shared" si="156"/>
        <v>0</v>
      </c>
    </row>
    <row r="1899" customHeight="1" spans="1:8">
      <c r="B1899" s="129"/>
      <c r="C1899" s="228" t="s">
        <v>2159</v>
      </c>
      <c r="D1899" s="229" t="s">
        <v>2160</v>
      </c>
      <c r="E1899" s="138"/>
      <c r="F1899" s="166"/>
      <c r="G1899" s="68">
        <v>0</v>
      </c>
      <c r="H1899" s="25">
        <f t="shared" si="156"/>
        <v>0</v>
      </c>
    </row>
    <row r="1900" customHeight="1" spans="1:8">
      <c r="A1900" s="8">
        <f ca="1" t="shared" ref="A1900:A1905" si="162">COUNTA(OFFSET(A$1,0,0,ROW()-1,1))+1</f>
        <v>916</v>
      </c>
      <c r="B1900" s="129"/>
      <c r="C1900" s="230" t="s">
        <v>2161</v>
      </c>
      <c r="D1900" s="231" t="s">
        <v>2162</v>
      </c>
      <c r="E1900" s="232" t="s">
        <v>329</v>
      </c>
      <c r="F1900" s="166">
        <v>24.57</v>
      </c>
      <c r="G1900" s="68">
        <v>0</v>
      </c>
      <c r="H1900" s="25">
        <f t="shared" si="156"/>
        <v>0</v>
      </c>
    </row>
    <row r="1901" customHeight="1" spans="1:8">
      <c r="A1901" s="8">
        <f ca="1" t="shared" si="162"/>
        <v>917</v>
      </c>
      <c r="B1901" s="129"/>
      <c r="C1901" s="228" t="s">
        <v>2159</v>
      </c>
      <c r="D1901" s="229" t="s">
        <v>2160</v>
      </c>
      <c r="E1901" s="138" t="s">
        <v>329</v>
      </c>
      <c r="F1901" s="166">
        <f>30*17+(30+17)*2*0.25</f>
        <v>533.5</v>
      </c>
      <c r="G1901" s="68">
        <v>0</v>
      </c>
      <c r="H1901" s="25">
        <f t="shared" si="156"/>
        <v>0</v>
      </c>
    </row>
    <row r="1902" customHeight="1" spans="1:8">
      <c r="A1902" s="8">
        <f ca="1" t="shared" si="162"/>
        <v>918</v>
      </c>
      <c r="B1902" s="129"/>
      <c r="C1902" s="228" t="s">
        <v>2351</v>
      </c>
      <c r="D1902" s="229" t="s">
        <v>2352</v>
      </c>
      <c r="E1902" s="138" t="s">
        <v>225</v>
      </c>
      <c r="F1902" s="166">
        <f>(30+17)*2</f>
        <v>94</v>
      </c>
      <c r="G1902" s="68">
        <v>0</v>
      </c>
      <c r="H1902" s="25">
        <f t="shared" si="156"/>
        <v>0</v>
      </c>
    </row>
    <row r="1903" customHeight="1" spans="1:8">
      <c r="A1903" s="8">
        <f ca="1" t="shared" si="162"/>
        <v>919</v>
      </c>
      <c r="B1903" s="129"/>
      <c r="C1903" s="228" t="s">
        <v>2165</v>
      </c>
      <c r="D1903" s="229" t="s">
        <v>2166</v>
      </c>
      <c r="E1903" s="138" t="s">
        <v>225</v>
      </c>
      <c r="F1903" s="166">
        <f>13.8*2</f>
        <v>27.6</v>
      </c>
      <c r="G1903" s="68">
        <v>0</v>
      </c>
      <c r="H1903" s="25">
        <f t="shared" si="156"/>
        <v>0</v>
      </c>
    </row>
    <row r="1904" customHeight="1" spans="1:8">
      <c r="A1904" s="8">
        <f ca="1" t="shared" si="162"/>
        <v>920</v>
      </c>
      <c r="B1904" s="129"/>
      <c r="C1904" s="237" t="s">
        <v>2367</v>
      </c>
      <c r="D1904" s="238" t="s">
        <v>2368</v>
      </c>
      <c r="E1904" s="86" t="s">
        <v>329</v>
      </c>
      <c r="F1904" s="166">
        <v>671.67</v>
      </c>
      <c r="G1904" s="68">
        <v>0</v>
      </c>
      <c r="H1904" s="25">
        <f t="shared" si="156"/>
        <v>0</v>
      </c>
    </row>
    <row r="1905" customHeight="1" spans="1:8">
      <c r="A1905" s="8">
        <f ca="1" t="shared" si="162"/>
        <v>921</v>
      </c>
      <c r="B1905" s="129"/>
      <c r="C1905" s="237" t="s">
        <v>2369</v>
      </c>
      <c r="D1905" s="238" t="s">
        <v>2370</v>
      </c>
      <c r="E1905" s="86" t="s">
        <v>329</v>
      </c>
      <c r="F1905" s="166">
        <v>208</v>
      </c>
      <c r="G1905" s="68">
        <v>0</v>
      </c>
      <c r="H1905" s="25">
        <f t="shared" si="156"/>
        <v>0</v>
      </c>
    </row>
    <row r="1906" customHeight="1" spans="1:8">
      <c r="B1906" s="129"/>
      <c r="C1906" s="228" t="s">
        <v>2167</v>
      </c>
      <c r="D1906" s="229" t="s">
        <v>2168</v>
      </c>
      <c r="E1906" s="138"/>
      <c r="F1906" s="166"/>
      <c r="G1906" s="68">
        <v>0</v>
      </c>
      <c r="H1906" s="25">
        <f t="shared" si="156"/>
        <v>0</v>
      </c>
    </row>
    <row r="1907" customHeight="1" spans="1:8">
      <c r="A1907" s="8">
        <f ca="1" t="shared" ref="A1907:A1911" si="163">COUNTA(OFFSET(A$1,0,0,ROW()-1,1))+1</f>
        <v>922</v>
      </c>
      <c r="B1907" s="129"/>
      <c r="C1907" s="228" t="s">
        <v>2169</v>
      </c>
      <c r="D1907" s="234" t="s">
        <v>2170</v>
      </c>
      <c r="E1907" s="138" t="s">
        <v>238</v>
      </c>
      <c r="F1907" s="166">
        <v>22</v>
      </c>
      <c r="G1907" s="68">
        <v>0</v>
      </c>
      <c r="H1907" s="25">
        <f t="shared" si="156"/>
        <v>0</v>
      </c>
    </row>
    <row r="1908" customHeight="1" spans="1:8">
      <c r="A1908" s="8">
        <f ca="1" t="shared" si="163"/>
        <v>923</v>
      </c>
      <c r="B1908" s="129"/>
      <c r="C1908" s="228" t="s">
        <v>2371</v>
      </c>
      <c r="D1908" s="234" t="s">
        <v>2372</v>
      </c>
      <c r="E1908" s="138" t="s">
        <v>238</v>
      </c>
      <c r="F1908" s="166">
        <v>8</v>
      </c>
      <c r="G1908" s="68">
        <v>0</v>
      </c>
      <c r="H1908" s="25">
        <f t="shared" si="156"/>
        <v>0</v>
      </c>
    </row>
    <row r="1909" customHeight="1" spans="1:8">
      <c r="A1909" s="8">
        <f ca="1" t="shared" si="163"/>
        <v>924</v>
      </c>
      <c r="B1909" s="129"/>
      <c r="C1909" s="228" t="s">
        <v>2373</v>
      </c>
      <c r="D1909" s="234" t="s">
        <v>2374</v>
      </c>
      <c r="E1909" s="138" t="s">
        <v>238</v>
      </c>
      <c r="F1909" s="166">
        <v>12</v>
      </c>
      <c r="G1909" s="68">
        <v>0</v>
      </c>
      <c r="H1909" s="25">
        <f t="shared" si="156"/>
        <v>0</v>
      </c>
    </row>
    <row r="1910" customHeight="1" spans="1:8">
      <c r="A1910" s="8">
        <f ca="1" t="shared" si="163"/>
        <v>925</v>
      </c>
      <c r="B1910" s="129"/>
      <c r="C1910" s="228" t="s">
        <v>2375</v>
      </c>
      <c r="D1910" s="234" t="s">
        <v>2376</v>
      </c>
      <c r="E1910" s="138" t="s">
        <v>238</v>
      </c>
      <c r="F1910" s="166">
        <v>3</v>
      </c>
      <c r="G1910" s="68">
        <v>0</v>
      </c>
      <c r="H1910" s="25">
        <f t="shared" si="156"/>
        <v>0</v>
      </c>
    </row>
    <row r="1911" customHeight="1" spans="1:8">
      <c r="A1911" s="8">
        <f ca="1" t="shared" si="163"/>
        <v>926</v>
      </c>
      <c r="B1911" s="129"/>
      <c r="C1911" s="228" t="s">
        <v>2355</v>
      </c>
      <c r="D1911" s="234" t="s">
        <v>2356</v>
      </c>
      <c r="E1911" s="138" t="s">
        <v>238</v>
      </c>
      <c r="F1911" s="166">
        <v>1</v>
      </c>
      <c r="G1911" s="68">
        <v>0</v>
      </c>
      <c r="H1911" s="25">
        <f t="shared" si="156"/>
        <v>0</v>
      </c>
    </row>
    <row r="1912" customHeight="1" spans="1:8">
      <c r="B1912" s="129"/>
      <c r="C1912" s="228" t="s">
        <v>2173</v>
      </c>
      <c r="D1912" s="234" t="s">
        <v>2173</v>
      </c>
      <c r="E1912" s="138" t="s">
        <v>238</v>
      </c>
      <c r="F1912" s="166"/>
      <c r="G1912" s="68">
        <v>0</v>
      </c>
      <c r="H1912" s="25">
        <f t="shared" si="156"/>
        <v>0</v>
      </c>
    </row>
    <row r="1913" customHeight="1" spans="1:8">
      <c r="B1913" s="129"/>
      <c r="C1913" s="228" t="s">
        <v>2221</v>
      </c>
      <c r="D1913" s="229" t="s">
        <v>2222</v>
      </c>
      <c r="E1913" s="138"/>
      <c r="F1913" s="166"/>
      <c r="G1913" s="68">
        <v>0</v>
      </c>
      <c r="H1913" s="25">
        <f t="shared" si="156"/>
        <v>0</v>
      </c>
    </row>
    <row r="1914" customHeight="1" spans="1:8">
      <c r="B1914" s="129"/>
      <c r="C1914" s="228" t="s">
        <v>2223</v>
      </c>
      <c r="D1914" s="229" t="s">
        <v>2224</v>
      </c>
      <c r="E1914" s="138" t="s">
        <v>238</v>
      </c>
      <c r="F1914" s="166"/>
      <c r="G1914" s="68">
        <v>0</v>
      </c>
      <c r="H1914" s="25">
        <f t="shared" si="156"/>
        <v>0</v>
      </c>
    </row>
    <row r="1915" customHeight="1" spans="1:8">
      <c r="B1915" s="129"/>
      <c r="C1915" s="228" t="s">
        <v>2225</v>
      </c>
      <c r="D1915" s="229" t="s">
        <v>2226</v>
      </c>
      <c r="E1915" s="138" t="s">
        <v>238</v>
      </c>
      <c r="F1915" s="166"/>
      <c r="G1915" s="68">
        <v>0</v>
      </c>
      <c r="H1915" s="25">
        <f t="shared" si="156"/>
        <v>0</v>
      </c>
    </row>
    <row r="1916" customHeight="1" spans="1:8">
      <c r="B1916" s="129"/>
      <c r="C1916" s="228" t="s">
        <v>2227</v>
      </c>
      <c r="D1916" s="229" t="s">
        <v>2228</v>
      </c>
      <c r="E1916" s="138" t="s">
        <v>238</v>
      </c>
      <c r="F1916" s="166"/>
      <c r="G1916" s="68">
        <v>0</v>
      </c>
      <c r="H1916" s="25">
        <f t="shared" si="156"/>
        <v>0</v>
      </c>
    </row>
    <row r="1917" customHeight="1" spans="1:8">
      <c r="B1917" s="129"/>
      <c r="C1917" s="228" t="s">
        <v>2237</v>
      </c>
      <c r="D1917" s="229" t="s">
        <v>2124</v>
      </c>
      <c r="E1917" s="138"/>
      <c r="F1917" s="166"/>
      <c r="G1917" s="68">
        <v>0</v>
      </c>
      <c r="H1917" s="25">
        <f t="shared" si="156"/>
        <v>0</v>
      </c>
    </row>
    <row r="1918" customHeight="1" spans="1:8">
      <c r="A1918" s="8">
        <f ca="1" t="shared" ref="A1918:A1925" si="164">COUNTA(OFFSET(A$1,0,0,ROW()-1,1))+1</f>
        <v>927</v>
      </c>
      <c r="B1918" s="129"/>
      <c r="C1918" s="228" t="s">
        <v>2377</v>
      </c>
      <c r="D1918" s="229" t="s">
        <v>2378</v>
      </c>
      <c r="E1918" s="138" t="s">
        <v>2379</v>
      </c>
      <c r="F1918" s="166">
        <f>2.8*3*2</f>
        <v>16.8</v>
      </c>
      <c r="G1918" s="68">
        <v>0</v>
      </c>
      <c r="H1918" s="25">
        <f t="shared" si="156"/>
        <v>0</v>
      </c>
    </row>
    <row r="1919" customHeight="1" spans="1:8">
      <c r="A1919" s="8">
        <f ca="1" t="shared" si="164"/>
        <v>928</v>
      </c>
      <c r="B1919" s="129"/>
      <c r="C1919" s="228" t="s">
        <v>2240</v>
      </c>
      <c r="D1919" s="229" t="s">
        <v>1234</v>
      </c>
      <c r="E1919" s="138" t="s">
        <v>225</v>
      </c>
      <c r="F1919" s="166">
        <f>1.2*11*3*2</f>
        <v>79.2</v>
      </c>
      <c r="G1919" s="68">
        <v>0</v>
      </c>
      <c r="H1919" s="25">
        <f t="shared" si="156"/>
        <v>0</v>
      </c>
    </row>
    <row r="1920" customHeight="1" spans="1:8">
      <c r="B1920" s="129"/>
      <c r="C1920" s="228" t="s">
        <v>2241</v>
      </c>
      <c r="D1920" s="229" t="s">
        <v>2242</v>
      </c>
      <c r="E1920" s="138" t="s">
        <v>225</v>
      </c>
      <c r="F1920" s="166"/>
      <c r="G1920" s="68">
        <v>0</v>
      </c>
      <c r="H1920" s="25">
        <f t="shared" si="156"/>
        <v>0</v>
      </c>
    </row>
    <row r="1921" customHeight="1" spans="1:8">
      <c r="B1921" s="129"/>
      <c r="C1921" s="228" t="s">
        <v>2245</v>
      </c>
      <c r="D1921" s="229" t="s">
        <v>2246</v>
      </c>
      <c r="E1921" s="138" t="s">
        <v>225</v>
      </c>
      <c r="F1921" s="166"/>
      <c r="G1921" s="68">
        <v>0</v>
      </c>
      <c r="H1921" s="25">
        <f t="shared" si="156"/>
        <v>0</v>
      </c>
    </row>
    <row r="1922" customHeight="1" spans="1:8">
      <c r="B1922" s="129"/>
      <c r="C1922" s="230" t="s">
        <v>2247</v>
      </c>
      <c r="D1922" s="231" t="s">
        <v>2248</v>
      </c>
      <c r="E1922" s="138"/>
      <c r="F1922" s="166"/>
      <c r="G1922" s="68">
        <v>0</v>
      </c>
      <c r="H1922" s="25">
        <f t="shared" si="156"/>
        <v>0</v>
      </c>
    </row>
    <row r="1923" customHeight="1" spans="1:8">
      <c r="A1923" s="8">
        <f ca="1" t="shared" si="164"/>
        <v>929</v>
      </c>
      <c r="B1923" s="129"/>
      <c r="C1923" s="230" t="s">
        <v>2249</v>
      </c>
      <c r="D1923" s="231" t="s">
        <v>2250</v>
      </c>
      <c r="E1923" s="232" t="s">
        <v>2200</v>
      </c>
      <c r="F1923" s="166">
        <f>1</f>
        <v>1</v>
      </c>
      <c r="G1923" s="68">
        <v>0</v>
      </c>
      <c r="H1923" s="25">
        <f t="shared" si="156"/>
        <v>0</v>
      </c>
    </row>
    <row r="1924" customHeight="1" spans="1:8">
      <c r="A1924" s="8">
        <f ca="1" t="shared" si="164"/>
        <v>930</v>
      </c>
      <c r="B1924" s="129"/>
      <c r="C1924" s="230" t="s">
        <v>2251</v>
      </c>
      <c r="D1924" s="231" t="s">
        <v>2252</v>
      </c>
      <c r="E1924" s="232" t="s">
        <v>2253</v>
      </c>
      <c r="F1924" s="166">
        <v>1558.32</v>
      </c>
      <c r="G1924" s="68">
        <v>0</v>
      </c>
      <c r="H1924" s="25">
        <f t="shared" si="156"/>
        <v>0</v>
      </c>
    </row>
    <row r="1925" customHeight="1" spans="1:8">
      <c r="A1925" s="8">
        <f ca="1" t="shared" si="164"/>
        <v>931</v>
      </c>
      <c r="B1925" s="129"/>
      <c r="C1925" s="230" t="s">
        <v>2254</v>
      </c>
      <c r="D1925" s="231" t="s">
        <v>2255</v>
      </c>
      <c r="E1925" s="232" t="s">
        <v>2200</v>
      </c>
      <c r="F1925" s="166">
        <f>1</f>
        <v>1</v>
      </c>
      <c r="G1925" s="68">
        <v>0</v>
      </c>
      <c r="H1925" s="25">
        <f t="shared" si="156"/>
        <v>0</v>
      </c>
    </row>
    <row r="1926" customHeight="1" spans="1:8">
      <c r="B1926" s="240"/>
      <c r="C1926" s="241"/>
      <c r="D1926" s="85"/>
      <c r="E1926" s="86"/>
      <c r="F1926" s="87"/>
      <c r="G1926" s="68">
        <v>0</v>
      </c>
      <c r="H1926" s="25">
        <f t="shared" si="156"/>
        <v>0</v>
      </c>
    </row>
    <row r="1927" customHeight="1" spans="1:8">
      <c r="B1927" s="84" t="s">
        <v>2380</v>
      </c>
      <c r="C1927" s="242" t="s">
        <v>2381</v>
      </c>
      <c r="D1927" s="178" t="s">
        <v>2382</v>
      </c>
      <c r="E1927" s="86"/>
      <c r="F1927" s="107"/>
      <c r="G1927" s="68">
        <v>0</v>
      </c>
      <c r="H1927" s="25">
        <f t="shared" si="156"/>
        <v>0</v>
      </c>
    </row>
    <row r="1928" customHeight="1" spans="1:8">
      <c r="A1928" s="8">
        <f ca="1">COUNTA(OFFSET(A$1,0,0,ROW()-1,1))+1</f>
        <v>932</v>
      </c>
      <c r="B1928" s="84" t="s">
        <v>2383</v>
      </c>
      <c r="C1928" s="89" t="s">
        <v>2384</v>
      </c>
      <c r="D1928" s="90" t="s">
        <v>2385</v>
      </c>
      <c r="E1928" s="86" t="s">
        <v>238</v>
      </c>
      <c r="F1928" s="107">
        <v>3</v>
      </c>
      <c r="G1928" s="68">
        <v>0</v>
      </c>
      <c r="H1928" s="25">
        <f t="shared" ref="H1928:H1991" si="165">IFERROR(ROUND(G1928*F1928,0),0)</f>
        <v>0</v>
      </c>
    </row>
    <row r="1929" customHeight="1" spans="1:8">
      <c r="A1929" s="8">
        <f ca="1">COUNTA(OFFSET(A$1,0,0,ROW()-1,1))+1</f>
        <v>933</v>
      </c>
      <c r="B1929" s="84" t="s">
        <v>2386</v>
      </c>
      <c r="C1929" s="89" t="s">
        <v>2387</v>
      </c>
      <c r="D1929" s="90" t="s">
        <v>2388</v>
      </c>
      <c r="E1929" s="86" t="s">
        <v>238</v>
      </c>
      <c r="F1929" s="107">
        <v>1</v>
      </c>
      <c r="G1929" s="68">
        <v>0</v>
      </c>
      <c r="H1929" s="25">
        <f t="shared" si="165"/>
        <v>0</v>
      </c>
    </row>
    <row r="1930" customHeight="1" spans="1:8">
      <c r="B1930" s="129"/>
      <c r="C1930" s="243" t="s">
        <v>2098</v>
      </c>
      <c r="D1930" s="244" t="s">
        <v>2099</v>
      </c>
      <c r="E1930" s="138"/>
      <c r="F1930" s="166"/>
      <c r="G1930" s="68">
        <v>0</v>
      </c>
      <c r="H1930" s="25">
        <f t="shared" si="165"/>
        <v>0</v>
      </c>
    </row>
    <row r="1931" customHeight="1" spans="1:8">
      <c r="B1931" s="129"/>
      <c r="C1931" s="160" t="s">
        <v>2100</v>
      </c>
      <c r="D1931" s="161" t="s">
        <v>2101</v>
      </c>
      <c r="E1931" s="138"/>
      <c r="F1931" s="166"/>
      <c r="G1931" s="68">
        <v>0</v>
      </c>
      <c r="H1931" s="25">
        <f t="shared" si="165"/>
        <v>0</v>
      </c>
    </row>
    <row r="1932" customHeight="1" spans="1:8">
      <c r="B1932" s="129"/>
      <c r="C1932" s="245" t="s">
        <v>2104</v>
      </c>
      <c r="D1932" s="246" t="s">
        <v>2105</v>
      </c>
      <c r="E1932" s="138" t="s">
        <v>336</v>
      </c>
      <c r="F1932" s="166"/>
      <c r="G1932" s="68">
        <v>0</v>
      </c>
      <c r="H1932" s="25">
        <f t="shared" si="165"/>
        <v>0</v>
      </c>
    </row>
    <row r="1933" customHeight="1" spans="1:8">
      <c r="B1933" s="129"/>
      <c r="C1933" s="245" t="s">
        <v>2106</v>
      </c>
      <c r="D1933" s="246" t="s">
        <v>2107</v>
      </c>
      <c r="E1933" s="138" t="s">
        <v>336</v>
      </c>
      <c r="F1933" s="166"/>
      <c r="G1933" s="68">
        <v>0</v>
      </c>
      <c r="H1933" s="25">
        <f t="shared" si="165"/>
        <v>0</v>
      </c>
    </row>
    <row r="1934" customHeight="1" spans="1:8">
      <c r="B1934" s="129"/>
      <c r="C1934" s="245" t="s">
        <v>2108</v>
      </c>
      <c r="D1934" s="246" t="s">
        <v>2109</v>
      </c>
      <c r="E1934" s="138" t="s">
        <v>336</v>
      </c>
      <c r="F1934" s="166"/>
      <c r="G1934" s="68">
        <v>0</v>
      </c>
      <c r="H1934" s="25">
        <f t="shared" si="165"/>
        <v>0</v>
      </c>
    </row>
    <row r="1935" customHeight="1" spans="1:8">
      <c r="B1935" s="129"/>
      <c r="C1935" s="245" t="s">
        <v>2110</v>
      </c>
      <c r="D1935" s="246" t="s">
        <v>2111</v>
      </c>
      <c r="E1935" s="138" t="s">
        <v>336</v>
      </c>
      <c r="F1935" s="166"/>
      <c r="G1935" s="68">
        <v>0</v>
      </c>
      <c r="H1935" s="25">
        <f t="shared" si="165"/>
        <v>0</v>
      </c>
    </row>
    <row r="1936" customHeight="1" spans="1:8">
      <c r="B1936" s="129"/>
      <c r="C1936" s="245" t="s">
        <v>2112</v>
      </c>
      <c r="D1936" s="246" t="s">
        <v>2113</v>
      </c>
      <c r="E1936" s="138" t="s">
        <v>336</v>
      </c>
      <c r="F1936" s="166"/>
      <c r="G1936" s="68">
        <v>0</v>
      </c>
      <c r="H1936" s="25">
        <f t="shared" si="165"/>
        <v>0</v>
      </c>
    </row>
    <row r="1937" customHeight="1" spans="1:8">
      <c r="B1937" s="129"/>
      <c r="C1937" s="160" t="s">
        <v>2114</v>
      </c>
      <c r="D1937" s="161" t="s">
        <v>2115</v>
      </c>
      <c r="E1937" s="138"/>
      <c r="F1937" s="166"/>
      <c r="G1937" s="68">
        <v>0</v>
      </c>
      <c r="H1937" s="25">
        <f t="shared" si="165"/>
        <v>0</v>
      </c>
    </row>
    <row r="1938" customHeight="1" spans="1:8">
      <c r="B1938" s="129"/>
      <c r="C1938" s="245" t="s">
        <v>2116</v>
      </c>
      <c r="D1938" s="246" t="s">
        <v>2117</v>
      </c>
      <c r="E1938" s="138" t="s">
        <v>336</v>
      </c>
      <c r="F1938" s="166"/>
      <c r="G1938" s="68">
        <v>0</v>
      </c>
      <c r="H1938" s="25">
        <f t="shared" si="165"/>
        <v>0</v>
      </c>
    </row>
    <row r="1939" customHeight="1" spans="1:8">
      <c r="B1939" s="129"/>
      <c r="C1939" s="160" t="s">
        <v>841</v>
      </c>
      <c r="D1939" s="161" t="s">
        <v>842</v>
      </c>
      <c r="E1939" s="138"/>
      <c r="F1939" s="166"/>
      <c r="G1939" s="68">
        <v>0</v>
      </c>
      <c r="H1939" s="25">
        <f t="shared" si="165"/>
        <v>0</v>
      </c>
    </row>
    <row r="1940" customHeight="1" spans="1:8">
      <c r="B1940" s="129"/>
      <c r="C1940" s="245" t="s">
        <v>841</v>
      </c>
      <c r="D1940" s="246" t="s">
        <v>842</v>
      </c>
      <c r="E1940" s="138" t="s">
        <v>329</v>
      </c>
      <c r="F1940" s="166"/>
      <c r="G1940" s="68">
        <v>0</v>
      </c>
      <c r="H1940" s="25">
        <f t="shared" si="165"/>
        <v>0</v>
      </c>
    </row>
    <row r="1941" customHeight="1" spans="1:8">
      <c r="B1941" s="129"/>
      <c r="C1941" s="160" t="s">
        <v>843</v>
      </c>
      <c r="D1941" s="161" t="s">
        <v>844</v>
      </c>
      <c r="E1941" s="138"/>
      <c r="F1941" s="166"/>
      <c r="G1941" s="68">
        <v>0</v>
      </c>
      <c r="H1941" s="25">
        <f t="shared" si="165"/>
        <v>0</v>
      </c>
    </row>
    <row r="1942" customHeight="1" spans="1:8">
      <c r="B1942" s="129"/>
      <c r="C1942" s="245" t="s">
        <v>2122</v>
      </c>
      <c r="D1942" s="246" t="s">
        <v>956</v>
      </c>
      <c r="E1942" s="138" t="s">
        <v>464</v>
      </c>
      <c r="F1942" s="166"/>
      <c r="G1942" s="68">
        <v>0</v>
      </c>
      <c r="H1942" s="25">
        <f t="shared" si="165"/>
        <v>0</v>
      </c>
    </row>
    <row r="1943" customHeight="1" spans="1:8">
      <c r="B1943" s="84"/>
      <c r="C1943" s="89"/>
      <c r="D1943" s="89"/>
      <c r="E1943" s="86"/>
      <c r="F1943" s="107"/>
      <c r="G1943" s="68">
        <v>0</v>
      </c>
      <c r="H1943" s="25">
        <f t="shared" si="165"/>
        <v>0</v>
      </c>
    </row>
    <row r="1944" customHeight="1" spans="1:8">
      <c r="A1944" s="8">
        <f ca="1" t="shared" ref="A1944:A1953" si="166">COUNTA(OFFSET(A$1,0,0,ROW()-1,1))+1</f>
        <v>934</v>
      </c>
      <c r="B1944" s="84" t="s">
        <v>2389</v>
      </c>
      <c r="C1944" s="247" t="s">
        <v>2390</v>
      </c>
      <c r="D1944" s="159" t="s">
        <v>2391</v>
      </c>
      <c r="E1944" s="86" t="s">
        <v>238</v>
      </c>
      <c r="F1944" s="107">
        <v>1</v>
      </c>
      <c r="G1944" s="68">
        <v>0</v>
      </c>
      <c r="H1944" s="25">
        <f t="shared" si="165"/>
        <v>0</v>
      </c>
    </row>
    <row r="1945" customHeight="1" spans="1:8">
      <c r="A1945" s="8">
        <f ca="1" t="shared" si="166"/>
        <v>935</v>
      </c>
      <c r="B1945" s="206" t="s">
        <v>2392</v>
      </c>
      <c r="C1945" s="89" t="s">
        <v>2393</v>
      </c>
      <c r="D1945" s="90" t="s">
        <v>2394</v>
      </c>
      <c r="E1945" s="86" t="s">
        <v>238</v>
      </c>
      <c r="F1945" s="107">
        <v>1</v>
      </c>
      <c r="G1945" s="68">
        <v>0</v>
      </c>
      <c r="H1945" s="25">
        <f t="shared" si="165"/>
        <v>0</v>
      </c>
    </row>
    <row r="1946" customHeight="1" spans="1:8">
      <c r="A1946" s="8">
        <f ca="1" t="shared" si="166"/>
        <v>936</v>
      </c>
      <c r="B1946" s="206" t="s">
        <v>2395</v>
      </c>
      <c r="C1946" s="89" t="s">
        <v>2396</v>
      </c>
      <c r="D1946" s="90" t="s">
        <v>2397</v>
      </c>
      <c r="E1946" s="86" t="s">
        <v>238</v>
      </c>
      <c r="F1946" s="107">
        <v>40</v>
      </c>
      <c r="G1946" s="68">
        <v>0</v>
      </c>
      <c r="H1946" s="25">
        <f t="shared" si="165"/>
        <v>0</v>
      </c>
    </row>
    <row r="1947" customHeight="1" spans="1:8">
      <c r="A1947" s="8">
        <f ca="1" t="shared" si="166"/>
        <v>937</v>
      </c>
      <c r="B1947" s="206" t="s">
        <v>2398</v>
      </c>
      <c r="C1947" s="89" t="s">
        <v>2399</v>
      </c>
      <c r="D1947" s="90" t="s">
        <v>2400</v>
      </c>
      <c r="E1947" s="86" t="s">
        <v>238</v>
      </c>
      <c r="F1947" s="107">
        <v>10</v>
      </c>
      <c r="G1947" s="68">
        <v>0</v>
      </c>
      <c r="H1947" s="25">
        <f t="shared" si="165"/>
        <v>0</v>
      </c>
    </row>
    <row r="1948" customHeight="1" spans="1:8">
      <c r="A1948" s="8">
        <f ca="1" t="shared" si="166"/>
        <v>938</v>
      </c>
      <c r="B1948" s="206" t="s">
        <v>2401</v>
      </c>
      <c r="C1948" s="89" t="s">
        <v>2402</v>
      </c>
      <c r="D1948" s="90" t="s">
        <v>2403</v>
      </c>
      <c r="E1948" s="86" t="s">
        <v>238</v>
      </c>
      <c r="F1948" s="107">
        <v>10</v>
      </c>
      <c r="G1948" s="68">
        <v>0</v>
      </c>
      <c r="H1948" s="25">
        <f t="shared" si="165"/>
        <v>0</v>
      </c>
    </row>
    <row r="1949" customHeight="1" spans="1:8">
      <c r="A1949" s="8">
        <f ca="1" t="shared" si="166"/>
        <v>939</v>
      </c>
      <c r="B1949" s="206" t="s">
        <v>2404</v>
      </c>
      <c r="C1949" s="89" t="s">
        <v>2405</v>
      </c>
      <c r="D1949" s="90" t="s">
        <v>2406</v>
      </c>
      <c r="E1949" s="86" t="s">
        <v>238</v>
      </c>
      <c r="F1949" s="107">
        <v>2</v>
      </c>
      <c r="G1949" s="68">
        <v>0</v>
      </c>
      <c r="H1949" s="25">
        <f t="shared" si="165"/>
        <v>0</v>
      </c>
    </row>
    <row r="1950" customHeight="1" spans="1:8">
      <c r="A1950" s="8">
        <f ca="1" t="shared" si="166"/>
        <v>940</v>
      </c>
      <c r="B1950" s="206" t="s">
        <v>2407</v>
      </c>
      <c r="C1950" s="89" t="s">
        <v>2408</v>
      </c>
      <c r="D1950" s="90" t="s">
        <v>2409</v>
      </c>
      <c r="E1950" s="206" t="s">
        <v>225</v>
      </c>
      <c r="F1950" s="107">
        <v>800</v>
      </c>
      <c r="G1950" s="68">
        <v>0</v>
      </c>
      <c r="H1950" s="25">
        <f t="shared" si="165"/>
        <v>0</v>
      </c>
    </row>
    <row r="1951" customHeight="1" spans="1:8">
      <c r="A1951" s="8">
        <f ca="1" t="shared" si="166"/>
        <v>941</v>
      </c>
      <c r="B1951" s="206" t="s">
        <v>2410</v>
      </c>
      <c r="C1951" s="89" t="s">
        <v>2411</v>
      </c>
      <c r="D1951" s="90" t="s">
        <v>2412</v>
      </c>
      <c r="E1951" s="206" t="s">
        <v>225</v>
      </c>
      <c r="F1951" s="107">
        <v>400</v>
      </c>
      <c r="G1951" s="68">
        <v>0</v>
      </c>
      <c r="H1951" s="25">
        <f t="shared" si="165"/>
        <v>0</v>
      </c>
    </row>
    <row r="1952" customHeight="1" spans="1:8">
      <c r="A1952" s="8">
        <f ca="1" t="shared" si="166"/>
        <v>942</v>
      </c>
      <c r="B1952" s="206" t="s">
        <v>2413</v>
      </c>
      <c r="C1952" s="89" t="s">
        <v>2414</v>
      </c>
      <c r="D1952" s="90" t="s">
        <v>2415</v>
      </c>
      <c r="E1952" s="206" t="s">
        <v>225</v>
      </c>
      <c r="F1952" s="107">
        <v>1000</v>
      </c>
      <c r="G1952" s="68">
        <v>0</v>
      </c>
      <c r="H1952" s="25">
        <f t="shared" si="165"/>
        <v>0</v>
      </c>
    </row>
    <row r="1953" customHeight="1" spans="1:8">
      <c r="A1953" s="8">
        <f ca="1" t="shared" si="166"/>
        <v>943</v>
      </c>
      <c r="B1953" s="206" t="s">
        <v>2416</v>
      </c>
      <c r="C1953" s="89" t="s">
        <v>2417</v>
      </c>
      <c r="D1953" s="90" t="s">
        <v>2418</v>
      </c>
      <c r="E1953" s="206" t="s">
        <v>238</v>
      </c>
      <c r="F1953" s="107">
        <v>1</v>
      </c>
      <c r="G1953" s="68">
        <v>0</v>
      </c>
      <c r="H1953" s="25">
        <f t="shared" si="165"/>
        <v>0</v>
      </c>
    </row>
    <row r="1954" customHeight="1" spans="1:8">
      <c r="B1954" s="84"/>
      <c r="C1954" s="89"/>
      <c r="D1954" s="89"/>
      <c r="E1954" s="86"/>
      <c r="F1954" s="107"/>
      <c r="G1954" s="68">
        <v>0</v>
      </c>
      <c r="H1954" s="25">
        <f t="shared" si="165"/>
        <v>0</v>
      </c>
    </row>
    <row r="1955" customHeight="1" spans="1:8">
      <c r="A1955" s="8">
        <f ca="1" t="shared" ref="A1955:A1960" si="167">COUNTA(OFFSET(A$1,0,0,ROW()-1,1))+1</f>
        <v>944</v>
      </c>
      <c r="B1955" s="84" t="s">
        <v>2419</v>
      </c>
      <c r="C1955" s="247" t="s">
        <v>2420</v>
      </c>
      <c r="D1955" s="159" t="s">
        <v>2421</v>
      </c>
      <c r="E1955" s="86" t="s">
        <v>238</v>
      </c>
      <c r="F1955" s="107">
        <v>1</v>
      </c>
      <c r="G1955" s="68">
        <v>0</v>
      </c>
      <c r="H1955" s="25">
        <f t="shared" si="165"/>
        <v>0</v>
      </c>
    </row>
    <row r="1956" customHeight="1" spans="1:8">
      <c r="A1956" s="8">
        <f ca="1" t="shared" si="167"/>
        <v>945</v>
      </c>
      <c r="B1956" s="84" t="s">
        <v>2422</v>
      </c>
      <c r="C1956" s="89" t="s">
        <v>2423</v>
      </c>
      <c r="D1956" s="90" t="s">
        <v>2424</v>
      </c>
      <c r="E1956" s="86" t="s">
        <v>238</v>
      </c>
      <c r="F1956" s="107">
        <v>4</v>
      </c>
      <c r="G1956" s="68">
        <v>0</v>
      </c>
      <c r="H1956" s="25">
        <f t="shared" si="165"/>
        <v>0</v>
      </c>
    </row>
    <row r="1957" customHeight="1" spans="1:8">
      <c r="A1957" s="8">
        <f ca="1" t="shared" si="167"/>
        <v>946</v>
      </c>
      <c r="B1957" s="84" t="s">
        <v>2425</v>
      </c>
      <c r="C1957" s="89" t="s">
        <v>2426</v>
      </c>
      <c r="D1957" s="90" t="s">
        <v>2427</v>
      </c>
      <c r="E1957" s="86" t="s">
        <v>238</v>
      </c>
      <c r="F1957" s="107">
        <v>1</v>
      </c>
      <c r="G1957" s="68">
        <v>0</v>
      </c>
      <c r="H1957" s="25">
        <f t="shared" si="165"/>
        <v>0</v>
      </c>
    </row>
    <row r="1958" customHeight="1" spans="1:8">
      <c r="A1958" s="8">
        <f ca="1" t="shared" si="167"/>
        <v>947</v>
      </c>
      <c r="B1958" s="84" t="s">
        <v>2428</v>
      </c>
      <c r="C1958" s="89" t="s">
        <v>1985</v>
      </c>
      <c r="D1958" s="90" t="s">
        <v>1986</v>
      </c>
      <c r="E1958" s="86" t="s">
        <v>225</v>
      </c>
      <c r="F1958" s="107">
        <v>80</v>
      </c>
      <c r="G1958" s="68">
        <v>0</v>
      </c>
      <c r="H1958" s="25">
        <f t="shared" si="165"/>
        <v>0</v>
      </c>
    </row>
    <row r="1959" customHeight="1" spans="1:8">
      <c r="A1959" s="8">
        <f ca="1" t="shared" si="167"/>
        <v>948</v>
      </c>
      <c r="B1959" s="84" t="s">
        <v>2429</v>
      </c>
      <c r="C1959" s="89" t="s">
        <v>2430</v>
      </c>
      <c r="D1959" s="89" t="s">
        <v>2431</v>
      </c>
      <c r="E1959" s="86" t="s">
        <v>225</v>
      </c>
      <c r="F1959" s="107">
        <v>80</v>
      </c>
      <c r="G1959" s="68">
        <v>0</v>
      </c>
      <c r="H1959" s="25">
        <f t="shared" si="165"/>
        <v>0</v>
      </c>
    </row>
    <row r="1960" customHeight="1" spans="1:8">
      <c r="A1960" s="8">
        <f ca="1" t="shared" si="167"/>
        <v>949</v>
      </c>
      <c r="B1960" s="84" t="s">
        <v>2432</v>
      </c>
      <c r="C1960" s="89" t="s">
        <v>2417</v>
      </c>
      <c r="D1960" s="90" t="s">
        <v>2418</v>
      </c>
      <c r="E1960" s="86" t="s">
        <v>238</v>
      </c>
      <c r="F1960" s="107">
        <v>1</v>
      </c>
      <c r="G1960" s="68">
        <v>0</v>
      </c>
      <c r="H1960" s="25">
        <f t="shared" si="165"/>
        <v>0</v>
      </c>
    </row>
    <row r="1961" customHeight="1" spans="1:8">
      <c r="B1961" s="84"/>
      <c r="C1961" s="89"/>
      <c r="D1961" s="89"/>
      <c r="E1961" s="86"/>
      <c r="F1961" s="107"/>
      <c r="G1961" s="68">
        <v>0</v>
      </c>
      <c r="H1961" s="25">
        <f t="shared" si="165"/>
        <v>0</v>
      </c>
    </row>
    <row r="1962" customHeight="1" spans="1:8">
      <c r="A1962" s="8">
        <f ca="1">COUNTA(OFFSET(A$1,0,0,ROW()-1,1))+1</f>
        <v>950</v>
      </c>
      <c r="B1962" s="84" t="s">
        <v>2433</v>
      </c>
      <c r="C1962" s="247" t="s">
        <v>2434</v>
      </c>
      <c r="D1962" s="159" t="s">
        <v>2435</v>
      </c>
      <c r="E1962" s="86" t="s">
        <v>238</v>
      </c>
      <c r="F1962" s="107">
        <v>1</v>
      </c>
      <c r="G1962" s="68">
        <v>0</v>
      </c>
      <c r="H1962" s="25">
        <f t="shared" si="165"/>
        <v>0</v>
      </c>
    </row>
    <row r="1963" customHeight="1" spans="1:8">
      <c r="B1963" s="84"/>
      <c r="C1963" s="89"/>
      <c r="D1963" s="89"/>
      <c r="E1963" s="86"/>
      <c r="F1963" s="107"/>
      <c r="G1963" s="68">
        <v>0</v>
      </c>
      <c r="H1963" s="25">
        <f t="shared" si="165"/>
        <v>0</v>
      </c>
    </row>
    <row r="1964" customHeight="1" spans="1:8">
      <c r="B1964" s="26"/>
      <c r="C1964" s="46" t="s">
        <v>263</v>
      </c>
      <c r="D1964" s="28" t="s">
        <v>264</v>
      </c>
      <c r="E1964" s="29"/>
      <c r="F1964" s="87"/>
      <c r="G1964" s="68">
        <v>0</v>
      </c>
      <c r="H1964" s="25">
        <f t="shared" si="165"/>
        <v>0</v>
      </c>
    </row>
    <row r="1965" customHeight="1" spans="1:8">
      <c r="B1965" s="94" t="s">
        <v>290</v>
      </c>
      <c r="C1965" s="248" t="s">
        <v>2436</v>
      </c>
      <c r="D1965" s="249" t="s">
        <v>2437</v>
      </c>
      <c r="E1965" s="94"/>
      <c r="F1965" s="145"/>
      <c r="G1965" s="68">
        <v>0</v>
      </c>
      <c r="H1965" s="25">
        <f t="shared" si="165"/>
        <v>0</v>
      </c>
    </row>
    <row r="1966" customHeight="1" spans="1:8">
      <c r="B1966" s="94"/>
      <c r="C1966" s="248" t="s">
        <v>2438</v>
      </c>
      <c r="D1966" s="152" t="s">
        <v>2439</v>
      </c>
      <c r="E1966" s="94" t="s">
        <v>41</v>
      </c>
      <c r="F1966" s="145"/>
      <c r="G1966" s="68">
        <v>0</v>
      </c>
      <c r="H1966" s="25">
        <f t="shared" si="165"/>
        <v>0</v>
      </c>
    </row>
    <row r="1967" customHeight="1" spans="1:8">
      <c r="B1967" s="94"/>
      <c r="C1967" s="248" t="s">
        <v>641</v>
      </c>
      <c r="D1967" s="152" t="s">
        <v>642</v>
      </c>
      <c r="E1967" s="94" t="s">
        <v>336</v>
      </c>
      <c r="F1967" s="145"/>
      <c r="G1967" s="68">
        <v>0</v>
      </c>
      <c r="H1967" s="25">
        <f t="shared" si="165"/>
        <v>0</v>
      </c>
    </row>
    <row r="1968" customHeight="1" spans="1:8">
      <c r="B1968" s="94"/>
      <c r="C1968" s="248" t="s">
        <v>643</v>
      </c>
      <c r="D1968" s="152" t="s">
        <v>644</v>
      </c>
      <c r="E1968" s="94" t="s">
        <v>336</v>
      </c>
      <c r="F1968" s="145"/>
      <c r="G1968" s="68">
        <v>0</v>
      </c>
      <c r="H1968" s="25">
        <f t="shared" si="165"/>
        <v>0</v>
      </c>
    </row>
    <row r="1969" customHeight="1" spans="2:8">
      <c r="B1969" s="94"/>
      <c r="C1969" s="248" t="s">
        <v>645</v>
      </c>
      <c r="D1969" s="152" t="s">
        <v>646</v>
      </c>
      <c r="E1969" s="94" t="s">
        <v>336</v>
      </c>
      <c r="F1969" s="145"/>
      <c r="G1969" s="68">
        <v>0</v>
      </c>
      <c r="H1969" s="25">
        <f t="shared" si="165"/>
        <v>0</v>
      </c>
    </row>
    <row r="1970" customHeight="1" spans="2:8">
      <c r="B1970" s="94"/>
      <c r="C1970" s="248" t="s">
        <v>647</v>
      </c>
      <c r="D1970" s="152" t="s">
        <v>648</v>
      </c>
      <c r="E1970" s="94" t="s">
        <v>336</v>
      </c>
      <c r="F1970" s="145"/>
      <c r="G1970" s="68">
        <v>0</v>
      </c>
      <c r="H1970" s="25">
        <f t="shared" si="165"/>
        <v>0</v>
      </c>
    </row>
    <row r="1971" customHeight="1" spans="2:8">
      <c r="B1971" s="94"/>
      <c r="C1971" s="248" t="s">
        <v>649</v>
      </c>
      <c r="D1971" s="152" t="s">
        <v>650</v>
      </c>
      <c r="E1971" s="94" t="s">
        <v>336</v>
      </c>
      <c r="F1971" s="145"/>
      <c r="G1971" s="68">
        <v>0</v>
      </c>
      <c r="H1971" s="25">
        <f t="shared" si="165"/>
        <v>0</v>
      </c>
    </row>
    <row r="1972" customHeight="1" spans="2:8">
      <c r="B1972" s="94"/>
      <c r="C1972" s="248" t="s">
        <v>651</v>
      </c>
      <c r="D1972" s="152" t="s">
        <v>652</v>
      </c>
      <c r="E1972" s="94" t="s">
        <v>336</v>
      </c>
      <c r="F1972" s="145"/>
      <c r="G1972" s="68">
        <v>0</v>
      </c>
      <c r="H1972" s="25">
        <f t="shared" si="165"/>
        <v>0</v>
      </c>
    </row>
    <row r="1973" customHeight="1" spans="2:8">
      <c r="B1973" s="94"/>
      <c r="C1973" s="248" t="s">
        <v>653</v>
      </c>
      <c r="D1973" s="152" t="s">
        <v>461</v>
      </c>
      <c r="E1973" s="94" t="s">
        <v>573</v>
      </c>
      <c r="F1973" s="145"/>
      <c r="G1973" s="68">
        <v>0</v>
      </c>
      <c r="H1973" s="25">
        <f t="shared" si="165"/>
        <v>0</v>
      </c>
    </row>
    <row r="1974" customHeight="1" spans="2:8">
      <c r="B1974" s="94"/>
      <c r="C1974" s="248" t="s">
        <v>574</v>
      </c>
      <c r="D1974" s="152" t="s">
        <v>463</v>
      </c>
      <c r="E1974" s="94" t="s">
        <v>569</v>
      </c>
      <c r="F1974" s="145"/>
      <c r="G1974" s="68">
        <v>0</v>
      </c>
      <c r="H1974" s="25">
        <f t="shared" si="165"/>
        <v>0</v>
      </c>
    </row>
    <row r="1975" customHeight="1" spans="2:8">
      <c r="B1975" s="94"/>
      <c r="C1975" s="248" t="s">
        <v>2440</v>
      </c>
      <c r="D1975" s="152" t="s">
        <v>2441</v>
      </c>
      <c r="E1975" s="94" t="s">
        <v>569</v>
      </c>
      <c r="F1975" s="145"/>
      <c r="G1975" s="68">
        <v>0</v>
      </c>
      <c r="H1975" s="25">
        <f t="shared" si="165"/>
        <v>0</v>
      </c>
    </row>
    <row r="1976" customHeight="1" spans="2:8">
      <c r="B1976" s="94"/>
      <c r="C1976" s="248" t="s">
        <v>2442</v>
      </c>
      <c r="D1976" s="152" t="s">
        <v>2443</v>
      </c>
      <c r="E1976" s="94" t="s">
        <v>573</v>
      </c>
      <c r="F1976" s="145"/>
      <c r="G1976" s="68">
        <v>0</v>
      </c>
      <c r="H1976" s="25">
        <f t="shared" si="165"/>
        <v>0</v>
      </c>
    </row>
    <row r="1977" customHeight="1" spans="2:8">
      <c r="B1977" s="94"/>
      <c r="C1977" s="248" t="s">
        <v>2444</v>
      </c>
      <c r="D1977" s="152" t="s">
        <v>2445</v>
      </c>
      <c r="E1977" s="94" t="s">
        <v>573</v>
      </c>
      <c r="F1977" s="145"/>
      <c r="G1977" s="68">
        <v>0</v>
      </c>
      <c r="H1977" s="25">
        <f t="shared" si="165"/>
        <v>0</v>
      </c>
    </row>
    <row r="1978" customHeight="1" spans="2:8">
      <c r="B1978" s="94"/>
      <c r="C1978" s="248" t="s">
        <v>2446</v>
      </c>
      <c r="D1978" s="152" t="s">
        <v>2447</v>
      </c>
      <c r="E1978" s="94" t="s">
        <v>573</v>
      </c>
      <c r="F1978" s="145"/>
      <c r="G1978" s="68">
        <v>0</v>
      </c>
      <c r="H1978" s="25">
        <f t="shared" si="165"/>
        <v>0</v>
      </c>
    </row>
    <row r="1979" customHeight="1" spans="2:8">
      <c r="B1979" s="94"/>
      <c r="C1979" s="248" t="s">
        <v>2448</v>
      </c>
      <c r="D1979" s="152" t="s">
        <v>2449</v>
      </c>
      <c r="E1979" s="94" t="s">
        <v>573</v>
      </c>
      <c r="F1979" s="145"/>
      <c r="G1979" s="68">
        <v>0</v>
      </c>
      <c r="H1979" s="25">
        <f t="shared" si="165"/>
        <v>0</v>
      </c>
    </row>
    <row r="1980" customHeight="1" spans="2:8">
      <c r="B1980" s="94"/>
      <c r="C1980" s="248" t="s">
        <v>2450</v>
      </c>
      <c r="D1980" s="152" t="s">
        <v>2451</v>
      </c>
      <c r="E1980" s="94" t="s">
        <v>573</v>
      </c>
      <c r="F1980" s="145"/>
      <c r="G1980" s="68">
        <v>0</v>
      </c>
      <c r="H1980" s="25">
        <f t="shared" si="165"/>
        <v>0</v>
      </c>
    </row>
    <row r="1981" customHeight="1" spans="2:8">
      <c r="B1981" s="94"/>
      <c r="C1981" s="248" t="s">
        <v>2452</v>
      </c>
      <c r="D1981" s="152" t="s">
        <v>2453</v>
      </c>
      <c r="E1981" s="94" t="s">
        <v>238</v>
      </c>
      <c r="F1981" s="145"/>
      <c r="G1981" s="68">
        <v>0</v>
      </c>
      <c r="H1981" s="25">
        <f t="shared" si="165"/>
        <v>0</v>
      </c>
    </row>
    <row r="1982" customHeight="1" spans="2:8">
      <c r="B1982" s="94"/>
      <c r="C1982" s="248" t="s">
        <v>2454</v>
      </c>
      <c r="D1982" s="152" t="s">
        <v>2455</v>
      </c>
      <c r="E1982" s="94" t="s">
        <v>238</v>
      </c>
      <c r="F1982" s="145"/>
      <c r="G1982" s="68">
        <v>0</v>
      </c>
      <c r="H1982" s="25">
        <f t="shared" si="165"/>
        <v>0</v>
      </c>
    </row>
    <row r="1983" customHeight="1" spans="2:8">
      <c r="B1983" s="94"/>
      <c r="C1983" s="248" t="s">
        <v>2456</v>
      </c>
      <c r="D1983" s="152" t="s">
        <v>2457</v>
      </c>
      <c r="E1983" s="94" t="s">
        <v>238</v>
      </c>
      <c r="F1983" s="145"/>
      <c r="G1983" s="68">
        <v>0</v>
      </c>
      <c r="H1983" s="25">
        <f t="shared" si="165"/>
        <v>0</v>
      </c>
    </row>
    <row r="1984" customHeight="1" spans="2:8">
      <c r="B1984" s="94"/>
      <c r="C1984" s="248" t="s">
        <v>2458</v>
      </c>
      <c r="D1984" s="152" t="s">
        <v>2459</v>
      </c>
      <c r="E1984" s="94" t="s">
        <v>238</v>
      </c>
      <c r="F1984" s="145"/>
      <c r="G1984" s="68">
        <v>0</v>
      </c>
      <c r="H1984" s="25">
        <f t="shared" si="165"/>
        <v>0</v>
      </c>
    </row>
    <row r="1985" customHeight="1" spans="2:8">
      <c r="B1985" s="94"/>
      <c r="C1985" s="248" t="s">
        <v>2460</v>
      </c>
      <c r="D1985" s="152" t="s">
        <v>2461</v>
      </c>
      <c r="E1985" s="94" t="s">
        <v>573</v>
      </c>
      <c r="F1985" s="145"/>
      <c r="G1985" s="68">
        <v>0</v>
      </c>
      <c r="H1985" s="25">
        <f t="shared" si="165"/>
        <v>0</v>
      </c>
    </row>
    <row r="1986" customHeight="1" spans="2:8">
      <c r="B1986" s="94"/>
      <c r="C1986" s="248" t="s">
        <v>2462</v>
      </c>
      <c r="D1986" s="152" t="s">
        <v>2463</v>
      </c>
      <c r="E1986" s="94" t="s">
        <v>238</v>
      </c>
      <c r="F1986" s="145"/>
      <c r="G1986" s="68">
        <v>0</v>
      </c>
      <c r="H1986" s="25">
        <f t="shared" si="165"/>
        <v>0</v>
      </c>
    </row>
    <row r="1987" customHeight="1" spans="2:8">
      <c r="B1987" s="94"/>
      <c r="C1987" s="248" t="s">
        <v>2464</v>
      </c>
      <c r="D1987" s="152" t="s">
        <v>2465</v>
      </c>
      <c r="E1987" s="94" t="s">
        <v>238</v>
      </c>
      <c r="F1987" s="145"/>
      <c r="G1987" s="68">
        <v>0</v>
      </c>
      <c r="H1987" s="25">
        <f t="shared" si="165"/>
        <v>0</v>
      </c>
    </row>
    <row r="1988" customHeight="1" spans="2:8">
      <c r="B1988" s="94"/>
      <c r="C1988" s="248" t="s">
        <v>2466</v>
      </c>
      <c r="D1988" s="152" t="s">
        <v>2467</v>
      </c>
      <c r="E1988" s="94" t="s">
        <v>238</v>
      </c>
      <c r="F1988" s="145"/>
      <c r="G1988" s="68">
        <v>0</v>
      </c>
      <c r="H1988" s="25">
        <f t="shared" si="165"/>
        <v>0</v>
      </c>
    </row>
    <row r="1989" customHeight="1" spans="2:8">
      <c r="B1989" s="94"/>
      <c r="C1989" s="248" t="s">
        <v>2468</v>
      </c>
      <c r="D1989" s="152" t="s">
        <v>2469</v>
      </c>
      <c r="E1989" s="94" t="s">
        <v>225</v>
      </c>
      <c r="F1989" s="145"/>
      <c r="G1989" s="68">
        <v>0</v>
      </c>
      <c r="H1989" s="25">
        <f t="shared" si="165"/>
        <v>0</v>
      </c>
    </row>
    <row r="1990" customHeight="1" spans="2:8">
      <c r="B1990" s="94"/>
      <c r="C1990" s="248" t="s">
        <v>2470</v>
      </c>
      <c r="D1990" s="152" t="s">
        <v>2471</v>
      </c>
      <c r="E1990" s="94"/>
      <c r="F1990" s="145"/>
      <c r="G1990" s="68">
        <v>0</v>
      </c>
      <c r="H1990" s="25">
        <f t="shared" si="165"/>
        <v>0</v>
      </c>
    </row>
    <row r="1991" customHeight="1" spans="2:8">
      <c r="B1991" s="94"/>
      <c r="C1991" s="248" t="s">
        <v>2472</v>
      </c>
      <c r="D1991" s="152" t="s">
        <v>2473</v>
      </c>
      <c r="E1991" s="94" t="s">
        <v>238</v>
      </c>
      <c r="F1991" s="145"/>
      <c r="G1991" s="68">
        <v>0</v>
      </c>
      <c r="H1991" s="25">
        <f t="shared" si="165"/>
        <v>0</v>
      </c>
    </row>
    <row r="1992" customHeight="1" spans="2:8">
      <c r="B1992" s="94"/>
      <c r="C1992" s="248" t="s">
        <v>2474</v>
      </c>
      <c r="D1992" s="152" t="s">
        <v>2475</v>
      </c>
      <c r="E1992" s="94" t="s">
        <v>238</v>
      </c>
      <c r="F1992" s="145"/>
      <c r="G1992" s="68">
        <v>0</v>
      </c>
      <c r="H1992" s="25">
        <f t="shared" ref="H1992:H2055" si="168">IFERROR(ROUND(G1992*F1992,0),0)</f>
        <v>0</v>
      </c>
    </row>
    <row r="1993" customHeight="1" spans="2:8">
      <c r="B1993" s="26"/>
      <c r="C1993" s="46"/>
      <c r="D1993" s="27"/>
      <c r="E1993" s="29"/>
      <c r="F1993" s="87"/>
      <c r="G1993" s="68">
        <v>0</v>
      </c>
      <c r="H1993" s="25">
        <f t="shared" si="168"/>
        <v>0</v>
      </c>
    </row>
    <row r="1994" customHeight="1" spans="2:8">
      <c r="B1994" s="54"/>
      <c r="C1994" s="31"/>
      <c r="D1994" s="55"/>
      <c r="E1994" s="29"/>
      <c r="F1994" s="136"/>
      <c r="G1994" s="68">
        <v>0</v>
      </c>
      <c r="H1994" s="25">
        <f t="shared" si="168"/>
        <v>0</v>
      </c>
    </row>
    <row r="1995" customHeight="1" spans="2:8">
      <c r="B1995" s="74"/>
      <c r="C1995" s="75" t="s">
        <v>194</v>
      </c>
      <c r="D1995" s="76" t="s">
        <v>195</v>
      </c>
      <c r="E1995" s="77"/>
      <c r="F1995" s="113"/>
      <c r="G1995" s="78">
        <v>0</v>
      </c>
      <c r="H1995" s="79">
        <f>SUM(H1409:H1994)</f>
        <v>1119479</v>
      </c>
    </row>
    <row r="1996" customHeight="1" spans="2:8">
      <c r="B1996" s="54"/>
      <c r="C1996" s="55"/>
      <c r="D1996" s="55"/>
      <c r="E1996" s="54"/>
      <c r="F1996" s="93"/>
      <c r="G1996" s="68">
        <v>0</v>
      </c>
      <c r="H1996" s="25">
        <f t="shared" si="168"/>
        <v>0</v>
      </c>
    </row>
    <row r="1997" customHeight="1" spans="2:8">
      <c r="B1997" s="218" t="s">
        <v>2476</v>
      </c>
      <c r="C1997" s="250" t="s">
        <v>2477</v>
      </c>
      <c r="D1997" s="220" t="s">
        <v>2478</v>
      </c>
      <c r="E1997" s="221"/>
      <c r="F1997" s="251"/>
      <c r="G1997" s="68">
        <v>0</v>
      </c>
      <c r="H1997" s="25">
        <f t="shared" si="168"/>
        <v>0</v>
      </c>
    </row>
    <row r="1998" customHeight="1" spans="2:8">
      <c r="B1998" s="26"/>
      <c r="C1998" s="27" t="s">
        <v>199</v>
      </c>
      <c r="D1998" s="28" t="s">
        <v>200</v>
      </c>
      <c r="E1998" s="29"/>
      <c r="F1998" s="93"/>
      <c r="G1998" s="68">
        <v>0</v>
      </c>
      <c r="H1998" s="25">
        <f t="shared" si="168"/>
        <v>0</v>
      </c>
    </row>
    <row r="1999" customHeight="1" spans="2:8">
      <c r="B1999" s="26"/>
      <c r="C1999" s="27" t="s">
        <v>201</v>
      </c>
      <c r="D1999" s="28" t="s">
        <v>202</v>
      </c>
      <c r="E1999" s="82" t="s">
        <v>203</v>
      </c>
      <c r="F1999" s="93"/>
      <c r="G1999" s="68">
        <v>0</v>
      </c>
      <c r="H1999" s="25">
        <f t="shared" si="168"/>
        <v>0</v>
      </c>
    </row>
    <row r="2000" customHeight="1" spans="2:8">
      <c r="B2000" s="26"/>
      <c r="C2000" s="65"/>
      <c r="D2000" s="65"/>
      <c r="E2000" s="29"/>
      <c r="F2000" s="93"/>
      <c r="G2000" s="68">
        <v>0</v>
      </c>
      <c r="H2000" s="25">
        <f t="shared" si="168"/>
        <v>0</v>
      </c>
    </row>
    <row r="2001" customHeight="1" spans="1:8">
      <c r="B2001" s="223"/>
      <c r="C2001" s="65"/>
      <c r="D2001" s="65"/>
      <c r="E2001" s="29"/>
      <c r="F2001" s="107"/>
      <c r="G2001" s="68">
        <v>0</v>
      </c>
      <c r="H2001" s="25">
        <f t="shared" si="168"/>
        <v>0</v>
      </c>
    </row>
    <row r="2002" customHeight="1" spans="1:8">
      <c r="B2002" s="84" t="s">
        <v>2479</v>
      </c>
      <c r="C2002" s="177" t="s">
        <v>2480</v>
      </c>
      <c r="D2002" s="178" t="s">
        <v>2481</v>
      </c>
      <c r="E2002" s="86"/>
      <c r="F2002" s="87"/>
      <c r="G2002" s="68">
        <v>0</v>
      </c>
      <c r="H2002" s="25">
        <f t="shared" si="168"/>
        <v>0</v>
      </c>
    </row>
    <row r="2003" customHeight="1" spans="1:8">
      <c r="A2003" s="8">
        <f ca="1" t="shared" ref="A2003:A2011" si="169">COUNTA(OFFSET(A$1,0,0,ROW()-1,1))+1</f>
        <v>951</v>
      </c>
      <c r="B2003" s="84" t="s">
        <v>2482</v>
      </c>
      <c r="C2003" s="89" t="s">
        <v>2483</v>
      </c>
      <c r="D2003" s="90" t="s">
        <v>2484</v>
      </c>
      <c r="E2003" s="86" t="s">
        <v>238</v>
      </c>
      <c r="F2003" s="107">
        <v>1</v>
      </c>
      <c r="G2003" s="68">
        <v>0</v>
      </c>
      <c r="H2003" s="25">
        <f t="shared" si="168"/>
        <v>0</v>
      </c>
    </row>
    <row r="2004" customHeight="1" spans="1:8">
      <c r="B2004" s="129"/>
      <c r="C2004" s="252" t="s">
        <v>2485</v>
      </c>
      <c r="D2004" s="253" t="s">
        <v>2486</v>
      </c>
      <c r="E2004" s="138"/>
      <c r="F2004" s="166"/>
      <c r="G2004" s="68">
        <v>0</v>
      </c>
      <c r="H2004" s="25">
        <f t="shared" si="168"/>
        <v>0</v>
      </c>
    </row>
    <row r="2005" customHeight="1" spans="1:8">
      <c r="A2005" s="8">
        <f ca="1" t="shared" si="169"/>
        <v>952</v>
      </c>
      <c r="B2005" s="129"/>
      <c r="C2005" s="254" t="s">
        <v>2362</v>
      </c>
      <c r="D2005" s="254" t="s">
        <v>2363</v>
      </c>
      <c r="E2005" s="86" t="s">
        <v>225</v>
      </c>
      <c r="F2005" s="166">
        <f>16*22</f>
        <v>352</v>
      </c>
      <c r="G2005" s="68">
        <v>0</v>
      </c>
      <c r="H2005" s="25">
        <f t="shared" si="168"/>
        <v>0</v>
      </c>
    </row>
    <row r="2006" customHeight="1" spans="1:8">
      <c r="B2006" s="129"/>
      <c r="C2006" s="164" t="s">
        <v>2487</v>
      </c>
      <c r="D2006" s="165" t="s">
        <v>2488</v>
      </c>
      <c r="E2006" s="138" t="s">
        <v>336</v>
      </c>
      <c r="F2006" s="166"/>
      <c r="G2006" s="68">
        <v>0</v>
      </c>
      <c r="H2006" s="25">
        <f t="shared" si="168"/>
        <v>0</v>
      </c>
    </row>
    <row r="2007" customHeight="1" spans="1:8">
      <c r="A2007" s="8">
        <f ca="1" t="shared" si="169"/>
        <v>953</v>
      </c>
      <c r="B2007" s="129"/>
      <c r="C2007" s="164" t="s">
        <v>2489</v>
      </c>
      <c r="D2007" s="165" t="s">
        <v>2113</v>
      </c>
      <c r="E2007" s="138" t="s">
        <v>336</v>
      </c>
      <c r="F2007" s="166">
        <v>5.22</v>
      </c>
      <c r="G2007" s="68">
        <v>153.983176304454</v>
      </c>
      <c r="H2007" s="25">
        <f t="shared" si="168"/>
        <v>804</v>
      </c>
    </row>
    <row r="2008" customHeight="1" spans="1:8">
      <c r="A2008" s="8">
        <f ca="1" t="shared" si="169"/>
        <v>954</v>
      </c>
      <c r="B2008" s="129"/>
      <c r="C2008" s="164" t="s">
        <v>872</v>
      </c>
      <c r="D2008" s="165" t="s">
        <v>873</v>
      </c>
      <c r="E2008" s="138" t="s">
        <v>336</v>
      </c>
      <c r="F2008" s="166">
        <v>97.9</v>
      </c>
      <c r="G2008" s="68">
        <v>165.516193766826</v>
      </c>
      <c r="H2008" s="25">
        <f t="shared" si="168"/>
        <v>16204</v>
      </c>
    </row>
    <row r="2009" customHeight="1" spans="1:8">
      <c r="A2009" s="8">
        <f ca="1" t="shared" si="169"/>
        <v>955</v>
      </c>
      <c r="B2009" s="129"/>
      <c r="C2009" s="164" t="s">
        <v>841</v>
      </c>
      <c r="D2009" s="165" t="s">
        <v>842</v>
      </c>
      <c r="E2009" s="138" t="s">
        <v>329</v>
      </c>
      <c r="F2009" s="166">
        <v>426.17</v>
      </c>
      <c r="G2009" s="68">
        <v>0</v>
      </c>
      <c r="H2009" s="25">
        <f t="shared" si="168"/>
        <v>0</v>
      </c>
    </row>
    <row r="2010" customHeight="1" spans="1:8">
      <c r="A2010" s="8">
        <f ca="1" t="shared" si="169"/>
        <v>956</v>
      </c>
      <c r="B2010" s="129"/>
      <c r="C2010" s="164" t="s">
        <v>843</v>
      </c>
      <c r="D2010" s="165" t="s">
        <v>844</v>
      </c>
      <c r="E2010" s="138" t="s">
        <v>464</v>
      </c>
      <c r="F2010" s="166">
        <f>9.436*1000</f>
        <v>9436</v>
      </c>
      <c r="G2010" s="68">
        <v>1.23406320027515</v>
      </c>
      <c r="H2010" s="25">
        <f t="shared" si="168"/>
        <v>11645</v>
      </c>
    </row>
    <row r="2011" customHeight="1" spans="1:8">
      <c r="A2011" s="8">
        <f ca="1" t="shared" si="169"/>
        <v>957</v>
      </c>
      <c r="B2011" s="84" t="s">
        <v>2490</v>
      </c>
      <c r="C2011" s="187" t="s">
        <v>2491</v>
      </c>
      <c r="D2011" s="188" t="s">
        <v>2492</v>
      </c>
      <c r="E2011" s="86" t="s">
        <v>238</v>
      </c>
      <c r="F2011" s="107">
        <v>1</v>
      </c>
      <c r="G2011" s="68">
        <v>759707.1216</v>
      </c>
      <c r="H2011" s="25">
        <f t="shared" si="168"/>
        <v>759707</v>
      </c>
    </row>
    <row r="2012" customHeight="1" spans="1:8">
      <c r="B2012" s="129"/>
      <c r="C2012" s="252" t="s">
        <v>2493</v>
      </c>
      <c r="D2012" s="253" t="s">
        <v>2294</v>
      </c>
      <c r="E2012" s="138"/>
      <c r="F2012" s="166"/>
      <c r="G2012" s="68">
        <v>0</v>
      </c>
      <c r="H2012" s="25">
        <f t="shared" si="168"/>
        <v>0</v>
      </c>
    </row>
    <row r="2013" customHeight="1" spans="1:8">
      <c r="A2013" s="8">
        <f ca="1" t="shared" ref="A2013:A2016" si="170">COUNTA(OFFSET(A$1,0,0,ROW()-1,1))+1</f>
        <v>958</v>
      </c>
      <c r="B2013" s="129"/>
      <c r="C2013" s="255" t="s">
        <v>2337</v>
      </c>
      <c r="D2013" s="256" t="s">
        <v>1097</v>
      </c>
      <c r="E2013" s="138" t="s">
        <v>464</v>
      </c>
      <c r="F2013" s="166">
        <f>33.054*1000</f>
        <v>33054</v>
      </c>
      <c r="G2013" s="68">
        <v>0</v>
      </c>
      <c r="H2013" s="25">
        <f t="shared" si="168"/>
        <v>0</v>
      </c>
    </row>
    <row r="2014" customHeight="1" spans="1:8">
      <c r="A2014" s="8">
        <f ca="1" t="shared" si="170"/>
        <v>959</v>
      </c>
      <c r="B2014" s="129"/>
      <c r="C2014" s="255" t="s">
        <v>2338</v>
      </c>
      <c r="D2014" s="256" t="s">
        <v>1081</v>
      </c>
      <c r="E2014" s="138" t="s">
        <v>464</v>
      </c>
      <c r="F2014" s="166">
        <f>94.521*1000</f>
        <v>94521</v>
      </c>
      <c r="G2014" s="68">
        <v>1.8685246720608</v>
      </c>
      <c r="H2014" s="25">
        <f t="shared" si="168"/>
        <v>176615</v>
      </c>
    </row>
    <row r="2015" customHeight="1" spans="1:8">
      <c r="A2015" s="8">
        <f ca="1" t="shared" si="170"/>
        <v>960</v>
      </c>
      <c r="B2015" s="129"/>
      <c r="C2015" s="255" t="s">
        <v>2339</v>
      </c>
      <c r="D2015" s="256" t="s">
        <v>2340</v>
      </c>
      <c r="E2015" s="138" t="s">
        <v>464</v>
      </c>
      <c r="F2015" s="166">
        <f>3.672*1000</f>
        <v>3672</v>
      </c>
      <c r="G2015" s="68">
        <v>0</v>
      </c>
      <c r="H2015" s="25">
        <f t="shared" si="168"/>
        <v>0</v>
      </c>
    </row>
    <row r="2016" customHeight="1" spans="1:8">
      <c r="A2016" s="8">
        <f ca="1" t="shared" si="170"/>
        <v>961</v>
      </c>
      <c r="B2016" s="129"/>
      <c r="C2016" s="255" t="s">
        <v>2341</v>
      </c>
      <c r="D2016" s="256" t="s">
        <v>2342</v>
      </c>
      <c r="E2016" s="138" t="s">
        <v>464</v>
      </c>
      <c r="F2016" s="166">
        <f>5.898*1000</f>
        <v>5898</v>
      </c>
      <c r="G2016" s="68">
        <v>0</v>
      </c>
      <c r="H2016" s="25">
        <f t="shared" si="168"/>
        <v>0</v>
      </c>
    </row>
    <row r="2017" customHeight="1" spans="1:8">
      <c r="B2017" s="129"/>
      <c r="C2017" s="164" t="s">
        <v>2494</v>
      </c>
      <c r="D2017" s="165" t="s">
        <v>2495</v>
      </c>
      <c r="E2017" s="138" t="s">
        <v>464</v>
      </c>
      <c r="F2017" s="166"/>
      <c r="G2017" s="68">
        <v>0</v>
      </c>
      <c r="H2017" s="25">
        <f t="shared" si="168"/>
        <v>0</v>
      </c>
    </row>
    <row r="2018" customHeight="1" spans="1:8">
      <c r="B2018" s="129"/>
      <c r="C2018" s="164" t="s">
        <v>2496</v>
      </c>
      <c r="D2018" s="165" t="s">
        <v>2497</v>
      </c>
      <c r="E2018" s="138" t="s">
        <v>464</v>
      </c>
      <c r="F2018" s="166"/>
      <c r="G2018" s="68">
        <v>0</v>
      </c>
      <c r="H2018" s="25">
        <f t="shared" si="168"/>
        <v>0</v>
      </c>
    </row>
    <row r="2019" customHeight="1" spans="1:8">
      <c r="B2019" s="129"/>
      <c r="C2019" s="164" t="s">
        <v>2498</v>
      </c>
      <c r="D2019" s="165" t="s">
        <v>2499</v>
      </c>
      <c r="E2019" s="138" t="s">
        <v>464</v>
      </c>
      <c r="F2019" s="166"/>
      <c r="G2019" s="68">
        <v>0</v>
      </c>
      <c r="H2019" s="25">
        <f t="shared" si="168"/>
        <v>0</v>
      </c>
    </row>
    <row r="2020" customHeight="1" spans="1:8">
      <c r="B2020" s="129"/>
      <c r="C2020" s="164" t="s">
        <v>2500</v>
      </c>
      <c r="D2020" s="165" t="s">
        <v>2501</v>
      </c>
      <c r="E2020" s="138" t="s">
        <v>892</v>
      </c>
      <c r="F2020" s="166"/>
      <c r="G2020" s="68">
        <v>0</v>
      </c>
      <c r="H2020" s="25">
        <f t="shared" si="168"/>
        <v>0</v>
      </c>
    </row>
    <row r="2021" customHeight="1" spans="1:8">
      <c r="B2021" s="129"/>
      <c r="C2021" s="164" t="s">
        <v>2502</v>
      </c>
      <c r="D2021" s="165" t="s">
        <v>2503</v>
      </c>
      <c r="E2021" s="138" t="s">
        <v>464</v>
      </c>
      <c r="F2021" s="166"/>
      <c r="G2021" s="68">
        <v>0</v>
      </c>
      <c r="H2021" s="25">
        <f t="shared" si="168"/>
        <v>0</v>
      </c>
    </row>
    <row r="2022" customHeight="1" spans="1:8">
      <c r="B2022" s="129"/>
      <c r="C2022" s="164" t="s">
        <v>2504</v>
      </c>
      <c r="D2022" s="165" t="s">
        <v>2505</v>
      </c>
      <c r="E2022" s="138" t="s">
        <v>225</v>
      </c>
      <c r="F2022" s="166"/>
      <c r="G2022" s="68">
        <v>0</v>
      </c>
      <c r="H2022" s="25">
        <f t="shared" si="168"/>
        <v>0</v>
      </c>
    </row>
    <row r="2023" customHeight="1" spans="1:8">
      <c r="B2023" s="129"/>
      <c r="C2023" s="164" t="s">
        <v>2506</v>
      </c>
      <c r="D2023" s="165" t="s">
        <v>2507</v>
      </c>
      <c r="E2023" s="138" t="s">
        <v>225</v>
      </c>
      <c r="F2023" s="166"/>
      <c r="G2023" s="68">
        <v>0</v>
      </c>
      <c r="H2023" s="25">
        <f t="shared" si="168"/>
        <v>0</v>
      </c>
    </row>
    <row r="2024" customHeight="1" spans="1:8">
      <c r="A2024" s="8">
        <f ca="1">COUNTA(OFFSET(A$1,0,0,ROW()-1,1))+1</f>
        <v>962</v>
      </c>
      <c r="B2024" s="129"/>
      <c r="C2024" s="164" t="s">
        <v>2508</v>
      </c>
      <c r="D2024" s="165" t="s">
        <v>2509</v>
      </c>
      <c r="E2024" s="138" t="s">
        <v>2510</v>
      </c>
      <c r="F2024" s="166">
        <v>1091.97</v>
      </c>
      <c r="G2024" s="68">
        <v>0</v>
      </c>
      <c r="H2024" s="25">
        <f t="shared" si="168"/>
        <v>0</v>
      </c>
    </row>
    <row r="2025" customHeight="1" spans="1:8">
      <c r="B2025" s="129"/>
      <c r="C2025" s="164" t="s">
        <v>2511</v>
      </c>
      <c r="D2025" s="165" t="s">
        <v>2512</v>
      </c>
      <c r="E2025" s="138" t="s">
        <v>225</v>
      </c>
      <c r="F2025" s="166"/>
      <c r="G2025" s="68">
        <v>0</v>
      </c>
      <c r="H2025" s="25">
        <f t="shared" si="168"/>
        <v>0</v>
      </c>
    </row>
    <row r="2026" customHeight="1" spans="1:8">
      <c r="B2026" s="129"/>
      <c r="C2026" s="252" t="s">
        <v>2513</v>
      </c>
      <c r="D2026" s="253" t="s">
        <v>112</v>
      </c>
      <c r="E2026" s="138"/>
      <c r="F2026" s="166"/>
      <c r="G2026" s="68">
        <v>0</v>
      </c>
      <c r="H2026" s="25">
        <f t="shared" si="168"/>
        <v>0</v>
      </c>
    </row>
    <row r="2027" customHeight="1" spans="1:8">
      <c r="B2027" s="129"/>
      <c r="C2027" s="164" t="s">
        <v>2514</v>
      </c>
      <c r="D2027" s="165" t="s">
        <v>2515</v>
      </c>
      <c r="E2027" s="138" t="s">
        <v>225</v>
      </c>
      <c r="F2027" s="166"/>
      <c r="G2027" s="68">
        <v>0</v>
      </c>
      <c r="H2027" s="25">
        <f t="shared" si="168"/>
        <v>0</v>
      </c>
    </row>
    <row r="2028" customHeight="1" spans="1:8">
      <c r="B2028" s="129"/>
      <c r="C2028" s="164" t="s">
        <v>2516</v>
      </c>
      <c r="D2028" s="165" t="s">
        <v>2517</v>
      </c>
      <c r="E2028" s="138" t="s">
        <v>225</v>
      </c>
      <c r="F2028" s="166"/>
      <c r="G2028" s="68">
        <v>0</v>
      </c>
      <c r="H2028" s="25">
        <f t="shared" si="168"/>
        <v>0</v>
      </c>
    </row>
    <row r="2029" customHeight="1" spans="1:8">
      <c r="A2029" s="8">
        <f ca="1" t="shared" ref="A2029:A2037" si="171">COUNTA(OFFSET(A$1,0,0,ROW()-1,1))+1</f>
        <v>963</v>
      </c>
      <c r="B2029" s="84" t="s">
        <v>2518</v>
      </c>
      <c r="C2029" s="89" t="s">
        <v>2519</v>
      </c>
      <c r="D2029" s="90" t="s">
        <v>2520</v>
      </c>
      <c r="E2029" s="86" t="s">
        <v>238</v>
      </c>
      <c r="F2029" s="107">
        <v>1</v>
      </c>
      <c r="G2029" s="68">
        <v>0</v>
      </c>
      <c r="H2029" s="25">
        <f t="shared" si="168"/>
        <v>0</v>
      </c>
    </row>
    <row r="2030" customHeight="1" spans="1:8">
      <c r="B2030" s="129"/>
      <c r="C2030" s="252" t="s">
        <v>2485</v>
      </c>
      <c r="D2030" s="253" t="s">
        <v>2486</v>
      </c>
      <c r="E2030" s="138"/>
      <c r="F2030" s="166"/>
      <c r="G2030" s="68">
        <v>0</v>
      </c>
      <c r="H2030" s="25">
        <f t="shared" si="168"/>
        <v>0</v>
      </c>
    </row>
    <row r="2031" customHeight="1" spans="1:8">
      <c r="A2031" s="8">
        <f ca="1" t="shared" si="171"/>
        <v>964</v>
      </c>
      <c r="B2031" s="129"/>
      <c r="C2031" s="254" t="s">
        <v>2362</v>
      </c>
      <c r="D2031" s="254" t="s">
        <v>2363</v>
      </c>
      <c r="E2031" s="86" t="s">
        <v>225</v>
      </c>
      <c r="F2031" s="166">
        <f>32*22</f>
        <v>704</v>
      </c>
      <c r="G2031" s="68">
        <v>0</v>
      </c>
      <c r="H2031" s="25">
        <f t="shared" si="168"/>
        <v>0</v>
      </c>
    </row>
    <row r="2032" customHeight="1" spans="1:8">
      <c r="B2032" s="129"/>
      <c r="C2032" s="164" t="s">
        <v>2487</v>
      </c>
      <c r="D2032" s="165" t="s">
        <v>2488</v>
      </c>
      <c r="E2032" s="138" t="s">
        <v>336</v>
      </c>
      <c r="F2032" s="166"/>
      <c r="G2032" s="68">
        <v>0</v>
      </c>
      <c r="H2032" s="25">
        <f t="shared" si="168"/>
        <v>0</v>
      </c>
    </row>
    <row r="2033" customHeight="1" spans="1:8">
      <c r="A2033" s="8">
        <f ca="1" t="shared" si="171"/>
        <v>965</v>
      </c>
      <c r="B2033" s="129"/>
      <c r="C2033" s="164" t="s">
        <v>2489</v>
      </c>
      <c r="D2033" s="165" t="s">
        <v>2113</v>
      </c>
      <c r="E2033" s="138" t="s">
        <v>336</v>
      </c>
      <c r="F2033" s="166">
        <f>5.22*2</f>
        <v>10.44</v>
      </c>
      <c r="G2033" s="68">
        <v>165.516193766826</v>
      </c>
      <c r="H2033" s="25">
        <f t="shared" si="168"/>
        <v>1728</v>
      </c>
    </row>
    <row r="2034" customHeight="1" spans="1:8">
      <c r="A2034" s="8">
        <f ca="1" t="shared" si="171"/>
        <v>966</v>
      </c>
      <c r="B2034" s="129"/>
      <c r="C2034" s="164" t="s">
        <v>872</v>
      </c>
      <c r="D2034" s="165" t="s">
        <v>873</v>
      </c>
      <c r="E2034" s="138" t="s">
        <v>336</v>
      </c>
      <c r="F2034" s="166">
        <f>97.9*2</f>
        <v>195.8</v>
      </c>
      <c r="G2034" s="68">
        <v>165.516193766826</v>
      </c>
      <c r="H2034" s="25">
        <f t="shared" si="168"/>
        <v>32408</v>
      </c>
    </row>
    <row r="2035" customHeight="1" spans="1:8">
      <c r="A2035" s="8">
        <f ca="1" t="shared" si="171"/>
        <v>967</v>
      </c>
      <c r="B2035" s="129"/>
      <c r="C2035" s="164" t="s">
        <v>841</v>
      </c>
      <c r="D2035" s="165" t="s">
        <v>842</v>
      </c>
      <c r="E2035" s="138" t="s">
        <v>329</v>
      </c>
      <c r="F2035" s="166">
        <f>426.17*2</f>
        <v>852.34</v>
      </c>
      <c r="G2035" s="68">
        <v>0</v>
      </c>
      <c r="H2035" s="25">
        <f t="shared" si="168"/>
        <v>0</v>
      </c>
    </row>
    <row r="2036" customHeight="1" spans="1:8">
      <c r="A2036" s="8">
        <f ca="1" t="shared" si="171"/>
        <v>968</v>
      </c>
      <c r="B2036" s="129"/>
      <c r="C2036" s="164" t="s">
        <v>843</v>
      </c>
      <c r="D2036" s="165" t="s">
        <v>844</v>
      </c>
      <c r="E2036" s="138" t="s">
        <v>464</v>
      </c>
      <c r="F2036" s="166">
        <f>9436*2</f>
        <v>18872</v>
      </c>
      <c r="G2036" s="68">
        <v>1.23406320027515</v>
      </c>
      <c r="H2036" s="25">
        <f t="shared" si="168"/>
        <v>23289</v>
      </c>
    </row>
    <row r="2037" customHeight="1" spans="1:8">
      <c r="A2037" s="8">
        <f ca="1" t="shared" si="171"/>
        <v>969</v>
      </c>
      <c r="B2037" s="84" t="s">
        <v>2521</v>
      </c>
      <c r="C2037" s="89" t="s">
        <v>2522</v>
      </c>
      <c r="D2037" s="90" t="s">
        <v>2523</v>
      </c>
      <c r="E2037" s="86" t="s">
        <v>238</v>
      </c>
      <c r="F2037" s="107">
        <v>1</v>
      </c>
      <c r="G2037" s="68">
        <v>366233.3136</v>
      </c>
      <c r="H2037" s="25">
        <f t="shared" si="168"/>
        <v>366233</v>
      </c>
    </row>
    <row r="2038" customHeight="1" spans="1:8">
      <c r="B2038" s="129"/>
      <c r="C2038" s="252" t="s">
        <v>2493</v>
      </c>
      <c r="D2038" s="253" t="s">
        <v>2294</v>
      </c>
      <c r="E2038" s="138"/>
      <c r="F2038" s="166"/>
      <c r="G2038" s="68">
        <v>0</v>
      </c>
      <c r="H2038" s="25">
        <f t="shared" si="168"/>
        <v>0</v>
      </c>
    </row>
    <row r="2039" customHeight="1" spans="1:8">
      <c r="A2039" s="8">
        <f ca="1" t="shared" ref="A2039:A2042" si="172">COUNTA(OFFSET(A$1,0,0,ROW()-1,1))+1</f>
        <v>970</v>
      </c>
      <c r="B2039" s="129"/>
      <c r="C2039" s="255" t="s">
        <v>2337</v>
      </c>
      <c r="D2039" s="256" t="s">
        <v>1097</v>
      </c>
      <c r="E2039" s="138" t="s">
        <v>464</v>
      </c>
      <c r="F2039" s="166">
        <f>33.054*1000*2</f>
        <v>66108</v>
      </c>
      <c r="G2039" s="68">
        <v>0</v>
      </c>
      <c r="H2039" s="25">
        <f t="shared" si="168"/>
        <v>0</v>
      </c>
    </row>
    <row r="2040" customHeight="1" spans="1:8">
      <c r="A2040" s="8">
        <f ca="1" t="shared" si="172"/>
        <v>971</v>
      </c>
      <c r="B2040" s="129"/>
      <c r="C2040" s="255" t="s">
        <v>2338</v>
      </c>
      <c r="D2040" s="256" t="s">
        <v>1081</v>
      </c>
      <c r="E2040" s="138" t="s">
        <v>464</v>
      </c>
      <c r="F2040" s="166">
        <f>94.521*1000*2</f>
        <v>189042</v>
      </c>
      <c r="G2040" s="68">
        <v>1.8685246720608</v>
      </c>
      <c r="H2040" s="25">
        <f t="shared" si="168"/>
        <v>353230</v>
      </c>
    </row>
    <row r="2041" customHeight="1" spans="1:8">
      <c r="A2041" s="8">
        <f ca="1" t="shared" si="172"/>
        <v>972</v>
      </c>
      <c r="B2041" s="129"/>
      <c r="C2041" s="255" t="s">
        <v>2339</v>
      </c>
      <c r="D2041" s="256" t="s">
        <v>2340</v>
      </c>
      <c r="E2041" s="138" t="s">
        <v>464</v>
      </c>
      <c r="F2041" s="166">
        <f>3.672*1000*2</f>
        <v>7344</v>
      </c>
      <c r="G2041" s="68">
        <v>0</v>
      </c>
      <c r="H2041" s="25">
        <f t="shared" si="168"/>
        <v>0</v>
      </c>
    </row>
    <row r="2042" customHeight="1" spans="1:8">
      <c r="A2042" s="8">
        <f ca="1" t="shared" si="172"/>
        <v>973</v>
      </c>
      <c r="B2042" s="129"/>
      <c r="C2042" s="255" t="s">
        <v>2341</v>
      </c>
      <c r="D2042" s="256" t="s">
        <v>2342</v>
      </c>
      <c r="E2042" s="138" t="s">
        <v>464</v>
      </c>
      <c r="F2042" s="166">
        <f>5.898*1000*2</f>
        <v>11796</v>
      </c>
      <c r="G2042" s="68">
        <v>0</v>
      </c>
      <c r="H2042" s="25">
        <f t="shared" si="168"/>
        <v>0</v>
      </c>
    </row>
    <row r="2043" customHeight="1" spans="1:8">
      <c r="B2043" s="129"/>
      <c r="C2043" s="164" t="s">
        <v>2494</v>
      </c>
      <c r="D2043" s="165" t="s">
        <v>2495</v>
      </c>
      <c r="E2043" s="138" t="s">
        <v>464</v>
      </c>
      <c r="F2043" s="166"/>
      <c r="G2043" s="68">
        <v>0</v>
      </c>
      <c r="H2043" s="25">
        <f t="shared" si="168"/>
        <v>0</v>
      </c>
    </row>
    <row r="2044" customHeight="1" spans="1:8">
      <c r="B2044" s="129"/>
      <c r="C2044" s="164" t="s">
        <v>2496</v>
      </c>
      <c r="D2044" s="165" t="s">
        <v>2497</v>
      </c>
      <c r="E2044" s="138" t="s">
        <v>464</v>
      </c>
      <c r="F2044" s="166"/>
      <c r="G2044" s="68">
        <v>0</v>
      </c>
      <c r="H2044" s="25">
        <f t="shared" si="168"/>
        <v>0</v>
      </c>
    </row>
    <row r="2045" customHeight="1" spans="1:8">
      <c r="B2045" s="129"/>
      <c r="C2045" s="164" t="s">
        <v>2498</v>
      </c>
      <c r="D2045" s="165" t="s">
        <v>2499</v>
      </c>
      <c r="E2045" s="138" t="s">
        <v>464</v>
      </c>
      <c r="F2045" s="166"/>
      <c r="G2045" s="68">
        <v>0</v>
      </c>
      <c r="H2045" s="25">
        <f t="shared" si="168"/>
        <v>0</v>
      </c>
    </row>
    <row r="2046" customHeight="1" spans="1:8">
      <c r="B2046" s="129"/>
      <c r="C2046" s="164" t="s">
        <v>2500</v>
      </c>
      <c r="D2046" s="165" t="s">
        <v>2501</v>
      </c>
      <c r="E2046" s="138" t="s">
        <v>892</v>
      </c>
      <c r="F2046" s="166"/>
      <c r="G2046" s="68">
        <v>0</v>
      </c>
      <c r="H2046" s="25">
        <f t="shared" si="168"/>
        <v>0</v>
      </c>
    </row>
    <row r="2047" customHeight="1" spans="1:8">
      <c r="B2047" s="129"/>
      <c r="C2047" s="164" t="s">
        <v>2502</v>
      </c>
      <c r="D2047" s="165" t="s">
        <v>2503</v>
      </c>
      <c r="E2047" s="138" t="s">
        <v>464</v>
      </c>
      <c r="F2047" s="166"/>
      <c r="G2047" s="68">
        <v>0</v>
      </c>
      <c r="H2047" s="25">
        <f t="shared" si="168"/>
        <v>0</v>
      </c>
    </row>
    <row r="2048" customHeight="1" spans="1:8">
      <c r="B2048" s="129"/>
      <c r="C2048" s="164" t="s">
        <v>2504</v>
      </c>
      <c r="D2048" s="165" t="s">
        <v>2505</v>
      </c>
      <c r="E2048" s="138" t="s">
        <v>225</v>
      </c>
      <c r="F2048" s="166"/>
      <c r="G2048" s="68">
        <v>0</v>
      </c>
      <c r="H2048" s="25">
        <f t="shared" si="168"/>
        <v>0</v>
      </c>
    </row>
    <row r="2049" customHeight="1" spans="1:8">
      <c r="B2049" s="129"/>
      <c r="C2049" s="164" t="s">
        <v>2506</v>
      </c>
      <c r="D2049" s="165" t="s">
        <v>2507</v>
      </c>
      <c r="E2049" s="138" t="s">
        <v>225</v>
      </c>
      <c r="F2049" s="166"/>
      <c r="G2049" s="68">
        <v>0</v>
      </c>
      <c r="H2049" s="25">
        <f t="shared" si="168"/>
        <v>0</v>
      </c>
    </row>
    <row r="2050" customHeight="1" spans="1:8">
      <c r="A2050" s="8">
        <f ca="1">COUNTA(OFFSET(A$1,0,0,ROW()-1,1))+1</f>
        <v>974</v>
      </c>
      <c r="B2050" s="129"/>
      <c r="C2050" s="164" t="s">
        <v>2508</v>
      </c>
      <c r="D2050" s="165" t="s">
        <v>2509</v>
      </c>
      <c r="E2050" s="138" t="s">
        <v>2510</v>
      </c>
      <c r="F2050" s="166">
        <f>1091.97*2</f>
        <v>2183.94</v>
      </c>
      <c r="G2050" s="68">
        <v>0</v>
      </c>
      <c r="H2050" s="25">
        <f t="shared" si="168"/>
        <v>0</v>
      </c>
    </row>
    <row r="2051" customHeight="1" spans="1:8">
      <c r="B2051" s="129"/>
      <c r="C2051" s="164" t="s">
        <v>2511</v>
      </c>
      <c r="D2051" s="165" t="s">
        <v>2512</v>
      </c>
      <c r="E2051" s="138" t="s">
        <v>225</v>
      </c>
      <c r="F2051" s="166"/>
      <c r="G2051" s="68">
        <v>0</v>
      </c>
      <c r="H2051" s="25">
        <f t="shared" si="168"/>
        <v>0</v>
      </c>
    </row>
    <row r="2052" customHeight="1" spans="1:8">
      <c r="B2052" s="129"/>
      <c r="C2052" s="252" t="s">
        <v>2513</v>
      </c>
      <c r="D2052" s="253" t="s">
        <v>112</v>
      </c>
      <c r="E2052" s="138"/>
      <c r="F2052" s="166"/>
      <c r="G2052" s="68">
        <v>0</v>
      </c>
      <c r="H2052" s="25">
        <f t="shared" si="168"/>
        <v>0</v>
      </c>
    </row>
    <row r="2053" customHeight="1" spans="1:8">
      <c r="B2053" s="129"/>
      <c r="C2053" s="164" t="s">
        <v>2514</v>
      </c>
      <c r="D2053" s="165" t="s">
        <v>2515</v>
      </c>
      <c r="E2053" s="138" t="s">
        <v>225</v>
      </c>
      <c r="F2053" s="166"/>
      <c r="G2053" s="68">
        <v>0</v>
      </c>
      <c r="H2053" s="25">
        <f t="shared" si="168"/>
        <v>0</v>
      </c>
    </row>
    <row r="2054" customHeight="1" spans="1:8">
      <c r="B2054" s="129"/>
      <c r="C2054" s="164" t="s">
        <v>2516</v>
      </c>
      <c r="D2054" s="165" t="s">
        <v>2517</v>
      </c>
      <c r="E2054" s="138" t="s">
        <v>225</v>
      </c>
      <c r="F2054" s="166"/>
      <c r="G2054" s="68">
        <v>0</v>
      </c>
      <c r="H2054" s="25">
        <f t="shared" si="168"/>
        <v>0</v>
      </c>
    </row>
    <row r="2055" customHeight="1" spans="1:8">
      <c r="B2055" s="84"/>
      <c r="C2055" s="89"/>
      <c r="D2055" s="89"/>
      <c r="E2055" s="86"/>
      <c r="F2055" s="107"/>
      <c r="G2055" s="68">
        <v>0</v>
      </c>
      <c r="H2055" s="25">
        <f t="shared" si="168"/>
        <v>0</v>
      </c>
    </row>
    <row r="2056" customHeight="1" spans="1:8">
      <c r="B2056" s="84" t="s">
        <v>2524</v>
      </c>
      <c r="C2056" s="177" t="s">
        <v>2525</v>
      </c>
      <c r="D2056" s="178" t="s">
        <v>2526</v>
      </c>
      <c r="E2056" s="86"/>
      <c r="F2056" s="107"/>
      <c r="G2056" s="68">
        <v>0</v>
      </c>
      <c r="H2056" s="25">
        <f t="shared" ref="H2056:H2119" si="173">IFERROR(ROUND(G2056*F2056,0),0)</f>
        <v>0</v>
      </c>
    </row>
    <row r="2057" customHeight="1" spans="1:8">
      <c r="A2057" s="8">
        <f ca="1">COUNTA(OFFSET(A$1,0,0,ROW()-1,1))+1</f>
        <v>975</v>
      </c>
      <c r="B2057" s="84" t="s">
        <v>2527</v>
      </c>
      <c r="C2057" s="187" t="s">
        <v>2528</v>
      </c>
      <c r="D2057" s="188" t="s">
        <v>2529</v>
      </c>
      <c r="E2057" s="86" t="s">
        <v>238</v>
      </c>
      <c r="F2057" s="107">
        <f>10+5</f>
        <v>15</v>
      </c>
      <c r="G2057" s="68">
        <v>432.3888</v>
      </c>
      <c r="H2057" s="25">
        <f t="shared" si="173"/>
        <v>6486</v>
      </c>
    </row>
    <row r="2058" customHeight="1" spans="1:8">
      <c r="B2058" s="124"/>
      <c r="C2058" s="257" t="s">
        <v>2485</v>
      </c>
      <c r="D2058" s="258" t="s">
        <v>2486</v>
      </c>
      <c r="E2058" s="126"/>
      <c r="F2058" s="166"/>
      <c r="G2058" s="68">
        <v>0</v>
      </c>
      <c r="H2058" s="25">
        <f t="shared" si="173"/>
        <v>0</v>
      </c>
    </row>
    <row r="2059" customHeight="1" spans="1:8">
      <c r="B2059" s="124"/>
      <c r="C2059" s="259" t="s">
        <v>2487</v>
      </c>
      <c r="D2059" s="260" t="s">
        <v>2488</v>
      </c>
      <c r="E2059" s="126" t="s">
        <v>336</v>
      </c>
      <c r="F2059" s="166"/>
      <c r="G2059" s="68">
        <v>0</v>
      </c>
      <c r="H2059" s="25">
        <f t="shared" si="173"/>
        <v>0</v>
      </c>
    </row>
    <row r="2060" customHeight="1" spans="1:8">
      <c r="B2060" s="124"/>
      <c r="C2060" s="259" t="s">
        <v>2489</v>
      </c>
      <c r="D2060" s="260" t="s">
        <v>2113</v>
      </c>
      <c r="E2060" s="126" t="s">
        <v>336</v>
      </c>
      <c r="F2060" s="166"/>
      <c r="G2060" s="68">
        <v>0</v>
      </c>
      <c r="H2060" s="25">
        <f t="shared" si="173"/>
        <v>0</v>
      </c>
    </row>
    <row r="2061" customHeight="1" spans="1:8">
      <c r="B2061" s="124"/>
      <c r="C2061" s="259" t="s">
        <v>872</v>
      </c>
      <c r="D2061" s="260" t="s">
        <v>873</v>
      </c>
      <c r="E2061" s="126" t="s">
        <v>336</v>
      </c>
      <c r="F2061" s="166"/>
      <c r="G2061" s="68">
        <v>0</v>
      </c>
      <c r="H2061" s="25">
        <f t="shared" si="173"/>
        <v>0</v>
      </c>
    </row>
    <row r="2062" customHeight="1" spans="1:8">
      <c r="B2062" s="124"/>
      <c r="C2062" s="259" t="s">
        <v>841</v>
      </c>
      <c r="D2062" s="260" t="s">
        <v>842</v>
      </c>
      <c r="E2062" s="126" t="s">
        <v>329</v>
      </c>
      <c r="F2062" s="166"/>
      <c r="G2062" s="68">
        <v>0</v>
      </c>
      <c r="H2062" s="25">
        <f t="shared" si="173"/>
        <v>0</v>
      </c>
    </row>
    <row r="2063" customHeight="1" spans="1:8">
      <c r="B2063" s="124"/>
      <c r="C2063" s="259" t="s">
        <v>843</v>
      </c>
      <c r="D2063" s="260" t="s">
        <v>844</v>
      </c>
      <c r="E2063" s="126" t="s">
        <v>464</v>
      </c>
      <c r="F2063" s="166"/>
      <c r="G2063" s="68">
        <v>0</v>
      </c>
      <c r="H2063" s="25">
        <f t="shared" si="173"/>
        <v>0</v>
      </c>
    </row>
    <row r="2064" customHeight="1" spans="1:8">
      <c r="B2064" s="124"/>
      <c r="C2064" s="261" t="s">
        <v>2530</v>
      </c>
      <c r="D2064" s="262" t="s">
        <v>120</v>
      </c>
      <c r="E2064" s="126"/>
      <c r="F2064" s="166"/>
      <c r="G2064" s="68">
        <v>0</v>
      </c>
      <c r="H2064" s="25">
        <f t="shared" si="173"/>
        <v>0</v>
      </c>
    </row>
    <row r="2065" customHeight="1" spans="1:8">
      <c r="B2065" s="124"/>
      <c r="C2065" s="263" t="s">
        <v>2531</v>
      </c>
      <c r="D2065" s="264" t="s">
        <v>2532</v>
      </c>
      <c r="E2065" s="126" t="s">
        <v>225</v>
      </c>
      <c r="F2065" s="166"/>
      <c r="G2065" s="68">
        <v>0</v>
      </c>
      <c r="H2065" s="25">
        <f t="shared" si="173"/>
        <v>0</v>
      </c>
    </row>
    <row r="2066" customHeight="1" spans="1:8">
      <c r="B2066" s="124"/>
      <c r="C2066" s="263" t="s">
        <v>2533</v>
      </c>
      <c r="D2066" s="264" t="s">
        <v>2534</v>
      </c>
      <c r="E2066" s="126" t="s">
        <v>225</v>
      </c>
      <c r="F2066" s="166"/>
      <c r="G2066" s="68">
        <v>0</v>
      </c>
      <c r="H2066" s="25">
        <f t="shared" si="173"/>
        <v>0</v>
      </c>
    </row>
    <row r="2067" customHeight="1" spans="1:8">
      <c r="A2067" s="8">
        <f ca="1">COUNTA(OFFSET(A$1,0,0,ROW()-1,1))+1</f>
        <v>976</v>
      </c>
      <c r="B2067" s="84" t="s">
        <v>2535</v>
      </c>
      <c r="C2067" s="187" t="s">
        <v>2536</v>
      </c>
      <c r="D2067" s="188" t="s">
        <v>2537</v>
      </c>
      <c r="E2067" s="86" t="s">
        <v>238</v>
      </c>
      <c r="F2067" s="107">
        <f>15*5</f>
        <v>75</v>
      </c>
      <c r="G2067" s="68">
        <v>129.71664</v>
      </c>
      <c r="H2067" s="25">
        <f t="shared" si="173"/>
        <v>9729</v>
      </c>
    </row>
    <row r="2068" customHeight="1" spans="1:8">
      <c r="B2068" s="129"/>
      <c r="C2068" s="252" t="s">
        <v>2485</v>
      </c>
      <c r="D2068" s="253" t="s">
        <v>2486</v>
      </c>
      <c r="E2068" s="138"/>
      <c r="F2068" s="166"/>
      <c r="G2068" s="68">
        <v>0</v>
      </c>
      <c r="H2068" s="25">
        <f t="shared" si="173"/>
        <v>0</v>
      </c>
    </row>
    <row r="2069" customHeight="1" spans="1:8">
      <c r="B2069" s="129"/>
      <c r="C2069" s="164" t="s">
        <v>2487</v>
      </c>
      <c r="D2069" s="165" t="s">
        <v>2488</v>
      </c>
      <c r="E2069" s="138" t="s">
        <v>336</v>
      </c>
      <c r="F2069" s="166"/>
      <c r="G2069" s="68">
        <v>0</v>
      </c>
      <c r="H2069" s="25">
        <f t="shared" si="173"/>
        <v>0</v>
      </c>
    </row>
    <row r="2070" customHeight="1" spans="1:8">
      <c r="B2070" s="129"/>
      <c r="C2070" s="164" t="s">
        <v>2489</v>
      </c>
      <c r="D2070" s="165" t="s">
        <v>2113</v>
      </c>
      <c r="E2070" s="138" t="s">
        <v>336</v>
      </c>
      <c r="F2070" s="166"/>
      <c r="G2070" s="68">
        <v>0</v>
      </c>
      <c r="H2070" s="25">
        <f t="shared" si="173"/>
        <v>0</v>
      </c>
    </row>
    <row r="2071" customHeight="1" spans="1:8">
      <c r="B2071" s="129"/>
      <c r="C2071" s="164" t="s">
        <v>872</v>
      </c>
      <c r="D2071" s="165" t="s">
        <v>873</v>
      </c>
      <c r="E2071" s="138" t="s">
        <v>336</v>
      </c>
      <c r="F2071" s="166"/>
      <c r="G2071" s="68">
        <v>0</v>
      </c>
      <c r="H2071" s="25">
        <f t="shared" si="173"/>
        <v>0</v>
      </c>
    </row>
    <row r="2072" customHeight="1" spans="1:8">
      <c r="B2072" s="129"/>
      <c r="C2072" s="164" t="s">
        <v>841</v>
      </c>
      <c r="D2072" s="165" t="s">
        <v>842</v>
      </c>
      <c r="E2072" s="138" t="s">
        <v>329</v>
      </c>
      <c r="F2072" s="166"/>
      <c r="G2072" s="68">
        <v>0</v>
      </c>
      <c r="H2072" s="25">
        <f t="shared" si="173"/>
        <v>0</v>
      </c>
    </row>
    <row r="2073" customHeight="1" spans="1:8">
      <c r="B2073" s="129"/>
      <c r="C2073" s="164" t="s">
        <v>843</v>
      </c>
      <c r="D2073" s="165" t="s">
        <v>844</v>
      </c>
      <c r="E2073" s="138" t="s">
        <v>464</v>
      </c>
      <c r="F2073" s="166"/>
      <c r="G2073" s="68">
        <v>0</v>
      </c>
      <c r="H2073" s="25">
        <f t="shared" si="173"/>
        <v>0</v>
      </c>
    </row>
    <row r="2074" customHeight="1" spans="1:8">
      <c r="B2074" s="129"/>
      <c r="C2074" s="261" t="s">
        <v>2530</v>
      </c>
      <c r="D2074" s="262" t="s">
        <v>120</v>
      </c>
      <c r="E2074" s="138"/>
      <c r="F2074" s="166"/>
      <c r="G2074" s="68">
        <v>0</v>
      </c>
      <c r="H2074" s="25">
        <f t="shared" si="173"/>
        <v>0</v>
      </c>
    </row>
    <row r="2075" customHeight="1" spans="1:8">
      <c r="B2075" s="129"/>
      <c r="C2075" s="263" t="s">
        <v>2531</v>
      </c>
      <c r="D2075" s="264" t="s">
        <v>2532</v>
      </c>
      <c r="E2075" s="138" t="s">
        <v>225</v>
      </c>
      <c r="F2075" s="166"/>
      <c r="G2075" s="68">
        <v>0</v>
      </c>
      <c r="H2075" s="25">
        <f t="shared" si="173"/>
        <v>0</v>
      </c>
    </row>
    <row r="2076" customHeight="1" spans="1:8">
      <c r="B2076" s="129"/>
      <c r="C2076" s="263" t="s">
        <v>2533</v>
      </c>
      <c r="D2076" s="264" t="s">
        <v>2534</v>
      </c>
      <c r="E2076" s="138" t="s">
        <v>225</v>
      </c>
      <c r="F2076" s="166"/>
      <c r="G2076" s="68">
        <v>0</v>
      </c>
      <c r="H2076" s="25">
        <f t="shared" si="173"/>
        <v>0</v>
      </c>
    </row>
    <row r="2077" customHeight="1" spans="1:8">
      <c r="A2077" s="8">
        <f ca="1">COUNTA(OFFSET(A$1,0,0,ROW()-1,1))+1</f>
        <v>977</v>
      </c>
      <c r="B2077" s="84" t="s">
        <v>2538</v>
      </c>
      <c r="C2077" s="187" t="s">
        <v>2539</v>
      </c>
      <c r="D2077" s="188" t="s">
        <v>2540</v>
      </c>
      <c r="E2077" s="86" t="s">
        <v>238</v>
      </c>
      <c r="F2077" s="107">
        <f>15</f>
        <v>15</v>
      </c>
      <c r="G2077" s="68">
        <v>0</v>
      </c>
      <c r="H2077" s="25">
        <f t="shared" si="173"/>
        <v>0</v>
      </c>
    </row>
    <row r="2078" customHeight="1" spans="1:8">
      <c r="B2078" s="129"/>
      <c r="C2078" s="252" t="s">
        <v>2485</v>
      </c>
      <c r="D2078" s="253" t="s">
        <v>2486</v>
      </c>
      <c r="E2078" s="138"/>
      <c r="F2078" s="166"/>
      <c r="G2078" s="68">
        <v>0</v>
      </c>
      <c r="H2078" s="25">
        <f t="shared" si="173"/>
        <v>0</v>
      </c>
    </row>
    <row r="2079" customHeight="1" spans="1:8">
      <c r="B2079" s="129"/>
      <c r="C2079" s="164" t="s">
        <v>2487</v>
      </c>
      <c r="D2079" s="165" t="s">
        <v>2488</v>
      </c>
      <c r="E2079" s="138" t="s">
        <v>336</v>
      </c>
      <c r="F2079" s="166"/>
      <c r="G2079" s="68">
        <v>0</v>
      </c>
      <c r="H2079" s="25">
        <f t="shared" si="173"/>
        <v>0</v>
      </c>
    </row>
    <row r="2080" customHeight="1" spans="1:8">
      <c r="B2080" s="129"/>
      <c r="C2080" s="164" t="s">
        <v>2489</v>
      </c>
      <c r="D2080" s="165" t="s">
        <v>2113</v>
      </c>
      <c r="E2080" s="138" t="s">
        <v>336</v>
      </c>
      <c r="F2080" s="166"/>
      <c r="G2080" s="68">
        <v>0</v>
      </c>
      <c r="H2080" s="25">
        <f t="shared" si="173"/>
        <v>0</v>
      </c>
    </row>
    <row r="2081" customHeight="1" spans="1:8">
      <c r="B2081" s="129"/>
      <c r="C2081" s="164" t="s">
        <v>872</v>
      </c>
      <c r="D2081" s="165" t="s">
        <v>873</v>
      </c>
      <c r="E2081" s="138" t="s">
        <v>336</v>
      </c>
      <c r="F2081" s="166"/>
      <c r="G2081" s="68">
        <v>0</v>
      </c>
      <c r="H2081" s="25">
        <f t="shared" si="173"/>
        <v>0</v>
      </c>
    </row>
    <row r="2082" customHeight="1" spans="1:8">
      <c r="B2082" s="129"/>
      <c r="C2082" s="164" t="s">
        <v>841</v>
      </c>
      <c r="D2082" s="165" t="s">
        <v>842</v>
      </c>
      <c r="E2082" s="138" t="s">
        <v>329</v>
      </c>
      <c r="F2082" s="166"/>
      <c r="G2082" s="68">
        <v>0</v>
      </c>
      <c r="H2082" s="25">
        <f t="shared" si="173"/>
        <v>0</v>
      </c>
    </row>
    <row r="2083" customHeight="1" spans="1:8">
      <c r="B2083" s="129"/>
      <c r="C2083" s="164" t="s">
        <v>843</v>
      </c>
      <c r="D2083" s="165" t="s">
        <v>844</v>
      </c>
      <c r="E2083" s="138" t="s">
        <v>464</v>
      </c>
      <c r="F2083" s="166"/>
      <c r="G2083" s="68">
        <v>0</v>
      </c>
      <c r="H2083" s="25">
        <f t="shared" si="173"/>
        <v>0</v>
      </c>
    </row>
    <row r="2084" customHeight="1" spans="1:8">
      <c r="B2084" s="129"/>
      <c r="C2084" s="261" t="s">
        <v>2530</v>
      </c>
      <c r="D2084" s="262" t="s">
        <v>120</v>
      </c>
      <c r="E2084" s="138"/>
      <c r="F2084" s="166"/>
      <c r="G2084" s="68">
        <v>0</v>
      </c>
      <c r="H2084" s="25">
        <f t="shared" si="173"/>
        <v>0</v>
      </c>
    </row>
    <row r="2085" customHeight="1" spans="1:8">
      <c r="B2085" s="129"/>
      <c r="C2085" s="263" t="s">
        <v>2531</v>
      </c>
      <c r="D2085" s="264" t="s">
        <v>2532</v>
      </c>
      <c r="E2085" s="138" t="s">
        <v>225</v>
      </c>
      <c r="F2085" s="166"/>
      <c r="G2085" s="68">
        <v>0</v>
      </c>
      <c r="H2085" s="25">
        <f t="shared" si="173"/>
        <v>0</v>
      </c>
    </row>
    <row r="2086" customHeight="1" spans="1:8">
      <c r="B2086" s="129"/>
      <c r="C2086" s="263" t="s">
        <v>2533</v>
      </c>
      <c r="D2086" s="264" t="s">
        <v>2534</v>
      </c>
      <c r="E2086" s="138"/>
      <c r="F2086" s="166"/>
      <c r="G2086" s="68">
        <v>0</v>
      </c>
      <c r="H2086" s="25">
        <f t="shared" si="173"/>
        <v>0</v>
      </c>
    </row>
    <row r="2087" customHeight="1" spans="1:8">
      <c r="A2087" s="8">
        <f ca="1">COUNTA(OFFSET(A$1,0,0,ROW()-1,1))+1</f>
        <v>978</v>
      </c>
      <c r="B2087" s="84" t="s">
        <v>2541</v>
      </c>
      <c r="C2087" s="187" t="s">
        <v>2542</v>
      </c>
      <c r="D2087" s="188" t="s">
        <v>2543</v>
      </c>
      <c r="E2087" s="86" t="s">
        <v>238</v>
      </c>
      <c r="F2087" s="107">
        <f>15</f>
        <v>15</v>
      </c>
      <c r="G2087" s="68">
        <v>0</v>
      </c>
      <c r="H2087" s="25">
        <f t="shared" si="173"/>
        <v>0</v>
      </c>
    </row>
    <row r="2088" customHeight="1" spans="1:8">
      <c r="B2088" s="129"/>
      <c r="C2088" s="252" t="s">
        <v>2485</v>
      </c>
      <c r="D2088" s="253" t="s">
        <v>2486</v>
      </c>
      <c r="E2088" s="138"/>
      <c r="F2088" s="166"/>
      <c r="G2088" s="68">
        <v>0</v>
      </c>
      <c r="H2088" s="25">
        <f t="shared" si="173"/>
        <v>0</v>
      </c>
    </row>
    <row r="2089" customHeight="1" spans="1:8">
      <c r="B2089" s="129"/>
      <c r="C2089" s="164" t="s">
        <v>2487</v>
      </c>
      <c r="D2089" s="165" t="s">
        <v>2488</v>
      </c>
      <c r="E2089" s="138" t="s">
        <v>336</v>
      </c>
      <c r="F2089" s="166"/>
      <c r="G2089" s="68">
        <v>0</v>
      </c>
      <c r="H2089" s="25">
        <f t="shared" si="173"/>
        <v>0</v>
      </c>
    </row>
    <row r="2090" customHeight="1" spans="1:8">
      <c r="B2090" s="129"/>
      <c r="C2090" s="164" t="s">
        <v>2489</v>
      </c>
      <c r="D2090" s="165" t="s">
        <v>2113</v>
      </c>
      <c r="E2090" s="138" t="s">
        <v>336</v>
      </c>
      <c r="F2090" s="166"/>
      <c r="G2090" s="68">
        <v>0</v>
      </c>
      <c r="H2090" s="25">
        <f t="shared" si="173"/>
        <v>0</v>
      </c>
    </row>
    <row r="2091" customHeight="1" spans="1:8">
      <c r="B2091" s="129"/>
      <c r="C2091" s="164" t="s">
        <v>872</v>
      </c>
      <c r="D2091" s="165" t="s">
        <v>873</v>
      </c>
      <c r="E2091" s="138" t="s">
        <v>336</v>
      </c>
      <c r="F2091" s="166"/>
      <c r="G2091" s="68">
        <v>0</v>
      </c>
      <c r="H2091" s="25">
        <f t="shared" si="173"/>
        <v>0</v>
      </c>
    </row>
    <row r="2092" customHeight="1" spans="1:8">
      <c r="B2092" s="129"/>
      <c r="C2092" s="164" t="s">
        <v>841</v>
      </c>
      <c r="D2092" s="165" t="s">
        <v>842</v>
      </c>
      <c r="E2092" s="138" t="s">
        <v>329</v>
      </c>
      <c r="F2092" s="166"/>
      <c r="G2092" s="68">
        <v>0</v>
      </c>
      <c r="H2092" s="25">
        <f t="shared" si="173"/>
        <v>0</v>
      </c>
    </row>
    <row r="2093" customHeight="1" spans="1:8">
      <c r="B2093" s="129"/>
      <c r="C2093" s="164" t="s">
        <v>843</v>
      </c>
      <c r="D2093" s="165" t="s">
        <v>844</v>
      </c>
      <c r="E2093" s="138" t="s">
        <v>464</v>
      </c>
      <c r="F2093" s="166"/>
      <c r="G2093" s="68">
        <v>0</v>
      </c>
      <c r="H2093" s="25">
        <f t="shared" si="173"/>
        <v>0</v>
      </c>
    </row>
    <row r="2094" customHeight="1" spans="1:8">
      <c r="B2094" s="129"/>
      <c r="C2094" s="261" t="s">
        <v>2530</v>
      </c>
      <c r="D2094" s="262" t="s">
        <v>120</v>
      </c>
      <c r="E2094" s="138"/>
      <c r="F2094" s="166"/>
      <c r="G2094" s="68">
        <v>0</v>
      </c>
      <c r="H2094" s="25">
        <f t="shared" si="173"/>
        <v>0</v>
      </c>
    </row>
    <row r="2095" customHeight="1" spans="1:8">
      <c r="B2095" s="129"/>
      <c r="C2095" s="263" t="s">
        <v>2544</v>
      </c>
      <c r="D2095" s="264" t="s">
        <v>2545</v>
      </c>
      <c r="E2095" s="138"/>
      <c r="F2095" s="166"/>
      <c r="G2095" s="68">
        <v>0</v>
      </c>
      <c r="H2095" s="25">
        <f t="shared" si="173"/>
        <v>0</v>
      </c>
    </row>
    <row r="2096" customHeight="1" spans="1:8">
      <c r="A2096" s="8">
        <f ca="1" t="shared" ref="A2096:A2100" si="174">COUNTA(OFFSET(A$1,0,0,ROW()-1,1))+1</f>
        <v>979</v>
      </c>
      <c r="B2096" s="84" t="s">
        <v>2546</v>
      </c>
      <c r="C2096" s="187" t="s">
        <v>2547</v>
      </c>
      <c r="D2096" s="188" t="s">
        <v>2548</v>
      </c>
      <c r="E2096" s="86" t="s">
        <v>225</v>
      </c>
      <c r="F2096" s="107">
        <f>37*15</f>
        <v>555</v>
      </c>
      <c r="G2096" s="68">
        <v>0</v>
      </c>
      <c r="H2096" s="25">
        <f t="shared" si="173"/>
        <v>0</v>
      </c>
    </row>
    <row r="2097" customHeight="1" spans="1:8">
      <c r="A2097" s="8">
        <f ca="1" t="shared" si="174"/>
        <v>980</v>
      </c>
      <c r="B2097" s="84" t="s">
        <v>2549</v>
      </c>
      <c r="C2097" s="187" t="s">
        <v>2550</v>
      </c>
      <c r="D2097" s="188" t="s">
        <v>2551</v>
      </c>
      <c r="E2097" s="86" t="s">
        <v>238</v>
      </c>
      <c r="F2097" s="107">
        <f>15*2</f>
        <v>30</v>
      </c>
      <c r="G2097" s="68">
        <v>426.549874929779</v>
      </c>
      <c r="H2097" s="25">
        <f t="shared" si="173"/>
        <v>12796</v>
      </c>
    </row>
    <row r="2098" customHeight="1" spans="1:8">
      <c r="B2098" s="84"/>
      <c r="C2098" s="187"/>
      <c r="D2098" s="187"/>
      <c r="E2098" s="86"/>
      <c r="F2098" s="107"/>
      <c r="G2098" s="68">
        <v>0</v>
      </c>
      <c r="H2098" s="25">
        <f t="shared" si="173"/>
        <v>0</v>
      </c>
    </row>
    <row r="2099" customHeight="1" spans="1:8">
      <c r="B2099" s="84" t="s">
        <v>2552</v>
      </c>
      <c r="C2099" s="177" t="s">
        <v>2553</v>
      </c>
      <c r="D2099" s="178" t="s">
        <v>2554</v>
      </c>
      <c r="E2099" s="86"/>
      <c r="F2099" s="107"/>
      <c r="G2099" s="68">
        <v>0</v>
      </c>
      <c r="H2099" s="25">
        <f t="shared" si="173"/>
        <v>0</v>
      </c>
    </row>
    <row r="2100" customHeight="1" spans="1:8">
      <c r="A2100" s="8">
        <f ca="1" t="shared" si="174"/>
        <v>981</v>
      </c>
      <c r="B2100" s="84" t="s">
        <v>2555</v>
      </c>
      <c r="C2100" s="187" t="s">
        <v>2556</v>
      </c>
      <c r="D2100" s="188" t="s">
        <v>2557</v>
      </c>
      <c r="E2100" s="86" t="s">
        <v>225</v>
      </c>
      <c r="F2100" s="107">
        <f>78*15</f>
        <v>1170</v>
      </c>
      <c r="G2100" s="68">
        <v>0</v>
      </c>
      <c r="H2100" s="25">
        <f t="shared" si="173"/>
        <v>0</v>
      </c>
    </row>
    <row r="2101" customHeight="1" spans="1:8">
      <c r="B2101" s="124"/>
      <c r="C2101" s="265" t="s">
        <v>2558</v>
      </c>
      <c r="D2101" s="266" t="s">
        <v>2559</v>
      </c>
      <c r="E2101" s="126" t="s">
        <v>464</v>
      </c>
      <c r="F2101" s="166"/>
      <c r="G2101" s="68">
        <v>0</v>
      </c>
      <c r="H2101" s="25">
        <f t="shared" si="173"/>
        <v>0</v>
      </c>
    </row>
    <row r="2102" customHeight="1" spans="1:8">
      <c r="B2102" s="124"/>
      <c r="C2102" s="265" t="s">
        <v>2560</v>
      </c>
      <c r="D2102" s="266" t="s">
        <v>2561</v>
      </c>
      <c r="E2102" s="126" t="s">
        <v>464</v>
      </c>
      <c r="F2102" s="166"/>
      <c r="G2102" s="68">
        <v>0</v>
      </c>
      <c r="H2102" s="25">
        <f t="shared" si="173"/>
        <v>0</v>
      </c>
    </row>
    <row r="2103" customHeight="1" spans="1:8">
      <c r="B2103" s="124"/>
      <c r="C2103" s="265" t="s">
        <v>2562</v>
      </c>
      <c r="D2103" s="266" t="s">
        <v>1095</v>
      </c>
      <c r="E2103" s="126" t="s">
        <v>464</v>
      </c>
      <c r="F2103" s="166"/>
      <c r="G2103" s="68">
        <v>0</v>
      </c>
      <c r="H2103" s="25">
        <f t="shared" si="173"/>
        <v>0</v>
      </c>
    </row>
    <row r="2104" customHeight="1" spans="1:8">
      <c r="B2104" s="124"/>
      <c r="C2104" s="265" t="s">
        <v>2563</v>
      </c>
      <c r="D2104" s="266" t="s">
        <v>2564</v>
      </c>
      <c r="E2104" s="126" t="s">
        <v>892</v>
      </c>
      <c r="F2104" s="166"/>
      <c r="G2104" s="68">
        <v>0</v>
      </c>
      <c r="H2104" s="25">
        <f t="shared" si="173"/>
        <v>0</v>
      </c>
    </row>
    <row r="2105" customHeight="1" spans="1:8">
      <c r="A2105" s="8">
        <f ca="1">COUNTA(OFFSET(A$1,0,0,ROW()-1,1))+1</f>
        <v>982</v>
      </c>
      <c r="B2105" s="84" t="s">
        <v>2565</v>
      </c>
      <c r="C2105" s="187" t="s">
        <v>2566</v>
      </c>
      <c r="D2105" s="188" t="s">
        <v>2567</v>
      </c>
      <c r="E2105" s="86" t="s">
        <v>238</v>
      </c>
      <c r="F2105" s="107">
        <f>6*15</f>
        <v>90</v>
      </c>
      <c r="G2105" s="68">
        <v>0</v>
      </c>
      <c r="H2105" s="25">
        <f t="shared" si="173"/>
        <v>0</v>
      </c>
    </row>
    <row r="2106" customHeight="1" spans="1:8">
      <c r="B2106" s="26"/>
      <c r="C2106" s="265" t="s">
        <v>2558</v>
      </c>
      <c r="D2106" s="266" t="s">
        <v>2559</v>
      </c>
      <c r="E2106" s="126" t="s">
        <v>464</v>
      </c>
      <c r="F2106" s="107"/>
      <c r="G2106" s="68">
        <v>0</v>
      </c>
      <c r="H2106" s="25">
        <f t="shared" si="173"/>
        <v>0</v>
      </c>
    </row>
    <row r="2107" customHeight="1" spans="1:8">
      <c r="B2107" s="26"/>
      <c r="C2107" s="265" t="s">
        <v>2568</v>
      </c>
      <c r="D2107" s="266" t="s">
        <v>2569</v>
      </c>
      <c r="E2107" s="126" t="s">
        <v>892</v>
      </c>
      <c r="F2107" s="107"/>
      <c r="G2107" s="68">
        <v>0</v>
      </c>
      <c r="H2107" s="25">
        <f t="shared" si="173"/>
        <v>0</v>
      </c>
    </row>
    <row r="2108" customHeight="1" spans="1:8">
      <c r="B2108" s="26"/>
      <c r="C2108" s="265" t="s">
        <v>2570</v>
      </c>
      <c r="D2108" s="266" t="s">
        <v>2571</v>
      </c>
      <c r="E2108" s="126" t="s">
        <v>464</v>
      </c>
      <c r="F2108" s="107"/>
      <c r="G2108" s="68">
        <v>0</v>
      </c>
      <c r="H2108" s="25">
        <f t="shared" si="173"/>
        <v>0</v>
      </c>
    </row>
    <row r="2109" customHeight="1" spans="1:8">
      <c r="B2109" s="26"/>
      <c r="C2109" s="265" t="s">
        <v>2562</v>
      </c>
      <c r="D2109" s="266" t="s">
        <v>1095</v>
      </c>
      <c r="E2109" s="126" t="s">
        <v>464</v>
      </c>
      <c r="F2109" s="107"/>
      <c r="G2109" s="68">
        <v>0</v>
      </c>
      <c r="H2109" s="25">
        <f t="shared" si="173"/>
        <v>0</v>
      </c>
    </row>
    <row r="2110" customHeight="1" spans="1:8">
      <c r="B2110" s="26"/>
      <c r="C2110" s="265" t="s">
        <v>2563</v>
      </c>
      <c r="D2110" s="266" t="s">
        <v>2564</v>
      </c>
      <c r="E2110" s="126" t="s">
        <v>892</v>
      </c>
      <c r="F2110" s="107"/>
      <c r="G2110" s="68">
        <v>0</v>
      </c>
      <c r="H2110" s="25">
        <f t="shared" si="173"/>
        <v>0</v>
      </c>
    </row>
    <row r="2111" customHeight="1" spans="1:8">
      <c r="B2111" s="84"/>
      <c r="C2111" s="187"/>
      <c r="D2111" s="187"/>
      <c r="E2111" s="86"/>
      <c r="F2111" s="107"/>
      <c r="G2111" s="68">
        <v>0</v>
      </c>
      <c r="H2111" s="25">
        <f t="shared" si="173"/>
        <v>0</v>
      </c>
    </row>
    <row r="2112" customHeight="1" spans="1:8">
      <c r="B2112" s="84" t="s">
        <v>2572</v>
      </c>
      <c r="C2112" s="177" t="s">
        <v>2573</v>
      </c>
      <c r="D2112" s="178" t="s">
        <v>2574</v>
      </c>
      <c r="E2112" s="86"/>
      <c r="F2112" s="107"/>
      <c r="G2112" s="68">
        <v>0</v>
      </c>
      <c r="H2112" s="25">
        <f t="shared" si="173"/>
        <v>0</v>
      </c>
    </row>
    <row r="2113" customHeight="1" spans="1:8">
      <c r="A2113" s="8">
        <f ca="1" t="shared" ref="A2113:A2122" si="175">COUNTA(OFFSET(A$1,0,0,ROW()-1,1))+1</f>
        <v>983</v>
      </c>
      <c r="B2113" s="84" t="s">
        <v>2575</v>
      </c>
      <c r="C2113" s="187" t="s">
        <v>2576</v>
      </c>
      <c r="D2113" s="188" t="s">
        <v>2577</v>
      </c>
      <c r="E2113" s="86" t="s">
        <v>238</v>
      </c>
      <c r="F2113" s="107">
        <f>9+4</f>
        <v>13</v>
      </c>
      <c r="G2113" s="68">
        <v>0</v>
      </c>
      <c r="H2113" s="25">
        <f t="shared" si="173"/>
        <v>0</v>
      </c>
    </row>
    <row r="2114" customHeight="1" spans="1:8">
      <c r="A2114" s="8">
        <f ca="1" t="shared" si="175"/>
        <v>984</v>
      </c>
      <c r="B2114" s="84" t="s">
        <v>2578</v>
      </c>
      <c r="C2114" s="187" t="s">
        <v>2579</v>
      </c>
      <c r="D2114" s="267" t="s">
        <v>2486</v>
      </c>
      <c r="E2114" s="86" t="s">
        <v>238</v>
      </c>
      <c r="F2114" s="107">
        <v>13</v>
      </c>
      <c r="G2114" s="68">
        <v>0</v>
      </c>
      <c r="H2114" s="25">
        <f t="shared" si="173"/>
        <v>0</v>
      </c>
    </row>
    <row r="2115" customHeight="1" spans="1:8">
      <c r="A2115" s="8">
        <f ca="1" t="shared" si="175"/>
        <v>985</v>
      </c>
      <c r="B2115" s="129"/>
      <c r="C2115" s="173" t="s">
        <v>941</v>
      </c>
      <c r="D2115" s="174" t="s">
        <v>942</v>
      </c>
      <c r="E2115" s="138" t="s">
        <v>452</v>
      </c>
      <c r="F2115" s="166">
        <v>1768</v>
      </c>
      <c r="G2115" s="68">
        <v>0</v>
      </c>
      <c r="H2115" s="25">
        <f t="shared" si="173"/>
        <v>0</v>
      </c>
    </row>
    <row r="2116" customHeight="1" spans="1:8">
      <c r="A2116" s="8">
        <f ca="1" t="shared" si="175"/>
        <v>986</v>
      </c>
      <c r="B2116" s="129"/>
      <c r="C2116" s="173" t="s">
        <v>943</v>
      </c>
      <c r="D2116" s="174" t="s">
        <v>944</v>
      </c>
      <c r="E2116" s="138" t="s">
        <v>452</v>
      </c>
      <c r="F2116" s="166">
        <v>1258.92</v>
      </c>
      <c r="G2116" s="68">
        <v>54.296346890497</v>
      </c>
      <c r="H2116" s="25">
        <f t="shared" si="173"/>
        <v>68355</v>
      </c>
    </row>
    <row r="2117" customHeight="1" spans="1:8">
      <c r="A2117" s="8">
        <f ca="1" t="shared" si="175"/>
        <v>987</v>
      </c>
      <c r="B2117" s="129"/>
      <c r="C2117" s="173" t="s">
        <v>945</v>
      </c>
      <c r="D2117" s="174" t="s">
        <v>946</v>
      </c>
      <c r="E2117" s="138" t="s">
        <v>452</v>
      </c>
      <c r="F2117" s="166">
        <v>509.08</v>
      </c>
      <c r="G2117" s="68">
        <v>0</v>
      </c>
      <c r="H2117" s="25">
        <f t="shared" si="173"/>
        <v>0</v>
      </c>
    </row>
    <row r="2118" customHeight="1" spans="1:8">
      <c r="A2118" s="8">
        <f ca="1" t="shared" si="175"/>
        <v>988</v>
      </c>
      <c r="B2118" s="129"/>
      <c r="C2118" s="173" t="s">
        <v>947</v>
      </c>
      <c r="D2118" s="174" t="s">
        <v>948</v>
      </c>
      <c r="E2118" s="138" t="s">
        <v>452</v>
      </c>
      <c r="F2118" s="166">
        <v>155.09</v>
      </c>
      <c r="G2118" s="68">
        <v>150.306709622292</v>
      </c>
      <c r="H2118" s="25">
        <f t="shared" si="173"/>
        <v>23311</v>
      </c>
    </row>
    <row r="2119" customHeight="1" spans="1:8">
      <c r="A2119" s="8">
        <f ca="1" t="shared" si="175"/>
        <v>989</v>
      </c>
      <c r="B2119" s="129"/>
      <c r="C2119" s="173" t="s">
        <v>949</v>
      </c>
      <c r="D2119" s="174" t="s">
        <v>950</v>
      </c>
      <c r="E2119" s="138" t="s">
        <v>329</v>
      </c>
      <c r="F2119" s="166">
        <v>193.96</v>
      </c>
      <c r="G2119" s="68">
        <v>0</v>
      </c>
      <c r="H2119" s="25">
        <f t="shared" si="173"/>
        <v>0</v>
      </c>
    </row>
    <row r="2120" customHeight="1" spans="1:8">
      <c r="A2120" s="8">
        <f ca="1" t="shared" si="175"/>
        <v>990</v>
      </c>
      <c r="B2120" s="129"/>
      <c r="C2120" s="173" t="s">
        <v>951</v>
      </c>
      <c r="D2120" s="174" t="s">
        <v>952</v>
      </c>
      <c r="E2120" s="138" t="s">
        <v>452</v>
      </c>
      <c r="F2120" s="166">
        <v>378.3</v>
      </c>
      <c r="G2120" s="68">
        <v>0</v>
      </c>
      <c r="H2120" s="25">
        <f t="shared" ref="H2120:H2142" si="176">IFERROR(ROUND(G2120*F2120,0),0)</f>
        <v>0</v>
      </c>
    </row>
    <row r="2121" customHeight="1" spans="1:8">
      <c r="A2121" s="8">
        <f ca="1" t="shared" si="175"/>
        <v>991</v>
      </c>
      <c r="B2121" s="129"/>
      <c r="C2121" s="173" t="s">
        <v>953</v>
      </c>
      <c r="D2121" s="174" t="s">
        <v>954</v>
      </c>
      <c r="E2121" s="138" t="s">
        <v>329</v>
      </c>
      <c r="F2121" s="166">
        <v>782.6</v>
      </c>
      <c r="G2121" s="68">
        <v>0</v>
      </c>
      <c r="H2121" s="25">
        <f t="shared" si="176"/>
        <v>0</v>
      </c>
    </row>
    <row r="2122" customHeight="1" spans="1:8">
      <c r="A2122" s="8">
        <f ca="1" t="shared" si="175"/>
        <v>992</v>
      </c>
      <c r="B2122" s="129"/>
      <c r="C2122" s="173" t="s">
        <v>955</v>
      </c>
      <c r="D2122" s="174" t="s">
        <v>956</v>
      </c>
      <c r="E2122" s="138" t="s">
        <v>445</v>
      </c>
      <c r="F2122" s="166">
        <v>59.891</v>
      </c>
      <c r="G2122" s="68">
        <v>1234.06320027515</v>
      </c>
      <c r="H2122" s="25">
        <f t="shared" si="176"/>
        <v>73909</v>
      </c>
    </row>
    <row r="2123" customHeight="1" spans="1:8">
      <c r="B2123" s="129"/>
      <c r="C2123" s="173" t="s">
        <v>957</v>
      </c>
      <c r="D2123" s="174" t="s">
        <v>958</v>
      </c>
      <c r="E2123" s="175" t="s">
        <v>959</v>
      </c>
      <c r="F2123" s="166">
        <v>0</v>
      </c>
      <c r="G2123" s="68">
        <v>0</v>
      </c>
      <c r="H2123" s="25">
        <f t="shared" si="176"/>
        <v>0</v>
      </c>
    </row>
    <row r="2124" customHeight="1" spans="1:8">
      <c r="A2124" s="8">
        <f ca="1" t="shared" ref="A2124:A2137" si="177">COUNTA(OFFSET(A$1,0,0,ROW()-1,1))+1</f>
        <v>993</v>
      </c>
      <c r="B2124" s="129"/>
      <c r="C2124" s="173" t="s">
        <v>960</v>
      </c>
      <c r="D2124" s="174" t="s">
        <v>961</v>
      </c>
      <c r="E2124" s="138" t="s">
        <v>445</v>
      </c>
      <c r="F2124" s="166">
        <v>9.36</v>
      </c>
      <c r="G2124" s="68">
        <v>2228.8486720608</v>
      </c>
      <c r="H2124" s="25">
        <f t="shared" si="176"/>
        <v>20862</v>
      </c>
    </row>
    <row r="2125" customHeight="1" spans="1:8">
      <c r="B2125" s="129"/>
      <c r="C2125" s="173" t="s">
        <v>962</v>
      </c>
      <c r="D2125" s="174" t="s">
        <v>963</v>
      </c>
      <c r="E2125" s="138" t="s">
        <v>329</v>
      </c>
      <c r="F2125" s="166">
        <v>0</v>
      </c>
      <c r="G2125" s="68">
        <v>0</v>
      </c>
      <c r="H2125" s="25">
        <f t="shared" si="176"/>
        <v>0</v>
      </c>
    </row>
    <row r="2126" customHeight="1" spans="1:8">
      <c r="A2126" s="8">
        <f ca="1" t="shared" si="177"/>
        <v>994</v>
      </c>
      <c r="B2126" s="129"/>
      <c r="C2126" s="173" t="s">
        <v>1162</v>
      </c>
      <c r="D2126" s="174" t="s">
        <v>1163</v>
      </c>
      <c r="E2126" s="138" t="s">
        <v>892</v>
      </c>
      <c r="F2126" s="166">
        <v>13</v>
      </c>
      <c r="G2126" s="68">
        <v>0</v>
      </c>
      <c r="H2126" s="25">
        <f t="shared" si="176"/>
        <v>0</v>
      </c>
    </row>
    <row r="2127" customHeight="1" spans="1:8">
      <c r="A2127" s="8">
        <f ca="1" t="shared" si="177"/>
        <v>995</v>
      </c>
      <c r="B2127" s="84" t="s">
        <v>2580</v>
      </c>
      <c r="C2127" s="187" t="s">
        <v>2581</v>
      </c>
      <c r="D2127" s="188" t="s">
        <v>2582</v>
      </c>
      <c r="E2127" s="86" t="s">
        <v>238</v>
      </c>
      <c r="F2127" s="107">
        <f>9+4</f>
        <v>13</v>
      </c>
      <c r="G2127" s="68">
        <v>0</v>
      </c>
      <c r="H2127" s="25">
        <f t="shared" si="176"/>
        <v>0</v>
      </c>
    </row>
    <row r="2128" customHeight="1" spans="1:8">
      <c r="A2128" s="8">
        <f ca="1" t="shared" si="177"/>
        <v>996</v>
      </c>
      <c r="B2128" s="84" t="s">
        <v>2583</v>
      </c>
      <c r="C2128" s="187" t="s">
        <v>2584</v>
      </c>
      <c r="D2128" s="188" t="s">
        <v>2585</v>
      </c>
      <c r="E2128" s="86" t="s">
        <v>238</v>
      </c>
      <c r="F2128" s="107">
        <v>1</v>
      </c>
      <c r="G2128" s="68">
        <v>0</v>
      </c>
      <c r="H2128" s="25">
        <f t="shared" si="176"/>
        <v>0</v>
      </c>
    </row>
    <row r="2129" customHeight="1" spans="1:8">
      <c r="A2129" s="8">
        <f ca="1" t="shared" si="177"/>
        <v>997</v>
      </c>
      <c r="B2129" s="84" t="s">
        <v>2586</v>
      </c>
      <c r="C2129" s="187" t="s">
        <v>2579</v>
      </c>
      <c r="D2129" s="267" t="s">
        <v>2486</v>
      </c>
      <c r="E2129" s="86" t="s">
        <v>238</v>
      </c>
      <c r="F2129" s="107">
        <v>1</v>
      </c>
      <c r="G2129" s="68">
        <v>0</v>
      </c>
      <c r="H2129" s="25">
        <f t="shared" si="176"/>
        <v>0</v>
      </c>
    </row>
    <row r="2130" customHeight="1" spans="1:8">
      <c r="A2130" s="8">
        <f ca="1" t="shared" si="177"/>
        <v>998</v>
      </c>
      <c r="B2130" s="129"/>
      <c r="C2130" s="173" t="s">
        <v>941</v>
      </c>
      <c r="D2130" s="174" t="s">
        <v>942</v>
      </c>
      <c r="E2130" s="138" t="s">
        <v>452</v>
      </c>
      <c r="F2130" s="166">
        <v>136</v>
      </c>
      <c r="G2130" s="68">
        <v>0</v>
      </c>
      <c r="H2130" s="25">
        <f t="shared" si="176"/>
        <v>0</v>
      </c>
    </row>
    <row r="2131" customHeight="1" spans="1:8">
      <c r="A2131" s="8">
        <f ca="1" t="shared" si="177"/>
        <v>999</v>
      </c>
      <c r="B2131" s="129"/>
      <c r="C2131" s="173" t="s">
        <v>943</v>
      </c>
      <c r="D2131" s="174" t="s">
        <v>944</v>
      </c>
      <c r="E2131" s="138" t="s">
        <v>452</v>
      </c>
      <c r="F2131" s="166">
        <v>96.84</v>
      </c>
      <c r="G2131" s="68">
        <v>54.296346890497</v>
      </c>
      <c r="H2131" s="25">
        <f t="shared" si="176"/>
        <v>5258</v>
      </c>
    </row>
    <row r="2132" customHeight="1" spans="1:8">
      <c r="A2132" s="8">
        <f ca="1" t="shared" si="177"/>
        <v>1000</v>
      </c>
      <c r="B2132" s="129"/>
      <c r="C2132" s="173" t="s">
        <v>945</v>
      </c>
      <c r="D2132" s="174" t="s">
        <v>946</v>
      </c>
      <c r="E2132" s="138" t="s">
        <v>452</v>
      </c>
      <c r="F2132" s="166">
        <v>39.16</v>
      </c>
      <c r="G2132" s="68">
        <v>0</v>
      </c>
      <c r="H2132" s="25">
        <f t="shared" si="176"/>
        <v>0</v>
      </c>
    </row>
    <row r="2133" customHeight="1" spans="1:8">
      <c r="A2133" s="8">
        <f ca="1" t="shared" si="177"/>
        <v>1001</v>
      </c>
      <c r="B2133" s="129"/>
      <c r="C2133" s="173" t="s">
        <v>947</v>
      </c>
      <c r="D2133" s="174" t="s">
        <v>948</v>
      </c>
      <c r="E2133" s="138" t="s">
        <v>452</v>
      </c>
      <c r="F2133" s="166">
        <v>11.93</v>
      </c>
      <c r="G2133" s="68">
        <v>150.306709622292</v>
      </c>
      <c r="H2133" s="25">
        <f t="shared" si="176"/>
        <v>1793</v>
      </c>
    </row>
    <row r="2134" customHeight="1" spans="1:8">
      <c r="A2134" s="8">
        <f ca="1" t="shared" si="177"/>
        <v>1002</v>
      </c>
      <c r="B2134" s="129"/>
      <c r="C2134" s="173" t="s">
        <v>949</v>
      </c>
      <c r="D2134" s="174" t="s">
        <v>950</v>
      </c>
      <c r="E2134" s="138" t="s">
        <v>329</v>
      </c>
      <c r="F2134" s="166">
        <v>14.92</v>
      </c>
      <c r="G2134" s="68">
        <v>0</v>
      </c>
      <c r="H2134" s="25">
        <f t="shared" si="176"/>
        <v>0</v>
      </c>
    </row>
    <row r="2135" customHeight="1" spans="1:8">
      <c r="A2135" s="8">
        <f ca="1" t="shared" si="177"/>
        <v>1003</v>
      </c>
      <c r="B2135" s="129"/>
      <c r="C2135" s="173" t="s">
        <v>951</v>
      </c>
      <c r="D2135" s="174" t="s">
        <v>952</v>
      </c>
      <c r="E2135" s="138" t="s">
        <v>452</v>
      </c>
      <c r="F2135" s="166">
        <v>29.1</v>
      </c>
      <c r="G2135" s="68">
        <v>200.777403995642</v>
      </c>
      <c r="H2135" s="25">
        <f t="shared" si="176"/>
        <v>5843</v>
      </c>
    </row>
    <row r="2136" customHeight="1" spans="1:8">
      <c r="A2136" s="8">
        <f ca="1" t="shared" si="177"/>
        <v>1004</v>
      </c>
      <c r="B2136" s="129"/>
      <c r="C2136" s="173" t="s">
        <v>953</v>
      </c>
      <c r="D2136" s="174" t="s">
        <v>954</v>
      </c>
      <c r="E2136" s="138" t="s">
        <v>329</v>
      </c>
      <c r="F2136" s="166">
        <v>60.2</v>
      </c>
      <c r="G2136" s="68">
        <v>0</v>
      </c>
      <c r="H2136" s="25">
        <f t="shared" si="176"/>
        <v>0</v>
      </c>
    </row>
    <row r="2137" customHeight="1" spans="1:8">
      <c r="A2137" s="8">
        <f ca="1" t="shared" si="177"/>
        <v>1005</v>
      </c>
      <c r="B2137" s="129"/>
      <c r="C2137" s="173" t="s">
        <v>955</v>
      </c>
      <c r="D2137" s="174" t="s">
        <v>956</v>
      </c>
      <c r="E2137" s="138" t="s">
        <v>445</v>
      </c>
      <c r="F2137" s="166">
        <v>4.607</v>
      </c>
      <c r="G2137" s="68">
        <v>1234.06320027515</v>
      </c>
      <c r="H2137" s="25">
        <f t="shared" si="176"/>
        <v>5685</v>
      </c>
    </row>
    <row r="2138" customHeight="1" spans="1:8">
      <c r="B2138" s="129"/>
      <c r="C2138" s="173" t="s">
        <v>957</v>
      </c>
      <c r="D2138" s="174" t="s">
        <v>958</v>
      </c>
      <c r="E2138" s="175" t="s">
        <v>959</v>
      </c>
      <c r="F2138" s="166">
        <v>0</v>
      </c>
      <c r="G2138" s="68">
        <v>0</v>
      </c>
      <c r="H2138" s="25">
        <f t="shared" si="176"/>
        <v>0</v>
      </c>
    </row>
    <row r="2139" customHeight="1" spans="1:8">
      <c r="A2139" s="8">
        <f ca="1" t="shared" ref="A2139:A2142" si="178">COUNTA(OFFSET(A$1,0,0,ROW()-1,1))+1</f>
        <v>1006</v>
      </c>
      <c r="B2139" s="129"/>
      <c r="C2139" s="173" t="s">
        <v>960</v>
      </c>
      <c r="D2139" s="174" t="s">
        <v>961</v>
      </c>
      <c r="E2139" s="138" t="s">
        <v>445</v>
      </c>
      <c r="F2139" s="166">
        <v>0.72</v>
      </c>
      <c r="G2139" s="68">
        <v>2469.0646720608</v>
      </c>
      <c r="H2139" s="25">
        <f t="shared" si="176"/>
        <v>1778</v>
      </c>
    </row>
    <row r="2140" customHeight="1" spans="1:8">
      <c r="B2140" s="129"/>
      <c r="C2140" s="173" t="s">
        <v>962</v>
      </c>
      <c r="D2140" s="174" t="s">
        <v>963</v>
      </c>
      <c r="E2140" s="138" t="s">
        <v>329</v>
      </c>
      <c r="F2140" s="166">
        <v>0</v>
      </c>
      <c r="G2140" s="68">
        <v>0</v>
      </c>
      <c r="H2140" s="25">
        <f t="shared" si="176"/>
        <v>0</v>
      </c>
    </row>
    <row r="2141" customHeight="1" spans="1:8">
      <c r="A2141" s="8">
        <f ca="1" t="shared" si="178"/>
        <v>1007</v>
      </c>
      <c r="B2141" s="129"/>
      <c r="C2141" s="173" t="s">
        <v>1162</v>
      </c>
      <c r="D2141" s="174" t="s">
        <v>1163</v>
      </c>
      <c r="E2141" s="138" t="s">
        <v>892</v>
      </c>
      <c r="F2141" s="166">
        <v>1</v>
      </c>
      <c r="G2141" s="68">
        <v>0</v>
      </c>
      <c r="H2141" s="25">
        <f t="shared" si="176"/>
        <v>0</v>
      </c>
    </row>
    <row r="2142" customHeight="1" spans="1:8">
      <c r="A2142" s="8">
        <f ca="1" t="shared" si="178"/>
        <v>1008</v>
      </c>
      <c r="B2142" s="84" t="s">
        <v>2587</v>
      </c>
      <c r="C2142" s="187" t="s">
        <v>2581</v>
      </c>
      <c r="D2142" s="188" t="s">
        <v>2582</v>
      </c>
      <c r="E2142" s="86" t="s">
        <v>238</v>
      </c>
      <c r="F2142" s="107">
        <v>1</v>
      </c>
      <c r="G2142" s="68">
        <v>0</v>
      </c>
      <c r="H2142" s="25">
        <f t="shared" si="176"/>
        <v>0</v>
      </c>
    </row>
    <row r="2143" customHeight="1" spans="1:8">
      <c r="B2143" s="84"/>
      <c r="C2143" s="177"/>
      <c r="D2143" s="177"/>
      <c r="E2143" s="86"/>
      <c r="F2143" s="107"/>
      <c r="G2143" s="25"/>
      <c r="H2143" s="25"/>
    </row>
    <row r="2144" customHeight="1" spans="1:8">
      <c r="B2144" s="26"/>
      <c r="C2144" s="38"/>
      <c r="D2144" s="38"/>
      <c r="E2144" s="29"/>
      <c r="F2144" s="107"/>
      <c r="G2144" s="25"/>
      <c r="H2144" s="25"/>
    </row>
    <row r="2145" customHeight="1" spans="2:8">
      <c r="B2145" s="26"/>
      <c r="C2145" s="27" t="s">
        <v>263</v>
      </c>
      <c r="D2145" s="28" t="s">
        <v>264</v>
      </c>
      <c r="E2145" s="29"/>
      <c r="F2145" s="93"/>
      <c r="G2145" s="25"/>
      <c r="H2145" s="25"/>
    </row>
    <row r="2146" customHeight="1" spans="2:8">
      <c r="B2146" s="26"/>
      <c r="C2146" s="27"/>
      <c r="D2146" s="27"/>
      <c r="E2146" s="29"/>
      <c r="F2146" s="93"/>
      <c r="G2146" s="25"/>
      <c r="H2146" s="25"/>
    </row>
    <row r="2147" customHeight="1" spans="2:8">
      <c r="B2147" s="54"/>
      <c r="C2147" s="55"/>
      <c r="D2147" s="55"/>
      <c r="E2147" s="29"/>
      <c r="F2147" s="93"/>
      <c r="G2147" s="25"/>
      <c r="H2147" s="25"/>
    </row>
    <row r="2148" customHeight="1" spans="2:8">
      <c r="B2148" s="74"/>
      <c r="C2148" s="75" t="s">
        <v>194</v>
      </c>
      <c r="D2148" s="76" t="s">
        <v>195</v>
      </c>
      <c r="E2148" s="77"/>
      <c r="F2148" s="196"/>
      <c r="G2148" s="268"/>
      <c r="H2148" s="268">
        <f>SUM(H1997:H2147)</f>
        <v>1977668</v>
      </c>
    </row>
  </sheetData>
  <mergeCells count="5">
    <mergeCell ref="B1:H1"/>
    <mergeCell ref="B2:B3"/>
    <mergeCell ref="D2:D3"/>
    <mergeCell ref="E2:E3"/>
    <mergeCell ref="F2:F3"/>
  </mergeCells>
  <pageMargins left="0.75" right="0.75" top="1" bottom="1" header="0.5" footer="0.5"/>
  <pageSetup paperSize="9" orientation="portrait"/>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
</file>

<file path=customXml/item2.xml>��
</file>

<file path=customXml/item3.xml>��
</file>

<file path=customXml/itemProps1.xml><?xml version="1.0" encoding="utf-8"?>
<ds:datastoreItem xmlns:ds="http://schemas.openxmlformats.org/officeDocument/2006/customXml" ds:itemID="{03BB54AE-4B61-4216-B587-1439A3617323}">
  <ds:schemaRefs/>
</ds:datastoreItem>
</file>

<file path=customXml/itemProps2.xml><?xml version="1.0" encoding="utf-8"?>
<ds:datastoreItem xmlns:ds="http://schemas.openxmlformats.org/officeDocument/2006/customXml" ds:itemID="{7F397503-5603-452D-A584-A413C675C95C}">
  <ds:schemaRefs/>
</ds:datastoreItem>
</file>

<file path=customXml/itemProps3.xml><?xml version="1.0" encoding="utf-8"?>
<ds:datastoreItem xmlns:ds="http://schemas.openxmlformats.org/officeDocument/2006/customXml" ds:itemID="{111B1EE0-3B24-45A1-B859-653584DAC5E2}">
  <ds:schemaRefs/>
</ds:datastoreItem>
</file>

<file path=docProps/app.xml><?xml version="1.0" encoding="utf-8"?>
<Properties xmlns="http://schemas.openxmlformats.org/officeDocument/2006/extended-properties" xmlns:vt="http://schemas.openxmlformats.org/officeDocument/2006/docPropsVTypes">
  <Company>水规院</Company>
  <Application>WPS 表格</Application>
  <HeadingPairs>
    <vt:vector size="2" baseType="variant">
      <vt:variant>
        <vt:lpstr>工作表</vt:lpstr>
      </vt:variant>
      <vt:variant>
        <vt:i4>2</vt:i4>
      </vt:variant>
    </vt:vector>
  </HeadingPairs>
  <TitlesOfParts>
    <vt:vector size="2" baseType="lpstr">
      <vt:lpstr>分项汇总表</vt:lpstr>
      <vt:lpstr>清单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刘海民</dc:creator>
  <cp:lastModifiedBy>彭康</cp:lastModifiedBy>
  <dcterms:created xsi:type="dcterms:W3CDTF">2025-07-15T10:42:00Z</dcterms:created>
  <dcterms:modified xsi:type="dcterms:W3CDTF">2026-05-28T10:32:08Z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BBE790C35E0543D0BF34B5ABA286DC4F_13</vt:lpwstr>
  </property>
  <property fmtid="{D5CDD505-2E9C-101B-9397-08002B2CF9AE}" pid="3" name="KSOProductBuildVer">
    <vt:lpwstr>2052-12.1.0.26375</vt:lpwstr>
  </property>
  <property fmtid="{D5CDD505-2E9C-101B-9397-08002B2CF9AE}" pid="4" name="CalculationRule">
    <vt:i4>0</vt:i4>
  </property>
  <property fmtid="{D5CDD505-2E9C-101B-9397-08002B2CF9AE}" pid="5" name="KSOReadingLayout">
    <vt:bool>true</vt:bool>
  </property>
  <property fmtid="{D5CDD505-2E9C-101B-9397-08002B2CF9AE}" pid="6" name="ContentTypeId">
    <vt:lpwstr>0x01010033EE8D7556A6894CA3BFFF0B80292C99</vt:lpwstr>
  </property>
  <property fmtid="{D5CDD505-2E9C-101B-9397-08002B2CF9AE}" pid="7" name="Order">
    <vt:r8>233300</vt:r8>
  </property>
  <property fmtid="{D5CDD505-2E9C-101B-9397-08002B2CF9AE}" pid="8" name="TriggerFlowInfo">
    <vt:lpwstr/>
  </property>
  <property fmtid="{D5CDD505-2E9C-101B-9397-08002B2CF9AE}" pid="9" name="_SourceUrl">
    <vt:lpwstr/>
  </property>
  <property fmtid="{D5CDD505-2E9C-101B-9397-08002B2CF9AE}" pid="10" name="_SharedFileIndex">
    <vt:lpwstr/>
  </property>
  <property fmtid="{D5CDD505-2E9C-101B-9397-08002B2CF9AE}" pid="11" name="ComplianceAssetId">
    <vt:lpwstr/>
  </property>
  <property fmtid="{D5CDD505-2E9C-101B-9397-08002B2CF9AE}" pid="12" name="_ExtendedDescription">
    <vt:lpwstr/>
  </property>
</Properties>
</file>