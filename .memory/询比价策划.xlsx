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Code\FeynmanLibrary\DocWork\工作\2026-4 孟加拉Laldia项目\3 询价\"/>
    </mc:Choice>
  </mc:AlternateContent>
  <xr:revisionPtr revIDLastSave="0" documentId="13_ncr:1_{01CE4BDB-8A0C-42FA-B582-6780E717107D}" xr6:coauthVersionLast="47" xr6:coauthVersionMax="47" xr10:uidLastSave="{00000000-0000-0000-0000-000000000000}"/>
  <bookViews>
    <workbookView xWindow="-23148" yWindow="2796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Sheet1!$B$3:$H$68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E4" i="1"/>
  <c r="E15" i="1"/>
  <c r="E52" i="1"/>
</calcChain>
</file>

<file path=xl/sharedStrings.xml><?xml version="1.0" encoding="utf-8"?>
<sst xmlns="http://schemas.openxmlformats.org/spreadsheetml/2006/main" count="388" uniqueCount="341">
  <si>
    <t>地勘​</t>
  </si>
  <si>
    <t>招标文件较为全面，待定​</t>
  </si>
  <si>
    <t>设计​</t>
  </si>
  <si>
    <t>二航院、四航院、水规院、CDR​</t>
  </si>
  <si>
    <t>码头工程​</t>
  </si>
  <si>
    <t>桩基、上部结构、轨道、防风锚定、护舷、系船柱安装等​</t>
  </si>
  <si>
    <t>S.S. Rahman International等​</t>
  </si>
  <si>
    <t>护岸工程​</t>
  </si>
  <si>
    <t>现有护岸拆除及新护岸施工​</t>
  </si>
  <si>
    <t>SINAMM Engineering,​</t>
  </si>
  <si>
    <t>M M Builders &amp; Engineers,​</t>
  </si>
  <si>
    <t>Pubali Engineering &amp; Construction,​</t>
  </si>
  <si>
    <t>Confidence Infrastructure,​</t>
  </si>
  <si>
    <t>Property Development Limited (PDL),​</t>
  </si>
  <si>
    <t>清表 、构筑物拆除、河沟回填、吹填​</t>
  </si>
  <si>
    <t>地基处理​</t>
  </si>
  <si>
    <t>排水板+堆载​</t>
  </si>
  <si>
    <t>堆场面层​</t>
  </si>
  <si>
    <t>混凝土、联锁块铺装、沥青摊铺、防风锚定、排水管涵、轨道梁、标记标线、冷藏箱堆存架、高杆灯基础等​</t>
  </si>
  <si>
    <t>变电站、发电机、高杆灯、照明、电缆电线、监控系统​</t>
  </si>
  <si>
    <t>网络通讯​</t>
  </si>
  <si>
    <t>Asia Pacific、BDCOM Online、中通建、山西安装、辛玮科技等​</t>
  </si>
  <si>
    <t>配套消防等​</t>
  </si>
  <si>
    <t>Guraba Bangladesh Limited、Dudof (BD) Limited、Integrated Technology &amp; Services PLC、中通建、山西安装、辛玮科技等​</t>
  </si>
  <si>
    <t>围栏等​</t>
  </si>
  <si>
    <t>ISPS围栏、各类围挡、围墙、门​</t>
  </si>
  <si>
    <t>Asia Pacific,​</t>
  </si>
  <si>
    <t>BDCOM Online, ​</t>
  </si>
  <si>
    <t>Integrated Technology &amp; Services PLC等​</t>
  </si>
  <si>
    <t>建筑​</t>
  </si>
  <si>
    <t>海关办公室、安保室、调解室、岗亭等小型建筑​</t>
  </si>
  <si>
    <t>大门区​</t>
  </si>
  <si>
    <t>闸口罩棚、地磅及配套设施等​</t>
  </si>
  <si>
    <t>临建​</t>
  </si>
  <si>
    <t>承包商营地，含预制厂、业主办公室等​</t>
  </si>
  <si>
    <t>疏浚工程​</t>
  </si>
  <si>
    <t>码头前沿疏浚​</t>
  </si>
  <si>
    <t>浙江军西、其他属地单位等​</t>
  </si>
  <si>
    <t>独立工程师​</t>
  </si>
  <si>
    <t>CDR（若未能作为设计方参与）​</t>
  </si>
  <si>
    <t>Saif Power Tech,​ S.S. Rahman International等​</t>
  </si>
  <si>
    <t>SINAMM Engineering,​ M M Builders &amp; Engineers,​ Pubali Engineering &amp; Construction,​ Confidence Infrastructure,​ Property Development Limited (PDL),​ S.S. Rahman International等​</t>
  </si>
  <si>
    <t>拟定分包</t>
  </si>
  <si>
    <t>承包商聘用的独立第三方，审核承包商设计方案。（5年码头项目经验，至少5个项目经验累积合同额超1亿美元）​
至少3人​</t>
  </si>
  <si>
    <t>GeoHarbour上海港湾</t>
  </si>
  <si>
    <t>CCCC中交特种</t>
  </si>
  <si>
    <t>对接责任人</t>
  </si>
  <si>
    <t>No.</t>
  </si>
  <si>
    <t>Level 1 Work Package</t>
  </si>
  <si>
    <t>Level 2 Scope</t>
  </si>
  <si>
    <t>RFQ Package Strategy</t>
  </si>
  <si>
    <t>Supplier Type</t>
  </si>
  <si>
    <t>RFQ Strategy</t>
  </si>
  <si>
    <t>Key Risks / Commercial Notes</t>
  </si>
  <si>
    <t>地勘</t>
  </si>
  <si>
    <t>地勘、测量</t>
  </si>
  <si>
    <t>打包询价（地勘+测量）</t>
  </si>
  <si>
    <t>本地专业单位</t>
  </si>
  <si>
    <t>竞争性询价（≥3家）</t>
  </si>
  <si>
    <t>地质不确定性大，影响设计及桩基成本</t>
  </si>
  <si>
    <t>Site Investigation</t>
  </si>
  <si>
    <t>Survey &amp; Investigation</t>
  </si>
  <si>
    <t>Combined package</t>
  </si>
  <si>
    <t>Local specialist</t>
  </si>
  <si>
    <t>Competitive RFQ</t>
  </si>
  <si>
    <t>Ground risk impacts design &amp; piling cost</t>
  </si>
  <si>
    <t>设计</t>
  </si>
  <si>
    <t>详细设计、施工图</t>
  </si>
  <si>
    <t>分专业询价（结构/机电/疏浚）</t>
  </si>
  <si>
    <t>国际设计院+本地院</t>
  </si>
  <si>
    <t>设计优化驱动成本控制</t>
  </si>
  <si>
    <t>需满足IFC、E&amp;S要求，设计责任高</t>
  </si>
  <si>
    <t>Design</t>
  </si>
  <si>
    <t>Detailed &amp; IFC design</t>
  </si>
  <si>
    <t>Multi-discipline split</t>
  </si>
  <si>
    <t>Intl + local consultants</t>
  </si>
  <si>
    <t>Value engineering driven</t>
  </si>
  <si>
    <t>High liability under DB contract</t>
  </si>
  <si>
    <t>码头工程</t>
  </si>
  <si>
    <t>桩基、结构、轨道等</t>
  </si>
  <si>
    <t>按施工段划分（海工+陆域）</t>
  </si>
  <si>
    <t>大型海工承包商</t>
  </si>
  <si>
    <t>分包+内部施工结合</t>
  </si>
  <si>
    <t>海上施工风险、SIMOPS冲突</t>
  </si>
  <si>
    <t>Marine Works</t>
  </si>
  <si>
    <t>Piling, deck, rails</t>
  </si>
  <si>
    <t>Marine vs landside split</t>
  </si>
  <si>
    <t>Marine contractors</t>
  </si>
  <si>
    <t>Mixed strategy</t>
  </si>
  <si>
    <t>Interface with port operations critical</t>
  </si>
  <si>
    <t>护岸工程</t>
  </si>
  <si>
    <t>拆除+新建</t>
  </si>
  <si>
    <t>打包询价</t>
  </si>
  <si>
    <t>海工单位</t>
  </si>
  <si>
    <t>总价包干</t>
  </si>
  <si>
    <t>与码头施工交叉干扰</t>
  </si>
  <si>
    <t>Revetment</t>
  </si>
  <si>
    <t>Demo + new works</t>
  </si>
  <si>
    <t>Lump sum package</t>
  </si>
  <si>
    <t>Marine contractor</t>
  </si>
  <si>
    <t>Lump sum</t>
  </si>
  <si>
    <t>Construction sequencing risk</t>
  </si>
  <si>
    <t>场地吹填</t>
  </si>
  <si>
    <t>清表、吹填</t>
  </si>
  <si>
    <t>单独询价（大宗土方）</t>
  </si>
  <si>
    <t>疏浚公司</t>
  </si>
  <si>
    <t>大包+单价调整</t>
  </si>
  <si>
    <t>土源、运距、环保限制</t>
  </si>
  <si>
    <t>Land Reclamation</t>
  </si>
  <si>
    <t>Filling works</t>
  </si>
  <si>
    <t>Bulk package</t>
  </si>
  <si>
    <t>Dredging company</t>
  </si>
  <si>
    <t>Re-measure or hybrid</t>
  </si>
  <si>
    <t>Quantity uncertainty</t>
  </si>
  <si>
    <t>地基处理</t>
  </si>
  <si>
    <t>排水板+堆载</t>
  </si>
  <si>
    <t>专项分包</t>
  </si>
  <si>
    <t>专业地基处理单位</t>
  </si>
  <si>
    <t>单价合同</t>
  </si>
  <si>
    <t>工期敏感，沉降风险</t>
  </si>
  <si>
    <t>Ground Improvement</t>
  </si>
  <si>
    <t>PVD + surcharge</t>
  </si>
  <si>
    <t>Specialist package</t>
  </si>
  <si>
    <t>Specialist contractor</t>
  </si>
  <si>
    <t>Unit rate</t>
  </si>
  <si>
    <t>Settlement control critical</t>
  </si>
  <si>
    <t>堆场面层</t>
  </si>
  <si>
    <t>混凝土、沥青等</t>
  </si>
  <si>
    <t>按结构层拆分</t>
  </si>
  <si>
    <t>路面施工单位</t>
  </si>
  <si>
    <t>分包+材料锁价</t>
  </si>
  <si>
    <t>材料价格波动（沥青/水泥）</t>
  </si>
  <si>
    <t>Yard Pavement</t>
  </si>
  <si>
    <t>Concrete, asphalt</t>
  </si>
  <si>
    <t>Layer-based packages</t>
  </si>
  <si>
    <t>Pavement contractors</t>
  </si>
  <si>
    <t>Split packages</t>
  </si>
  <si>
    <t>Material cost volatility</t>
  </si>
  <si>
    <t>电气工程</t>
  </si>
  <si>
    <t>变电站、电缆、照明</t>
  </si>
  <si>
    <t>按系统拆分（强电/弱电）</t>
  </si>
  <si>
    <t>EPC机电商</t>
  </si>
  <si>
    <t>LLE单独锁价</t>
  </si>
  <si>
    <t>长周期设备风险（变压器等）</t>
  </si>
  <si>
    <t>Electrical</t>
  </si>
  <si>
    <t>Substation, cabling</t>
  </si>
  <si>
    <t>System-based split</t>
  </si>
  <si>
    <t>MEP EPC</t>
  </si>
  <si>
    <t>LLE strategy</t>
  </si>
  <si>
    <t>Lead time &amp; price fluctuation</t>
  </si>
  <si>
    <t>网络通讯、监控</t>
  </si>
  <si>
    <t>弱电独立包</t>
  </si>
  <si>
    <t>系统集成商</t>
  </si>
  <si>
    <t>专业分包</t>
  </si>
  <si>
    <t>接口复杂（TOS/港口系统）</t>
  </si>
  <si>
    <t>ICT &amp; CCTV</t>
  </si>
  <si>
    <t>Separate ICT package</t>
  </si>
  <si>
    <t>System integrator</t>
  </si>
  <si>
    <t>Specialist RFQ</t>
  </si>
  <si>
    <t>Integration risk</t>
  </si>
  <si>
    <t>围栏等</t>
  </si>
  <si>
    <t>ISPS围栏、门</t>
  </si>
  <si>
    <t>单独包</t>
  </si>
  <si>
    <t>本地供应商</t>
  </si>
  <si>
    <t>标准化采购</t>
  </si>
  <si>
    <t>安保规范合规性要求</t>
  </si>
  <si>
    <t>Fencing</t>
  </si>
  <si>
    <t>ISPS fencing &amp; gates</t>
  </si>
  <si>
    <t>Separate package</t>
  </si>
  <si>
    <t>Local suppliers</t>
  </si>
  <si>
    <t>Standard RFQ</t>
  </si>
  <si>
    <t>Compliance with ISPS</t>
  </si>
  <si>
    <t>建筑</t>
  </si>
  <si>
    <t>办公室、岗亭</t>
  </si>
  <si>
    <t>小型土建打包</t>
  </si>
  <si>
    <t>本地承包商</t>
  </si>
  <si>
    <t>总价合同</t>
  </si>
  <si>
    <t>范围易变化</t>
  </si>
  <si>
    <t>Buildings</t>
  </si>
  <si>
    <t>Offices, guardhouse</t>
  </si>
  <si>
    <t>Small civil package</t>
  </si>
  <si>
    <t>Local contractors</t>
  </si>
  <si>
    <t>Scope uncertainty</t>
  </si>
  <si>
    <t>大门区</t>
  </si>
  <si>
    <t>门区设施</t>
  </si>
  <si>
    <t>独立包</t>
  </si>
  <si>
    <t>专业供应商</t>
  </si>
  <si>
    <t>设备+土建组合包</t>
  </si>
  <si>
    <t>与运营系统接口</t>
  </si>
  <si>
    <t>Gate Complex</t>
  </si>
  <si>
    <t>Gate &amp; facilities</t>
  </si>
  <si>
    <t>Integrated package</t>
  </si>
  <si>
    <t>Specialist</t>
  </si>
  <si>
    <t>System integration risk</t>
  </si>
  <si>
    <t>临建</t>
  </si>
  <si>
    <t>营地、预制厂</t>
  </si>
  <si>
    <t>本地施工单位</t>
  </si>
  <si>
    <t>成本优化导向</t>
  </si>
  <si>
    <t>非直接产出成本需控制</t>
  </si>
  <si>
    <t>Temporary Works</t>
  </si>
  <si>
    <t>Camps, yard</t>
  </si>
  <si>
    <t>Lump package</t>
  </si>
  <si>
    <t>Local contractor</t>
  </si>
  <si>
    <t>Cost-driven</t>
  </si>
  <si>
    <t>Indirect cost control</t>
  </si>
  <si>
    <t>疏浚工程</t>
  </si>
  <si>
    <t>码头前沿疏浚</t>
  </si>
  <si>
    <t>独立大包</t>
  </si>
  <si>
    <t>国际疏浚公司</t>
  </si>
  <si>
    <t>单价+总价组合</t>
  </si>
  <si>
    <t>关键路径工程</t>
  </si>
  <si>
    <t>Dredging</t>
  </si>
  <si>
    <t>Capital dredging</t>
  </si>
  <si>
    <t>Major package</t>
  </si>
  <si>
    <t>Intl dredging firms</t>
  </si>
  <si>
    <t>Hybrid pricing</t>
  </si>
  <si>
    <t>Critical path activity</t>
  </si>
  <si>
    <t>独立工程师</t>
  </si>
  <si>
    <t>第三方审查</t>
  </si>
  <si>
    <t>单独服务合同</t>
  </si>
  <si>
    <t>国际咨询公司</t>
  </si>
  <si>
    <t>业主主导</t>
  </si>
  <si>
    <t>不可控审查风险</t>
  </si>
  <si>
    <t>Independent Engineer</t>
  </si>
  <si>
    <t>Design review</t>
  </si>
  <si>
    <t>Service contract</t>
  </si>
  <si>
    <t>Intl consultant</t>
  </si>
  <si>
    <t>Employer-led</t>
  </si>
  <si>
    <t>Approval risk</t>
  </si>
  <si>
    <t>Survey &amp; geotechnical investigation</t>
  </si>
  <si>
    <t>Local specialist firms</t>
  </si>
  <si>
    <t>Competitive RFQ (≥3 bidders)</t>
  </si>
  <si>
    <t>High ground uncertainty impacting design and piling cost</t>
  </si>
  <si>
    <t>Detailed design, IFC drawings</t>
  </si>
  <si>
    <t>Split by discipline (civil, MEP, dredging)</t>
  </si>
  <si>
    <t>International + local consultants</t>
  </si>
  <si>
    <t>Full design liability under DB; must comply with E&amp;S and IFC requirements</t>
  </si>
  <si>
    <t>Piling, deck structure, rail beams, fenders</t>
  </si>
  <si>
    <t>Split into marine and landside packages</t>
  </si>
  <si>
    <t>Mixed (subcontract + self-perform)</t>
  </si>
  <si>
    <t>SIMOPS conflicts with port operation; marine risk high</t>
  </si>
  <si>
    <t>Revetment Works</t>
  </si>
  <si>
    <t>Demolition and new revetment</t>
  </si>
  <si>
    <t>Interface with marine works; sequencing risk</t>
  </si>
  <si>
    <t>Site clearing, dredging fill</t>
  </si>
  <si>
    <t>Bulk earthworks package</t>
  </si>
  <si>
    <t>Dredging companies</t>
  </si>
  <si>
    <t>Re-measured or hybrid</t>
  </si>
  <si>
    <t>Borrow source, haul distance, environmental constraints</t>
  </si>
  <si>
    <t>Ground improvement contractors</t>
  </si>
  <si>
    <t>Unit rate contract</t>
  </si>
  <si>
    <t>Settlement risk; critical for schedule</t>
  </si>
  <si>
    <t>Concrete, asphalt, interlocking blocks</t>
  </si>
  <si>
    <t>Split by pavement layers</t>
  </si>
  <si>
    <t>Split packages + material locking</t>
  </si>
  <si>
    <t>Material price fluctuation (cement, asphalt)</t>
  </si>
  <si>
    <t>Electrical Works</t>
  </si>
  <si>
    <t>Substation, generators, HV/LV cables</t>
  </si>
  <si>
    <t>Split by system (power, lighting)</t>
  </si>
  <si>
    <t>MEP EPC contractors</t>
  </si>
  <si>
    <t>LLE separated procurement</t>
  </si>
  <si>
    <t>Long lead equipment risk (transformers, gensets)</t>
  </si>
  <si>
    <t>ICT, CCTV, communication systems</t>
  </si>
  <si>
    <t>Separate weak current package</t>
  </si>
  <si>
    <t>System integrators</t>
  </si>
  <si>
    <t>Specialist subcontracting</t>
  </si>
  <si>
    <t>Integration with terminal systems (TOS)</t>
  </si>
  <si>
    <t>Fencing &amp; Security</t>
  </si>
  <si>
    <t>ISPS fencing, gates</t>
  </si>
  <si>
    <t>Compliance with ISPS security requirements</t>
  </si>
  <si>
    <t>Offices, guardhouses, small structures</t>
  </si>
  <si>
    <t>Small civil works package</t>
  </si>
  <si>
    <t>Scope variation risk</t>
  </si>
  <si>
    <t>Gate, canopy, control systems</t>
  </si>
  <si>
    <t>Integrated package (civil + system)</t>
  </si>
  <si>
    <t>Specialized suppliers</t>
  </si>
  <si>
    <t>Interface with terminal operation systems</t>
  </si>
  <si>
    <t>Camps, precast yard, offices</t>
  </si>
  <si>
    <t>Cost-driven procurement</t>
  </si>
  <si>
    <t>Indirect cost control critical</t>
  </si>
  <si>
    <t>Dredging Works</t>
  </si>
  <si>
    <t>Berth pocket dredging</t>
  </si>
  <si>
    <t>Major standalone package</t>
  </si>
  <si>
    <t>International dredging contractors</t>
  </si>
  <si>
    <t>Hybrid (unit rate + lump sum)</t>
  </si>
  <si>
    <t>Critical path; high cost and productivity risk</t>
  </si>
  <si>
    <t>Third-party design &amp; construction review</t>
  </si>
  <si>
    <t>International consultants</t>
  </si>
  <si>
    <t>Employer-controlled</t>
  </si>
  <si>
    <t>Approval risk; limited contractor control</t>
  </si>
  <si>
    <t>Level 2 Work Package</t>
  </si>
  <si>
    <t>…</t>
  </si>
  <si>
    <t>场地回填</t>
  </si>
  <si>
    <t>中电建振冲（原北京振冲）</t>
  </si>
  <si>
    <t>中通建</t>
  </si>
  <si>
    <t>江苏省安</t>
  </si>
  <si>
    <t>利锋</t>
  </si>
  <si>
    <t>一航五</t>
  </si>
  <si>
    <t>三航二</t>
  </si>
  <si>
    <t>四航二</t>
  </si>
  <si>
    <t>工作内容</t>
  </si>
  <si>
    <t>弱电工程</t>
  </si>
  <si>
    <t>消防配套</t>
  </si>
  <si>
    <t>照明工程</t>
  </si>
  <si>
    <t>山西安装</t>
  </si>
  <si>
    <t>Guraba Bangladesh Limited、Reverie Power &amp; Automation Engineering Ltd、Cross World Group</t>
  </si>
  <si>
    <t>高杆灯</t>
  </si>
  <si>
    <t>测量</t>
  </si>
  <si>
    <t>四航院</t>
  </si>
  <si>
    <t>水规院</t>
  </si>
  <si>
    <t>二航院</t>
  </si>
  <si>
    <t>CDR</t>
  </si>
  <si>
    <t>2.1.1</t>
  </si>
  <si>
    <t>2.1.2</t>
  </si>
  <si>
    <t>2.1.3</t>
  </si>
  <si>
    <t>2.1.4</t>
  </si>
  <si>
    <t>2.1.5</t>
  </si>
  <si>
    <t>资源列表</t>
  </si>
  <si>
    <t>详细设计、施工图设计</t>
  </si>
  <si>
    <t>疏浚；码头、堆场等的土建、机电等工程</t>
  </si>
  <si>
    <t>联锁块预制</t>
  </si>
  <si>
    <t>码头、堆场等的土建</t>
  </si>
  <si>
    <t>备注</t>
  </si>
  <si>
    <t>变电站、发电机、高杆灯、照明、电缆电线、监控系统​、网络通讯</t>
  </si>
  <si>
    <t>2.2.1</t>
  </si>
  <si>
    <t>2.2.2</t>
  </si>
  <si>
    <t>2.2.3</t>
  </si>
  <si>
    <t>2.2.4</t>
  </si>
  <si>
    <t>询价策划</t>
  </si>
  <si>
    <t>联锁块安装</t>
  </si>
  <si>
    <t>2.1.6</t>
  </si>
  <si>
    <t>2.1.7</t>
  </si>
  <si>
    <t>2.1.8</t>
  </si>
  <si>
    <t>项目名称</t>
    <phoneticPr fontId="2" type="noConversion"/>
  </si>
  <si>
    <t>编号</t>
    <phoneticPr fontId="2" type="noConversion"/>
  </si>
  <si>
    <t>【勘察设计】</t>
    <phoneticPr fontId="2" type="noConversion"/>
  </si>
  <si>
    <t>【施工】</t>
    <phoneticPr fontId="2" type="noConversion"/>
  </si>
  <si>
    <t>《机电工程​》</t>
    <phoneticPr fontId="2" type="noConversion"/>
  </si>
  <si>
    <t>《土建工程》</t>
    <phoneticPr fontId="2" type="noConversion"/>
  </si>
  <si>
    <r>
      <t>分包策划</t>
    </r>
    <r>
      <rPr>
        <sz val="16"/>
        <color rgb="FF000000"/>
        <rFont val="微软雅黑"/>
        <family val="2"/>
        <charset val="134"/>
      </rPr>
      <t>​</t>
    </r>
  </si>
  <si>
    <t>详细设计、施工图设计、地勘、测量、独立工程师等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</si>
</sst>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2"/>
      <name val="Microsoft YaHei UI"/>
      <family val="2"/>
      <charset val="134"/>
    </font>
    <font>
      <sz val="11"/>
      <name val="Microsoft YaHei UI"/>
      <family val="2"/>
      <charset val="134"/>
    </font>
    <font>
      <b/>
      <sz val="12"/>
      <color rgb="FFFFFFFF"/>
      <name val="Microsoft YaHei UI"/>
      <family val="2"/>
      <charset val="134"/>
    </font>
    <font>
      <b/>
      <sz val="11"/>
      <color rgb="FFFFFFFF"/>
      <name val="Microsoft YaHei UI"/>
      <family val="2"/>
      <charset val="134"/>
    </font>
    <font>
      <b/>
      <sz val="12"/>
      <name val="Microsoft YaHei UI"/>
      <family val="2"/>
      <charset val="134"/>
    </font>
    <font>
      <b/>
      <sz val="11"/>
      <name val="Microsoft YaHei UI"/>
      <family val="2"/>
      <charset val="134"/>
    </font>
    <font>
      <b/>
      <sz val="12"/>
      <color theme="0"/>
      <name val="Microsoft YaHei UI"/>
      <family val="2"/>
      <charset val="134"/>
    </font>
    <font>
      <b/>
      <sz val="11"/>
      <color theme="0"/>
      <name val="Microsoft YaHei UI"/>
      <family val="2"/>
      <charset val="134"/>
    </font>
    <font>
      <b/>
      <sz val="11"/>
      <color theme="1"/>
      <name val="微软雅黑"/>
      <family val="2"/>
      <charset val="134"/>
    </font>
    <font>
      <b/>
      <sz val="12"/>
      <color rgb="FF000000"/>
      <name val="Microsoft YaHei UI"/>
      <family val="2"/>
      <charset val="134"/>
    </font>
    <font>
      <b/>
      <sz val="11"/>
      <color rgb="FF000000"/>
      <name val="Microsoft YaHei UI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511703848384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vertical="top" wrapText="1"/>
    </xf>
    <xf numFmtId="0" fontId="3" fillId="0" borderId="0" xfId="0" applyFont="1" applyAlignment="1"/>
    <xf numFmtId="0" fontId="5" fillId="0" borderId="1" xfId="0" applyFont="1" applyFill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6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vertical="top"/>
    </xf>
    <xf numFmtId="0" fontId="12" fillId="0" borderId="0" xfId="0" applyFont="1" applyAlignment="1">
      <alignment horizontal="center"/>
    </xf>
    <xf numFmtId="0" fontId="13" fillId="0" borderId="1" xfId="0" applyFont="1" applyFill="1" applyBorder="1" applyAlignment="1">
      <alignment vertical="top" wrapText="1"/>
    </xf>
    <xf numFmtId="0" fontId="13" fillId="0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left" vertical="top"/>
    </xf>
    <xf numFmtId="0" fontId="4" fillId="0" borderId="5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left" vertical="top"/>
    </xf>
    <xf numFmtId="0" fontId="7" fillId="0" borderId="6" xfId="0" applyFont="1" applyFill="1" applyBorder="1" applyAlignment="1">
      <alignment horizontal="left" vertical="top"/>
    </xf>
    <xf numFmtId="0" fontId="4" fillId="0" borderId="5" xfId="0" applyFont="1" applyFill="1" applyBorder="1" applyAlignment="1">
      <alignment horizontal="center" vertical="top"/>
    </xf>
    <xf numFmtId="0" fontId="8" fillId="3" borderId="5" xfId="0" applyFont="1" applyFill="1" applyBorder="1" applyAlignment="1">
      <alignment horizontal="center" vertical="top" wrapText="1"/>
    </xf>
    <xf numFmtId="0" fontId="9" fillId="3" borderId="6" xfId="0" applyFont="1" applyFill="1" applyBorder="1" applyAlignment="1">
      <alignment horizontal="left" vertical="top"/>
    </xf>
    <xf numFmtId="0" fontId="14" fillId="0" borderId="6" xfId="0" applyFont="1" applyFill="1" applyBorder="1" applyAlignment="1">
      <alignment horizontal="left" vertical="top"/>
    </xf>
    <xf numFmtId="0" fontId="5" fillId="0" borderId="5" xfId="0" applyFont="1" applyFill="1" applyBorder="1" applyAlignment="1">
      <alignment horizontal="center" vertical="top"/>
    </xf>
    <xf numFmtId="0" fontId="4" fillId="0" borderId="7" xfId="0" applyFont="1" applyFill="1" applyBorder="1" applyAlignment="1">
      <alignment horizontal="center" vertical="top" wrapText="1"/>
    </xf>
    <xf numFmtId="0" fontId="13" fillId="0" borderId="8" xfId="0" applyFont="1" applyFill="1" applyBorder="1" applyAlignment="1">
      <alignment vertical="top" wrapText="1"/>
    </xf>
    <xf numFmtId="0" fontId="13" fillId="0" borderId="8" xfId="0" applyFont="1" applyFill="1" applyBorder="1" applyAlignment="1">
      <alignment horizontal="left" vertical="top" wrapText="1"/>
    </xf>
    <xf numFmtId="0" fontId="14" fillId="0" borderId="9" xfId="0" applyFont="1" applyFill="1" applyBorder="1" applyAlignment="1">
      <alignment horizontal="left" vertical="top"/>
    </xf>
    <xf numFmtId="0" fontId="3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H75"/>
  <sheetViews>
    <sheetView tabSelected="1" zoomScale="85" zoomScaleNormal="85" workbookViewId="0">
      <pane xSplit="4" ySplit="3" topLeftCell="E37" activePane="bottomRight" state="frozen"/>
      <selection pane="topRight" activeCell="E1" sqref="E1"/>
      <selection pane="bottomLeft" activeCell="A4" sqref="A4"/>
      <selection pane="bottomRight" activeCell="B7" sqref="B7"/>
    </sheetView>
  </sheetViews>
  <sheetFormatPr defaultRowHeight="16.3" outlineLevelRow="3" x14ac:dyDescent="0.5"/>
  <cols>
    <col min="1" max="1" width="9.140625" style="5"/>
    <col min="2" max="2" width="9.85546875" style="6" customWidth="1"/>
    <col min="3" max="3" width="14.0703125" style="5" customWidth="1"/>
    <col min="4" max="4" width="40.640625" style="43" customWidth="1"/>
    <col min="5" max="5" width="72.92578125" style="5" bestFit="1" customWidth="1"/>
    <col min="6" max="6" width="11.35546875" style="5" customWidth="1"/>
    <col min="7" max="7" width="17" style="5" customWidth="1"/>
    <col min="8" max="8" width="13.0703125" style="5" customWidth="1"/>
    <col min="9" max="16384" width="9.140625" style="5"/>
  </cols>
  <sheetData>
    <row r="1" spans="2:8" ht="23.15" x14ac:dyDescent="0.7">
      <c r="B1" s="24" t="s">
        <v>339</v>
      </c>
    </row>
    <row r="2" spans="2:8" ht="22.3" thickBot="1" x14ac:dyDescent="0.65">
      <c r="B2" s="25" t="s">
        <v>328</v>
      </c>
    </row>
    <row r="3" spans="2:8" s="19" customFormat="1" ht="17.149999999999999" x14ac:dyDescent="0.45">
      <c r="B3" s="26" t="s">
        <v>334</v>
      </c>
      <c r="C3" s="27" t="s">
        <v>333</v>
      </c>
      <c r="D3" s="27" t="s">
        <v>300</v>
      </c>
      <c r="E3" s="27" t="s">
        <v>317</v>
      </c>
      <c r="F3" s="27" t="s">
        <v>322</v>
      </c>
      <c r="G3" s="27" t="s">
        <v>46</v>
      </c>
      <c r="H3" s="28" t="s">
        <v>42</v>
      </c>
    </row>
    <row r="4" spans="2:8" ht="34.299999999999997" x14ac:dyDescent="0.5">
      <c r="B4" s="29">
        <v>1</v>
      </c>
      <c r="C4" s="16" t="s">
        <v>335</v>
      </c>
      <c r="D4" s="16" t="s">
        <v>340</v>
      </c>
      <c r="E4" s="16" t="str">
        <f>E6&amp;"、"&amp;E7&amp;"、"&amp;E8&amp;"、"&amp;E9&amp;"、"&amp;E5</f>
        <v>四航院、水规院、二航院、CDR、…</v>
      </c>
      <c r="F4" s="17"/>
      <c r="G4" s="17"/>
      <c r="H4" s="30"/>
    </row>
    <row r="5" spans="2:8" outlineLevel="3" x14ac:dyDescent="0.5">
      <c r="B5" s="31"/>
      <c r="C5" s="10"/>
      <c r="D5" s="10"/>
      <c r="E5" s="12" t="s">
        <v>291</v>
      </c>
      <c r="F5" s="8"/>
      <c r="G5" s="8"/>
      <c r="H5" s="32"/>
    </row>
    <row r="6" spans="2:8" ht="17.149999999999999" outlineLevel="3" x14ac:dyDescent="0.5">
      <c r="B6" s="31"/>
      <c r="C6" s="14"/>
      <c r="D6" s="14"/>
      <c r="E6" s="14" t="s">
        <v>308</v>
      </c>
      <c r="F6" s="15"/>
      <c r="G6" s="15"/>
      <c r="H6" s="33"/>
    </row>
    <row r="7" spans="2:8" outlineLevel="3" x14ac:dyDescent="0.5">
      <c r="B7" s="31"/>
      <c r="C7" s="10"/>
      <c r="D7" s="10"/>
      <c r="E7" s="10" t="s">
        <v>309</v>
      </c>
      <c r="F7" s="8"/>
      <c r="G7" s="8"/>
      <c r="H7" s="32"/>
    </row>
    <row r="8" spans="2:8" outlineLevel="3" x14ac:dyDescent="0.5">
      <c r="B8" s="31"/>
      <c r="C8" s="10"/>
      <c r="D8" s="10"/>
      <c r="E8" s="10" t="s">
        <v>310</v>
      </c>
      <c r="F8" s="8"/>
      <c r="G8" s="8"/>
      <c r="H8" s="32"/>
    </row>
    <row r="9" spans="2:8" outlineLevel="3" x14ac:dyDescent="0.5">
      <c r="B9" s="31"/>
      <c r="C9" s="10"/>
      <c r="D9" s="10"/>
      <c r="E9" s="10" t="s">
        <v>311</v>
      </c>
      <c r="F9" s="8"/>
      <c r="G9" s="8"/>
      <c r="H9" s="32"/>
    </row>
    <row r="10" spans="2:8" outlineLevel="3" x14ac:dyDescent="0.5">
      <c r="B10" s="31">
        <v>1.1000000000000001</v>
      </c>
      <c r="C10" s="9" t="s">
        <v>307</v>
      </c>
      <c r="D10" s="10" t="s">
        <v>307</v>
      </c>
      <c r="E10" s="10" t="s">
        <v>1</v>
      </c>
      <c r="F10" s="8"/>
      <c r="G10" s="8"/>
      <c r="H10" s="32"/>
    </row>
    <row r="11" spans="2:8" outlineLevel="3" x14ac:dyDescent="0.5">
      <c r="B11" s="31">
        <v>1.2</v>
      </c>
      <c r="C11" s="9" t="s">
        <v>0</v>
      </c>
      <c r="D11" s="10" t="s">
        <v>0</v>
      </c>
      <c r="E11" s="10" t="s">
        <v>1</v>
      </c>
      <c r="F11" s="8"/>
      <c r="G11" s="8"/>
      <c r="H11" s="32"/>
    </row>
    <row r="12" spans="2:8" outlineLevel="3" x14ac:dyDescent="0.5">
      <c r="B12" s="31">
        <v>1.3</v>
      </c>
      <c r="C12" s="9" t="s">
        <v>2</v>
      </c>
      <c r="D12" s="10" t="s">
        <v>318</v>
      </c>
      <c r="E12" s="10" t="s">
        <v>3</v>
      </c>
      <c r="F12" s="8"/>
      <c r="G12" s="8"/>
      <c r="H12" s="32"/>
    </row>
    <row r="13" spans="2:8" ht="65.150000000000006" outlineLevel="3" x14ac:dyDescent="0.5">
      <c r="B13" s="31">
        <v>1.4</v>
      </c>
      <c r="C13" s="9" t="s">
        <v>38</v>
      </c>
      <c r="D13" s="10" t="s">
        <v>43</v>
      </c>
      <c r="E13" s="10" t="s">
        <v>39</v>
      </c>
      <c r="F13" s="8"/>
      <c r="G13" s="8"/>
      <c r="H13" s="32"/>
    </row>
    <row r="14" spans="2:8" outlineLevel="3" x14ac:dyDescent="0.5">
      <c r="B14" s="31"/>
      <c r="C14" s="9"/>
      <c r="D14" s="10"/>
      <c r="E14" s="10"/>
      <c r="F14" s="8"/>
      <c r="G14" s="8"/>
      <c r="H14" s="32"/>
    </row>
    <row r="15" spans="2:8" ht="17.149999999999999" x14ac:dyDescent="0.5">
      <c r="B15" s="29">
        <v>2</v>
      </c>
      <c r="C15" s="18" t="s">
        <v>336</v>
      </c>
      <c r="D15" s="16" t="s">
        <v>319</v>
      </c>
      <c r="E15" s="16" t="str">
        <f>E17&amp;"、"&amp;E18&amp;"、"&amp;E19&amp;"、"&amp;E16</f>
        <v>一航五、三航二、四航二、…</v>
      </c>
      <c r="F15" s="17"/>
      <c r="G15" s="17"/>
      <c r="H15" s="30"/>
    </row>
    <row r="16" spans="2:8" outlineLevel="3" x14ac:dyDescent="0.5">
      <c r="B16" s="34"/>
      <c r="C16" s="13"/>
      <c r="D16" s="10"/>
      <c r="E16" s="10" t="s">
        <v>291</v>
      </c>
      <c r="F16" s="8"/>
      <c r="G16" s="8"/>
      <c r="H16" s="32"/>
    </row>
    <row r="17" spans="2:8" outlineLevel="3" x14ac:dyDescent="0.5">
      <c r="B17" s="34"/>
      <c r="C17" s="13"/>
      <c r="D17" s="10"/>
      <c r="E17" s="10" t="s">
        <v>297</v>
      </c>
      <c r="F17" s="8"/>
      <c r="G17" s="8"/>
      <c r="H17" s="32"/>
    </row>
    <row r="18" spans="2:8" outlineLevel="3" x14ac:dyDescent="0.5">
      <c r="B18" s="34"/>
      <c r="C18" s="13"/>
      <c r="D18" s="10"/>
      <c r="E18" s="10" t="s">
        <v>298</v>
      </c>
      <c r="F18" s="8"/>
      <c r="G18" s="8"/>
      <c r="H18" s="32"/>
    </row>
    <row r="19" spans="2:8" outlineLevel="3" x14ac:dyDescent="0.5">
      <c r="B19" s="34"/>
      <c r="C19" s="13"/>
      <c r="D19" s="10"/>
      <c r="E19" s="10" t="s">
        <v>299</v>
      </c>
      <c r="F19" s="8"/>
      <c r="G19" s="8"/>
      <c r="H19" s="32"/>
    </row>
    <row r="20" spans="2:8" ht="51.45" outlineLevel="1" x14ac:dyDescent="0.5">
      <c r="B20" s="35">
        <v>2.1</v>
      </c>
      <c r="C20" s="22" t="s">
        <v>338</v>
      </c>
      <c r="D20" s="22" t="s">
        <v>321</v>
      </c>
      <c r="E20" s="22" t="s">
        <v>41</v>
      </c>
      <c r="F20" s="23"/>
      <c r="G20" s="23"/>
      <c r="H20" s="36"/>
    </row>
    <row r="21" spans="2:8" outlineLevel="3" x14ac:dyDescent="0.5">
      <c r="B21" s="31"/>
      <c r="C21" s="10"/>
      <c r="D21" s="10"/>
      <c r="E21" s="10" t="s">
        <v>291</v>
      </c>
      <c r="F21" s="8"/>
      <c r="G21" s="8"/>
      <c r="H21" s="32"/>
    </row>
    <row r="22" spans="2:8" outlineLevel="3" x14ac:dyDescent="0.5">
      <c r="B22" s="31"/>
      <c r="C22" s="10"/>
      <c r="D22" s="10"/>
      <c r="E22" s="10" t="s">
        <v>291</v>
      </c>
      <c r="F22" s="8"/>
      <c r="G22" s="8"/>
      <c r="H22" s="32"/>
    </row>
    <row r="23" spans="2:8" ht="32.6" outlineLevel="3" x14ac:dyDescent="0.5">
      <c r="B23" s="31" t="s">
        <v>312</v>
      </c>
      <c r="C23" s="10" t="s">
        <v>4</v>
      </c>
      <c r="D23" s="10" t="s">
        <v>5</v>
      </c>
      <c r="E23" s="8" t="s">
        <v>40</v>
      </c>
      <c r="F23" s="8"/>
      <c r="G23" s="8"/>
      <c r="H23" s="32"/>
    </row>
    <row r="24" spans="2:8" outlineLevel="3" x14ac:dyDescent="0.5">
      <c r="B24" s="31"/>
      <c r="C24" s="10"/>
      <c r="D24" s="10"/>
      <c r="E24" s="8"/>
      <c r="F24" s="8"/>
      <c r="G24" s="8"/>
      <c r="H24" s="32"/>
    </row>
    <row r="25" spans="2:8" outlineLevel="3" x14ac:dyDescent="0.5">
      <c r="B25" s="31" t="s">
        <v>313</v>
      </c>
      <c r="C25" s="10" t="s">
        <v>7</v>
      </c>
      <c r="D25" s="10" t="s">
        <v>8</v>
      </c>
      <c r="E25" s="8"/>
      <c r="F25" s="8"/>
      <c r="G25" s="8"/>
      <c r="H25" s="32"/>
    </row>
    <row r="26" spans="2:8" outlineLevel="3" x14ac:dyDescent="0.5">
      <c r="B26" s="31"/>
      <c r="C26" s="10"/>
      <c r="D26" s="10"/>
      <c r="E26" s="8"/>
      <c r="F26" s="8"/>
      <c r="G26" s="8"/>
      <c r="H26" s="32"/>
    </row>
    <row r="27" spans="2:8" outlineLevel="3" x14ac:dyDescent="0.5">
      <c r="B27" s="31"/>
      <c r="C27" s="10"/>
      <c r="D27" s="10"/>
      <c r="E27" s="8"/>
      <c r="F27" s="8"/>
      <c r="G27" s="8"/>
      <c r="H27" s="32"/>
    </row>
    <row r="28" spans="2:8" outlineLevel="3" x14ac:dyDescent="0.5">
      <c r="B28" s="31" t="s">
        <v>314</v>
      </c>
      <c r="C28" s="10" t="s">
        <v>292</v>
      </c>
      <c r="D28" s="8" t="s">
        <v>14</v>
      </c>
      <c r="E28" s="8"/>
      <c r="F28" s="8"/>
      <c r="G28" s="8"/>
      <c r="H28" s="32"/>
    </row>
    <row r="29" spans="2:8" outlineLevel="3" x14ac:dyDescent="0.5">
      <c r="B29" s="31" t="s">
        <v>315</v>
      </c>
      <c r="C29" s="10" t="s">
        <v>15</v>
      </c>
      <c r="D29" s="10" t="s">
        <v>16</v>
      </c>
      <c r="E29" s="10" t="str">
        <f>E31&amp;"、"&amp;E32&amp;"、"&amp;E33&amp;E30</f>
        <v>GeoHarbour上海港湾、CCCC中交特种、中电建振冲（原北京振冲）…</v>
      </c>
      <c r="F29" s="8"/>
      <c r="G29" s="8"/>
      <c r="H29" s="32"/>
    </row>
    <row r="30" spans="2:8" outlineLevel="3" x14ac:dyDescent="0.5">
      <c r="B30" s="31"/>
      <c r="C30" s="10"/>
      <c r="D30" s="10"/>
      <c r="E30" s="10" t="s">
        <v>291</v>
      </c>
      <c r="F30" s="8"/>
      <c r="G30" s="8"/>
      <c r="H30" s="32"/>
    </row>
    <row r="31" spans="2:8" outlineLevel="3" x14ac:dyDescent="0.5">
      <c r="B31" s="31"/>
      <c r="C31" s="10"/>
      <c r="D31" s="10"/>
      <c r="E31" s="10" t="s">
        <v>44</v>
      </c>
      <c r="F31" s="8"/>
      <c r="G31" s="8"/>
      <c r="H31" s="32"/>
    </row>
    <row r="32" spans="2:8" outlineLevel="3" x14ac:dyDescent="0.5">
      <c r="B32" s="31"/>
      <c r="C32" s="10"/>
      <c r="D32" s="10"/>
      <c r="E32" s="10" t="s">
        <v>45</v>
      </c>
      <c r="F32" s="8"/>
      <c r="G32" s="8"/>
      <c r="H32" s="32"/>
    </row>
    <row r="33" spans="2:8" outlineLevel="3" x14ac:dyDescent="0.5">
      <c r="B33" s="31"/>
      <c r="C33" s="10"/>
      <c r="D33" s="10"/>
      <c r="E33" s="10" t="s">
        <v>293</v>
      </c>
      <c r="F33" s="8"/>
      <c r="G33" s="8"/>
      <c r="H33" s="32"/>
    </row>
    <row r="34" spans="2:8" ht="48.9" outlineLevel="3" x14ac:dyDescent="0.5">
      <c r="B34" s="31" t="s">
        <v>316</v>
      </c>
      <c r="C34" s="10" t="s">
        <v>17</v>
      </c>
      <c r="D34" s="10" t="s">
        <v>18</v>
      </c>
      <c r="E34" s="8"/>
      <c r="F34" s="8"/>
      <c r="G34" s="8"/>
      <c r="H34" s="32"/>
    </row>
    <row r="35" spans="2:8" outlineLevel="3" x14ac:dyDescent="0.5">
      <c r="B35" s="31"/>
      <c r="C35" s="10"/>
      <c r="D35" s="10"/>
      <c r="E35" s="8"/>
      <c r="F35" s="8"/>
      <c r="G35" s="8"/>
      <c r="H35" s="32"/>
    </row>
    <row r="36" spans="2:8" ht="17.149999999999999" outlineLevel="3" x14ac:dyDescent="0.5">
      <c r="B36" s="31" t="s">
        <v>330</v>
      </c>
      <c r="C36" s="20" t="s">
        <v>320</v>
      </c>
      <c r="D36" s="20"/>
      <c r="E36" s="21"/>
      <c r="F36" s="21"/>
      <c r="G36" s="21"/>
      <c r="H36" s="37"/>
    </row>
    <row r="37" spans="2:8" outlineLevel="3" x14ac:dyDescent="0.5">
      <c r="B37" s="31"/>
      <c r="C37" s="10" t="s">
        <v>329</v>
      </c>
      <c r="D37" s="10"/>
      <c r="E37" s="8"/>
      <c r="F37" s="8"/>
      <c r="G37" s="8"/>
      <c r="H37" s="32"/>
    </row>
    <row r="38" spans="2:8" outlineLevel="3" x14ac:dyDescent="0.5">
      <c r="B38" s="31" t="s">
        <v>331</v>
      </c>
      <c r="C38" s="10" t="s">
        <v>24</v>
      </c>
      <c r="D38" s="10" t="s">
        <v>25</v>
      </c>
      <c r="E38" s="10" t="s">
        <v>9</v>
      </c>
      <c r="F38" s="8"/>
      <c r="G38" s="8"/>
      <c r="H38" s="32"/>
    </row>
    <row r="39" spans="2:8" outlineLevel="3" x14ac:dyDescent="0.5">
      <c r="B39" s="31"/>
      <c r="C39" s="10"/>
      <c r="D39" s="10"/>
      <c r="E39" s="10" t="s">
        <v>26</v>
      </c>
      <c r="F39" s="8"/>
      <c r="G39" s="8"/>
      <c r="H39" s="32"/>
    </row>
    <row r="40" spans="2:8" outlineLevel="3" x14ac:dyDescent="0.5">
      <c r="B40" s="31"/>
      <c r="C40" s="10"/>
      <c r="D40" s="10"/>
      <c r="E40" s="10" t="s">
        <v>27</v>
      </c>
      <c r="F40" s="8"/>
      <c r="G40" s="8"/>
      <c r="H40" s="32"/>
    </row>
    <row r="41" spans="2:8" outlineLevel="3" x14ac:dyDescent="0.5">
      <c r="B41" s="31"/>
      <c r="C41" s="10"/>
      <c r="D41" s="10"/>
      <c r="E41" s="10" t="s">
        <v>28</v>
      </c>
      <c r="F41" s="8"/>
      <c r="G41" s="8"/>
      <c r="H41" s="32"/>
    </row>
    <row r="42" spans="2:8" ht="32.6" outlineLevel="3" x14ac:dyDescent="0.5">
      <c r="B42" s="31" t="s">
        <v>332</v>
      </c>
      <c r="C42" s="10" t="s">
        <v>29</v>
      </c>
      <c r="D42" s="10" t="s">
        <v>30</v>
      </c>
      <c r="E42" s="10" t="s">
        <v>9</v>
      </c>
      <c r="F42" s="8"/>
      <c r="G42" s="8"/>
      <c r="H42" s="32"/>
    </row>
    <row r="43" spans="2:8" outlineLevel="3" x14ac:dyDescent="0.5">
      <c r="B43" s="31"/>
      <c r="C43" s="10"/>
      <c r="D43" s="10"/>
      <c r="E43" s="10" t="s">
        <v>10</v>
      </c>
      <c r="F43" s="8"/>
      <c r="G43" s="8"/>
      <c r="H43" s="32"/>
    </row>
    <row r="44" spans="2:8" outlineLevel="3" x14ac:dyDescent="0.5">
      <c r="B44" s="31"/>
      <c r="C44" s="10"/>
      <c r="D44" s="10"/>
      <c r="E44" s="10" t="s">
        <v>11</v>
      </c>
      <c r="F44" s="8"/>
      <c r="G44" s="8"/>
      <c r="H44" s="32"/>
    </row>
    <row r="45" spans="2:8" outlineLevel="3" x14ac:dyDescent="0.5">
      <c r="B45" s="31"/>
      <c r="C45" s="10"/>
      <c r="D45" s="10"/>
      <c r="E45" s="10" t="s">
        <v>12</v>
      </c>
      <c r="F45" s="8"/>
      <c r="G45" s="8"/>
      <c r="H45" s="32"/>
    </row>
    <row r="46" spans="2:8" outlineLevel="3" x14ac:dyDescent="0.5">
      <c r="B46" s="38"/>
      <c r="C46" s="10" t="s">
        <v>31</v>
      </c>
      <c r="D46" s="8" t="s">
        <v>32</v>
      </c>
      <c r="E46" s="8" t="s">
        <v>13</v>
      </c>
      <c r="F46" s="8"/>
      <c r="G46" s="8"/>
      <c r="H46" s="32"/>
    </row>
    <row r="47" spans="2:8" outlineLevel="3" x14ac:dyDescent="0.5">
      <c r="B47" s="38"/>
      <c r="C47" s="10" t="s">
        <v>33</v>
      </c>
      <c r="D47" s="8" t="s">
        <v>34</v>
      </c>
      <c r="E47" s="8" t="s">
        <v>6</v>
      </c>
      <c r="F47" s="8"/>
      <c r="G47" s="8"/>
      <c r="H47" s="32"/>
    </row>
    <row r="48" spans="2:8" outlineLevel="3" x14ac:dyDescent="0.5">
      <c r="B48" s="38"/>
      <c r="C48" s="10" t="s">
        <v>35</v>
      </c>
      <c r="D48" s="10" t="s">
        <v>36</v>
      </c>
      <c r="E48" s="10" t="s">
        <v>37</v>
      </c>
      <c r="F48" s="8"/>
      <c r="G48" s="8"/>
      <c r="H48" s="32"/>
    </row>
    <row r="49" spans="2:8" outlineLevel="3" x14ac:dyDescent="0.5">
      <c r="B49" s="38"/>
      <c r="C49" s="10"/>
      <c r="D49" s="10"/>
      <c r="E49" s="10"/>
      <c r="F49" s="8"/>
      <c r="G49" s="8"/>
      <c r="H49" s="32"/>
    </row>
    <row r="50" spans="2:8" outlineLevel="3" x14ac:dyDescent="0.5">
      <c r="B50" s="38"/>
      <c r="C50" s="10"/>
      <c r="D50" s="10"/>
      <c r="E50" s="10"/>
      <c r="F50" s="8"/>
      <c r="G50" s="8"/>
      <c r="H50" s="32"/>
    </row>
    <row r="51" spans="2:8" outlineLevel="3" x14ac:dyDescent="0.5">
      <c r="B51" s="31"/>
      <c r="C51" s="10"/>
      <c r="D51" s="8"/>
      <c r="E51" s="8"/>
      <c r="F51" s="8"/>
      <c r="G51" s="8"/>
      <c r="H51" s="32"/>
    </row>
    <row r="52" spans="2:8" ht="34.299999999999997" outlineLevel="1" x14ac:dyDescent="0.5">
      <c r="B52" s="35">
        <v>2.2000000000000002</v>
      </c>
      <c r="C52" s="22" t="s">
        <v>337</v>
      </c>
      <c r="D52" s="22" t="s">
        <v>323</v>
      </c>
      <c r="E52" s="22" t="str">
        <f>E54&amp;"、"&amp;E55&amp;"、"&amp;E57&amp;"、"&amp;E56</f>
        <v>中通建、江苏省安、利锋、山西安装</v>
      </c>
      <c r="F52" s="23"/>
      <c r="G52" s="23"/>
      <c r="H52" s="36"/>
    </row>
    <row r="53" spans="2:8" outlineLevel="3" x14ac:dyDescent="0.5">
      <c r="B53" s="31"/>
      <c r="C53" s="10"/>
      <c r="D53" s="10"/>
      <c r="E53" s="10" t="s">
        <v>291</v>
      </c>
      <c r="F53" s="8"/>
      <c r="G53" s="8"/>
      <c r="H53" s="32"/>
    </row>
    <row r="54" spans="2:8" outlineLevel="3" x14ac:dyDescent="0.5">
      <c r="B54" s="31"/>
      <c r="C54" s="10"/>
      <c r="D54" s="10"/>
      <c r="E54" s="10" t="s">
        <v>294</v>
      </c>
      <c r="F54" s="8"/>
      <c r="G54" s="8"/>
      <c r="H54" s="32"/>
    </row>
    <row r="55" spans="2:8" outlineLevel="3" x14ac:dyDescent="0.5">
      <c r="B55" s="31"/>
      <c r="C55" s="10"/>
      <c r="D55" s="10"/>
      <c r="E55" s="10" t="s">
        <v>295</v>
      </c>
      <c r="F55" s="8"/>
      <c r="G55" s="8"/>
      <c r="H55" s="32"/>
    </row>
    <row r="56" spans="2:8" outlineLevel="3" x14ac:dyDescent="0.5">
      <c r="B56" s="31"/>
      <c r="C56" s="10"/>
      <c r="D56" s="10"/>
      <c r="E56" s="10" t="s">
        <v>304</v>
      </c>
      <c r="F56" s="8"/>
      <c r="G56" s="8"/>
      <c r="H56" s="32"/>
    </row>
    <row r="57" spans="2:8" outlineLevel="3" x14ac:dyDescent="0.5">
      <c r="B57" s="31"/>
      <c r="C57" s="10"/>
      <c r="D57" s="10"/>
      <c r="E57" s="10" t="s">
        <v>296</v>
      </c>
      <c r="F57" s="8"/>
      <c r="G57" s="8"/>
      <c r="H57" s="32"/>
    </row>
    <row r="58" spans="2:8" ht="32.6" outlineLevel="3" x14ac:dyDescent="0.5">
      <c r="B58" s="31" t="s">
        <v>324</v>
      </c>
      <c r="C58" s="10" t="s">
        <v>138</v>
      </c>
      <c r="D58" s="10" t="s">
        <v>19</v>
      </c>
      <c r="E58" s="10" t="s">
        <v>305</v>
      </c>
      <c r="F58" s="8"/>
      <c r="G58" s="8"/>
      <c r="H58" s="32"/>
    </row>
    <row r="59" spans="2:8" outlineLevel="3" x14ac:dyDescent="0.5">
      <c r="B59" s="31"/>
      <c r="C59" s="10"/>
      <c r="D59" s="10"/>
      <c r="E59" s="10"/>
      <c r="F59" s="8"/>
      <c r="G59" s="8"/>
      <c r="H59" s="32"/>
    </row>
    <row r="60" spans="2:8" outlineLevel="3" x14ac:dyDescent="0.5">
      <c r="B60" s="31"/>
      <c r="C60" s="10"/>
      <c r="D60" s="10"/>
      <c r="E60" s="10"/>
      <c r="F60" s="8"/>
      <c r="G60" s="8"/>
      <c r="H60" s="32"/>
    </row>
    <row r="61" spans="2:8" outlineLevel="3" x14ac:dyDescent="0.5">
      <c r="B61" s="31" t="s">
        <v>325</v>
      </c>
      <c r="C61" s="10" t="s">
        <v>301</v>
      </c>
      <c r="D61" s="10" t="s">
        <v>20</v>
      </c>
      <c r="E61" s="8" t="s">
        <v>21</v>
      </c>
      <c r="F61" s="8"/>
      <c r="G61" s="8"/>
      <c r="H61" s="32"/>
    </row>
    <row r="62" spans="2:8" outlineLevel="3" x14ac:dyDescent="0.5">
      <c r="B62" s="31"/>
      <c r="C62" s="10"/>
      <c r="D62" s="10"/>
      <c r="E62" s="8"/>
      <c r="F62" s="8"/>
      <c r="G62" s="8"/>
      <c r="H62" s="32"/>
    </row>
    <row r="63" spans="2:8" outlineLevel="3" x14ac:dyDescent="0.5">
      <c r="B63" s="31"/>
      <c r="C63" s="10"/>
      <c r="D63" s="10"/>
      <c r="E63" s="8"/>
      <c r="F63" s="8"/>
      <c r="G63" s="8"/>
      <c r="H63" s="32"/>
    </row>
    <row r="64" spans="2:8" ht="32.6" outlineLevel="3" x14ac:dyDescent="0.5">
      <c r="B64" s="31" t="s">
        <v>326</v>
      </c>
      <c r="C64" s="10" t="s">
        <v>302</v>
      </c>
      <c r="D64" s="10" t="s">
        <v>22</v>
      </c>
      <c r="E64" s="8" t="s">
        <v>23</v>
      </c>
      <c r="F64" s="8"/>
      <c r="G64" s="8"/>
      <c r="H64" s="32"/>
    </row>
    <row r="65" spans="2:8" outlineLevel="3" x14ac:dyDescent="0.5">
      <c r="B65" s="31"/>
      <c r="C65" s="10"/>
      <c r="D65" s="10"/>
      <c r="E65" s="8"/>
      <c r="F65" s="8"/>
      <c r="G65" s="8"/>
      <c r="H65" s="32"/>
    </row>
    <row r="66" spans="2:8" outlineLevel="3" x14ac:dyDescent="0.5">
      <c r="B66" s="31"/>
      <c r="C66" s="10"/>
      <c r="D66" s="10"/>
      <c r="E66" s="8"/>
      <c r="F66" s="8"/>
      <c r="G66" s="8"/>
      <c r="H66" s="32"/>
    </row>
    <row r="67" spans="2:8" outlineLevel="3" x14ac:dyDescent="0.5">
      <c r="B67" s="31" t="s">
        <v>327</v>
      </c>
      <c r="C67" s="10" t="s">
        <v>303</v>
      </c>
      <c r="D67" s="10" t="s">
        <v>306</v>
      </c>
      <c r="E67" s="8"/>
      <c r="F67" s="8"/>
      <c r="G67" s="8"/>
      <c r="H67" s="32"/>
    </row>
    <row r="68" spans="2:8" ht="17.600000000000001" outlineLevel="3" thickBot="1" x14ac:dyDescent="0.55000000000000004">
      <c r="B68" s="39"/>
      <c r="C68" s="40"/>
      <c r="D68" s="40"/>
      <c r="E68" s="41"/>
      <c r="F68" s="41"/>
      <c r="G68" s="41"/>
      <c r="H68" s="42"/>
    </row>
    <row r="69" spans="2:8" x14ac:dyDescent="0.5">
      <c r="B69" s="7"/>
      <c r="C69" s="11"/>
    </row>
    <row r="70" spans="2:8" x14ac:dyDescent="0.5">
      <c r="B70" s="11"/>
      <c r="C70" s="11"/>
    </row>
    <row r="71" spans="2:8" x14ac:dyDescent="0.5">
      <c r="B71" s="11"/>
      <c r="C71" s="11"/>
    </row>
    <row r="72" spans="2:8" x14ac:dyDescent="0.5">
      <c r="B72" s="11"/>
      <c r="C72" s="11"/>
    </row>
    <row r="73" spans="2:8" x14ac:dyDescent="0.5">
      <c r="B73" s="11"/>
    </row>
    <row r="74" spans="2:8" x14ac:dyDescent="0.5">
      <c r="B74" s="11"/>
    </row>
    <row r="75" spans="2:8" x14ac:dyDescent="0.5">
      <c r="B75" s="1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44D2E-6348-4D2E-8502-82F865E81F52}">
  <dimension ref="B2:H32"/>
  <sheetViews>
    <sheetView workbookViewId="0">
      <selection activeCell="C4" sqref="C4"/>
    </sheetView>
  </sheetViews>
  <sheetFormatPr defaultRowHeight="14.15" x14ac:dyDescent="0.35"/>
  <cols>
    <col min="2" max="2" width="4.78515625" bestFit="1" customWidth="1"/>
    <col min="3" max="3" width="19.35546875" bestFit="1" customWidth="1"/>
    <col min="4" max="4" width="19.42578125" bestFit="1" customWidth="1"/>
    <col min="5" max="5" width="28.7109375" bestFit="1" customWidth="1"/>
    <col min="6" max="6" width="19.35546875" bestFit="1" customWidth="1"/>
    <col min="7" max="7" width="21.5703125" bestFit="1" customWidth="1"/>
    <col min="8" max="8" width="35.28515625" bestFit="1" customWidth="1"/>
  </cols>
  <sheetData>
    <row r="2" spans="2:8" x14ac:dyDescent="0.35"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</row>
    <row r="3" spans="2:8" x14ac:dyDescent="0.35">
      <c r="B3" s="3">
        <v>1</v>
      </c>
      <c r="C3" s="3" t="s">
        <v>54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</row>
    <row r="4" spans="2:8" x14ac:dyDescent="0.35">
      <c r="B4" s="3"/>
      <c r="C4" s="3" t="s">
        <v>60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65</v>
      </c>
    </row>
    <row r="5" spans="2:8" x14ac:dyDescent="0.35">
      <c r="B5" s="3">
        <v>2</v>
      </c>
      <c r="C5" s="3" t="s">
        <v>66</v>
      </c>
      <c r="D5" s="3" t="s">
        <v>67</v>
      </c>
      <c r="E5" s="3" t="s">
        <v>68</v>
      </c>
      <c r="F5" s="3" t="s">
        <v>69</v>
      </c>
      <c r="G5" s="3" t="s">
        <v>70</v>
      </c>
      <c r="H5" s="3" t="s">
        <v>71</v>
      </c>
    </row>
    <row r="6" spans="2:8" x14ac:dyDescent="0.35">
      <c r="B6" s="3"/>
      <c r="C6" s="3" t="s">
        <v>72</v>
      </c>
      <c r="D6" s="3" t="s">
        <v>73</v>
      </c>
      <c r="E6" s="3" t="s">
        <v>74</v>
      </c>
      <c r="F6" s="3" t="s">
        <v>75</v>
      </c>
      <c r="G6" s="3" t="s">
        <v>76</v>
      </c>
      <c r="H6" s="3" t="s">
        <v>77</v>
      </c>
    </row>
    <row r="7" spans="2:8" x14ac:dyDescent="0.35">
      <c r="B7" s="3">
        <v>3</v>
      </c>
      <c r="C7" s="3" t="s">
        <v>78</v>
      </c>
      <c r="D7" s="3" t="s">
        <v>79</v>
      </c>
      <c r="E7" s="3" t="s">
        <v>80</v>
      </c>
      <c r="F7" s="3" t="s">
        <v>81</v>
      </c>
      <c r="G7" s="3" t="s">
        <v>82</v>
      </c>
      <c r="H7" s="3" t="s">
        <v>83</v>
      </c>
    </row>
    <row r="8" spans="2:8" x14ac:dyDescent="0.35">
      <c r="B8" s="3"/>
      <c r="C8" s="3" t="s">
        <v>84</v>
      </c>
      <c r="D8" s="3" t="s">
        <v>85</v>
      </c>
      <c r="E8" s="3" t="s">
        <v>86</v>
      </c>
      <c r="F8" s="3" t="s">
        <v>87</v>
      </c>
      <c r="G8" s="3" t="s">
        <v>88</v>
      </c>
      <c r="H8" s="3" t="s">
        <v>89</v>
      </c>
    </row>
    <row r="9" spans="2:8" x14ac:dyDescent="0.35">
      <c r="B9" s="3">
        <v>4</v>
      </c>
      <c r="C9" s="3" t="s">
        <v>90</v>
      </c>
      <c r="D9" s="3" t="s">
        <v>91</v>
      </c>
      <c r="E9" s="3" t="s">
        <v>92</v>
      </c>
      <c r="F9" s="3" t="s">
        <v>93</v>
      </c>
      <c r="G9" s="3" t="s">
        <v>94</v>
      </c>
      <c r="H9" s="3" t="s">
        <v>95</v>
      </c>
    </row>
    <row r="10" spans="2:8" x14ac:dyDescent="0.35">
      <c r="B10" s="3"/>
      <c r="C10" s="3" t="s">
        <v>96</v>
      </c>
      <c r="D10" s="3" t="s">
        <v>97</v>
      </c>
      <c r="E10" s="3" t="s">
        <v>98</v>
      </c>
      <c r="F10" s="3" t="s">
        <v>99</v>
      </c>
      <c r="G10" s="3" t="s">
        <v>100</v>
      </c>
      <c r="H10" s="3" t="s">
        <v>101</v>
      </c>
    </row>
    <row r="11" spans="2:8" x14ac:dyDescent="0.35">
      <c r="B11" s="3">
        <v>5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</row>
    <row r="12" spans="2:8" x14ac:dyDescent="0.35">
      <c r="B12" s="3"/>
      <c r="C12" s="3" t="s">
        <v>108</v>
      </c>
      <c r="D12" s="3" t="s">
        <v>109</v>
      </c>
      <c r="E12" s="3" t="s">
        <v>110</v>
      </c>
      <c r="F12" s="3" t="s">
        <v>111</v>
      </c>
      <c r="G12" s="3" t="s">
        <v>112</v>
      </c>
      <c r="H12" s="3" t="s">
        <v>113</v>
      </c>
    </row>
    <row r="13" spans="2:8" x14ac:dyDescent="0.35">
      <c r="B13" s="3">
        <v>6</v>
      </c>
      <c r="C13" s="3" t="s">
        <v>114</v>
      </c>
      <c r="D13" s="3" t="s">
        <v>115</v>
      </c>
      <c r="E13" s="3" t="s">
        <v>116</v>
      </c>
      <c r="F13" s="3" t="s">
        <v>117</v>
      </c>
      <c r="G13" s="3" t="s">
        <v>118</v>
      </c>
      <c r="H13" s="3" t="s">
        <v>119</v>
      </c>
    </row>
    <row r="14" spans="2:8" x14ac:dyDescent="0.35">
      <c r="B14" s="3"/>
      <c r="C14" s="3" t="s">
        <v>120</v>
      </c>
      <c r="D14" s="3" t="s">
        <v>121</v>
      </c>
      <c r="E14" s="3" t="s">
        <v>122</v>
      </c>
      <c r="F14" s="3" t="s">
        <v>123</v>
      </c>
      <c r="G14" s="3" t="s">
        <v>124</v>
      </c>
      <c r="H14" s="3" t="s">
        <v>125</v>
      </c>
    </row>
    <row r="15" spans="2:8" x14ac:dyDescent="0.35">
      <c r="B15" s="3">
        <v>7</v>
      </c>
      <c r="C15" s="3" t="s">
        <v>126</v>
      </c>
      <c r="D15" s="3" t="s">
        <v>127</v>
      </c>
      <c r="E15" s="3" t="s">
        <v>128</v>
      </c>
      <c r="F15" s="3" t="s">
        <v>129</v>
      </c>
      <c r="G15" s="3" t="s">
        <v>130</v>
      </c>
      <c r="H15" s="3" t="s">
        <v>131</v>
      </c>
    </row>
    <row r="16" spans="2:8" x14ac:dyDescent="0.35">
      <c r="B16" s="3"/>
      <c r="C16" s="3" t="s">
        <v>132</v>
      </c>
      <c r="D16" s="3" t="s">
        <v>133</v>
      </c>
      <c r="E16" s="3" t="s">
        <v>134</v>
      </c>
      <c r="F16" s="3" t="s">
        <v>135</v>
      </c>
      <c r="G16" s="3" t="s">
        <v>136</v>
      </c>
      <c r="H16" s="3" t="s">
        <v>137</v>
      </c>
    </row>
    <row r="17" spans="2:8" x14ac:dyDescent="0.35">
      <c r="B17" s="3">
        <v>8</v>
      </c>
      <c r="C17" s="3" t="s">
        <v>138</v>
      </c>
      <c r="D17" s="3" t="s">
        <v>139</v>
      </c>
      <c r="E17" s="3" t="s">
        <v>140</v>
      </c>
      <c r="F17" s="3" t="s">
        <v>141</v>
      </c>
      <c r="G17" s="3" t="s">
        <v>142</v>
      </c>
      <c r="H17" s="3" t="s">
        <v>143</v>
      </c>
    </row>
    <row r="18" spans="2:8" x14ac:dyDescent="0.35">
      <c r="B18" s="3"/>
      <c r="C18" s="3" t="s">
        <v>144</v>
      </c>
      <c r="D18" s="3" t="s">
        <v>145</v>
      </c>
      <c r="E18" s="3" t="s">
        <v>146</v>
      </c>
      <c r="F18" s="3" t="s">
        <v>147</v>
      </c>
      <c r="G18" s="3" t="s">
        <v>148</v>
      </c>
      <c r="H18" s="3" t="s">
        <v>149</v>
      </c>
    </row>
    <row r="19" spans="2:8" x14ac:dyDescent="0.35">
      <c r="B19" s="3"/>
      <c r="C19" s="3"/>
      <c r="D19" s="3" t="s">
        <v>150</v>
      </c>
      <c r="E19" s="3" t="s">
        <v>151</v>
      </c>
      <c r="F19" s="3" t="s">
        <v>152</v>
      </c>
      <c r="G19" s="3" t="s">
        <v>153</v>
      </c>
      <c r="H19" s="3" t="s">
        <v>154</v>
      </c>
    </row>
    <row r="20" spans="2:8" x14ac:dyDescent="0.35">
      <c r="B20" s="3"/>
      <c r="C20" s="3"/>
      <c r="D20" s="3" t="s">
        <v>155</v>
      </c>
      <c r="E20" s="3" t="s">
        <v>156</v>
      </c>
      <c r="F20" s="3" t="s">
        <v>157</v>
      </c>
      <c r="G20" s="3" t="s">
        <v>158</v>
      </c>
      <c r="H20" s="3" t="s">
        <v>159</v>
      </c>
    </row>
    <row r="21" spans="2:8" x14ac:dyDescent="0.35">
      <c r="B21" s="3">
        <v>9</v>
      </c>
      <c r="C21" s="3" t="s">
        <v>160</v>
      </c>
      <c r="D21" s="3" t="s">
        <v>161</v>
      </c>
      <c r="E21" s="3" t="s">
        <v>162</v>
      </c>
      <c r="F21" s="3" t="s">
        <v>163</v>
      </c>
      <c r="G21" s="3" t="s">
        <v>164</v>
      </c>
      <c r="H21" s="3" t="s">
        <v>165</v>
      </c>
    </row>
    <row r="22" spans="2:8" x14ac:dyDescent="0.35">
      <c r="B22" s="3"/>
      <c r="C22" s="3" t="s">
        <v>166</v>
      </c>
      <c r="D22" s="3" t="s">
        <v>167</v>
      </c>
      <c r="E22" s="3" t="s">
        <v>168</v>
      </c>
      <c r="F22" s="3" t="s">
        <v>169</v>
      </c>
      <c r="G22" s="3" t="s">
        <v>170</v>
      </c>
      <c r="H22" s="3" t="s">
        <v>171</v>
      </c>
    </row>
    <row r="23" spans="2:8" x14ac:dyDescent="0.35">
      <c r="B23" s="3">
        <v>10</v>
      </c>
      <c r="C23" s="3" t="s">
        <v>172</v>
      </c>
      <c r="D23" s="3" t="s">
        <v>173</v>
      </c>
      <c r="E23" s="3" t="s">
        <v>174</v>
      </c>
      <c r="F23" s="3" t="s">
        <v>175</v>
      </c>
      <c r="G23" s="3" t="s">
        <v>176</v>
      </c>
      <c r="H23" s="3" t="s">
        <v>177</v>
      </c>
    </row>
    <row r="24" spans="2:8" x14ac:dyDescent="0.35">
      <c r="B24" s="3"/>
      <c r="C24" s="3" t="s">
        <v>178</v>
      </c>
      <c r="D24" s="3" t="s">
        <v>179</v>
      </c>
      <c r="E24" s="3" t="s">
        <v>180</v>
      </c>
      <c r="F24" s="3" t="s">
        <v>181</v>
      </c>
      <c r="G24" s="3" t="s">
        <v>100</v>
      </c>
      <c r="H24" s="3" t="s">
        <v>182</v>
      </c>
    </row>
    <row r="25" spans="2:8" x14ac:dyDescent="0.35">
      <c r="B25" s="3">
        <v>11</v>
      </c>
      <c r="C25" s="3" t="s">
        <v>183</v>
      </c>
      <c r="D25" s="3" t="s">
        <v>184</v>
      </c>
      <c r="E25" s="3" t="s">
        <v>185</v>
      </c>
      <c r="F25" s="3" t="s">
        <v>186</v>
      </c>
      <c r="G25" s="3" t="s">
        <v>187</v>
      </c>
      <c r="H25" s="3" t="s">
        <v>188</v>
      </c>
    </row>
    <row r="26" spans="2:8" x14ac:dyDescent="0.35">
      <c r="B26" s="3"/>
      <c r="C26" s="3" t="s">
        <v>189</v>
      </c>
      <c r="D26" s="3" t="s">
        <v>190</v>
      </c>
      <c r="E26" s="3" t="s">
        <v>191</v>
      </c>
      <c r="F26" s="3" t="s">
        <v>192</v>
      </c>
      <c r="G26" s="3" t="s">
        <v>62</v>
      </c>
      <c r="H26" s="3" t="s">
        <v>193</v>
      </c>
    </row>
    <row r="27" spans="2:8" x14ac:dyDescent="0.35">
      <c r="B27" s="3">
        <v>12</v>
      </c>
      <c r="C27" s="3" t="s">
        <v>194</v>
      </c>
      <c r="D27" s="3" t="s">
        <v>195</v>
      </c>
      <c r="E27" s="3" t="s">
        <v>92</v>
      </c>
      <c r="F27" s="3" t="s">
        <v>196</v>
      </c>
      <c r="G27" s="3" t="s">
        <v>197</v>
      </c>
      <c r="H27" s="3" t="s">
        <v>198</v>
      </c>
    </row>
    <row r="28" spans="2:8" x14ac:dyDescent="0.35">
      <c r="B28" s="3"/>
      <c r="C28" s="3" t="s">
        <v>199</v>
      </c>
      <c r="D28" s="3" t="s">
        <v>200</v>
      </c>
      <c r="E28" s="3" t="s">
        <v>201</v>
      </c>
      <c r="F28" s="3" t="s">
        <v>202</v>
      </c>
      <c r="G28" s="3" t="s">
        <v>203</v>
      </c>
      <c r="H28" s="3" t="s">
        <v>204</v>
      </c>
    </row>
    <row r="29" spans="2:8" x14ac:dyDescent="0.35">
      <c r="B29" s="3">
        <v>13</v>
      </c>
      <c r="C29" s="3" t="s">
        <v>205</v>
      </c>
      <c r="D29" s="3" t="s">
        <v>206</v>
      </c>
      <c r="E29" s="3" t="s">
        <v>207</v>
      </c>
      <c r="F29" s="3" t="s">
        <v>208</v>
      </c>
      <c r="G29" s="3" t="s">
        <v>209</v>
      </c>
      <c r="H29" s="3" t="s">
        <v>210</v>
      </c>
    </row>
    <row r="30" spans="2:8" x14ac:dyDescent="0.35">
      <c r="B30" s="3"/>
      <c r="C30" s="3" t="s">
        <v>211</v>
      </c>
      <c r="D30" s="3" t="s">
        <v>212</v>
      </c>
      <c r="E30" s="3" t="s">
        <v>213</v>
      </c>
      <c r="F30" s="3" t="s">
        <v>214</v>
      </c>
      <c r="G30" s="3" t="s">
        <v>215</v>
      </c>
      <c r="H30" s="3" t="s">
        <v>216</v>
      </c>
    </row>
    <row r="31" spans="2:8" x14ac:dyDescent="0.35">
      <c r="B31" s="3">
        <v>14</v>
      </c>
      <c r="C31" s="3" t="s">
        <v>217</v>
      </c>
      <c r="D31" s="3" t="s">
        <v>218</v>
      </c>
      <c r="E31" s="3" t="s">
        <v>219</v>
      </c>
      <c r="F31" s="3" t="s">
        <v>220</v>
      </c>
      <c r="G31" s="3" t="s">
        <v>221</v>
      </c>
      <c r="H31" s="3" t="s">
        <v>222</v>
      </c>
    </row>
    <row r="32" spans="2:8" x14ac:dyDescent="0.35">
      <c r="B32" s="3"/>
      <c r="C32" s="3" t="s">
        <v>223</v>
      </c>
      <c r="D32" s="3" t="s">
        <v>224</v>
      </c>
      <c r="E32" s="3" t="s">
        <v>225</v>
      </c>
      <c r="F32" s="3" t="s">
        <v>226</v>
      </c>
      <c r="G32" s="3" t="s">
        <v>227</v>
      </c>
      <c r="H32" s="3" t="s">
        <v>228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ECD8-2AA4-496D-AD1F-0724555028B0}">
  <dimension ref="B2:H17"/>
  <sheetViews>
    <sheetView workbookViewId="0">
      <selection activeCell="E17" sqref="E17"/>
    </sheetView>
  </sheetViews>
  <sheetFormatPr defaultRowHeight="14.15" x14ac:dyDescent="0.35"/>
  <cols>
    <col min="2" max="2" width="5.640625" style="4" customWidth="1"/>
    <col min="3" max="3" width="19.35546875" bestFit="1" customWidth="1"/>
    <col min="4" max="4" width="28.78515625" bestFit="1" customWidth="1"/>
    <col min="5" max="5" width="25.640625" bestFit="1" customWidth="1"/>
    <col min="6" max="6" width="29.42578125" bestFit="1" customWidth="1"/>
    <col min="7" max="7" width="29.92578125" bestFit="1" customWidth="1"/>
    <col min="8" max="8" width="40.35546875" bestFit="1" customWidth="1"/>
  </cols>
  <sheetData>
    <row r="2" spans="2:8" x14ac:dyDescent="0.35">
      <c r="B2" s="2" t="s">
        <v>47</v>
      </c>
      <c r="C2" s="2" t="s">
        <v>48</v>
      </c>
      <c r="D2" s="2" t="s">
        <v>290</v>
      </c>
      <c r="E2" s="2" t="s">
        <v>50</v>
      </c>
      <c r="F2" s="2" t="s">
        <v>51</v>
      </c>
      <c r="G2" s="2" t="s">
        <v>52</v>
      </c>
      <c r="H2" s="2" t="s">
        <v>53</v>
      </c>
    </row>
    <row r="3" spans="2:8" ht="28.3" x14ac:dyDescent="0.35">
      <c r="B3" s="1">
        <v>1</v>
      </c>
      <c r="C3" s="3" t="s">
        <v>60</v>
      </c>
      <c r="D3" s="3" t="s">
        <v>229</v>
      </c>
      <c r="E3" s="3" t="s">
        <v>62</v>
      </c>
      <c r="F3" s="3" t="s">
        <v>230</v>
      </c>
      <c r="G3" s="3" t="s">
        <v>231</v>
      </c>
      <c r="H3" s="3" t="s">
        <v>232</v>
      </c>
    </row>
    <row r="4" spans="2:8" ht="28.3" x14ac:dyDescent="0.35">
      <c r="B4" s="1">
        <v>2</v>
      </c>
      <c r="C4" s="3" t="s">
        <v>72</v>
      </c>
      <c r="D4" s="3" t="s">
        <v>233</v>
      </c>
      <c r="E4" s="3" t="s">
        <v>234</v>
      </c>
      <c r="F4" s="3" t="s">
        <v>235</v>
      </c>
      <c r="G4" s="3" t="s">
        <v>76</v>
      </c>
      <c r="H4" s="3" t="s">
        <v>236</v>
      </c>
    </row>
    <row r="5" spans="2:8" ht="28.3" x14ac:dyDescent="0.35">
      <c r="B5" s="1">
        <v>3</v>
      </c>
      <c r="C5" s="3" t="s">
        <v>84</v>
      </c>
      <c r="D5" s="3" t="s">
        <v>237</v>
      </c>
      <c r="E5" s="3" t="s">
        <v>238</v>
      </c>
      <c r="F5" s="3" t="s">
        <v>87</v>
      </c>
      <c r="G5" s="3" t="s">
        <v>239</v>
      </c>
      <c r="H5" s="3" t="s">
        <v>240</v>
      </c>
    </row>
    <row r="6" spans="2:8" x14ac:dyDescent="0.35">
      <c r="B6" s="1">
        <v>4</v>
      </c>
      <c r="C6" s="3" t="s">
        <v>241</v>
      </c>
      <c r="D6" s="3" t="s">
        <v>242</v>
      </c>
      <c r="E6" s="3" t="s">
        <v>98</v>
      </c>
      <c r="F6" s="3" t="s">
        <v>87</v>
      </c>
      <c r="G6" s="3" t="s">
        <v>100</v>
      </c>
      <c r="H6" s="3" t="s">
        <v>243</v>
      </c>
    </row>
    <row r="7" spans="2:8" ht="28.3" x14ac:dyDescent="0.35">
      <c r="B7" s="1">
        <v>5</v>
      </c>
      <c r="C7" s="3" t="s">
        <v>108</v>
      </c>
      <c r="D7" s="3" t="s">
        <v>244</v>
      </c>
      <c r="E7" s="3" t="s">
        <v>245</v>
      </c>
      <c r="F7" s="3" t="s">
        <v>246</v>
      </c>
      <c r="G7" s="3" t="s">
        <v>247</v>
      </c>
      <c r="H7" s="3" t="s">
        <v>248</v>
      </c>
    </row>
    <row r="8" spans="2:8" x14ac:dyDescent="0.35">
      <c r="B8" s="1">
        <v>6</v>
      </c>
      <c r="C8" s="3" t="s">
        <v>120</v>
      </c>
      <c r="D8" s="3" t="s">
        <v>121</v>
      </c>
      <c r="E8" s="3" t="s">
        <v>122</v>
      </c>
      <c r="F8" s="3" t="s">
        <v>249</v>
      </c>
      <c r="G8" s="3" t="s">
        <v>250</v>
      </c>
      <c r="H8" s="3" t="s">
        <v>251</v>
      </c>
    </row>
    <row r="9" spans="2:8" ht="28.3" x14ac:dyDescent="0.35">
      <c r="B9" s="1">
        <v>7</v>
      </c>
      <c r="C9" s="3" t="s">
        <v>132</v>
      </c>
      <c r="D9" s="3" t="s">
        <v>252</v>
      </c>
      <c r="E9" s="3" t="s">
        <v>253</v>
      </c>
      <c r="F9" s="3" t="s">
        <v>135</v>
      </c>
      <c r="G9" s="3" t="s">
        <v>254</v>
      </c>
      <c r="H9" s="3" t="s">
        <v>255</v>
      </c>
    </row>
    <row r="10" spans="2:8" ht="28.3" x14ac:dyDescent="0.35">
      <c r="B10" s="1">
        <v>8</v>
      </c>
      <c r="C10" s="3" t="s">
        <v>256</v>
      </c>
      <c r="D10" s="3" t="s">
        <v>257</v>
      </c>
      <c r="E10" s="3" t="s">
        <v>258</v>
      </c>
      <c r="F10" s="3" t="s">
        <v>259</v>
      </c>
      <c r="G10" s="3" t="s">
        <v>260</v>
      </c>
      <c r="H10" s="3" t="s">
        <v>261</v>
      </c>
    </row>
    <row r="11" spans="2:8" x14ac:dyDescent="0.35">
      <c r="B11" s="1"/>
      <c r="C11" s="3"/>
      <c r="D11" s="3" t="s">
        <v>262</v>
      </c>
      <c r="E11" s="3" t="s">
        <v>263</v>
      </c>
      <c r="F11" s="3" t="s">
        <v>264</v>
      </c>
      <c r="G11" s="3" t="s">
        <v>265</v>
      </c>
      <c r="H11" s="3" t="s">
        <v>266</v>
      </c>
    </row>
    <row r="12" spans="2:8" x14ac:dyDescent="0.35">
      <c r="B12" s="1">
        <v>9</v>
      </c>
      <c r="C12" s="3" t="s">
        <v>267</v>
      </c>
      <c r="D12" s="3" t="s">
        <v>268</v>
      </c>
      <c r="E12" s="3" t="s">
        <v>168</v>
      </c>
      <c r="F12" s="3" t="s">
        <v>169</v>
      </c>
      <c r="G12" s="3" t="s">
        <v>170</v>
      </c>
      <c r="H12" s="3" t="s">
        <v>269</v>
      </c>
    </row>
    <row r="13" spans="2:8" ht="28.3" x14ac:dyDescent="0.35">
      <c r="B13" s="1">
        <v>10</v>
      </c>
      <c r="C13" s="3" t="s">
        <v>178</v>
      </c>
      <c r="D13" s="3" t="s">
        <v>270</v>
      </c>
      <c r="E13" s="3" t="s">
        <v>271</v>
      </c>
      <c r="F13" s="3" t="s">
        <v>181</v>
      </c>
      <c r="G13" s="3" t="s">
        <v>100</v>
      </c>
      <c r="H13" s="3" t="s">
        <v>272</v>
      </c>
    </row>
    <row r="14" spans="2:8" ht="28.3" x14ac:dyDescent="0.35">
      <c r="B14" s="1">
        <v>11</v>
      </c>
      <c r="C14" s="3" t="s">
        <v>189</v>
      </c>
      <c r="D14" s="3" t="s">
        <v>273</v>
      </c>
      <c r="E14" s="3" t="s">
        <v>274</v>
      </c>
      <c r="F14" s="3" t="s">
        <v>275</v>
      </c>
      <c r="G14" s="3" t="s">
        <v>62</v>
      </c>
      <c r="H14" s="3" t="s">
        <v>276</v>
      </c>
    </row>
    <row r="15" spans="2:8" x14ac:dyDescent="0.35">
      <c r="B15" s="1">
        <v>12</v>
      </c>
      <c r="C15" s="3" t="s">
        <v>199</v>
      </c>
      <c r="D15" s="3" t="s">
        <v>277</v>
      </c>
      <c r="E15" s="3" t="s">
        <v>98</v>
      </c>
      <c r="F15" s="3" t="s">
        <v>181</v>
      </c>
      <c r="G15" s="3" t="s">
        <v>278</v>
      </c>
      <c r="H15" s="3" t="s">
        <v>279</v>
      </c>
    </row>
    <row r="16" spans="2:8" x14ac:dyDescent="0.35">
      <c r="B16" s="1">
        <v>13</v>
      </c>
      <c r="C16" s="3" t="s">
        <v>280</v>
      </c>
      <c r="D16" s="3" t="s">
        <v>281</v>
      </c>
      <c r="E16" s="3" t="s">
        <v>282</v>
      </c>
      <c r="F16" s="3" t="s">
        <v>283</v>
      </c>
      <c r="G16" s="3" t="s">
        <v>284</v>
      </c>
      <c r="H16" s="3" t="s">
        <v>285</v>
      </c>
    </row>
    <row r="17" spans="2:8" ht="28.3" x14ac:dyDescent="0.35">
      <c r="B17" s="1">
        <v>14</v>
      </c>
      <c r="C17" s="3" t="s">
        <v>223</v>
      </c>
      <c r="D17" s="3" t="s">
        <v>286</v>
      </c>
      <c r="E17" s="3" t="s">
        <v>225</v>
      </c>
      <c r="F17" s="3" t="s">
        <v>287</v>
      </c>
      <c r="G17" s="3" t="s">
        <v>288</v>
      </c>
      <c r="H17" s="3" t="s">
        <v>289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Yi</dc:creator>
  <cp:lastModifiedBy>Kevin</cp:lastModifiedBy>
  <dcterms:created xsi:type="dcterms:W3CDTF">2015-06-05T18:17:20Z</dcterms:created>
  <dcterms:modified xsi:type="dcterms:W3CDTF">2026-04-20T08:08:11Z</dcterms:modified>
</cp:coreProperties>
</file>